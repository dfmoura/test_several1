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8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3.xml.rels" ContentType="application/vnd.openxmlformats-package.relationships+xml"/>
  <Override PartName="/xl/pivotCache/_rels/pivotCacheDefinition4.xml.rels" ContentType="application/vnd.openxmlformats-package.relationships+xml"/>
  <Override PartName="/xl/pivotCache/_rels/pivotCacheDefinition8.xml.rels" ContentType="application/vnd.openxmlformats-package.relationships+xml"/>
  <Override PartName="/xl/pivotCache/_rels/pivotCacheDefinition5.xml.rels" ContentType="application/vnd.openxmlformats-package.relationships+xml"/>
  <Override PartName="/xl/pivotCache/_rels/pivotCacheDefinition6.xml.rels" ContentType="application/vnd.openxmlformats-package.relationships+xml"/>
  <Override PartName="/xl/pivotCache/_rels/pivotCacheDefinition7.xml.rels" ContentType="application/vnd.openxmlformats-package.relationships+xml"/>
  <Override PartName="/xl/pivotCache/pivotCacheDefinition7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FOSCO" sheetId="1" state="visible" r:id="rId3"/>
    <sheet name="Plan1" sheetId="2" state="hidden" r:id="rId4"/>
    <sheet name="resumo fosco" sheetId="3" state="visible" r:id="rId5"/>
    <sheet name="TAG" sheetId="4" state="visible" r:id="rId6"/>
    <sheet name="resumo TAG" sheetId="5" state="visible" r:id="rId7"/>
    <sheet name="COUCHE" sheetId="6" state="visible" r:id="rId8"/>
    <sheet name="resumo couche" sheetId="7" state="visible" r:id="rId9"/>
    <sheet name="Á comprar" sheetId="8" state="visible" r:id="rId10"/>
    <sheet name="TERMICO" sheetId="9" state="visible" r:id="rId11"/>
    <sheet name="resumo térmico" sheetId="10" state="visible" r:id="rId12"/>
    <sheet name="BOPP " sheetId="11" state="visible" r:id="rId13"/>
    <sheet name="Resumo BOPP" sheetId="12" state="visible" r:id="rId14"/>
    <sheet name="Resumo Bopp2" sheetId="13" state="visible" r:id="rId15"/>
    <sheet name="TECIDOS " sheetId="14" state="visible" r:id="rId16"/>
    <sheet name="Descrição das OS´s" sheetId="15" state="visible" r:id="rId17"/>
    <sheet name="Planilha1" sheetId="16" state="visible" r:id="rId18"/>
    <sheet name="Resumo papeis" sheetId="17" state="visible" r:id="rId19"/>
    <sheet name="Pedidos de Papel" sheetId="18" state="visible" r:id="rId20"/>
    <sheet name="descrição  papeis " sheetId="19" state="visible" r:id="rId21"/>
    <sheet name="Tubetes" sheetId="20" state="visible" r:id="rId22"/>
    <sheet name="Caixas" sheetId="21" state="visible" r:id="rId23"/>
    <sheet name="Cold" sheetId="22" state="visible" r:id="rId24"/>
    <sheet name="Laminação" sheetId="23" state="visible" r:id="rId25"/>
    <sheet name="Tintas" sheetId="24" state="visible" r:id="rId26"/>
    <sheet name="DUPLA FACE" sheetId="25" state="visible" r:id="rId27"/>
    <sheet name="valor estoque" sheetId="26" state="visible" r:id="rId28"/>
  </sheets>
  <definedNames>
    <definedName function="false" hidden="false" localSheetId="5" name="_xlnm.Print_Area" vbProcedure="false">COUCHE!$A$1:$M$96</definedName>
    <definedName function="false" hidden="true" localSheetId="5" name="_xlnm._FilterDatabase" vbProcedure="false">COUCHE!$A$1:$O$222</definedName>
    <definedName function="false" hidden="false" localSheetId="14" name="_xlnm.Print_Area" vbProcedure="false">'Descrição das OS´s'!$A$1:$G$807</definedName>
    <definedName function="false" hidden="true" localSheetId="14" name="_xlnm._FilterDatabase" vbProcedure="false">'Descrição das OS´s'!$A$1:$P$2503</definedName>
    <definedName function="false" hidden="true" localSheetId="0" name="_xlnm._FilterDatabase" vbProcedure="false">FOSCO!$A$1:$XFA$36</definedName>
    <definedName function="false" hidden="true" localSheetId="3" name="_xlnm._FilterDatabase" vbProcedure="false">TAG!$A$1:$O$42</definedName>
    <definedName function="false" hidden="true" localSheetId="8" name="_xlnm._FilterDatabase" vbProcedure="false">TERMICO!$A$1:$O$59</definedName>
    <definedName function="false" hidden="false" localSheetId="23" name="_xlnm.Print_Area" vbProcedure="false">Tintas!$A$1:$I$50</definedName>
    <definedName function="false" hidden="true" localSheetId="0" name="_FilterDatabase" vbProcedure="false">FOSCO!$A$1:$XFA$27</definedName>
    <definedName function="false" hidden="true" localSheetId="3" name="_FilterDatabase" vbProcedure="false">TAG!$A$1:$XAA$1</definedName>
    <definedName function="false" hidden="true" localSheetId="5" name="_FilterDatabase" vbProcedure="false">COUCHE!$A$1:$WZP$24</definedName>
    <definedName function="false" hidden="true" localSheetId="8" name="_FilterDatabase" vbProcedure="false">TERMICO!$A$1:$XFA$9</definedName>
    <definedName function="false" hidden="true" localSheetId="10" name="_FilterDatabase" vbProcedure="false">'BOPP '!$A$1:$XEZ$1</definedName>
    <definedName function="false" hidden="true" localSheetId="14" name="_FilterDatabase" vbProcedure="false">'descrição das os´s'!#ref!</definedName>
  </definedNames>
  <calcPr iterateCount="100" refMode="A1" iterate="false" iterateDelta="0.0001"/>
  <pivotCaches>
    <pivotCache cacheId="1" r:id="rId30"/>
    <pivotCache cacheId="2" r:id="rId31"/>
    <pivotCache cacheId="3" r:id="rId32"/>
    <pivotCache cacheId="4" r:id="rId33"/>
    <pivotCache cacheId="5" r:id="rId34"/>
    <pivotCache cacheId="6" r:id="rId35"/>
    <pivotCache cacheId="7" r:id="rId36"/>
    <pivotCache cacheId="8" r:id="rId3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<sst xmlns="http://schemas.openxmlformats.org/spreadsheetml/2006/main" count="9109" uniqueCount="1258">
  <si>
    <t xml:space="preserve">Localização</t>
  </si>
  <si>
    <t xml:space="preserve">Fornecedor</t>
  </si>
  <si>
    <t xml:space="preserve">Largura (mm)</t>
  </si>
  <si>
    <t xml:space="preserve">Comprimento (m)</t>
  </si>
  <si>
    <t xml:space="preserve">Descrição do Item</t>
  </si>
  <si>
    <t xml:space="preserve">Total Mts Lineares</t>
  </si>
  <si>
    <t xml:space="preserve">Gramagem</t>
  </si>
  <si>
    <r>
      <rPr>
        <b val="true"/>
        <sz val="14"/>
        <color theme="1"/>
        <rFont val="Calibri"/>
        <family val="2"/>
        <charset val="1"/>
      </rPr>
      <t xml:space="preserve">M</t>
    </r>
    <r>
      <rPr>
        <sz val="14"/>
        <color theme="1"/>
        <rFont val="Calibri"/>
        <family val="2"/>
        <charset val="1"/>
      </rPr>
      <t xml:space="preserve">2</t>
    </r>
  </si>
  <si>
    <t xml:space="preserve">Grupo</t>
  </si>
  <si>
    <t xml:space="preserve">DATA</t>
  </si>
  <si>
    <t xml:space="preserve">Estoque</t>
  </si>
  <si>
    <t xml:space="preserve">SAÍDA</t>
  </si>
  <si>
    <t xml:space="preserve">Saldo</t>
  </si>
  <si>
    <t xml:space="preserve">custos</t>
  </si>
  <si>
    <t xml:space="preserve">Observação:</t>
  </si>
  <si>
    <t xml:space="preserve">COLACRIL </t>
  </si>
  <si>
    <t xml:space="preserve">FOSCO COLACRIL ADC 5240</t>
  </si>
  <si>
    <t xml:space="preserve">20G</t>
  </si>
  <si>
    <t xml:space="preserve">FOSCO COLACRIL ADC 1000</t>
  </si>
  <si>
    <t xml:space="preserve">Fosco</t>
  </si>
  <si>
    <t xml:space="preserve">Palete Estoque</t>
  </si>
  <si>
    <t xml:space="preserve">Quantidade</t>
  </si>
  <si>
    <t xml:space="preserve">M2</t>
  </si>
  <si>
    <t xml:space="preserve">- all -</t>
  </si>
  <si>
    <t xml:space="preserve">Data</t>
  </si>
  <si>
    <t xml:space="preserve">Row Labels</t>
  </si>
  <si>
    <t xml:space="preserve">Soma de Total Mts Lineares</t>
  </si>
  <si>
    <t xml:space="preserve">Soma de Saldo</t>
  </si>
  <si>
    <t xml:space="preserve">Total Result</t>
  </si>
  <si>
    <t xml:space="preserve">PROTACK</t>
  </si>
  <si>
    <t xml:space="preserve">TAG COUCHE 90G</t>
  </si>
  <si>
    <t xml:space="preserve">90G</t>
  </si>
  <si>
    <t xml:space="preserve">2192 - TAG COUHE L2 90G</t>
  </si>
  <si>
    <t xml:space="preserve">THERMOTAG</t>
  </si>
  <si>
    <t xml:space="preserve">TAG COUCHE 80G</t>
  </si>
  <si>
    <t xml:space="preserve">170G</t>
  </si>
  <si>
    <t xml:space="preserve">COUCHE TAG 80G</t>
  </si>
  <si>
    <t xml:space="preserve">TAG COUCHE 170G</t>
  </si>
  <si>
    <t xml:space="preserve">0413 - TAG COUHE L2 150G</t>
  </si>
  <si>
    <t xml:space="preserve">414 - TAG COUHE L2 150G</t>
  </si>
  <si>
    <t xml:space="preserve">416 - TAG COUHE L2 150G</t>
  </si>
  <si>
    <t xml:space="preserve">418 - TAG COUHE L2 150G</t>
  </si>
  <si>
    <t xml:space="preserve">419 - TAG COUHE L2 150G</t>
  </si>
  <si>
    <t xml:space="preserve">420 - TAG COUHE L2 150G</t>
  </si>
  <si>
    <t xml:space="preserve">421 - TAG COUHE L2 150G</t>
  </si>
  <si>
    <t xml:space="preserve">422 - TAG COUHE L2 150G</t>
  </si>
  <si>
    <t xml:space="preserve">423 - TAG COUHE L2 150G</t>
  </si>
  <si>
    <t xml:space="preserve">424 - TAG COUHE L2 150G</t>
  </si>
  <si>
    <t xml:space="preserve">425 - TAG COUHE L2 150G</t>
  </si>
  <si>
    <t xml:space="preserve">426 - TAG COUHE L2 150G</t>
  </si>
  <si>
    <t xml:space="preserve">COUCHE 30G </t>
  </si>
  <si>
    <t xml:space="preserve">COUCHE 20G FASSON </t>
  </si>
  <si>
    <t xml:space="preserve">Largura</t>
  </si>
  <si>
    <t xml:space="preserve">Minimo Estoque</t>
  </si>
  <si>
    <t xml:space="preserve">VERTEX</t>
  </si>
  <si>
    <t xml:space="preserve">COUCHE 30G VERTEX</t>
  </si>
  <si>
    <t xml:space="preserve">30G</t>
  </si>
  <si>
    <t xml:space="preserve">5030 G62</t>
  </si>
  <si>
    <t xml:space="preserve">FASSON</t>
  </si>
  <si>
    <t xml:space="preserve">ECOPRINT / S2045N/ SCK 60</t>
  </si>
  <si>
    <t xml:space="preserve">29/02/26</t>
  </si>
  <si>
    <t xml:space="preserve">Emendas</t>
  </si>
  <si>
    <t xml:space="preserve">COLACRIL</t>
  </si>
  <si>
    <t xml:space="preserve">COUCHE 20G COLACRIL </t>
  </si>
  <si>
    <t xml:space="preserve">ADC 200 -  COLA ACRILICA</t>
  </si>
  <si>
    <t xml:space="preserve">Palete garagem</t>
  </si>
  <si>
    <t xml:space="preserve">Inovafix</t>
  </si>
  <si>
    <t xml:space="preserve">RITRAMA</t>
  </si>
  <si>
    <t xml:space="preserve">RITRAMA </t>
  </si>
  <si>
    <t xml:space="preserve">COUCHE HOTMELT</t>
  </si>
  <si>
    <t xml:space="preserve">5031 G62</t>
  </si>
  <si>
    <t xml:space="preserve">V</t>
  </si>
  <si>
    <t xml:space="preserve">ECOPRINT / S2045N/ SCK 61</t>
  </si>
  <si>
    <t xml:space="preserve">Garagem</t>
  </si>
  <si>
    <t xml:space="preserve">COUCHE 20G VERTEX</t>
  </si>
  <si>
    <t xml:space="preserve">- multiple -</t>
  </si>
  <si>
    <t xml:space="preserve">DATA </t>
  </si>
  <si>
    <t xml:space="preserve">LARGURA</t>
  </si>
  <si>
    <t xml:space="preserve">QDADE</t>
  </si>
  <si>
    <t xml:space="preserve">METRAGEM </t>
  </si>
  <si>
    <t xml:space="preserve">Total</t>
  </si>
  <si>
    <t xml:space="preserve">Fasson Ecoprint 2045</t>
  </si>
  <si>
    <t xml:space="preserve">Fasson Ecoprint 2046</t>
  </si>
  <si>
    <t xml:space="preserve">Fasson Ecoprint 2047</t>
  </si>
  <si>
    <t xml:space="preserve">Descrição</t>
  </si>
  <si>
    <t xml:space="preserve">Cliente</t>
  </si>
  <si>
    <t xml:space="preserve">Demanda</t>
  </si>
  <si>
    <t xml:space="preserve">Vertex</t>
  </si>
  <si>
    <t xml:space="preserve">Advanta</t>
  </si>
  <si>
    <t xml:space="preserve">Bopp fosco bx</t>
  </si>
  <si>
    <t xml:space="preserve">FASSON PP FOSCO NTC S0290</t>
  </si>
  <si>
    <t xml:space="preserve">Laudo</t>
  </si>
  <si>
    <t xml:space="preserve">Bopp brilho bx</t>
  </si>
  <si>
    <t xml:space="preserve">Delicatus</t>
  </si>
  <si>
    <t xml:space="preserve">Bopp bx </t>
  </si>
  <si>
    <t xml:space="preserve">Kimassa</t>
  </si>
  <si>
    <t xml:space="preserve">Bopp transp bx</t>
  </si>
  <si>
    <t xml:space="preserve">Saborio</t>
  </si>
  <si>
    <t xml:space="preserve">FASSON PP FOSCO NTC S0291</t>
  </si>
  <si>
    <t xml:space="preserve">bopp brilho nbx</t>
  </si>
  <si>
    <t xml:space="preserve">Super quality</t>
  </si>
  <si>
    <t xml:space="preserve">Bopp transp </t>
  </si>
  <si>
    <t xml:space="preserve">Pururuca</t>
  </si>
  <si>
    <t xml:space="preserve">Bopp branco brilho</t>
  </si>
  <si>
    <t xml:space="preserve">Herbalife</t>
  </si>
  <si>
    <t xml:space="preserve">BOPP BCO FOSCO Top Colt 60 M / ADC 1000/60GR</t>
  </si>
  <si>
    <r>
      <rPr>
        <sz val="11"/>
        <color rgb="FF000000"/>
        <rFont val="Calibri"/>
        <family val="2"/>
        <charset val="1"/>
      </rPr>
      <t xml:space="preserve">FASSON  </t>
    </r>
    <r>
      <rPr>
        <sz val="11"/>
        <color rgb="FF26282A"/>
        <rFont val="Tahoma"/>
        <family val="2"/>
        <charset val="1"/>
      </rPr>
      <t xml:space="preserve">TERMICO DRY S2045N</t>
    </r>
  </si>
  <si>
    <t xml:space="preserve">BOPP BCO BRILHO Top Colt 60 M / ADC 1000/60GR</t>
  </si>
  <si>
    <t xml:space="preserve">TÉRMICO FASSON</t>
  </si>
  <si>
    <r>
      <rPr>
        <sz val="14"/>
        <color rgb="FF000000"/>
        <rFont val="Calibri"/>
        <family val="2"/>
        <charset val="1"/>
      </rPr>
      <t xml:space="preserve">FASSON  </t>
    </r>
    <r>
      <rPr>
        <sz val="14"/>
        <color rgb="FF26282A"/>
        <rFont val="Tahoma"/>
        <family val="2"/>
        <charset val="1"/>
      </rPr>
      <t xml:space="preserve">TERMICO DRY S2045N</t>
    </r>
  </si>
  <si>
    <t xml:space="preserve">TÉRMICO COLACRIL</t>
  </si>
  <si>
    <t xml:space="preserve">Boi na brasa, 15 rolos</t>
  </si>
  <si>
    <t xml:space="preserve">BOPP FOSCO COLACRIL BXT</t>
  </si>
  <si>
    <t xml:space="preserve">BOPP BCO FOSCO 60 M / ADC 1000/60GR</t>
  </si>
  <si>
    <t xml:space="preserve">BOPP BRILHO COLACRIL BXT  </t>
  </si>
  <si>
    <t xml:space="preserve">BOPP BCO BRILHO 60 M / ADC 1000/60GR</t>
  </si>
  <si>
    <t xml:space="preserve">BOPP FOSCO FASSON 20G</t>
  </si>
  <si>
    <t xml:space="preserve">BOPP FOSCO RITRAMA</t>
  </si>
  <si>
    <t xml:space="preserve">RITRAMA 8046</t>
  </si>
  <si>
    <t xml:space="preserve">BOPP BRILHO RITRAMA</t>
  </si>
  <si>
    <t xml:space="preserve">2102 - PP TC8 GLOSS WHITE CAV  60 / AP901/ WG55</t>
  </si>
  <si>
    <t xml:space="preserve">BOPP TRANSPARENTE COLACRIL BXT</t>
  </si>
  <si>
    <t xml:space="preserve">BOPP TRANSP / TC / ADC 1000/60GR</t>
  </si>
  <si>
    <t xml:space="preserve">BOPP METALIZADO</t>
  </si>
  <si>
    <t xml:space="preserve">BOPP MET. FOSCO 60 M / ADC 1000/60GR</t>
  </si>
  <si>
    <t xml:space="preserve">BOPP BRILHO COLACRIL  NBT </t>
  </si>
  <si>
    <t xml:space="preserve">BOPP BCO BRILHO 60 M / ADC 210/60GR</t>
  </si>
  <si>
    <t xml:space="preserve">BOPP FOSCO RITRAMA BXT</t>
  </si>
  <si>
    <t xml:space="preserve">7182 - PP MATT WHITE CAV  60 / AP903/ WG55</t>
  </si>
  <si>
    <t xml:space="preserve">BOPP METALIZADO COLACRIL BXT</t>
  </si>
  <si>
    <t xml:space="preserve">meta</t>
  </si>
  <si>
    <t xml:space="preserve">BOPP FOSCO FASSON 30G</t>
  </si>
  <si>
    <t xml:space="preserve">PP BCO FOSCO NTC / S2075N </t>
  </si>
  <si>
    <t xml:space="preserve">RITRAMA 901</t>
  </si>
  <si>
    <t xml:space="preserve">BOPP TRANSPARENTE RITRAMA BXT</t>
  </si>
  <si>
    <t xml:space="preserve">BOPP MATT WHITE / TC  / AP 903 BX TEMP</t>
  </si>
  <si>
    <t xml:space="preserve">BOPP TRANSPARENTE FASSON</t>
  </si>
  <si>
    <t xml:space="preserve">PP TRANSP NTC S0290 </t>
  </si>
  <si>
    <t xml:space="preserve">BOPP TRANSPARENTE RITRAMA</t>
  </si>
  <si>
    <t xml:space="preserve">BOPP MATT WHITE / NTC /  AP 901 </t>
  </si>
  <si>
    <t xml:space="preserve">BOPP MET. FOSCO 60 M / ADC 210/60GR</t>
  </si>
  <si>
    <t xml:space="preserve">Chegou 24/7/26</t>
  </si>
  <si>
    <t xml:space="preserve">BOPP MET.  TC 50M L/ADC1000/GL52M</t>
  </si>
  <si>
    <t xml:space="preserve">Chegou 24/7/27</t>
  </si>
  <si>
    <t xml:space="preserve">BOPP BRILHO ADC 210</t>
  </si>
  <si>
    <t xml:space="preserve">BOPP FOSCO  BAIXA TEMPERATURA </t>
  </si>
  <si>
    <t xml:space="preserve">BOPP FOSCO FASSON</t>
  </si>
  <si>
    <t xml:space="preserve">FAMA / DVILLE /  REAL ALIMENTOS</t>
  </si>
  <si>
    <t xml:space="preserve">LAUDO 2,4X6,5</t>
  </si>
  <si>
    <t xml:space="preserve">FOSCO</t>
  </si>
  <si>
    <t xml:space="preserve">KOISAS DE MINAS </t>
  </si>
  <si>
    <t xml:space="preserve">SAM FRUTAS</t>
  </si>
  <si>
    <t xml:space="preserve">SUPER MAXI SUCOS </t>
  </si>
  <si>
    <t xml:space="preserve">SUPER MAXI CARNE</t>
  </si>
  <si>
    <t xml:space="preserve">EDUARDO MINEIRO </t>
  </si>
  <si>
    <t xml:space="preserve">BELLINI SORVETES</t>
  </si>
  <si>
    <t xml:space="preserve">baixa</t>
  </si>
  <si>
    <t xml:space="preserve">SUN QUIMICA</t>
  </si>
  <si>
    <t xml:space="preserve">LAUDO 32X12 2 COLUNAS </t>
  </si>
  <si>
    <t xml:space="preserve">D VILLE /  HOMEOPATICA MINEIRA / BIO MAJESTRAL</t>
  </si>
  <si>
    <t xml:space="preserve">TURBO ERVAS</t>
  </si>
  <si>
    <t xml:space="preserve">REAL ALIMENTOS</t>
  </si>
  <si>
    <t xml:space="preserve">VIVA ESQUADRIAS</t>
  </si>
  <si>
    <t xml:space="preserve">DIMELLO ALIMENTOS / UAI FRUTAS</t>
  </si>
  <si>
    <t xml:space="preserve">FAMA</t>
  </si>
  <si>
    <t xml:space="preserve">BRILHO</t>
  </si>
  <si>
    <t xml:space="preserve">EMPORIO BOTHANICO / BRAHVA </t>
  </si>
  <si>
    <t xml:space="preserve">BAIXA</t>
  </si>
  <si>
    <t xml:space="preserve">FAMA </t>
  </si>
  <si>
    <t xml:space="preserve">IRINEU</t>
  </si>
  <si>
    <t xml:space="preserve">CERAMICA /ABILIO / TERRA MINEIRA / PHORMULA / </t>
  </si>
  <si>
    <t xml:space="preserve">ADORO BOUTIQUE DE CARNES</t>
  </si>
  <si>
    <t xml:space="preserve">ABC EXTINTORES/Bioplant</t>
  </si>
  <si>
    <t xml:space="preserve">DENNIS</t>
  </si>
  <si>
    <t xml:space="preserve">ESPETO / ABADIANA CERVEJARIA / CASA DE CARNES KNYCHALA</t>
  </si>
  <si>
    <t xml:space="preserve">LAUDO 4,1X2</t>
  </si>
  <si>
    <t xml:space="preserve">FARMÁCIA HOMEOPATICA FITOCEUTICA</t>
  </si>
  <si>
    <t xml:space="preserve">LAUDO</t>
  </si>
  <si>
    <t xml:space="preserve">MANDIOCA SÃO BENTO</t>
  </si>
  <si>
    <t xml:space="preserve">GALERIA PQ/ ATELIE</t>
  </si>
  <si>
    <t xml:space="preserve">FRIGO FAVA </t>
  </si>
  <si>
    <t xml:space="preserve">MARLY</t>
  </si>
  <si>
    <t xml:space="preserve">GRAFICA ARAGUARI</t>
  </si>
  <si>
    <t xml:space="preserve">ESPETO / BALTAZAR/ SABOREAR / RECANTO / XAVIER / PETISCOS </t>
  </si>
  <si>
    <t xml:space="preserve">FARMACIA NACIONAL/*SANTA CLARA / ADVANTA / EXTINCENDIO/REI DO REAL</t>
  </si>
  <si>
    <t xml:space="preserve">SUPERMERCADO BADIÃO</t>
  </si>
  <si>
    <t xml:space="preserve">IRINEU / GALERIA / KIMASSAS / SERRA NEGRA / CAFFEIRA</t>
  </si>
  <si>
    <t xml:space="preserve">CHECK UP / IPAC / FAZ ANALISE / SÃO JOSE </t>
  </si>
  <si>
    <t xml:space="preserve">CÉLIO DONIZETE</t>
  </si>
  <si>
    <t xml:space="preserve">MANDIOCA COELHO</t>
  </si>
  <si>
    <t xml:space="preserve">ARTE E CONFEITO</t>
  </si>
  <si>
    <t xml:space="preserve">LAUDO 8,5X4,3 2 COLUNAS </t>
  </si>
  <si>
    <t xml:space="preserve">ENTREPOSTO/ DONA DINDA / </t>
  </si>
  <si>
    <t xml:space="preserve">PESCADO CENTRAL / NATURALIS / CHEFF WOOF </t>
  </si>
  <si>
    <t xml:space="preserve">TECIDOS</t>
  </si>
  <si>
    <t xml:space="preserve">Min.</t>
  </si>
  <si>
    <t xml:space="preserve">Entr.</t>
  </si>
  <si>
    <t xml:space="preserve">Saída</t>
  </si>
  <si>
    <t xml:space="preserve">Cetim (6030301)</t>
  </si>
  <si>
    <t xml:space="preserve">MATERIAL </t>
  </si>
  <si>
    <t xml:space="preserve">METROS</t>
  </si>
  <si>
    <t xml:space="preserve">VALOR</t>
  </si>
  <si>
    <t xml:space="preserve">cetim branco</t>
  </si>
  <si>
    <t xml:space="preserve">20 mm</t>
  </si>
  <si>
    <t xml:space="preserve">Cetim (6030301) Beje</t>
  </si>
  <si>
    <t xml:space="preserve">resinado branco</t>
  </si>
  <si>
    <t xml:space="preserve">Emborrachado (5090251)</t>
  </si>
  <si>
    <t xml:space="preserve">25 mm</t>
  </si>
  <si>
    <t xml:space="preserve">Cetim (6030301) Perolizado</t>
  </si>
  <si>
    <t xml:space="preserve">30 mm</t>
  </si>
  <si>
    <t xml:space="preserve">Cetim bege </t>
  </si>
  <si>
    <t xml:space="preserve">Cetim PEROLIZADO</t>
  </si>
  <si>
    <t xml:space="preserve">Cetim PEROLIZADO Beje</t>
  </si>
  <si>
    <t xml:space="preserve">Resinado (4010301)</t>
  </si>
  <si>
    <t xml:space="preserve">Resinado inportado ruim</t>
  </si>
  <si>
    <t xml:space="preserve">Resinado importado normal</t>
  </si>
  <si>
    <t xml:space="preserve">Resinado importado ruim</t>
  </si>
  <si>
    <t xml:space="preserve">Resinado verde</t>
  </si>
  <si>
    <t xml:space="preserve">Resinado perolizado</t>
  </si>
  <si>
    <t xml:space="preserve">Resinado Perolizado</t>
  </si>
  <si>
    <t xml:space="preserve">OS</t>
  </si>
  <si>
    <t xml:space="preserve">Lineares</t>
  </si>
  <si>
    <t xml:space="preserve">Material</t>
  </si>
  <si>
    <t xml:space="preserve">Laminação</t>
  </si>
  <si>
    <t xml:space="preserve">Vulcaflex</t>
  </si>
  <si>
    <t xml:space="preserve">Couchê 20gr</t>
  </si>
  <si>
    <t xml:space="preserve">Laticinios São Francisco</t>
  </si>
  <si>
    <t xml:space="preserve">Bopp fosco bx temp.</t>
  </si>
  <si>
    <t xml:space="preserve">Mundim Sob Medidas</t>
  </si>
  <si>
    <t xml:space="preserve">Bopp branco fosco</t>
  </si>
  <si>
    <t xml:space="preserve">Naturallis Farmacia</t>
  </si>
  <si>
    <t xml:space="preserve">Edvaldo</t>
  </si>
  <si>
    <t xml:space="preserve">laminação</t>
  </si>
  <si>
    <t xml:space="preserve">Ki Sabor Suspiro</t>
  </si>
  <si>
    <t xml:space="preserve">KWS Sementes</t>
  </si>
  <si>
    <t xml:space="preserve">Rede Lucas</t>
  </si>
  <si>
    <t xml:space="preserve">Térmico</t>
  </si>
  <si>
    <t xml:space="preserve">Santa Marta</t>
  </si>
  <si>
    <t xml:space="preserve">Marmoreio</t>
  </si>
  <si>
    <t xml:space="preserve">Global extincendio prados</t>
  </si>
  <si>
    <t xml:space="preserve">Encanto de Minas</t>
  </si>
  <si>
    <t xml:space="preserve">Koisas de Minas</t>
  </si>
  <si>
    <t xml:space="preserve">Vassouras Mendonça</t>
  </si>
  <si>
    <t xml:space="preserve">Queijo Monte Alvão</t>
  </si>
  <si>
    <t xml:space="preserve">Ubermédica</t>
  </si>
  <si>
    <t xml:space="preserve">Alex Mussi</t>
  </si>
  <si>
    <t xml:space="preserve">Dville</t>
  </si>
  <si>
    <t xml:space="preserve">UMC</t>
  </si>
  <si>
    <t xml:space="preserve">Couchê 30gr</t>
  </si>
  <si>
    <t xml:space="preserve">Pumpkin Saudavel</t>
  </si>
  <si>
    <t xml:space="preserve">Xavier Espeto</t>
  </si>
  <si>
    <t xml:space="preserve">Sabin Uberaba</t>
  </si>
  <si>
    <t xml:space="preserve">Box da Eliana</t>
  </si>
  <si>
    <t xml:space="preserve">Mio da Fera</t>
  </si>
  <si>
    <t xml:space="preserve">PPA Paes Lemes</t>
  </si>
  <si>
    <t xml:space="preserve">Doces Marques</t>
  </si>
  <si>
    <t xml:space="preserve">Vera Lúcia Gervásio</t>
  </si>
  <si>
    <t xml:space="preserve">Biscoito Crocant</t>
  </si>
  <si>
    <t xml:space="preserve">Farinha Nobre Sabor</t>
  </si>
  <si>
    <t xml:space="preserve">NF Biscoitos</t>
  </si>
  <si>
    <t xml:space="preserve">Droga Lider</t>
  </si>
  <si>
    <t xml:space="preserve">Pururuca Mineira</t>
  </si>
  <si>
    <t xml:space="preserve">Bopp Transparente</t>
  </si>
  <si>
    <t xml:space="preserve">kimassas</t>
  </si>
  <si>
    <t xml:space="preserve">Arte e confeitos</t>
  </si>
  <si>
    <t xml:space="preserve">Sorveteria Tropical</t>
  </si>
  <si>
    <t xml:space="preserve">Biscoito Delícia da Vovó</t>
  </si>
  <si>
    <t xml:space="preserve">Box do Chico</t>
  </si>
  <si>
    <t xml:space="preserve">Comfrio</t>
  </si>
  <si>
    <t xml:space="preserve">Triangulo Eletrofiltros</t>
  </si>
  <si>
    <t xml:space="preserve">Fama Doces</t>
  </si>
  <si>
    <t xml:space="preserve">Rolette Turismo</t>
  </si>
  <si>
    <t xml:space="preserve">Ip Alimentos</t>
  </si>
  <si>
    <t xml:space="preserve">Laudo Governança</t>
  </si>
  <si>
    <t xml:space="preserve">Mandioca Coelho</t>
  </si>
  <si>
    <t xml:space="preserve">Sorveteria Moranguinho</t>
  </si>
  <si>
    <t xml:space="preserve">Agromen Sementes</t>
  </si>
  <si>
    <t xml:space="preserve">Hospital do Triangulo</t>
  </si>
  <si>
    <t xml:space="preserve">Doces Barbaros</t>
  </si>
  <si>
    <t xml:space="preserve">Rei do Abacate</t>
  </si>
  <si>
    <t xml:space="preserve">Lr Verduras</t>
  </si>
  <si>
    <t xml:space="preserve">Magazine do Ofertão</t>
  </si>
  <si>
    <t xml:space="preserve">Iso Olhos</t>
  </si>
  <si>
    <t xml:space="preserve">Farinha Saborosa</t>
  </si>
  <si>
    <t xml:space="preserve">Ki Sabor Pirulitos</t>
  </si>
  <si>
    <t xml:space="preserve">Rarepan</t>
  </si>
  <si>
    <t xml:space="preserve">Paladar Nutri</t>
  </si>
  <si>
    <t xml:space="preserve">Pró Século</t>
  </si>
  <si>
    <t xml:space="preserve">Abilio Borges</t>
  </si>
  <si>
    <t xml:space="preserve">Carlinhos (cachaça N. Aurora)</t>
  </si>
  <si>
    <t xml:space="preserve">Galeria do Pão de queijo</t>
  </si>
  <si>
    <t xml:space="preserve">Indusat</t>
  </si>
  <si>
    <t xml:space="preserve">Solo Verde Aspersores</t>
  </si>
  <si>
    <t xml:space="preserve">Tomate Fazenda Jardim</t>
  </si>
  <si>
    <t xml:space="preserve">Queijo Sapecado</t>
  </si>
  <si>
    <t xml:space="preserve">Hospital Santa Clara</t>
  </si>
  <si>
    <t xml:space="preserve">Papel fosco</t>
  </si>
  <si>
    <t xml:space="preserve">Rei do Baralho</t>
  </si>
  <si>
    <t xml:space="preserve">Orgulho de Minas</t>
  </si>
  <si>
    <t xml:space="preserve">Geléia Monte Sião</t>
  </si>
  <si>
    <t xml:space="preserve">Cachaça artesanal</t>
  </si>
  <si>
    <t xml:space="preserve">Mendonça</t>
  </si>
  <si>
    <t xml:space="preserve">Planalto ovos</t>
  </si>
  <si>
    <t xml:space="preserve">Panificadora Maricota</t>
  </si>
  <si>
    <t xml:space="preserve">Engenho coqueiros</t>
  </si>
  <si>
    <t xml:space="preserve">Laudo Laboratórios</t>
  </si>
  <si>
    <t xml:space="preserve">Supermercado Boi na Brasa</t>
  </si>
  <si>
    <t xml:space="preserve">Polpas Fazenda Limoeiro</t>
  </si>
  <si>
    <t xml:space="preserve">Doces de Minas</t>
  </si>
  <si>
    <t xml:space="preserve">Caramella</t>
  </si>
  <si>
    <t xml:space="preserve">Morgana Delicias</t>
  </si>
  <si>
    <t xml:space="preserve">Rafiti</t>
  </si>
  <si>
    <t xml:space="preserve">Tom Turismo</t>
  </si>
  <si>
    <t xml:space="preserve">Super Maxi</t>
  </si>
  <si>
    <t xml:space="preserve">Tunikinha Baby</t>
  </si>
  <si>
    <t xml:space="preserve">Fazenda Bom Jardim</t>
  </si>
  <si>
    <t xml:space="preserve">Tati Minas</t>
  </si>
  <si>
    <t xml:space="preserve">Gabriella Hortaliças</t>
  </si>
  <si>
    <t xml:space="preserve">Cremel</t>
  </si>
  <si>
    <t xml:space="preserve">Amanda Bandejinhas</t>
  </si>
  <si>
    <t xml:space="preserve">Orthomed</t>
  </si>
  <si>
    <t xml:space="preserve">Correios Cesário Alvim</t>
  </si>
  <si>
    <t xml:space="preserve">Okada</t>
  </si>
  <si>
    <t xml:space="preserve">Bom Gosto</t>
  </si>
  <si>
    <t xml:space="preserve">Pescado Central</t>
  </si>
  <si>
    <t xml:space="preserve">Vasconcelos</t>
  </si>
  <si>
    <t xml:space="preserve">Produtos GM</t>
  </si>
  <si>
    <t xml:space="preserve">Acampra</t>
  </si>
  <si>
    <t xml:space="preserve">Produtos Hermom</t>
  </si>
  <si>
    <t xml:space="preserve">Milho Milena</t>
  </si>
  <si>
    <t xml:space="preserve">Farinha Kibiju</t>
  </si>
  <si>
    <t xml:space="preserve">Tomateberry</t>
  </si>
  <si>
    <t xml:space="preserve">Queijo Militão</t>
  </si>
  <si>
    <t xml:space="preserve">Cl Frios</t>
  </si>
  <si>
    <t xml:space="preserve">ABC Extintores</t>
  </si>
  <si>
    <t xml:space="preserve">Bioplant</t>
  </si>
  <si>
    <t xml:space="preserve">Santa Felícia</t>
  </si>
  <si>
    <t xml:space="preserve">Doces Moura</t>
  </si>
  <si>
    <t xml:space="preserve">Polvilho Caipira</t>
  </si>
  <si>
    <t xml:space="preserve">Sim</t>
  </si>
  <si>
    <t xml:space="preserve">Uai Groove</t>
  </si>
  <si>
    <t xml:space="preserve">Produtos Lurdes</t>
  </si>
  <si>
    <t xml:space="preserve">Sansil</t>
  </si>
  <si>
    <t xml:space="preserve">Dgust</t>
  </si>
  <si>
    <t xml:space="preserve">Doces Bárbaros</t>
  </si>
  <si>
    <t xml:space="preserve">Açougue Vilela</t>
  </si>
  <si>
    <t xml:space="preserve">Extintores Regional</t>
  </si>
  <si>
    <t xml:space="preserve">Molth Inox</t>
  </si>
  <si>
    <t xml:space="preserve">Pamonha Super quente</t>
  </si>
  <si>
    <t xml:space="preserve">Alves e Moraes</t>
  </si>
  <si>
    <t xml:space="preserve">Queijo Patinho</t>
  </si>
  <si>
    <t xml:space="preserve">Doces Abaeté</t>
  </si>
  <si>
    <t xml:space="preserve">Cremellita Sorvetes</t>
  </si>
  <si>
    <t xml:space="preserve">Loja Doce</t>
  </si>
  <si>
    <t xml:space="preserve">Vó Dora</t>
  </si>
  <si>
    <t xml:space="preserve">Coelho</t>
  </si>
  <si>
    <t xml:space="preserve">Coco Doce</t>
  </si>
  <si>
    <t xml:space="preserve">Queijaria Ouro das Gerais</t>
  </si>
  <si>
    <t xml:space="preserve">Hospital Alta Colina</t>
  </si>
  <si>
    <t xml:space="preserve">SP Cartuchos</t>
  </si>
  <si>
    <t xml:space="preserve">Sorvetim Sorvetes</t>
  </si>
  <si>
    <t xml:space="preserve">Grafica Araguari</t>
  </si>
  <si>
    <t xml:space="preserve">Bopp Prata</t>
  </si>
  <si>
    <t xml:space="preserve">Real Alimentos</t>
  </si>
  <si>
    <t xml:space="preserve">Quitandas Caseiras RZ</t>
  </si>
  <si>
    <t xml:space="preserve">Vovó Nalva</t>
  </si>
  <si>
    <t xml:space="preserve">Renova</t>
  </si>
  <si>
    <t xml:space="preserve">Lasmar</t>
  </si>
  <si>
    <t xml:space="preserve">Transimões</t>
  </si>
  <si>
    <t xml:space="preserve">Confrio Itumbiara</t>
  </si>
  <si>
    <t xml:space="preserve">Minussihome</t>
  </si>
  <si>
    <t xml:space="preserve">CR Brasil</t>
  </si>
  <si>
    <t xml:space="preserve">Tafetá</t>
  </si>
  <si>
    <t xml:space="preserve">Cachaça Mineira</t>
  </si>
  <si>
    <t xml:space="preserve">L Vieira</t>
  </si>
  <si>
    <t xml:space="preserve">Sorveteria Frutibom</t>
  </si>
  <si>
    <t xml:space="preserve">Empório Ipanema</t>
  </si>
  <si>
    <t xml:space="preserve">Saboraí</t>
  </si>
  <si>
    <t xml:space="preserve">Espeto Mania</t>
  </si>
  <si>
    <t xml:space="preserve">Gráfica estilo</t>
  </si>
  <si>
    <t xml:space="preserve">30gr</t>
  </si>
  <si>
    <t xml:space="preserve">Queijo Oliveira</t>
  </si>
  <si>
    <t xml:space="preserve">Master Pão Sírio</t>
  </si>
  <si>
    <t xml:space="preserve">Souza Cruz</t>
  </si>
  <si>
    <t xml:space="preserve">Correios Vasconcelos</t>
  </si>
  <si>
    <t xml:space="preserve">Celio Donizete</t>
  </si>
  <si>
    <t xml:space="preserve">Empório fish</t>
  </si>
  <si>
    <t xml:space="preserve">Serra Negra Alimentos</t>
  </si>
  <si>
    <t xml:space="preserve">Estofcar</t>
  </si>
  <si>
    <t xml:space="preserve">Sorveteria Gerré</t>
  </si>
  <si>
    <t xml:space="preserve">Resinado</t>
  </si>
  <si>
    <t xml:space="preserve">Via Sabor</t>
  </si>
  <si>
    <t xml:space="preserve">Chico Turismo</t>
  </si>
  <si>
    <t xml:space="preserve">Laboratório Faz Analises</t>
  </si>
  <si>
    <t xml:space="preserve">Agro São Braz</t>
  </si>
  <si>
    <t xml:space="preserve">Regina Sorvetes</t>
  </si>
  <si>
    <t xml:space="preserve">Silva Santiago</t>
  </si>
  <si>
    <t xml:space="preserve">Udipan</t>
  </si>
  <si>
    <t xml:space="preserve">Sequilhos Tradição</t>
  </si>
  <si>
    <t xml:space="preserve">Flor do Cerrado</t>
  </si>
  <si>
    <t xml:space="preserve">Maricota</t>
  </si>
  <si>
    <t xml:space="preserve">Fariminas</t>
  </si>
  <si>
    <t xml:space="preserve">Stela Stores</t>
  </si>
  <si>
    <t xml:space="preserve">Mini Mercado Ferreira</t>
  </si>
  <si>
    <t xml:space="preserve">Delta Uniformes</t>
  </si>
  <si>
    <t xml:space="preserve">Tomate A+ Verduras</t>
  </si>
  <si>
    <t xml:space="preserve">Pronto e Pratico</t>
  </si>
  <si>
    <t xml:space="preserve">Sturiny</t>
  </si>
  <si>
    <t xml:space="preserve">Edvaldo (tia Judith)</t>
  </si>
  <si>
    <t xml:space="preserve">Cachaça Pirraça</t>
  </si>
  <si>
    <t xml:space="preserve">Ld Celulose</t>
  </si>
  <si>
    <t xml:space="preserve">Donnuts</t>
  </si>
  <si>
    <t xml:space="preserve">Pro Século</t>
  </si>
  <si>
    <t xml:space="preserve">Victor Tomates</t>
  </si>
  <si>
    <t xml:space="preserve">Sorveteria Vitoria</t>
  </si>
  <si>
    <t xml:space="preserve">Cachaça Goianinha</t>
  </si>
  <si>
    <t xml:space="preserve">Condimentos Estrela</t>
  </si>
  <si>
    <t xml:space="preserve">Cachaça Castelo</t>
  </si>
  <si>
    <t xml:space="preserve">Expresso Alimentos</t>
  </si>
  <si>
    <t xml:space="preserve">Alunobre</t>
  </si>
  <si>
    <t xml:space="preserve">Brigabom</t>
  </si>
  <si>
    <t xml:space="preserve">Lilian Forster</t>
  </si>
  <si>
    <t xml:space="preserve">Sorveteria Sorbom</t>
  </si>
  <si>
    <t xml:space="preserve">Delicias de Minas</t>
  </si>
  <si>
    <t xml:space="preserve">Bolacha JC</t>
  </si>
  <si>
    <t xml:space="preserve">Regional  Encomendas</t>
  </si>
  <si>
    <t xml:space="preserve">Isso olhos</t>
  </si>
  <si>
    <t xml:space="preserve">Pizza S Santos</t>
  </si>
  <si>
    <t xml:space="preserve">WR Farofa Mineira</t>
  </si>
  <si>
    <t xml:space="preserve">Disk Alhos</t>
  </si>
  <si>
    <t xml:space="preserve">ABC Café</t>
  </si>
  <si>
    <t xml:space="preserve">  </t>
  </si>
  <si>
    <t xml:space="preserve">Sorpan</t>
  </si>
  <si>
    <t xml:space="preserve">Alves Carrijo</t>
  </si>
  <si>
    <t xml:space="preserve">Lester</t>
  </si>
  <si>
    <t xml:space="preserve">GGK</t>
  </si>
  <si>
    <t xml:space="preserve">Santa Clara</t>
  </si>
  <si>
    <t xml:space="preserve">Rei das Miudezas</t>
  </si>
  <si>
    <t xml:space="preserve">Br Vitaminas</t>
  </si>
  <si>
    <t xml:space="preserve">Tribo da Rasteira</t>
  </si>
  <si>
    <t xml:space="preserve">Patricia Bonaldi</t>
  </si>
  <si>
    <t xml:space="preserve">Brasil borrachas</t>
  </si>
  <si>
    <t xml:space="preserve">Mió da Fera</t>
  </si>
  <si>
    <t xml:space="preserve">Verry Maquinas</t>
  </si>
  <si>
    <t xml:space="preserve">Rapadura Pura Oliveira</t>
  </si>
  <si>
    <t xml:space="preserve">Chiquititas Sorvetes</t>
  </si>
  <si>
    <t xml:space="preserve">Hospital Santa Genoveva</t>
  </si>
  <si>
    <t xml:space="preserve">Queijaria Guerra</t>
  </si>
  <si>
    <t xml:space="preserve">Udi Nutri</t>
  </si>
  <si>
    <t xml:space="preserve">Estação Tintas</t>
  </si>
  <si>
    <t xml:space="preserve">Mendels</t>
  </si>
  <si>
    <t xml:space="preserve">Mil Esportes</t>
  </si>
  <si>
    <t xml:space="preserve">Farmacia Nacional</t>
  </si>
  <si>
    <t xml:space="preserve">Rei da Pimenta</t>
  </si>
  <si>
    <t xml:space="preserve">Uberlog</t>
  </si>
  <si>
    <t xml:space="preserve">Sun Quimica</t>
  </si>
  <si>
    <t xml:space="preserve">Bom Prato</t>
  </si>
  <si>
    <t xml:space="preserve">Lolla</t>
  </si>
  <si>
    <t xml:space="preserve">Bobs Industria</t>
  </si>
  <si>
    <t xml:space="preserve">Adesc</t>
  </si>
  <si>
    <t xml:space="preserve">Carneirinho Lanches</t>
  </si>
  <si>
    <t xml:space="preserve">Queijaria Casquinha</t>
  </si>
  <si>
    <t xml:space="preserve">Unifardas</t>
  </si>
  <si>
    <t xml:space="preserve">Rivera</t>
  </si>
  <si>
    <t xml:space="preserve">Cetim</t>
  </si>
  <si>
    <t xml:space="preserve">Terra Mineira</t>
  </si>
  <si>
    <t xml:space="preserve">Peixoto</t>
  </si>
  <si>
    <t xml:space="preserve">Abelhinha Doces</t>
  </si>
  <si>
    <t xml:space="preserve">Pururuca Mendes</t>
  </si>
  <si>
    <t xml:space="preserve">Biscoito Caseiro JL</t>
  </si>
  <si>
    <t xml:space="preserve">Laboratório São José</t>
  </si>
  <si>
    <t xml:space="preserve">Edvaldo (Selo daki)</t>
  </si>
  <si>
    <t xml:space="preserve">Explend</t>
  </si>
  <si>
    <t xml:space="preserve">Beatriz Aparecida</t>
  </si>
  <si>
    <t xml:space="preserve">MG4 Confecções</t>
  </si>
  <si>
    <t xml:space="preserve">Doces Flávia</t>
  </si>
  <si>
    <t xml:space="preserve">Queijaria Santana</t>
  </si>
  <si>
    <t xml:space="preserve">Doces Avemil</t>
  </si>
  <si>
    <t xml:space="preserve">Sabiita</t>
  </si>
  <si>
    <t xml:space="preserve">Sorveteria ki big Moreninha</t>
  </si>
  <si>
    <t xml:space="preserve">Ippon</t>
  </si>
  <si>
    <t xml:space="preserve">Produtos Alves e Moraes</t>
  </si>
  <si>
    <t xml:space="preserve">Flor do dia</t>
  </si>
  <si>
    <t xml:space="preserve">Global Transportes</t>
  </si>
  <si>
    <t xml:space="preserve">Lanches Bikão</t>
  </si>
  <si>
    <t xml:space="preserve">Queijaria alto da serra</t>
  </si>
  <si>
    <t xml:space="preserve">Bicoito Crocant</t>
  </si>
  <si>
    <t xml:space="preserve">tag</t>
  </si>
  <si>
    <t xml:space="preserve">Confrio Cuiabá</t>
  </si>
  <si>
    <t xml:space="preserve">Hortomed</t>
  </si>
  <si>
    <t xml:space="preserve">Queijo Faz Sapecado</t>
  </si>
  <si>
    <t xml:space="preserve">Daleano Turismo</t>
  </si>
  <si>
    <t xml:space="preserve">Randon</t>
  </si>
  <si>
    <t xml:space="preserve">Fazenda Araras</t>
  </si>
  <si>
    <t xml:space="preserve">Hot Burguer</t>
  </si>
  <si>
    <t xml:space="preserve">Itamax</t>
  </si>
  <si>
    <t xml:space="preserve">Pão de Queijo Beija Flor</t>
  </si>
  <si>
    <t xml:space="preserve">Ki Queijo</t>
  </si>
  <si>
    <t xml:space="preserve">Rollete</t>
  </si>
  <si>
    <t xml:space="preserve">Ki Sabor Bolachas</t>
  </si>
  <si>
    <t xml:space="preserve">Romar Calçados</t>
  </si>
  <si>
    <t xml:space="preserve">Chão de Minas</t>
  </si>
  <si>
    <t xml:space="preserve">Pouvilho Caipira</t>
  </si>
  <si>
    <t xml:space="preserve">Kamel</t>
  </si>
  <si>
    <t xml:space="preserve">Queijo Minas Faz Tenda</t>
  </si>
  <si>
    <t xml:space="preserve">Best Way</t>
  </si>
  <si>
    <t xml:space="preserve">Ipac</t>
  </si>
  <si>
    <t xml:space="preserve">José Olimpio</t>
  </si>
  <si>
    <t xml:space="preserve">Biscoito do Rei</t>
  </si>
  <si>
    <t xml:space="preserve">Bazar Original</t>
  </si>
  <si>
    <t xml:space="preserve">Radical Bike</t>
  </si>
  <si>
    <t xml:space="preserve">Centro Diagnóstico de Pat</t>
  </si>
  <si>
    <t xml:space="preserve">Guedes Pizza</t>
  </si>
  <si>
    <t xml:space="preserve">Grafica Estilo</t>
  </si>
  <si>
    <t xml:space="preserve">Ateliê do Sabor</t>
  </si>
  <si>
    <t xml:space="preserve">Batata Mineira</t>
  </si>
  <si>
    <t xml:space="preserve">Lojas são joão</t>
  </si>
  <si>
    <t xml:space="preserve">Farofa de Goias</t>
  </si>
  <si>
    <t xml:space="preserve">Dgusto</t>
  </si>
  <si>
    <t xml:space="preserve">HZ Descartáveis</t>
  </si>
  <si>
    <t xml:space="preserve">Tomate Camargo</t>
  </si>
  <si>
    <t xml:space="preserve">Interlog</t>
  </si>
  <si>
    <t xml:space="preserve">Mavie</t>
  </si>
  <si>
    <t xml:space="preserve">Frankarimbos</t>
  </si>
  <si>
    <t xml:space="preserve">Floricultura</t>
  </si>
  <si>
    <t xml:space="preserve">Fazenda Tomate LP</t>
  </si>
  <si>
    <t xml:space="preserve">Medphoton</t>
  </si>
  <si>
    <t xml:space="preserve">fosco</t>
  </si>
  <si>
    <t xml:space="preserve">Petiscos</t>
  </si>
  <si>
    <t xml:space="preserve">Produtos Manzi</t>
  </si>
  <si>
    <t xml:space="preserve">Martins Tecnologia</t>
  </si>
  <si>
    <t xml:space="preserve">Ficc</t>
  </si>
  <si>
    <t xml:space="preserve">Serrana Turismo</t>
  </si>
  <si>
    <t xml:space="preserve">Victor Augusto Chagas</t>
  </si>
  <si>
    <t xml:space="preserve">Jonas JC</t>
  </si>
  <si>
    <t xml:space="preserve">Rapadura Altair</t>
  </si>
  <si>
    <t xml:space="preserve"> CR Brasil</t>
  </si>
  <si>
    <t xml:space="preserve">Tomate Oliveira</t>
  </si>
  <si>
    <t xml:space="preserve">Manteiga da terra potiguar</t>
  </si>
  <si>
    <t xml:space="preserve">Panificadora Talita</t>
  </si>
  <si>
    <t xml:space="preserve">Correios Luizote</t>
  </si>
  <si>
    <t xml:space="preserve">Farmacia Hom. Mineira</t>
  </si>
  <si>
    <t xml:space="preserve">Analyce sementes</t>
  </si>
  <si>
    <t xml:space="preserve">Udilog</t>
  </si>
  <si>
    <t xml:space="preserve">Fazenda Bucaina</t>
  </si>
  <si>
    <t xml:space="preserve">Fox Club</t>
  </si>
  <si>
    <t xml:space="preserve">Paty Agronegócios</t>
  </si>
  <si>
    <t xml:space="preserve">Cia de Frios</t>
  </si>
  <si>
    <t xml:space="preserve">Hospital Santa Marta</t>
  </si>
  <si>
    <t xml:space="preserve">Caroline Lima</t>
  </si>
  <si>
    <t xml:space="preserve">Phormula e Cia</t>
  </si>
  <si>
    <t xml:space="preserve">Dona Dinda</t>
  </si>
  <si>
    <t xml:space="preserve">JF Produtos de Limpeza</t>
  </si>
  <si>
    <t xml:space="preserve">Instituto Alfa e Beto</t>
  </si>
  <si>
    <t xml:space="preserve">Santa Genoveva</t>
  </si>
  <si>
    <t xml:space="preserve">Bijoux </t>
  </si>
  <si>
    <t xml:space="preserve">Reptec</t>
  </si>
  <si>
    <t xml:space="preserve">Divina Coxinha</t>
  </si>
  <si>
    <t xml:space="preserve">Portati</t>
  </si>
  <si>
    <t xml:space="preserve">Tecidos Tita</t>
  </si>
  <si>
    <t xml:space="preserve">Tag sem cola</t>
  </si>
  <si>
    <t xml:space="preserve">Seiko</t>
  </si>
  <si>
    <t xml:space="preserve">Associação Camponesa</t>
  </si>
  <si>
    <t xml:space="preserve">Cardoso Adega</t>
  </si>
  <si>
    <t xml:space="preserve">Bananada Caseira</t>
  </si>
  <si>
    <t xml:space="preserve">Baltazar</t>
  </si>
  <si>
    <t xml:space="preserve">Tec Bel</t>
  </si>
  <si>
    <t xml:space="preserve">Marly Festas</t>
  </si>
  <si>
    <t xml:space="preserve">Di pardini</t>
  </si>
  <si>
    <t xml:space="preserve">Face de Cristo</t>
  </si>
  <si>
    <t xml:space="preserve">Pumpkin</t>
  </si>
  <si>
    <t xml:space="preserve">Espetaço</t>
  </si>
  <si>
    <t xml:space="preserve">Arte e confeito</t>
  </si>
  <si>
    <t xml:space="preserve">Balorré</t>
  </si>
  <si>
    <t xml:space="preserve">Bom de Minas</t>
  </si>
  <si>
    <t xml:space="preserve">Tortas e Quitandas da Ju</t>
  </si>
  <si>
    <t xml:space="preserve">Udi Berry</t>
  </si>
  <si>
    <t xml:space="preserve">Bopp branco Brilho</t>
  </si>
  <si>
    <t xml:space="preserve">Bernadão</t>
  </si>
  <si>
    <t xml:space="preserve">Loft</t>
  </si>
  <si>
    <t xml:space="preserve">Torresminho Rancho Mineiro</t>
  </si>
  <si>
    <t xml:space="preserve">Pão de Queijo Vó Delaide</t>
  </si>
  <si>
    <t xml:space="preserve">Mineiro de Minas</t>
  </si>
  <si>
    <t xml:space="preserve">Biscoito Vovó Nalva</t>
  </si>
  <si>
    <t xml:space="preserve">Casa da Farinha</t>
  </si>
  <si>
    <t xml:space="preserve">Farinha DJ</t>
  </si>
  <si>
    <t xml:space="preserve">Protec</t>
  </si>
  <si>
    <t xml:space="preserve">Aralat</t>
  </si>
  <si>
    <t xml:space="preserve">Estancia Primavera</t>
  </si>
  <si>
    <t xml:space="preserve">Arroz Vasconcelos</t>
  </si>
  <si>
    <t xml:space="preserve">Voar Aviation</t>
  </si>
  <si>
    <t xml:space="preserve">Monsanto</t>
  </si>
  <si>
    <t xml:space="preserve">Biscoito Ki Biscoito</t>
  </si>
  <si>
    <t xml:space="preserve">Biscoito Primor</t>
  </si>
  <si>
    <t xml:space="preserve">Milho Cunha</t>
  </si>
  <si>
    <t xml:space="preserve">Minas Coco</t>
  </si>
  <si>
    <t xml:space="preserve">Belissima Modas</t>
  </si>
  <si>
    <t xml:space="preserve">Unimed Regional Sul</t>
  </si>
  <si>
    <t xml:space="preserve">Sabor total</t>
  </si>
  <si>
    <t xml:space="preserve">Queijo WL</t>
  </si>
  <si>
    <t xml:space="preserve">Carlinhos</t>
  </si>
  <si>
    <t xml:space="preserve">Dpaschoal</t>
  </si>
  <si>
    <t xml:space="preserve">Pizzaria do Dennis</t>
  </si>
  <si>
    <t xml:space="preserve">Casa de Saúde Santa Monica</t>
  </si>
  <si>
    <t xml:space="preserve">Sorvetes Kital</t>
  </si>
  <si>
    <t xml:space="preserve">Luiza Boutique</t>
  </si>
  <si>
    <t xml:space="preserve">Dona Chica</t>
  </si>
  <si>
    <t xml:space="preserve">Integral automação</t>
  </si>
  <si>
    <t xml:space="preserve">Sitio Angico</t>
  </si>
  <si>
    <t xml:space="preserve">Queijo Nata de Araxá</t>
  </si>
  <si>
    <t xml:space="preserve">Bellini</t>
  </si>
  <si>
    <t xml:space="preserve">Stillus</t>
  </si>
  <si>
    <t xml:space="preserve">Confrio Londrina</t>
  </si>
  <si>
    <t xml:space="preserve">Sorveteria Zero Grau</t>
  </si>
  <si>
    <t xml:space="preserve">Estilo Ar</t>
  </si>
  <si>
    <t xml:space="preserve">Farinha Ki Biju</t>
  </si>
  <si>
    <t xml:space="preserve">Mirabone</t>
  </si>
  <si>
    <t xml:space="preserve">Baked Brownie</t>
  </si>
  <si>
    <t xml:space="preserve">Sorveteria Doce Gelo</t>
  </si>
  <si>
    <t xml:space="preserve">Toca dos Mineiros</t>
  </si>
  <si>
    <t xml:space="preserve">Supermaxi</t>
  </si>
  <si>
    <t xml:space="preserve">A + Verduras</t>
  </si>
  <si>
    <t xml:space="preserve">Pizza Minuto</t>
  </si>
  <si>
    <t xml:space="preserve">Barbosa Representações</t>
  </si>
  <si>
    <t xml:space="preserve">Tempera tudo</t>
  </si>
  <si>
    <t xml:space="preserve">Low Carb</t>
  </si>
  <si>
    <t xml:space="preserve">Algodão Doce</t>
  </si>
  <si>
    <t xml:space="preserve">Pétalas Floricultura</t>
  </si>
  <si>
    <t xml:space="preserve">Rei das Pimentas</t>
  </si>
  <si>
    <t xml:space="preserve">Villa Carioca</t>
  </si>
  <si>
    <t xml:space="preserve">Felipe tur</t>
  </si>
  <si>
    <t xml:space="preserve">RR Uniformes</t>
  </si>
  <si>
    <t xml:space="preserve">resinado</t>
  </si>
  <si>
    <t xml:space="preserve">Pururuca Triângulo</t>
  </si>
  <si>
    <t xml:space="preserve">Petit Bombom</t>
  </si>
  <si>
    <t xml:space="preserve">UAI Chica</t>
  </si>
  <si>
    <t xml:space="preserve">Farinha da mamãe</t>
  </si>
  <si>
    <t xml:space="preserve">CMX Refeições</t>
  </si>
  <si>
    <t xml:space="preserve">Produtos caseiros Serve-se</t>
  </si>
  <si>
    <t xml:space="preserve">Cafeeira Paraná</t>
  </si>
  <si>
    <t xml:space="preserve">Extincendio Ituiutaba</t>
  </si>
  <si>
    <t xml:space="preserve">Ateliê Pet Petri</t>
  </si>
  <si>
    <t xml:space="preserve">Entreposto agua limpa</t>
  </si>
  <si>
    <t xml:space="preserve">Ichi Kaizen</t>
  </si>
  <si>
    <t xml:space="preserve">Frozen Milk</t>
  </si>
  <si>
    <t xml:space="preserve">Delicias da terra</t>
  </si>
  <si>
    <t xml:space="preserve">Franmitha</t>
  </si>
  <si>
    <t xml:space="preserve">Extincendio   </t>
  </si>
  <si>
    <t xml:space="preserve">Biscoito Vó Nestina</t>
  </si>
  <si>
    <t xml:space="preserve">Gastro Clinica</t>
  </si>
  <si>
    <t xml:space="preserve">Pão de mel dos reis</t>
  </si>
  <si>
    <t xml:space="preserve">Bio Majestral</t>
  </si>
  <si>
    <t xml:space="preserve">Manteiga Manhoso</t>
  </si>
  <si>
    <t xml:space="preserve">Kamel Magazine</t>
  </si>
  <si>
    <t xml:space="preserve">Rapadura Fazenda Bela Vista</t>
  </si>
  <si>
    <t xml:space="preserve">Rota da Carne</t>
  </si>
  <si>
    <t xml:space="preserve">Lady Lixas</t>
  </si>
  <si>
    <t xml:space="preserve">Tiburski</t>
  </si>
  <si>
    <t xml:space="preserve">Queijo Fazenda da tenda</t>
  </si>
  <si>
    <t xml:space="preserve">Queijo Minas Cerrado</t>
  </si>
  <si>
    <t xml:space="preserve">Boaventura Lanchonete</t>
  </si>
  <si>
    <t xml:space="preserve">Rota da carne</t>
  </si>
  <si>
    <t xml:space="preserve">Rei dos Enxovais</t>
  </si>
  <si>
    <t xml:space="preserve">Fabiana Milazzo</t>
  </si>
  <si>
    <t xml:space="preserve">Serra Negra  </t>
  </si>
  <si>
    <t xml:space="preserve">Poppys</t>
  </si>
  <si>
    <t xml:space="preserve">Pizza Santos</t>
  </si>
  <si>
    <t xml:space="preserve">Milho Santo André</t>
  </si>
  <si>
    <t xml:space="preserve">Farma Artesani</t>
  </si>
  <si>
    <t xml:space="preserve">Laudo - hubio</t>
  </si>
  <si>
    <t xml:space="preserve">100% bonitinho</t>
  </si>
  <si>
    <t xml:space="preserve">Laboratório Eduardo Mineiro</t>
  </si>
  <si>
    <t xml:space="preserve">Claerro Sorvetes</t>
  </si>
  <si>
    <t xml:space="preserve">Supermercado Smart Condor</t>
  </si>
  <si>
    <t xml:space="preserve">Supermercado Kondor</t>
  </si>
  <si>
    <t xml:space="preserve">Rapadura altair</t>
  </si>
  <si>
    <t xml:space="preserve">Petalas Floricultura</t>
  </si>
  <si>
    <t xml:space="preserve">Saga autominas</t>
  </si>
  <si>
    <t xml:space="preserve">Queijaria ouro da Serra</t>
  </si>
  <si>
    <t xml:space="preserve">Sabin</t>
  </si>
  <si>
    <t xml:space="preserve">Tomate Cereja</t>
  </si>
  <si>
    <t xml:space="preserve">Autokey</t>
  </si>
  <si>
    <t xml:space="preserve">Mati Taperê</t>
  </si>
  <si>
    <t xml:space="preserve">Aromalho</t>
  </si>
  <si>
    <t xml:space="preserve">Casa de Carnes Silva</t>
  </si>
  <si>
    <t xml:space="preserve">Bopp brilho bx temp</t>
  </si>
  <si>
    <t xml:space="preserve">Cold </t>
  </si>
  <si>
    <t xml:space="preserve">José Oiimpo</t>
  </si>
  <si>
    <t xml:space="preserve">Chickeria</t>
  </si>
  <si>
    <t xml:space="preserve">Sueli Santos</t>
  </si>
  <si>
    <t xml:space="preserve">Rei do Real</t>
  </si>
  <si>
    <t xml:space="preserve">Minussi  home</t>
  </si>
  <si>
    <t xml:space="preserve">Recanto do Milho</t>
  </si>
  <si>
    <t xml:space="preserve">Biscoito 2 irmãos</t>
  </si>
  <si>
    <t xml:space="preserve">Sorvetes Cremel</t>
  </si>
  <si>
    <t xml:space="preserve">Tania</t>
  </si>
  <si>
    <t xml:space="preserve">Confrio</t>
  </si>
  <si>
    <t xml:space="preserve">Rabaglio e Coli</t>
  </si>
  <si>
    <t xml:space="preserve">Hiper Shoes</t>
  </si>
  <si>
    <t xml:space="preserve">Aliança Malharia</t>
  </si>
  <si>
    <t xml:space="preserve">RD Logistica</t>
  </si>
  <si>
    <t xml:space="preserve">Empório dos Tapetes</t>
  </si>
  <si>
    <t xml:space="preserve">Gulodices</t>
  </si>
  <si>
    <t xml:space="preserve">Saga Michigan</t>
  </si>
  <si>
    <t xml:space="preserve">Pão de Queijo vovó Delaide</t>
  </si>
  <si>
    <t xml:space="preserve">TAG</t>
  </si>
  <si>
    <t xml:space="preserve">Butelão</t>
  </si>
  <si>
    <t xml:space="preserve">Green tec seeds</t>
  </si>
  <si>
    <t xml:space="preserve">Hp Milhos</t>
  </si>
  <si>
    <t xml:space="preserve">Grafica scanner</t>
  </si>
  <si>
    <t xml:space="preserve">Doce Mania</t>
  </si>
  <si>
    <t xml:space="preserve">Bopp 30gr</t>
  </si>
  <si>
    <t xml:space="preserve">Gráfica Scanner</t>
  </si>
  <si>
    <t xml:space="preserve">Kacuta</t>
  </si>
  <si>
    <t xml:space="preserve">Grupo Minas Janaúba</t>
  </si>
  <si>
    <t xml:space="preserve">Stillus Calçados</t>
  </si>
  <si>
    <t xml:space="preserve">Grafica Scanner</t>
  </si>
  <si>
    <t xml:space="preserve">Silvio Tilapia</t>
  </si>
  <si>
    <t xml:space="preserve">Extincendio</t>
  </si>
  <si>
    <t xml:space="preserve">Sorvete Geerré</t>
  </si>
  <si>
    <t xml:space="preserve">Braex Encomendas</t>
  </si>
  <si>
    <t xml:space="preserve">Baby kids</t>
  </si>
  <si>
    <t xml:space="preserve">Unimed espaço de saude</t>
  </si>
  <si>
    <t xml:space="preserve">Casa de Carnes Jaqueline</t>
  </si>
  <si>
    <t xml:space="preserve">Irineu</t>
  </si>
  <si>
    <t xml:space="preserve">PMG camisetas</t>
  </si>
  <si>
    <t xml:space="preserve">Murilo Castro</t>
  </si>
  <si>
    <t xml:space="preserve">Martins</t>
  </si>
  <si>
    <t xml:space="preserve">Sorveteria Beijo Frio</t>
  </si>
  <si>
    <t xml:space="preserve">Bellini Sorvetes</t>
  </si>
  <si>
    <t xml:space="preserve">Check up</t>
  </si>
  <si>
    <t xml:space="preserve">Vó dora</t>
  </si>
  <si>
    <t xml:space="preserve">Cia da Guariroba</t>
  </si>
  <si>
    <t xml:space="preserve">Farinha Lurdes</t>
  </si>
  <si>
    <t xml:space="preserve">Santa Casa de Araguari</t>
  </si>
  <si>
    <t xml:space="preserve">Praia Store</t>
  </si>
  <si>
    <t xml:space="preserve">Vo Cleuza</t>
  </si>
  <si>
    <t xml:space="preserve">Jonas jc</t>
  </si>
  <si>
    <t xml:space="preserve">Farmácia nacional</t>
  </si>
  <si>
    <t xml:space="preserve">Floricultura Mercearia das plantas</t>
  </si>
  <si>
    <t xml:space="preserve">Udi Sabor</t>
  </si>
  <si>
    <t xml:space="preserve">Mamão Carvalho</t>
  </si>
  <si>
    <t xml:space="preserve">Super maxi</t>
  </si>
  <si>
    <t xml:space="preserve">Kaito Rapadura Gourmet</t>
  </si>
  <si>
    <t xml:space="preserve">Andrade Tomates</t>
  </si>
  <si>
    <t xml:space="preserve">D Camargo Alimentos</t>
  </si>
  <si>
    <t xml:space="preserve">Ceramica Santa Marina</t>
  </si>
  <si>
    <t xml:space="preserve">Multivisi</t>
  </si>
  <si>
    <t xml:space="preserve">Labac</t>
  </si>
  <si>
    <t xml:space="preserve">Cachaça Mineira Fazenda Bela Vista</t>
  </si>
  <si>
    <t xml:space="preserve">Barraca da Tia Vanda</t>
  </si>
  <si>
    <t xml:space="preserve">Fazenda Esperança</t>
  </si>
  <si>
    <t xml:space="preserve">Geleia Monte Sião</t>
  </si>
  <si>
    <t xml:space="preserve">Agro são Braz</t>
  </si>
  <si>
    <t xml:space="preserve">Laminado Prata</t>
  </si>
  <si>
    <t xml:space="preserve">Visual Modas</t>
  </si>
  <si>
    <t xml:space="preserve">Lester Ituiutaba</t>
  </si>
  <si>
    <t xml:space="preserve">udilog</t>
  </si>
  <si>
    <t xml:space="preserve">Farma</t>
  </si>
  <si>
    <t xml:space="preserve">Biscoito Oliveira Dimineiros</t>
  </si>
  <si>
    <t xml:space="preserve">Juliete Concept</t>
  </si>
  <si>
    <t xml:space="preserve">Legran pré fabricados</t>
  </si>
  <si>
    <t xml:space="preserve">Vitamineiras</t>
  </si>
  <si>
    <t xml:space="preserve">Calçados Carvalho</t>
  </si>
  <si>
    <t xml:space="preserve">Portatti</t>
  </si>
  <si>
    <t xml:space="preserve">Drogamil</t>
  </si>
  <si>
    <t xml:space="preserve">Castelinho</t>
  </si>
  <si>
    <t xml:space="preserve">Grafica Uberprint</t>
  </si>
  <si>
    <t xml:space="preserve">Flor do Dia</t>
  </si>
  <si>
    <t xml:space="preserve">Udi Cores</t>
  </si>
  <si>
    <t xml:space="preserve">Clinica de vacinação Imunovac</t>
  </si>
  <si>
    <t xml:space="preserve">Sama Autopeças</t>
  </si>
  <si>
    <t xml:space="preserve">Produtos Peloi</t>
  </si>
  <si>
    <t xml:space="preserve">Empório Oliveira</t>
  </si>
  <si>
    <t xml:space="preserve">Sis Clothes moda </t>
  </si>
  <si>
    <t xml:space="preserve">Imedi</t>
  </si>
  <si>
    <t xml:space="preserve">Baltazar Espetinhos</t>
  </si>
  <si>
    <t xml:space="preserve">Fox Clube</t>
  </si>
  <si>
    <t xml:space="preserve">Tika pães</t>
  </si>
  <si>
    <t xml:space="preserve">Idéia de minas</t>
  </si>
  <si>
    <t xml:space="preserve">Ponta a ponta</t>
  </si>
  <si>
    <t xml:space="preserve">Otoface</t>
  </si>
  <si>
    <t xml:space="preserve">Moinho </t>
  </si>
  <si>
    <t xml:space="preserve">Chiquérrima</t>
  </si>
  <si>
    <t xml:space="preserve">Moinho Sete Irmãos</t>
  </si>
  <si>
    <t xml:space="preserve">Supermercado Ideal</t>
  </si>
  <si>
    <t xml:space="preserve">Ceo Olhos</t>
  </si>
  <si>
    <t xml:space="preserve">Tabelionato de Protestos</t>
  </si>
  <si>
    <t xml:space="preserve">Vilela Gourmet</t>
  </si>
  <si>
    <t xml:space="preserve">Delicias da  terra UAI</t>
  </si>
  <si>
    <t xml:space="preserve">Garden Avenida</t>
  </si>
  <si>
    <t xml:space="preserve">Regional Encomendas</t>
  </si>
  <si>
    <t xml:space="preserve">Orquidário Ituiutaba</t>
  </si>
  <si>
    <t xml:space="preserve">Tolipo</t>
  </si>
  <si>
    <t xml:space="preserve">Green Saladas</t>
  </si>
  <si>
    <t xml:space="preserve">Sustento Alimentos</t>
  </si>
  <si>
    <t xml:space="preserve">Segredos da roça</t>
  </si>
  <si>
    <t xml:space="preserve">JJ Necessaires </t>
  </si>
  <si>
    <t xml:space="preserve">hospital Santa Marta</t>
  </si>
  <si>
    <t xml:space="preserve">Rapadura Caseira do Toin</t>
  </si>
  <si>
    <t xml:space="preserve">Guarana Mineiro</t>
  </si>
  <si>
    <t xml:space="preserve">Buona Pizza</t>
  </si>
  <si>
    <t xml:space="preserve">JMC Transportes</t>
  </si>
  <si>
    <t xml:space="preserve">Fm Forminhas</t>
  </si>
  <si>
    <t xml:space="preserve">Skala Modas</t>
  </si>
  <si>
    <t xml:space="preserve">Coral Alimentos</t>
  </si>
  <si>
    <t xml:space="preserve">Grupo Minas </t>
  </si>
  <si>
    <t xml:space="preserve">Grupo Minas Vitória</t>
  </si>
  <si>
    <t xml:space="preserve">Grupo Minas Barreiras</t>
  </si>
  <si>
    <t xml:space="preserve">Grupo Minas</t>
  </si>
  <si>
    <t xml:space="preserve">Grup Minas</t>
  </si>
  <si>
    <t xml:space="preserve">Valentina</t>
  </si>
  <si>
    <t xml:space="preserve">Bothanica</t>
  </si>
  <si>
    <t xml:space="preserve">Drogalider</t>
  </si>
  <si>
    <t xml:space="preserve">Cachaça Mineira Santa Juliana</t>
  </si>
  <si>
    <t xml:space="preserve">Mavila</t>
  </si>
  <si>
    <t xml:space="preserve">Salte Indústria</t>
  </si>
  <si>
    <t xml:space="preserve">Vitamineira</t>
  </si>
  <si>
    <t xml:space="preserve">Di Pardini</t>
  </si>
  <si>
    <t xml:space="preserve">Qualiteste</t>
  </si>
  <si>
    <t xml:space="preserve">Inovação Rodos</t>
  </si>
  <si>
    <t xml:space="preserve">Valfluid</t>
  </si>
  <si>
    <t xml:space="preserve">Casa da saúde</t>
  </si>
  <si>
    <t xml:space="preserve">Emilly Modas</t>
  </si>
  <si>
    <t xml:space="preserve">Viva Esquadrias</t>
  </si>
  <si>
    <t xml:space="preserve">Império das Tintas</t>
  </si>
  <si>
    <t xml:space="preserve">Uai Chica</t>
  </si>
  <si>
    <t xml:space="preserve">Imperial Borrachas</t>
  </si>
  <si>
    <t xml:space="preserve">Produtos Oreles</t>
  </si>
  <si>
    <t xml:space="preserve">Empório Divino</t>
  </si>
  <si>
    <t xml:space="preserve">Five Elements</t>
  </si>
  <si>
    <t xml:space="preserve">CB Produtos </t>
  </si>
  <si>
    <t xml:space="preserve">PGM Camisetas</t>
  </si>
  <si>
    <t xml:space="preserve">Dcasa</t>
  </si>
  <si>
    <t xml:space="preserve">Agromen</t>
  </si>
  <si>
    <t xml:space="preserve">Sabor Total</t>
  </si>
  <si>
    <t xml:space="preserve">Fenix confecçoes</t>
  </si>
  <si>
    <t xml:space="preserve">Meire Freitas</t>
  </si>
  <si>
    <t xml:space="preserve">Vó Cleuza</t>
  </si>
  <si>
    <t xml:space="preserve">JC Tomates</t>
  </si>
  <si>
    <t xml:space="preserve">Naturallis</t>
  </si>
  <si>
    <t xml:space="preserve">AG Croppers</t>
  </si>
  <si>
    <t xml:space="preserve">Valdson Cachaça</t>
  </si>
  <si>
    <t xml:space="preserve">Dpaschoal Udia</t>
  </si>
  <si>
    <t xml:space="preserve">Extincendio Catalão</t>
  </si>
  <si>
    <t xml:space="preserve">Morgana Delicias Caseiras</t>
  </si>
  <si>
    <t xml:space="preserve">Rodovalho Linguiças</t>
  </si>
  <si>
    <t xml:space="preserve">Plantação do Paraíba</t>
  </si>
  <si>
    <t xml:space="preserve">Umc</t>
  </si>
  <si>
    <t xml:space="preserve">Ouro de Minas</t>
  </si>
  <si>
    <t xml:space="preserve">Adoro Boutique de Carnes</t>
  </si>
  <si>
    <t xml:space="preserve">Saborear</t>
  </si>
  <si>
    <t xml:space="preserve">Unimed</t>
  </si>
  <si>
    <t xml:space="preserve">Amor de Bebe</t>
  </si>
  <si>
    <t xml:space="preserve">Centro de Diagnóstico Animal</t>
  </si>
  <si>
    <t xml:space="preserve">Edificio Metropolitan</t>
  </si>
  <si>
    <t xml:space="preserve">Couche 30gr</t>
  </si>
  <si>
    <t xml:space="preserve">Aliança Atacadista</t>
  </si>
  <si>
    <t xml:space="preserve">Riber Pão</t>
  </si>
  <si>
    <t xml:space="preserve">Pão de Queijo de verdade</t>
  </si>
  <si>
    <t xml:space="preserve">Faepu</t>
  </si>
  <si>
    <t xml:space="preserve">FAEPU</t>
  </si>
  <si>
    <t xml:space="preserve">Casa de Carnes Knichala</t>
  </si>
  <si>
    <t xml:space="preserve">Speciale Pães e Doces</t>
  </si>
  <si>
    <t xml:space="preserve">Frutas Geladas</t>
  </si>
  <si>
    <t xml:space="preserve">Nova Distribuidora</t>
  </si>
  <si>
    <t xml:space="preserve">Licor Artesanal</t>
  </si>
  <si>
    <t xml:space="preserve">Amis</t>
  </si>
  <si>
    <t xml:space="preserve">Tomate Faz São Francisco</t>
  </si>
  <si>
    <t xml:space="preserve">Panificadora 3 irmãos</t>
  </si>
  <si>
    <t xml:space="preserve">Maná de Minas</t>
  </si>
  <si>
    <t xml:space="preserve">Laboratóro Faz Analises</t>
  </si>
  <si>
    <t xml:space="preserve">Pradus Tur</t>
  </si>
  <si>
    <t xml:space="preserve">RCI Serviços</t>
  </si>
  <si>
    <t xml:space="preserve">HCO</t>
  </si>
  <si>
    <t xml:space="preserve">Incosal</t>
  </si>
  <si>
    <t xml:space="preserve">Valoriza </t>
  </si>
  <si>
    <t xml:space="preserve">Vania Valentino</t>
  </si>
  <si>
    <t xml:space="preserve">cold</t>
  </si>
  <si>
    <t xml:space="preserve">Mandioca São Bento</t>
  </si>
  <si>
    <t xml:space="preserve">Cerâmica Santa Marina</t>
  </si>
  <si>
    <t xml:space="preserve">Ipon</t>
  </si>
  <si>
    <t xml:space="preserve">Reta Etiquetas</t>
  </si>
  <si>
    <t xml:space="preserve">Bopp branco brilho ritrama 2102</t>
  </si>
  <si>
    <t xml:space="preserve">Dona Ana</t>
  </si>
  <si>
    <t xml:space="preserve">Espettos Carioca</t>
  </si>
  <si>
    <t xml:space="preserve">Serra Negra</t>
  </si>
  <si>
    <t xml:space="preserve">Bopp fosco fasson</t>
  </si>
  <si>
    <t xml:space="preserve">Dimello Alimentos</t>
  </si>
  <si>
    <t xml:space="preserve">Sorveteria Big Moreninha</t>
  </si>
  <si>
    <t xml:space="preserve">Ipac Laboratório</t>
  </si>
  <si>
    <t xml:space="preserve">Imunovac</t>
  </si>
  <si>
    <t xml:space="preserve">Braex</t>
  </si>
  <si>
    <t xml:space="preserve">Fazenda São Jorge</t>
  </si>
  <si>
    <t xml:space="preserve">Planalto Ovos</t>
  </si>
  <si>
    <t xml:space="preserve">Pop Kids</t>
  </si>
  <si>
    <t xml:space="preserve">Supermercado Badião</t>
  </si>
  <si>
    <t xml:space="preserve">Bopp Metalizado</t>
  </si>
  <si>
    <t xml:space="preserve">Mini mercado Ferreira</t>
  </si>
  <si>
    <t xml:space="preserve">Queijo militão</t>
  </si>
  <si>
    <t xml:space="preserve">Bananas Peixoto</t>
  </si>
  <si>
    <t xml:space="preserve">Aliança </t>
  </si>
  <si>
    <t xml:space="preserve">Garden Center</t>
  </si>
  <si>
    <t xml:space="preserve">Alves e Morais</t>
  </si>
  <si>
    <t xml:space="preserve">Guaraná Mineiro</t>
  </si>
  <si>
    <t xml:space="preserve">Imunovida</t>
  </si>
  <si>
    <t xml:space="preserve">Bopp Branco Brilho</t>
  </si>
  <si>
    <t xml:space="preserve">Alho Descascado Arthur</t>
  </si>
  <si>
    <t xml:space="preserve">Bopp Branco Fosco</t>
  </si>
  <si>
    <t xml:space="preserve">Zé Maria</t>
  </si>
  <si>
    <t xml:space="preserve">Bopp fosco bx. temp.</t>
  </si>
  <si>
    <t xml:space="preserve">Farmacia nacional</t>
  </si>
  <si>
    <t xml:space="preserve">Kimassas</t>
  </si>
  <si>
    <t xml:space="preserve">AMIS</t>
  </si>
  <si>
    <t xml:space="preserve">Couche 20gr</t>
  </si>
  <si>
    <t xml:space="preserve">Super Sacolão Real</t>
  </si>
  <si>
    <t xml:space="preserve">Mel JB</t>
  </si>
  <si>
    <t xml:space="preserve">Biscoito 2 Irmãos</t>
  </si>
  <si>
    <t xml:space="preserve">Tika Pães</t>
  </si>
  <si>
    <t xml:space="preserve">Panificadora ki sabor</t>
  </si>
  <si>
    <t xml:space="preserve">Bopp fosco</t>
  </si>
  <si>
    <t xml:space="preserve">Bopp Branco brilho bx temp</t>
  </si>
  <si>
    <t xml:space="preserve">Cold</t>
  </si>
  <si>
    <t xml:space="preserve">Adoro</t>
  </si>
  <si>
    <t xml:space="preserve">Floricultura Mercearia das Plantas</t>
  </si>
  <si>
    <t xml:space="preserve">Queijaria casquinha</t>
  </si>
  <si>
    <t xml:space="preserve">Engenho Coqueiros</t>
  </si>
  <si>
    <t xml:space="preserve">Hortlife</t>
  </si>
  <si>
    <t xml:space="preserve">Bopp Transparente bx. Temp</t>
  </si>
  <si>
    <t xml:space="preserve">Conquista</t>
  </si>
  <si>
    <t xml:space="preserve">Carol Supermercado</t>
  </si>
  <si>
    <t xml:space="preserve">Panificadora novo sabor</t>
  </si>
  <si>
    <t xml:space="preserve">Pão da Hora</t>
  </si>
  <si>
    <t xml:space="preserve">A Baiana</t>
  </si>
  <si>
    <t xml:space="preserve">Marletta Congelados</t>
  </si>
  <si>
    <t xml:space="preserve">Anne Brechó</t>
  </si>
  <si>
    <t xml:space="preserve">Gabriela Hortalicas</t>
  </si>
  <si>
    <t xml:space="preserve">Empório Lazarini</t>
  </si>
  <si>
    <t xml:space="preserve">Lava Jato Almeida</t>
  </si>
  <si>
    <t xml:space="preserve">Doces Flavia</t>
  </si>
  <si>
    <t xml:space="preserve">Sorveteria Geerré</t>
  </si>
  <si>
    <t xml:space="preserve">Panificadora e Confeitaria Novo Sabor</t>
  </si>
  <si>
    <t xml:space="preserve">Ovos Decs</t>
  </si>
  <si>
    <t xml:space="preserve">Folha Dágua</t>
  </si>
  <si>
    <t xml:space="preserve">Amanda Bandejihas</t>
  </si>
  <si>
    <t xml:space="preserve">Empório Botânico</t>
  </si>
  <si>
    <t xml:space="preserve">Special Pães e Doces</t>
  </si>
  <si>
    <t xml:space="preserve">Milho Acciardi</t>
  </si>
  <si>
    <t xml:space="preserve">Flor de Liz</t>
  </si>
  <si>
    <t xml:space="preserve">Solo Verde</t>
  </si>
  <si>
    <t xml:space="preserve">Unicamp</t>
  </si>
  <si>
    <t xml:space="preserve">Panificadora Triangulo</t>
  </si>
  <si>
    <t xml:space="preserve">Panificadora São José</t>
  </si>
  <si>
    <t xml:space="preserve">Abilio Borges </t>
  </si>
  <si>
    <t xml:space="preserve">Auto Mecanica Martins</t>
  </si>
  <si>
    <t xml:space="preserve">Tag 170</t>
  </si>
  <si>
    <t xml:space="preserve">Brahva</t>
  </si>
  <si>
    <t xml:space="preserve">Bopp prata</t>
  </si>
  <si>
    <t xml:space="preserve">Le Crocant</t>
  </si>
  <si>
    <t xml:space="preserve">Centro Diagnóstico Animal</t>
  </si>
  <si>
    <t xml:space="preserve">Mister pão</t>
  </si>
  <si>
    <t xml:space="preserve">Bopp Brilho</t>
  </si>
  <si>
    <t xml:space="preserve">LC Paulino</t>
  </si>
  <si>
    <t xml:space="preserve">Bopp brilho</t>
  </si>
  <si>
    <t xml:space="preserve">Ideia de minas</t>
  </si>
  <si>
    <t xml:space="preserve">Empório Catarina</t>
  </si>
  <si>
    <t xml:space="preserve">Bopp branco Fosco</t>
  </si>
  <si>
    <t xml:space="preserve">Quintandas Caseiras RZ</t>
  </si>
  <si>
    <t xml:space="preserve">Poema Organo</t>
  </si>
  <si>
    <t xml:space="preserve">Analiyce Sementes</t>
  </si>
  <si>
    <t xml:space="preserve">Bopp transparente</t>
  </si>
  <si>
    <t xml:space="preserve">Carolina Gondim</t>
  </si>
  <si>
    <t xml:space="preserve">Mio da fera</t>
  </si>
  <si>
    <t xml:space="preserve">Pumpkin Saudável</t>
  </si>
  <si>
    <t xml:space="preserve">Global Extincendio Catalão</t>
  </si>
  <si>
    <t xml:space="preserve">Herbalife Blahian</t>
  </si>
  <si>
    <t xml:space="preserve">Minussi Home</t>
  </si>
  <si>
    <t xml:space="preserve">Agrohort</t>
  </si>
  <si>
    <t xml:space="preserve">Soma de Lineares</t>
  </si>
  <si>
    <t xml:space="preserve">TOTAL</t>
  </si>
  <si>
    <t xml:space="preserve">ESPECIFICAÇÃO</t>
  </si>
  <si>
    <t xml:space="preserve">Couche</t>
  </si>
  <si>
    <t xml:space="preserve">FASSON ECOPRINT S2045</t>
  </si>
  <si>
    <t xml:space="preserve">Metragem</t>
  </si>
  <si>
    <t xml:space="preserve">2193 - TAG COUHE L2 90G</t>
  </si>
  <si>
    <t xml:space="preserve">ADC 210 BOPP FOSCO COLACRIL </t>
  </si>
  <si>
    <t xml:space="preserve">ADC 1000 BOPP FOSCO COLACRIL  BAIXA TEMPERATURA</t>
  </si>
  <si>
    <t xml:space="preserve">Couchê 5030</t>
  </si>
  <si>
    <t xml:space="preserve">Quant</t>
  </si>
  <si>
    <t xml:space="preserve">Linear</t>
  </si>
  <si>
    <t xml:space="preserve">M²</t>
  </si>
  <si>
    <t xml:space="preserve">Descricão</t>
  </si>
  <si>
    <t xml:space="preserve">FORNECEDOR</t>
  </si>
  <si>
    <t xml:space="preserve">MATERIAL</t>
  </si>
  <si>
    <t xml:space="preserve">GRAMATURA</t>
  </si>
  <si>
    <t xml:space="preserve">ESPECIFICAÇÃO TÉCNICA</t>
  </si>
  <si>
    <t xml:space="preserve">APLICAÇÃO</t>
  </si>
  <si>
    <t xml:space="preserve">BOPP BRILHO COLACRIL</t>
  </si>
  <si>
    <t xml:space="preserve">QQ ETIQUETA IMPRESSA</t>
  </si>
  <si>
    <t xml:space="preserve">BOPP BRILHO COLACRIL BX TEMP 20G</t>
  </si>
  <si>
    <t xml:space="preserve">BOPP BRILHO BX ADC 1000</t>
  </si>
  <si>
    <t xml:space="preserve">CONGELADOS</t>
  </si>
  <si>
    <t xml:space="preserve">BOPP FOSCO COLACRIL ADC 210</t>
  </si>
  <si>
    <t xml:space="preserve">BOPP FOSCO ADC 210</t>
  </si>
  <si>
    <t xml:space="preserve">LABORATÓRIOS, CACHAÇA</t>
  </si>
  <si>
    <t xml:space="preserve">BOPP FOSCO COLACRIL BX TEMP 20G  </t>
  </si>
  <si>
    <t xml:space="preserve">LABORATÓRIOS </t>
  </si>
  <si>
    <t xml:space="preserve">BOPP FOSCO FASSON BX TEMP 20G</t>
  </si>
  <si>
    <t xml:space="preserve">F06812X PP BCO FOSCO NTC / S2075N </t>
  </si>
  <si>
    <t xml:space="preserve">8046 BOPP FOSCO</t>
  </si>
  <si>
    <t xml:space="preserve">BOPP FOSCO RITRAMA  BX TEMP</t>
  </si>
  <si>
    <t xml:space="preserve">07182 - BOPP MATT WHITE AP 903 BX TEMP</t>
  </si>
  <si>
    <t xml:space="preserve">BOPP PRATA COLACRIL BX TEMP 20G</t>
  </si>
  <si>
    <t xml:space="preserve">ADC 1000 - BOPP METALIZADO</t>
  </si>
  <si>
    <t xml:space="preserve">BOPP PRATA RITRAMA BX TEMP 20G</t>
  </si>
  <si>
    <t xml:space="preserve">09825 PP GLOSS SILVER </t>
  </si>
  <si>
    <t xml:space="preserve">BOPP TRANSPARENTE COLACRIL </t>
  </si>
  <si>
    <t xml:space="preserve">BOPP TRANSPARENTE ADC 1000</t>
  </si>
  <si>
    <t xml:space="preserve">03838SW - RI-707/50 PP GLOSS CLEAR TC8 AP901 WG62</t>
  </si>
  <si>
    <t xml:space="preserve">ARCONVERT</t>
  </si>
  <si>
    <t xml:space="preserve">COUCHE 20G ARCONVERT</t>
  </si>
  <si>
    <t xml:space="preserve">COUCHE </t>
  </si>
  <si>
    <t xml:space="preserve">FOSCO FASSON</t>
  </si>
  <si>
    <t xml:space="preserve">F10511X -PMS S2045 SCK60 </t>
  </si>
  <si>
    <t xml:space="preserve">MAIOR  COLA / SACARIA / BAGS </t>
  </si>
  <si>
    <t xml:space="preserve">BOPP BRILHO TC ADC 210</t>
  </si>
  <si>
    <t xml:space="preserve">BOPP BRILHO TC BX ADC 1000</t>
  </si>
  <si>
    <t xml:space="preserve">BOPP FOSCO TC ADC 210</t>
  </si>
  <si>
    <t xml:space="preserve">BOPP BCO FOSCO TC 60 M / ADC 1000/60GR</t>
  </si>
  <si>
    <t xml:space="preserve">PAPEL COUCHE</t>
  </si>
  <si>
    <t xml:space="preserve">MAIOR  COLA / SACARIA / BAGS</t>
  </si>
  <si>
    <t xml:space="preserve">TUBETES</t>
  </si>
  <si>
    <t xml:space="preserve">0% ICMS 0%IPI </t>
  </si>
  <si>
    <t xml:space="preserve">FOLHA 06</t>
  </si>
  <si>
    <t xml:space="preserve">Tubete</t>
  </si>
  <si>
    <t xml:space="preserve">Medidas "x esp mm x larg mm</t>
  </si>
  <si>
    <t xml:space="preserve">Quantidade/kg </t>
  </si>
  <si>
    <t xml:space="preserve">Peso saco kg</t>
  </si>
  <si>
    <t xml:space="preserve">Gráfica</t>
  </si>
  <si>
    <t xml:space="preserve">Saldo tubetes</t>
  </si>
  <si>
    <t xml:space="preserve">valor kg</t>
  </si>
  <si>
    <t xml:space="preserve">Valor com 0 ICMS 0 IPI 4% FRETE</t>
  </si>
  <si>
    <t xml:space="preserve">valor unitário</t>
  </si>
  <si>
    <t xml:space="preserve">VALOR TOTAL </t>
  </si>
  <si>
    <t xml:space="preserve">1" x 2,0 x1,8 </t>
  </si>
  <si>
    <t xml:space="preserve">1" x 2,0 x 3,9 S/ logo</t>
  </si>
  <si>
    <t xml:space="preserve">sacos</t>
  </si>
  <si>
    <t xml:space="preserve">1" x 2,0 x 3,8 c/ logo</t>
  </si>
  <si>
    <t xml:space="preserve">1" x 2,0 x 5,0 c/ logo</t>
  </si>
  <si>
    <t xml:space="preserve">1" x 2,0 x 3,8 s/ logo</t>
  </si>
  <si>
    <t xml:space="preserve">1" x 2,0 x 5,5 c/ logo</t>
  </si>
  <si>
    <t xml:space="preserve">1" x 2,0 x 4,0 c/ logo</t>
  </si>
  <si>
    <t xml:space="preserve">1" x 2,0 x 62 c/ logo</t>
  </si>
  <si>
    <t xml:space="preserve">1" x 2,0 x 4,0 s/ logo</t>
  </si>
  <si>
    <t xml:space="preserve">3" x 3,0 x 20  c/logo</t>
  </si>
  <si>
    <t xml:space="preserve">1" x 2,0 x 4,2 c/ logo</t>
  </si>
  <si>
    <t xml:space="preserve">3" x 3,0 x 25  c/logo</t>
  </si>
  <si>
    <t xml:space="preserve">3" x 3,0 x 25  s/logo</t>
  </si>
  <si>
    <t xml:space="preserve">3" x 3,0 x 102  c/logo</t>
  </si>
  <si>
    <t xml:space="preserve">1" x 2,0 x 6,0 c/ logo</t>
  </si>
  <si>
    <t xml:space="preserve">1" x 2,0 x 62 s/ logo</t>
  </si>
  <si>
    <t xml:space="preserve">1" x 2,0 x 70 s/ logo</t>
  </si>
  <si>
    <t xml:space="preserve">1" x 2,0 x 80 s/ logo</t>
  </si>
  <si>
    <t xml:space="preserve">1" x 2,0 x 80 c/ logo</t>
  </si>
  <si>
    <t xml:space="preserve">1" x 2,0 x 90 c/ logo</t>
  </si>
  <si>
    <t xml:space="preserve">1" x 2,0 x 90 s/ logo</t>
  </si>
  <si>
    <t xml:space="preserve">1" x 2,0 x 100 c/ logo</t>
  </si>
  <si>
    <t xml:space="preserve">1" x 2,0 x 102 c/ logo</t>
  </si>
  <si>
    <t xml:space="preserve">1" x 2,0 x 102 s/ logo</t>
  </si>
  <si>
    <t xml:space="preserve">1" x 2,0 x 105 C/ logo</t>
  </si>
  <si>
    <t xml:space="preserve">1" x 2,0 x 107 C/ logo</t>
  </si>
  <si>
    <t xml:space="preserve">1" x 2,0 x 107 s/ logo</t>
  </si>
  <si>
    <t xml:space="preserve">1 1/2" x 2,0 x 20 c/ logo</t>
  </si>
  <si>
    <t xml:space="preserve">1 1/2" x 2,0 x 25 c/ logo</t>
  </si>
  <si>
    <t xml:space="preserve">1 1/2" x 2,0 x 80 c/logo</t>
  </si>
  <si>
    <t xml:space="preserve">1 1/2" x 2,0 x 80 s/logo</t>
  </si>
  <si>
    <t xml:space="preserve">1 1/2" x 2,0 x 102 c/logo</t>
  </si>
  <si>
    <t xml:space="preserve">1 1/2" x 2,0 x 102 s/logo</t>
  </si>
  <si>
    <t xml:space="preserve">1 1/2" x 2,0 x 108 c/logo</t>
  </si>
  <si>
    <t xml:space="preserve">1 1/2" x 2,0 x 100 c/logo</t>
  </si>
  <si>
    <t xml:space="preserve">1 1/2" x 2,0 x 118 c/logo</t>
  </si>
  <si>
    <t xml:space="preserve">1 1/2" x 2,0 x 118 s/logo</t>
  </si>
  <si>
    <t xml:space="preserve">3" x 3,0 x 1.1 s/logo</t>
  </si>
  <si>
    <t xml:space="preserve">3" x 3,0 x 1.0  c/logo</t>
  </si>
  <si>
    <t xml:space="preserve">3" x 3,0 x 1.0  s/logo</t>
  </si>
  <si>
    <t xml:space="preserve">3" x 3,0 x 65  S/logo</t>
  </si>
  <si>
    <t xml:space="preserve">3" x 3,0 x 80  c/logo</t>
  </si>
  <si>
    <t xml:space="preserve">3" x 3,0 x 85  c/logo</t>
  </si>
  <si>
    <t xml:space="preserve">3" x 3,0 x 85  S/logo</t>
  </si>
  <si>
    <t xml:space="preserve">3" x 3,0 x 95 s/logo</t>
  </si>
  <si>
    <t xml:space="preserve">3" x 3,0 x 100  c/logo</t>
  </si>
  <si>
    <t xml:space="preserve">3" x 3,0 x 100  s/logo</t>
  </si>
  <si>
    <t xml:space="preserve">3" x 3,0 x 102  s/logo</t>
  </si>
  <si>
    <t xml:space="preserve">3" x 3,0 x 108  c/logo</t>
  </si>
  <si>
    <t xml:space="preserve">3" x 3,0 x 108  S/logo</t>
  </si>
  <si>
    <t xml:space="preserve">3" x 3,0 x 107  S/logo</t>
  </si>
  <si>
    <t xml:space="preserve">3" x 3,0 x 105  c/logo</t>
  </si>
  <si>
    <t xml:space="preserve">teste</t>
  </si>
  <si>
    <t xml:space="preserve">ATUALIZADO</t>
  </si>
  <si>
    <t xml:space="preserve">Caixa :</t>
  </si>
  <si>
    <t xml:space="preserve">Medidas</t>
  </si>
  <si>
    <t xml:space="preserve">PACK BOX </t>
  </si>
  <si>
    <t xml:space="preserve">CAIXA E CIA </t>
  </si>
  <si>
    <t xml:space="preserve">Valor estoque</t>
  </si>
  <si>
    <t xml:space="preserve">200x150x120</t>
  </si>
  <si>
    <t xml:space="preserve">250x200x200</t>
  </si>
  <si>
    <t xml:space="preserve">250x250x200</t>
  </si>
  <si>
    <t xml:space="preserve">400x300x223</t>
  </si>
  <si>
    <t xml:space="preserve">300x300x317</t>
  </si>
  <si>
    <t xml:space="preserve">500x300x300</t>
  </si>
  <si>
    <t xml:space="preserve">460x360x340</t>
  </si>
  <si>
    <t xml:space="preserve">500x400x300</t>
  </si>
  <si>
    <t xml:space="preserve">540x405x335</t>
  </si>
  <si>
    <t xml:space="preserve"> </t>
  </si>
  <si>
    <t xml:space="preserve"> R$                            -  </t>
  </si>
  <si>
    <t xml:space="preserve">* Acima temos a somatória do estoque mais a compra do dia 15/06</t>
  </si>
  <si>
    <t xml:space="preserve">compra 15/06</t>
  </si>
  <si>
    <t xml:space="preserve">lin</t>
  </si>
  <si>
    <t xml:space="preserve">FOLHA 03</t>
  </si>
  <si>
    <t xml:space="preserve">custo 1,99+ 6,5 de IPI + 4ICM </t>
  </si>
  <si>
    <t xml:space="preserve">Ouro</t>
  </si>
  <si>
    <t xml:space="preserve">PRATA</t>
  </si>
  <si>
    <t xml:space="preserve">Nome do Fornecedor</t>
  </si>
  <si>
    <t xml:space="preserve">estoque</t>
  </si>
  <si>
    <t xml:space="preserve">Custo estoque</t>
  </si>
  <si>
    <t xml:space="preserve">1,14 + ICMS 4,0 + IPI 9,75 </t>
  </si>
  <si>
    <t xml:space="preserve">LAMINAÇÃO BRILHO</t>
  </si>
  <si>
    <t xml:space="preserve">ALTERNATIVA</t>
  </si>
  <si>
    <t xml:space="preserve">LAMINAÇÃO FOSCA</t>
  </si>
  <si>
    <t xml:space="preserve">LAMINAÇÃO</t>
  </si>
  <si>
    <t xml:space="preserve">Minimo 4</t>
  </si>
  <si>
    <t xml:space="preserve">Gerré</t>
  </si>
  <si>
    <t xml:space="preserve">Minimo 6</t>
  </si>
  <si>
    <t xml:space="preserve">TINTA </t>
  </si>
  <si>
    <t xml:space="preserve">FOLHA 04</t>
  </si>
  <si>
    <t xml:space="preserve">Data: </t>
  </si>
  <si>
    <t xml:space="preserve">Referência </t>
  </si>
  <si>
    <t xml:space="preserve">Fornecedor </t>
  </si>
  <si>
    <t xml:space="preserve">SAIDA</t>
  </si>
  <si>
    <t xml:space="preserve">SALDO</t>
  </si>
  <si>
    <t xml:space="preserve">Valor </t>
  </si>
  <si>
    <t xml:space="preserve">Valor total</t>
  </si>
  <si>
    <t xml:space="preserve">220AMFP</t>
  </si>
  <si>
    <t xml:space="preserve">NATHALGRAPH</t>
  </si>
  <si>
    <t xml:space="preserve">PROCESS YELLOW</t>
  </si>
  <si>
    <t xml:space="preserve">220BRFP</t>
  </si>
  <si>
    <t xml:space="preserve">BRANCO OPACO</t>
  </si>
  <si>
    <t xml:space="preserve">220MGFP</t>
  </si>
  <si>
    <t xml:space="preserve">PROCESS MAGENTA</t>
  </si>
  <si>
    <t xml:space="preserve">220CYFP</t>
  </si>
  <si>
    <t xml:space="preserve">PROCESS CYAN</t>
  </si>
  <si>
    <t xml:space="preserve">DILUENTE </t>
  </si>
  <si>
    <t xml:space="preserve">PANTONE ???? </t>
  </si>
  <si>
    <t xml:space="preserve">VERNIZ</t>
  </si>
  <si>
    <t xml:space="preserve">FPF 871</t>
  </si>
  <si>
    <t xml:space="preserve">GOLD 871 </t>
  </si>
  <si>
    <t xml:space="preserve">FPF007</t>
  </si>
  <si>
    <t xml:space="preserve">BLUE 072</t>
  </si>
  <si>
    <t xml:space="preserve">220P1FP</t>
  </si>
  <si>
    <t xml:space="preserve">PROCESS PRETO</t>
  </si>
  <si>
    <t xml:space="preserve">GI 22 AZ 103</t>
  </si>
  <si>
    <t xml:space="preserve">GRAPHINK</t>
  </si>
  <si>
    <t xml:space="preserve">LACA Azul  072</t>
  </si>
  <si>
    <t xml:space="preserve">GI MG ST 205;</t>
  </si>
  <si>
    <t xml:space="preserve">Laca Magenta </t>
  </si>
  <si>
    <t xml:space="preserve">GI AM ST 200;</t>
  </si>
  <si>
    <t xml:space="preserve">Laca Amarelo </t>
  </si>
  <si>
    <t xml:space="preserve">GI PR ST 206;</t>
  </si>
  <si>
    <t xml:space="preserve">Laca Preto </t>
  </si>
  <si>
    <t xml:space="preserve">GI BR ST 203</t>
  </si>
  <si>
    <t xml:space="preserve">Laca Branco </t>
  </si>
  <si>
    <t xml:space="preserve">GI VM FP 210</t>
  </si>
  <si>
    <t xml:space="preserve">Laca Vermelho </t>
  </si>
  <si>
    <t xml:space="preserve">Gl AZ ST 201</t>
  </si>
  <si>
    <t xml:space="preserve">Laca Azul blue</t>
  </si>
  <si>
    <t xml:space="preserve">ACTEGA </t>
  </si>
  <si>
    <t xml:space="preserve">BRANCO</t>
  </si>
  <si>
    <t xml:space="preserve">AM3555</t>
  </si>
  <si>
    <t xml:space="preserve"> OPTAFILM SP 4C PC YELLOW WOL101044 </t>
  </si>
  <si>
    <t xml:space="preserve">YELLOW</t>
  </si>
  <si>
    <t xml:space="preserve">VM4555</t>
  </si>
  <si>
    <t xml:space="preserve"> OPTAFILM SP 4C PC MAGENTA WOL205398 </t>
  </si>
  <si>
    <t xml:space="preserve">MAGENTA </t>
  </si>
  <si>
    <t xml:space="preserve">AZ5555</t>
  </si>
  <si>
    <t xml:space="preserve"> OPTAFILM SP 4C PC CYAN WOL307359 </t>
  </si>
  <si>
    <t xml:space="preserve">CYAN</t>
  </si>
  <si>
    <t xml:space="preserve">PR9170</t>
  </si>
  <si>
    <t xml:space="preserve"> X-CEL FILM PROCESS JET BLACK WFL041027 </t>
  </si>
  <si>
    <t xml:space="preserve">BLACK </t>
  </si>
  <si>
    <t xml:space="preserve">AZ7072</t>
  </si>
  <si>
    <t xml:space="preserve">X-CEL FILM BLUE 072 WFL035483 -1</t>
  </si>
  <si>
    <t xml:space="preserve">OR9871/72 </t>
  </si>
  <si>
    <t xml:space="preserve">WATER METALIC GOLD 871 WML008871</t>
  </si>
  <si>
    <t xml:space="preserve">METALIC GOLD</t>
  </si>
  <si>
    <t xml:space="preserve">VM4315</t>
  </si>
  <si>
    <t xml:space="preserve">X-CEL FILM MAGENTA WF026124-1G </t>
  </si>
  <si>
    <t xml:space="preserve">VM4850</t>
  </si>
  <si>
    <t xml:space="preserve"> X-CEL FILM SP EXS PMS 485 WFL027148 </t>
  </si>
  <si>
    <t xml:space="preserve">VERMELHO</t>
  </si>
  <si>
    <t xml:space="preserve">WM1001</t>
  </si>
  <si>
    <t xml:space="preserve">WINFLEXO</t>
  </si>
  <si>
    <t xml:space="preserve">MAXX CLASS A BW5 YELLOW STRONG</t>
  </si>
  <si>
    <t xml:space="preserve">WM2001</t>
  </si>
  <si>
    <t xml:space="preserve">MAX CLASS A BW4 PROCESS MAGENTA</t>
  </si>
  <si>
    <t xml:space="preserve">WM3001</t>
  </si>
  <si>
    <t xml:space="preserve">MAXX CLASS A BW8 PROCESS CYAN</t>
  </si>
  <si>
    <t xml:space="preserve">WM</t>
  </si>
  <si>
    <t xml:space="preserve">WP40103</t>
  </si>
  <si>
    <t xml:space="preserve">MAXX CLASS A BW8 PROCESS BLACK STRONG</t>
  </si>
  <si>
    <t xml:space="preserve">BLACK INTENSE</t>
  </si>
  <si>
    <t xml:space="preserve"> WP0871</t>
  </si>
  <si>
    <t xml:space="preserve">PREMIUN WIND GOLD 871 </t>
  </si>
  <si>
    <t xml:space="preserve">WUV0004</t>
  </si>
  <si>
    <t xml:space="preserve"> VERNIZ UV FLEO HIGH GLOSS</t>
  </si>
  <si>
    <t xml:space="preserve">FOSCO RIBBON </t>
  </si>
  <si>
    <t xml:space="preserve">WA 300</t>
  </si>
  <si>
    <t xml:space="preserve">ANTIESPUMANTE</t>
  </si>
  <si>
    <t xml:space="preserve">RIBBON </t>
  </si>
  <si>
    <t xml:space="preserve">WF 3030</t>
  </si>
  <si>
    <t xml:space="preserve">FILM WIN BLUE </t>
  </si>
  <si>
    <t xml:space="preserve">WF8000</t>
  </si>
  <si>
    <t xml:space="preserve"> FILM WIN BRANCO OPACO</t>
  </si>
  <si>
    <t xml:space="preserve">WF 1000</t>
  </si>
  <si>
    <t xml:space="preserve"> FILM WIN AMARELO</t>
  </si>
  <si>
    <t xml:space="preserve">WF 3000</t>
  </si>
  <si>
    <t xml:space="preserve">FILM WIN CIAN</t>
  </si>
  <si>
    <t xml:space="preserve">CIAN</t>
  </si>
  <si>
    <t xml:space="preserve">WF 2000</t>
  </si>
  <si>
    <t xml:space="preserve">FILM WIN MAGENTA</t>
  </si>
  <si>
    <t xml:space="preserve">MAGENTA</t>
  </si>
  <si>
    <t xml:space="preserve">WF 4000</t>
  </si>
  <si>
    <t xml:space="preserve">FILM WIN BLACK</t>
  </si>
  <si>
    <t xml:space="preserve">WF20101</t>
  </si>
  <si>
    <t xml:space="preserve"> FILM WIN BW3 RED PANTONE 485</t>
  </si>
  <si>
    <t xml:space="preserve">DUPLA FACE </t>
  </si>
  <si>
    <t xml:space="preserve">FOLHA 02</t>
  </si>
  <si>
    <t xml:space="preserve">vemar </t>
  </si>
  <si>
    <t xml:space="preserve">Quantidade </t>
  </si>
  <si>
    <t xml:space="preserve">Valor Unitário </t>
  </si>
  <si>
    <t xml:space="preserve">100x30</t>
  </si>
  <si>
    <t xml:space="preserve">tesa</t>
  </si>
  <si>
    <t xml:space="preserve">ALLCLINER </t>
  </si>
  <si>
    <t xml:space="preserve">460x25</t>
  </si>
  <si>
    <t xml:space="preserve">olgamara ou rogério </t>
  </si>
  <si>
    <t xml:space="preserve">27027001588 - 267</t>
  </si>
  <si>
    <t xml:space="preserve">505x20</t>
  </si>
  <si>
    <t xml:space="preserve">Fita crepe</t>
  </si>
  <si>
    <t xml:space="preserve">SOLEFLEX </t>
  </si>
  <si>
    <t xml:space="preserve">adelbras</t>
  </si>
  <si>
    <t xml:space="preserve">18x50</t>
  </si>
  <si>
    <t xml:space="preserve">WILTON</t>
  </si>
  <si>
    <t xml:space="preserve">FITA TRANSPARENTE </t>
  </si>
  <si>
    <t xml:space="preserve">48*100</t>
  </si>
  <si>
    <t xml:space="preserve">FITA MARRON </t>
  </si>
  <si>
    <t xml:space="preserve">soma total </t>
  </si>
  <si>
    <t xml:space="preserve">FOSCO </t>
  </si>
  <si>
    <t xml:space="preserve">TÉRMICO</t>
  </si>
  <si>
    <t xml:space="preserve">BOPP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</si>
</sst>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-&quot;R$&quot;* #,##0.00_-;&quot;-R$&quot;* #,##0.00_-;_-&quot;R$&quot;* \-??_-;_-@_-"/>
    <numFmt numFmtId="166" formatCode="dd/mm/yy"/>
    <numFmt numFmtId="167" formatCode="_-&quot;R$&quot;* #,##0.00_-;&quot;-R$&quot;* #,##0.00_-;_-&quot;R$&quot;* \-??_-;_-@"/>
    <numFmt numFmtId="168" formatCode="0"/>
    <numFmt numFmtId="169" formatCode="d/m/yyyy"/>
    <numFmt numFmtId="170" formatCode="General"/>
    <numFmt numFmtId="171" formatCode="_-&quot;R$ &quot;* #,##0.00_-;&quot;-R$ &quot;* #,##0.00_-;_-&quot;R$ &quot;* \-??_-;_-@"/>
    <numFmt numFmtId="172" formatCode="#,##0_);\(#,##0\)"/>
    <numFmt numFmtId="173" formatCode="[$R$-416]\ #,##0.000;[RED]\-[$R$-416]\ #,##0.000"/>
    <numFmt numFmtId="174" formatCode="d/mmm"/>
    <numFmt numFmtId="175" formatCode="&quot;R$ &quot;#,##0.00"/>
    <numFmt numFmtId="176" formatCode="_-* #,##0.00\ _€_-;\-* #,##0.00\ _€_-;_-* \-??\ _€_-;_-@"/>
    <numFmt numFmtId="177" formatCode="&quot;R$ &quot;#,##0.00;[RED]&quot;-R$ &quot;#,##0.00"/>
    <numFmt numFmtId="178" formatCode="[$-F800]dddd&quot;, &quot;mmmm\ dd&quot;, &quot;yyyy"/>
    <numFmt numFmtId="179" formatCode="_-&quot;R$ &quot;* #,##0.00_-;&quot;-R$ &quot;* #,##0.00_-;_-&quot;R$ &quot;* \-??_-;_-@_-"/>
  </numFmts>
  <fonts count="2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6282A"/>
      <name val="Tahoma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rgb="FF26282A"/>
      <name val="Tahoma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206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theme="1"/>
      <name val="Arial"/>
      <family val="2"/>
      <charset val="1"/>
    </font>
    <font>
      <b val="true"/>
      <i val="true"/>
      <u val="single"/>
      <sz val="10"/>
      <color theme="1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sz val="1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D965"/>
      </patternFill>
    </fill>
    <fill>
      <patternFill patternType="solid">
        <fgColor theme="9" tint="0.3999"/>
        <bgColor rgb="FFA8D08D"/>
      </patternFill>
    </fill>
    <fill>
      <patternFill patternType="solid">
        <fgColor theme="0"/>
        <bgColor rgb="FFE2F0D9"/>
      </patternFill>
    </fill>
    <fill>
      <patternFill patternType="solid">
        <fgColor theme="9" tint="0.7999"/>
        <bgColor rgb="FFDAE3F3"/>
      </patternFill>
    </fill>
    <fill>
      <patternFill patternType="solid">
        <fgColor theme="9" tint="0.5999"/>
        <bgColor rgb="FFC6EFCE"/>
      </patternFill>
    </fill>
    <fill>
      <patternFill patternType="solid">
        <fgColor theme="8" tint="0.5999"/>
        <bgColor rgb="FFD6DCE4"/>
      </patternFill>
    </fill>
    <fill>
      <patternFill patternType="solid">
        <fgColor theme="4" tint="0.7999"/>
        <bgColor rgb="FFD9E2F3"/>
      </patternFill>
    </fill>
    <fill>
      <patternFill patternType="solid">
        <fgColor theme="4"/>
        <bgColor rgb="FF5B9BD5"/>
      </patternFill>
    </fill>
    <fill>
      <patternFill patternType="solid">
        <fgColor rgb="FFFFD965"/>
        <bgColor rgb="FFFFE598"/>
      </patternFill>
    </fill>
    <fill>
      <patternFill patternType="solid">
        <fgColor rgb="FFFF9933"/>
        <bgColor rgb="FFFF8080"/>
      </patternFill>
    </fill>
    <fill>
      <patternFill patternType="solid">
        <fgColor rgb="FFD9E2F3"/>
        <bgColor rgb="FFDAE3F3"/>
      </patternFill>
    </fill>
    <fill>
      <patternFill patternType="solid">
        <fgColor rgb="FFFFE598"/>
        <bgColor rgb="FFFFD965"/>
      </patternFill>
    </fill>
    <fill>
      <patternFill patternType="solid">
        <fgColor rgb="FFD6DCE4"/>
        <bgColor rgb="FFD9D9D9"/>
      </patternFill>
    </fill>
    <fill>
      <patternFill patternType="solid">
        <fgColor theme="8"/>
        <bgColor rgb="FF4472C4"/>
      </patternFill>
    </fill>
    <fill>
      <patternFill patternType="solid">
        <fgColor rgb="FFA8D08D"/>
        <bgColor rgb="FFA9D18E"/>
      </patternFill>
    </fill>
    <fill>
      <patternFill patternType="solid">
        <fgColor rgb="FFF4B083"/>
        <bgColor rgb="FFFFC7CE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003300"/>
      </patternFill>
    </fill>
  </fills>
  <borders count="5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>
        <color rgb="FF808080"/>
      </top>
      <bottom style="medium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medium">
        <color rgb="FF808080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13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16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8" fontId="0" fillId="0" borderId="1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5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7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3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6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29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31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4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35" xfId="26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9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2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1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4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4" fillId="18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4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11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6" fillId="2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2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4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7" fillId="0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6" fillId="0" borderId="3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6" fillId="0" borderId="2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2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2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Normal 2" xfId="21"/>
    <cellStyle name="Pivot Table Category" xfId="22"/>
    <cellStyle name="Pivot Table Corner" xfId="23"/>
    <cellStyle name="Pivot Table Field" xfId="24"/>
    <cellStyle name="Pivot Table Result" xfId="25"/>
    <cellStyle name="Pivot Table Title" xfId="26"/>
    <cellStyle name="Pivot Table Value" xfId="27"/>
  </cellStyles>
  <dxfs count="2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AE3F3"/>
          <bgColor rgb="FF000000"/>
        </patternFill>
      </fill>
    </dxf>
    <dxf>
      <fill>
        <patternFill>
          <bgColor theme="4" tint="0.7999"/>
        </patternFill>
      </fill>
    </dxf>
    <dxf>
      <font>
        <name val="Calibri"/>
        <charset val="1"/>
        <family val="0"/>
        <color rgb="FF000000"/>
        <sz val="11"/>
      </font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D96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E2F0D9"/>
      <rgbColor rgb="FFDAE3F3"/>
      <rgbColor rgb="FF660066"/>
      <rgbColor rgb="FFFF8080"/>
      <rgbColor rgb="FF0066CC"/>
      <rgbColor rgb="FFBDD7EE"/>
      <rgbColor rgb="FF000080"/>
      <rgbColor rgb="FFFF00FF"/>
      <rgbColor rgb="FFC5E0B4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598"/>
      <rgbColor rgb="FFD6DCE4"/>
      <rgbColor rgb="FFF4B083"/>
      <rgbColor rgb="FFD9D9D9"/>
      <rgbColor rgb="FFFFC7CE"/>
      <rgbColor rgb="FF4472C4"/>
      <rgbColor rgb="FF33CCCC"/>
      <rgbColor rgb="FF92D050"/>
      <rgbColor rgb="FFFFD965"/>
      <rgbColor rgb="FFFF9933"/>
      <rgbColor rgb="FFFF6600"/>
      <rgbColor rgb="FF595959"/>
      <rgbColor rgb="FFA8D08D"/>
      <rgbColor rgb="FF002060"/>
      <rgbColor rgb="FF339966"/>
      <rgbColor rgb="FF003300"/>
      <rgbColor rgb="FF333300"/>
      <rgbColor rgb="FF993300"/>
      <rgbColor rgb="FF993366"/>
      <rgbColor rgb="FF333399"/>
      <rgbColor rgb="FF2628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<Relationship Id="rId30" Type="http://schemas.openxmlformats.org/officeDocument/2006/relationships/pivotCacheDefinition" Target="pivotCache/pivotCacheDefinition1.xml"/><Relationship Id="rId31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4.xml"/><Relationship Id="rId34" Type="http://schemas.openxmlformats.org/officeDocument/2006/relationships/pivotCacheDefinition" Target="pivotCache/pivotCacheDefinition5.xml"/><Relationship Id="rId35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7.xml"/><Relationship Id="rId37" Type="http://schemas.openxmlformats.org/officeDocument/2006/relationships/pivotCacheDefinition" Target="pivotCache/pivotCacheDefinition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Calibri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papeis'!$B$3</c:f>
              <c:strCache>
                <c:ptCount val="1"/>
                <c:pt idx="0">
                  <c:v>Soma de Lineares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papeis'!$A$4:$A$29</c:f>
              <c:strCache>
                <c:ptCount val="26"/>
                <c:pt idx="0">
                  <c:v>3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45</c:v>
                </c:pt>
                <c:pt idx="6">
                  <c:v>48</c:v>
                </c:pt>
                <c:pt idx="7">
                  <c:v>55</c:v>
                </c:pt>
                <c:pt idx="8">
                  <c:v>60</c:v>
                </c:pt>
                <c:pt idx="9">
                  <c:v>63</c:v>
                </c:pt>
                <c:pt idx="10">
                  <c:v>65</c:v>
                </c:pt>
                <c:pt idx="11">
                  <c:v>70</c:v>
                </c:pt>
                <c:pt idx="12">
                  <c:v>73</c:v>
                </c:pt>
                <c:pt idx="13">
                  <c:v>75</c:v>
                </c:pt>
                <c:pt idx="14">
                  <c:v>80</c:v>
                </c:pt>
                <c:pt idx="15">
                  <c:v>83</c:v>
                </c:pt>
                <c:pt idx="16">
                  <c:v>100</c:v>
                </c:pt>
                <c:pt idx="17">
                  <c:v>102</c:v>
                </c:pt>
                <c:pt idx="18">
                  <c:v>105</c:v>
                </c:pt>
                <c:pt idx="19">
                  <c:v>110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138</c:v>
                </c:pt>
                <c:pt idx="24">
                  <c:v>145</c:v>
                </c:pt>
                <c:pt idx="25">
                  <c:v>155</c:v>
                </c:pt>
              </c:strCache>
            </c:strRef>
          </c:cat>
          <c:val>
            <c:numRef>
              <c:f>'Resumo papeis'!$B$4:$B$29</c:f>
              <c:numCache>
                <c:formatCode>General</c:formatCode>
                <c:ptCount val="26"/>
                <c:pt idx="0">
                  <c:v>500</c:v>
                </c:pt>
                <c:pt idx="1">
                  <c:v>120</c:v>
                </c:pt>
                <c:pt idx="2">
                  <c:v>5262</c:v>
                </c:pt>
                <c:pt idx="3">
                  <c:v>5000</c:v>
                </c:pt>
                <c:pt idx="4">
                  <c:v>1560</c:v>
                </c:pt>
                <c:pt idx="5">
                  <c:v>2685</c:v>
                </c:pt>
                <c:pt idx="6">
                  <c:v>2392</c:v>
                </c:pt>
                <c:pt idx="7">
                  <c:v>560</c:v>
                </c:pt>
                <c:pt idx="8">
                  <c:v>300</c:v>
                </c:pt>
                <c:pt idx="9">
                  <c:v>120</c:v>
                </c:pt>
                <c:pt idx="10">
                  <c:v>4415</c:v>
                </c:pt>
                <c:pt idx="11">
                  <c:v>5720</c:v>
                </c:pt>
                <c:pt idx="12">
                  <c:v>1020</c:v>
                </c:pt>
                <c:pt idx="13">
                  <c:v>9510</c:v>
                </c:pt>
                <c:pt idx="14">
                  <c:v>11385</c:v>
                </c:pt>
                <c:pt idx="15">
                  <c:v>5200</c:v>
                </c:pt>
                <c:pt idx="16">
                  <c:v>59313</c:v>
                </c:pt>
                <c:pt idx="17">
                  <c:v>2000</c:v>
                </c:pt>
                <c:pt idx="18">
                  <c:v>5325</c:v>
                </c:pt>
                <c:pt idx="19">
                  <c:v>32834</c:v>
                </c:pt>
                <c:pt idx="20">
                  <c:v>1725</c:v>
                </c:pt>
                <c:pt idx="21">
                  <c:v>2784</c:v>
                </c:pt>
                <c:pt idx="22">
                  <c:v>6350</c:v>
                </c:pt>
                <c:pt idx="23">
                  <c:v>408</c:v>
                </c:pt>
                <c:pt idx="24">
                  <c:v>135</c:v>
                </c:pt>
                <c:pt idx="25">
                  <c:v>11969</c:v>
                </c:pt>
              </c:numCache>
            </c:numRef>
          </c:val>
        </c:ser>
        <c:gapWidth val="219"/>
        <c:overlap val="-27"/>
        <c:axId val="71772207"/>
        <c:axId val="46835324"/>
      </c:barChart>
      <c:catAx>
        <c:axId val="71772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46835324"/>
        <c:crosses val="autoZero"/>
        <c:auto val="1"/>
        <c:lblAlgn val="ctr"/>
        <c:lblOffset val="100"/>
        <c:noMultiLvlLbl val="0"/>
      </c:catAx>
      <c:valAx>
        <c:axId val="468353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71772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99000</xdr:colOff>
      <xdr:row>3</xdr:row>
      <xdr:rowOff>41760</xdr:rowOff>
    </xdr:from>
    <xdr:to>
      <xdr:col>16</xdr:col>
      <xdr:colOff>29520</xdr:colOff>
      <xdr:row>15</xdr:row>
      <xdr:rowOff>196560</xdr:rowOff>
    </xdr:to>
    <xdr:graphicFrame>
      <xdr:nvGraphicFramePr>
        <xdr:cNvPr id="0" name="Gráfico 1"/>
        <xdr:cNvGraphicFramePr/>
      </xdr:nvGraphicFramePr>
      <xdr:xfrm>
        <a:off x="4491360" y="813240"/>
        <a:ext cx="817524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
</Relationships>
</file>

<file path=xl/pivotCache/_rels/pivotCacheDefinition6.xml.rels><?xml version="1.0" encoding="UTF-8"?>
<Relationships xmlns="http://schemas.openxmlformats.org/package/2006/relationships"><Relationship Id="rId1" Type="http://schemas.openxmlformats.org/officeDocument/2006/relationships/pivotCacheRecords" Target="pivotCacheRecords6.xml"/>
</Relationships>
</file>

<file path=xl/pivotCache/_rels/pivotCacheDefinition7.xml.rels><?xml version="1.0" encoding="UTF-8"?>
<Relationships xmlns="http://schemas.openxmlformats.org/package/2006/relationships"><Relationship Id="rId1" Type="http://schemas.openxmlformats.org/officeDocument/2006/relationships/pivotCacheRecords" Target="pivotCacheRecords7.xml"/>
</Relationships>
</file>

<file path=xl/pivotCache/_rels/pivotCacheDefinition8.xml.rels><?xml version="1.0" encoding="UTF-8"?>
<Relationships xmlns="http://schemas.openxmlformats.org/package/2006/relationships"><Relationship Id="rId1" Type="http://schemas.openxmlformats.org/officeDocument/2006/relationships/pivotCacheRecords" Target="pivotCacheRecords8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4" createdVersion="3">
  <cacheSource type="worksheet">
    <worksheetSource ref="A1:N35" sheet="FOSCO"/>
  </cacheSource>
  <cacheFields count="14">
    <cacheField name="Localização" numFmtId="0">
      <sharedItems containsMixedTypes="1" containsNumber="1" containsInteger="1" minValue="38" maxValue="42" count="5">
        <n v="38"/>
        <n v="39"/>
        <n v="41"/>
        <n v="42"/>
        <s v="Palete Estoque"/>
      </sharedItems>
    </cacheField>
    <cacheField name="Fornecedor" numFmtId="0">
      <sharedItems count="1">
        <s v="COLACRIL "/>
      </sharedItems>
    </cacheField>
    <cacheField name="Largura (mm)" numFmtId="0">
      <sharedItems containsSemiMixedTypes="0" containsString="0" containsNumber="1" containsInteger="1" minValue="18" maxValue="195" count="22">
        <n v="18"/>
        <n v="20"/>
        <n v="30"/>
        <n v="40"/>
        <n v="45"/>
        <n v="46"/>
        <n v="55"/>
        <n v="60"/>
        <n v="63"/>
        <n v="65"/>
        <n v="75"/>
        <n v="95"/>
        <n v="100"/>
        <n v="105"/>
        <n v="110"/>
        <n v="115"/>
        <n v="120"/>
        <n v="130"/>
        <n v="138"/>
        <n v="140"/>
        <n v="190"/>
        <n v="195"/>
      </sharedItems>
    </cacheField>
    <cacheField name="Comprimento (m)" numFmtId="0">
      <sharedItems containsSemiMixedTypes="0" containsString="0" containsNumber="1" containsInteger="1" minValue="300" maxValue="1000" count="7">
        <n v="300"/>
        <n v="400"/>
        <n v="500"/>
        <n v="600"/>
        <n v="700"/>
        <n v="800"/>
        <n v="1000"/>
      </sharedItems>
    </cacheField>
    <cacheField name="Descrição do Item" numFmtId="0">
      <sharedItems count="2">
        <s v="FOSCO COLACRIL ADC 1000"/>
        <s v="FOSCO COLACRIL ADC 5240"/>
      </sharedItems>
    </cacheField>
    <cacheField name="Total Mts Lineares" numFmtId="0">
      <sharedItems containsSemiMixedTypes="0" containsString="0" containsNumber="1" containsInteger="1" minValue="0" maxValue="6000" count="8">
        <n v="0"/>
        <n v="400"/>
        <n v="700"/>
        <n v="800"/>
        <n v="1000"/>
        <n v="2000"/>
        <n v="3000"/>
        <n v="6000"/>
      </sharedItems>
    </cacheField>
    <cacheField name="Gramagem" numFmtId="0">
      <sharedItems count="1">
        <s v="20G"/>
      </sharedItems>
    </cacheField>
    <cacheField name="M2" numFmtId="0">
      <sharedItems containsSemiMixedTypes="0" containsString="0" containsNumber="1" minValue="0" maxValue="450" count="11">
        <n v="0"/>
        <n v="12.6"/>
        <n v="20"/>
        <n v="44"/>
        <n v="52"/>
        <n v="115"/>
        <n v="130"/>
        <n v="195"/>
        <n v="210"/>
        <n v="300"/>
        <n v="450"/>
      </sharedItems>
    </cacheField>
    <cacheField name="Grupo" numFmtId="0">
      <sharedItems count="2">
        <s v="FOSCO COLACRIL ADC 1000"/>
        <s v="FOSCO COLACRIL ADC 5240"/>
      </sharedItems>
    </cacheField>
    <cacheField name="DATA2" numFmtId="0">
      <sharedItems containsNonDate="0" containsDate="1" containsString="0" containsBlank="1" minDate="2025-08-01T00:00:00" maxDate="2025-08-01T00:00:00" count="2">
        <d v="2025-08-01T00:00:00"/>
        <m/>
      </sharedItems>
    </cacheField>
    <cacheField name="Estoque" numFmtId="0">
      <sharedItems containsString="0" containsBlank="1" containsNumber="1" containsInteger="1" minValue="1" maxValue="6" count="5">
        <n v="1"/>
        <n v="2"/>
        <n v="4"/>
        <n v="6"/>
        <m/>
      </sharedItems>
    </cacheField>
    <cacheField name="SAÍDA" numFmtId="0">
      <sharedItems containsString="0" containsBlank="1" containsNumber="1" containsInteger="1" minValue="1" maxValue="1" count="2">
        <n v="1"/>
        <m/>
      </sharedItems>
    </cacheField>
    <cacheField name="Saldo" numFmtId="0">
      <sharedItems containsSemiMixedTypes="0" containsString="0" containsNumber="1" containsInteger="1" minValue="0" maxValue="6" count="5">
        <n v="0"/>
        <n v="1"/>
        <n v="2"/>
        <n v="3"/>
        <n v="6"/>
      </sharedItems>
    </cacheField>
    <cacheField name="custos" numFmtId="0">
      <sharedItems containsSemiMixedTypes="0" containsString="0" containsNumber="1" minValue="0" maxValue="1710" count="11">
        <n v="0"/>
        <n v="47.88"/>
        <n v="76"/>
        <n v="167.2"/>
        <n v="197.6"/>
        <n v="437"/>
        <n v="494"/>
        <n v="741"/>
        <n v="798"/>
        <n v="1140"/>
        <n v="171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1" createdVersion="3">
  <cacheSource type="worksheet">
    <worksheetSource ref="A1:N42" sheet="TAG"/>
  </cacheSource>
  <cacheFields count="14">
    <cacheField name="Localização" numFmtId="0">
      <sharedItems containsSemiMixedTypes="0" containsString="0" containsNumber="1" containsInteger="1" minValue="37" maxValue="46" count="7">
        <n v="37"/>
        <n v="40"/>
        <n v="41"/>
        <n v="43"/>
        <n v="44"/>
        <n v="45"/>
        <n v="46"/>
      </sharedItems>
    </cacheField>
    <cacheField name="Fornecedor" numFmtId="0">
      <sharedItems count="2">
        <s v="PROTACK"/>
        <s v="THERMOTAG"/>
      </sharedItems>
    </cacheField>
    <cacheField name="Largura (mm)" numFmtId="0">
      <sharedItems containsSemiMixedTypes="0" containsString="0" containsNumber="1" containsInteger="1" minValue="0" maxValue="250" count="19">
        <n v="0"/>
        <n v="60"/>
        <n v="65"/>
        <n v="70"/>
        <n v="75"/>
        <n v="80"/>
        <n v="85"/>
        <n v="90"/>
        <n v="100"/>
        <n v="105"/>
        <n v="110"/>
        <n v="125"/>
        <n v="130"/>
        <n v="140"/>
        <n v="150"/>
        <n v="152"/>
        <n v="210"/>
        <n v="220"/>
        <n v="250"/>
      </sharedItems>
    </cacheField>
    <cacheField name="Comprimento (m)" numFmtId="0">
      <sharedItems containsSemiMixedTypes="0" containsString="0" containsNumber="1" containsInteger="1" minValue="500" maxValue="1500" count="4">
        <n v="500"/>
        <n v="700"/>
        <n v="1000"/>
        <n v="1500"/>
      </sharedItems>
    </cacheField>
    <cacheField name="Descrição do Item" numFmtId="0">
      <sharedItems count="3">
        <s v="TAG COUCHE 170G"/>
        <s v="TAG COUCHE 80G"/>
        <s v="TAG COUCHE 90G"/>
      </sharedItems>
    </cacheField>
    <cacheField name="Total Mts Lineares" numFmtId="0">
      <sharedItems containsSemiMixedTypes="0" containsString="0" containsNumber="1" containsInteger="1" minValue="0" maxValue="5000" count="7">
        <n v="0"/>
        <n v="500"/>
        <n v="700"/>
        <n v="1000"/>
        <n v="2000"/>
        <n v="4500"/>
        <n v="5000"/>
      </sharedItems>
    </cacheField>
    <cacheField name="Gramagem" numFmtId="0">
      <sharedItems count="2">
        <s v="170G"/>
        <s v="90G"/>
      </sharedItems>
    </cacheField>
    <cacheField name="M2" numFmtId="0">
      <sharedItems containsSemiMixedTypes="0" containsString="0" containsNumber="1" minValue="0" maxValue="450" count="23">
        <n v="0"/>
        <n v="65"/>
        <n v="70"/>
        <n v="76"/>
        <n v="80"/>
        <n v="85"/>
        <n v="90"/>
        <n v="100"/>
        <n v="105"/>
        <n v="120"/>
        <n v="125"/>
        <n v="130"/>
        <n v="140"/>
        <n v="150"/>
        <n v="152"/>
        <n v="154"/>
        <n v="200"/>
        <n v="210"/>
        <n v="220"/>
        <n v="250"/>
        <n v="280"/>
        <n v="337.5"/>
        <n v="450"/>
      </sharedItems>
    </cacheField>
    <cacheField name="Grupo" numFmtId="0">
      <sharedItems count="14">
        <s v="0413 - TAG COUHE L2 150G"/>
        <s v="2192 - TAG COUHE L2 90G"/>
        <s v="414 - TAG COUHE L2 150G"/>
        <s v="416 - TAG COUHE L2 150G"/>
        <s v="418 - TAG COUHE L2 150G"/>
        <s v="419 - TAG COUHE L2 150G"/>
        <s v="420 - TAG COUHE L2 150G"/>
        <s v="421 - TAG COUHE L2 150G"/>
        <s v="422 - TAG COUHE L2 150G"/>
        <s v="423 - TAG COUHE L2 150G"/>
        <s v="424 - TAG COUHE L2 150G"/>
        <s v="425 - TAG COUHE L2 150G"/>
        <s v="426 - TAG COUHE L2 150G"/>
        <s v="COUCHE TAG 80G"/>
      </sharedItems>
    </cacheField>
    <cacheField name="DATA2" numFmtId="0">
      <sharedItems containsNonDate="0" containsDate="1" containsString="0" containsBlank="1" minDate="2023-01-30T00:00:00" maxDate="2026-12-11T00:00:00" count="10">
        <d v="2023-01-30T00:00:00"/>
        <d v="2024-08-01T00:00:00"/>
        <d v="2025-01-08T00:00:00"/>
        <d v="2025-01-09T00:00:00"/>
        <d v="2025-03-07T00:00:00"/>
        <d v="2025-10-31T00:00:00"/>
        <d v="2026-05-06T00:00:00"/>
        <d v="2026-06-10T00:00:00"/>
        <d v="2026-12-11T00:00:00"/>
        <m/>
      </sharedItems>
    </cacheField>
    <cacheField name="Estoque" numFmtId="0">
      <sharedItems containsString="0" containsBlank="1" containsNumber="1" containsInteger="1" minValue="1" maxValue="5" count="5">
        <n v="1"/>
        <n v="2"/>
        <n v="3"/>
        <n v="5"/>
        <m/>
      </sharedItems>
    </cacheField>
    <cacheField name="SAÍDA" numFmtId="0">
      <sharedItems containsString="0" containsBlank="1" containsNumber="1" containsInteger="1" minValue="1" maxValue="1" count="2">
        <n v="1"/>
        <m/>
      </sharedItems>
    </cacheField>
    <cacheField name="Saldo" numFmtId="0">
      <sharedItems containsSemiMixedTypes="0" containsString="0" containsNumber="1" containsInteger="1" minValue="0" maxValue="5" count="5">
        <n v="0"/>
        <n v="1"/>
        <n v="2"/>
        <n v="3"/>
        <n v="5"/>
      </sharedItems>
    </cacheField>
    <cacheField name="custos" numFmtId="0">
      <sharedItems containsSemiMixedTypes="0" containsString="0" containsNumber="1" minValue="0" maxValue="700" count="23">
        <n v="0"/>
        <n v="97.5"/>
        <n v="105"/>
        <n v="114"/>
        <n v="120"/>
        <n v="127.5"/>
        <n v="135"/>
        <n v="150"/>
        <n v="200"/>
        <n v="210"/>
        <n v="228"/>
        <n v="231"/>
        <n v="262.5"/>
        <n v="300"/>
        <n v="312.5"/>
        <n v="325"/>
        <n v="375"/>
        <n v="506.25"/>
        <n v="525"/>
        <n v="550"/>
        <n v="625"/>
        <n v="675"/>
        <n v="7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179" createdVersion="3">
  <cacheSource type="worksheet">
    <worksheetSource ref="A1:N180" sheet="COUCHE"/>
  </cacheSource>
  <cacheFields count="14">
    <cacheField name="Localização" numFmtId="0">
      <sharedItems containsMixedTypes="1" containsNumber="1" containsInteger="1" minValue="1" maxValue="33" count="3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33"/>
        <s v="Palete Estoque"/>
        <s v="Palete garagem"/>
      </sharedItems>
    </cacheField>
    <cacheField name="Fornecedor" numFmtId="0">
      <sharedItems count="4">
        <s v="COLACRIL"/>
        <s v="FASSON"/>
        <s v="RITRAMA"/>
        <s v="VERTEX"/>
      </sharedItems>
    </cacheField>
    <cacheField name="Largura (mm)" numFmtId="0">
      <sharedItems containsSemiMixedTypes="0" containsString="0" containsNumber="1" containsInteger="1" minValue="60" maxValue="160" count="27">
        <n v="60"/>
        <n v="65"/>
        <n v="70"/>
        <n v="75"/>
        <n v="78"/>
        <n v="80"/>
        <n v="83"/>
        <n v="85"/>
        <n v="90"/>
        <n v="95"/>
        <n v="97"/>
        <n v="100"/>
        <n v="103"/>
        <n v="105"/>
        <n v="110"/>
        <n v="115"/>
        <n v="120"/>
        <n v="125"/>
        <n v="130"/>
        <n v="135"/>
        <n v="138"/>
        <n v="140"/>
        <n v="145"/>
        <n v="150"/>
        <n v="155"/>
        <n v="158"/>
        <n v="160"/>
      </sharedItems>
    </cacheField>
    <cacheField name="Comprimento (m)" numFmtId="0">
      <sharedItems containsSemiMixedTypes="0" containsString="0" containsNumber="1" containsInteger="1" minValue="500" maxValue="1500" count="5">
        <n v="500"/>
        <n v="600"/>
        <n v="800"/>
        <n v="1000"/>
        <n v="1500"/>
      </sharedItems>
    </cacheField>
    <cacheField name="Descrição do Item" numFmtId="0">
      <sharedItems count="4">
        <s v="COUCHE 20G COLACRIL "/>
        <s v="COUCHE 20G FASSON "/>
        <s v="COUCHE 30G VERTEX"/>
        <s v="RITRAMA "/>
      </sharedItems>
    </cacheField>
    <cacheField name="Total Mts Lineares" numFmtId="0">
      <sharedItems containsSemiMixedTypes="0" containsString="0" containsNumber="1" containsInteger="1" minValue="0" maxValue="13500" count="15">
        <n v="0"/>
        <n v="500"/>
        <n v="600"/>
        <n v="800"/>
        <n v="1000"/>
        <n v="1500"/>
        <n v="2000"/>
        <n v="3000"/>
        <n v="4000"/>
        <n v="4500"/>
        <n v="5000"/>
        <n v="6000"/>
        <n v="7500"/>
        <n v="9000"/>
        <n v="13500"/>
      </sharedItems>
    </cacheField>
    <cacheField name="Gramagem" numFmtId="0">
      <sharedItems count="2">
        <s v="20G"/>
        <s v="30G"/>
      </sharedItems>
    </cacheField>
    <cacheField name="M2" numFmtId="0">
      <sharedItems containsString="0" containsBlank="1" containsNumber="1" minValue="0" maxValue="1012.5" count="82">
        <n v="0"/>
        <n v="57.5"/>
        <n v="60"/>
        <n v="62.5"/>
        <n v="65"/>
        <n v="68"/>
        <n v="77.5"/>
        <n v="78"/>
        <n v="79"/>
        <n v="81"/>
        <n v="83"/>
        <n v="85"/>
        <n v="97"/>
        <n v="97.5"/>
        <n v="105"/>
        <n v="110"/>
        <n v="115"/>
        <n v="120"/>
        <n v="124.5"/>
        <n v="125"/>
        <n v="127.5"/>
        <n v="130"/>
        <n v="135"/>
        <n v="140"/>
        <n v="142.5"/>
        <n v="145"/>
        <n v="150"/>
        <n v="155"/>
        <n v="156"/>
        <n v="157.5"/>
        <n v="158"/>
        <n v="160"/>
        <n v="165"/>
        <n v="172.5"/>
        <n v="187.5"/>
        <n v="195"/>
        <n v="202.5"/>
        <n v="210"/>
        <n v="217.5"/>
        <n v="225"/>
        <n v="234"/>
        <n v="240"/>
        <n v="250"/>
        <n v="255"/>
        <n v="260"/>
        <n v="270"/>
        <n v="290"/>
        <n v="291"/>
        <n v="300"/>
        <n v="309"/>
        <n v="315"/>
        <n v="330"/>
        <n v="360"/>
        <n v="373.5"/>
        <n v="375"/>
        <n v="390"/>
        <n v="400"/>
        <n v="405"/>
        <n v="420"/>
        <n v="427.5"/>
        <n v="435"/>
        <n v="450"/>
        <n v="465"/>
        <n v="474"/>
        <n v="480"/>
        <n v="500"/>
        <n v="510"/>
        <n v="515"/>
        <n v="517.5"/>
        <n v="525"/>
        <n v="570"/>
        <n v="585"/>
        <n v="600"/>
        <n v="630"/>
        <n v="632"/>
        <n v="747"/>
        <n v="780"/>
        <n v="862.5"/>
        <n v="870"/>
        <n v="945"/>
        <n v="1012.5"/>
        <m/>
      </sharedItems>
    </cacheField>
    <cacheField name="Grupo" numFmtId="0">
      <sharedItems containsBlank="1" count="7">
        <s v="5030 G62"/>
        <s v="5031 G62"/>
        <s v="ADC 200 -  COLA ACRILICA"/>
        <s v="COUCHE HOTMELT"/>
        <s v="ECOPRINT / S2045N/ SCK 60"/>
        <s v="ECOPRINT / S2045N/ SCK 61"/>
        <m/>
      </sharedItems>
    </cacheField>
    <cacheField name="DATA2" numFmtId="0">
      <sharedItems containsDate="1" containsBlank="1" containsMixedTypes="1" minDate="2024-10-17T00:00:00" maxDate="2026-09-19T00:00:00" count="41">
        <d v="2024-10-17T00:00:00"/>
        <d v="2024-10-28T00:00:00"/>
        <d v="2024-11-25T00:00:00"/>
        <d v="2024-12-01T00:00:00"/>
        <d v="2024-12-11T00:00:00"/>
        <d v="2024-12-15T00:00:00"/>
        <d v="2025-07-01T00:00:00"/>
        <d v="2025-07-29T00:00:00"/>
        <d v="2025-08-10T00:00:00"/>
        <d v="2025-08-13T00:00:00"/>
        <d v="2025-09-19T00:00:00"/>
        <d v="2025-09-21T00:00:00"/>
        <d v="2025-10-13T00:00:00"/>
        <d v="2025-10-14T00:00:00"/>
        <d v="2025-10-17T00:00:00"/>
        <d v="2025-10-28T00:00:00"/>
        <d v="2025-10-31T00:00:00"/>
        <d v="2025-11-18T00:00:00"/>
        <d v="2025-11-19T00:00:00"/>
        <d v="2025-11-20T00:00:00"/>
        <d v="2025-11-24T00:00:00"/>
        <d v="2025-11-26T00:00:00"/>
        <d v="2025-11-28T00:00:00"/>
        <d v="2025-12-19T00:00:00"/>
        <d v="2026-01-13T00:00:00"/>
        <d v="2026-01-14T00:00:00"/>
        <d v="2026-01-18T00:00:00"/>
        <d v="2026-02-04T00:00:00"/>
        <d v="2026-03-05T00:00:00"/>
        <d v="2026-03-10T00:00:00"/>
        <d v="2026-03-28T00:00:00"/>
        <d v="2026-03-29T00:00:00"/>
        <d v="2026-04-09T00:00:00"/>
        <d v="2026-05-20T00:00:00"/>
        <d v="2026-06-01T00:00:00"/>
        <d v="2026-06-18T00:00:00"/>
        <d v="2026-06-28T00:00:00"/>
        <d v="2026-09-19T00:00:00"/>
        <s v="29/02/26"/>
        <s v="Emendas"/>
        <m/>
      </sharedItems>
    </cacheField>
    <cacheField name="Estoque" numFmtId="0">
      <sharedItems containsSemiMixedTypes="0" containsString="0" containsNumber="1" containsInteger="1" minValue="1" maxValue="10" count="9">
        <n v="1"/>
        <n v="2"/>
        <n v="3"/>
        <n v="4"/>
        <n v="5"/>
        <n v="6"/>
        <n v="7"/>
        <n v="9"/>
        <n v="10"/>
      </sharedItems>
    </cacheField>
    <cacheField name="SAÍDA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aldo" numFmtId="0">
      <sharedItems containsSemiMixedTypes="0" containsString="0" containsNumber="1" containsInteger="1" minValue="0" maxValue="9" count="8">
        <n v="0"/>
        <n v="1"/>
        <n v="2"/>
        <n v="3"/>
        <n v="4"/>
        <n v="5"/>
        <n v="6"/>
        <n v="9"/>
      </sharedItems>
    </cacheField>
    <cacheField name="custos" numFmtId="0">
      <sharedItems containsString="0" containsBlank="1" containsNumber="1" minValue="0" maxValue="3442.5" count="88">
        <n v="0"/>
        <n v="195.5"/>
        <n v="204"/>
        <n v="212.5"/>
        <n v="221"/>
        <n v="231.2"/>
        <n v="263.5"/>
        <n v="265.2"/>
        <n v="268.6"/>
        <n v="273"/>
        <n v="275.4"/>
        <n v="282.2"/>
        <n v="289"/>
        <n v="329.8"/>
        <n v="331.5"/>
        <n v="391"/>
        <n v="408"/>
        <n v="423.3"/>
        <n v="425"/>
        <n v="433.5"/>
        <n v="441"/>
        <n v="442"/>
        <n v="459"/>
        <n v="462"/>
        <n v="476"/>
        <n v="484.5"/>
        <n v="493"/>
        <n v="504"/>
        <n v="510"/>
        <n v="527"/>
        <n v="530.4"/>
        <n v="535.5"/>
        <n v="537.2"/>
        <n v="544"/>
        <n v="546"/>
        <n v="586.5"/>
        <n v="637.5"/>
        <n v="663"/>
        <n v="688.5"/>
        <n v="693"/>
        <n v="714"/>
        <n v="739.5"/>
        <n v="765"/>
        <n v="795.6"/>
        <n v="816"/>
        <n v="850"/>
        <n v="867"/>
        <n v="882"/>
        <n v="884"/>
        <n v="918"/>
        <n v="986"/>
        <n v="989.4"/>
        <n v="1020"/>
        <n v="1050.6"/>
        <n v="1071"/>
        <n v="1224"/>
        <n v="1269.9"/>
        <n v="1275"/>
        <n v="1323"/>
        <n v="1326"/>
        <n v="1360"/>
        <n v="1377"/>
        <n v="1386"/>
        <n v="1428"/>
        <n v="1453.5"/>
        <n v="1479"/>
        <n v="1530"/>
        <n v="1581"/>
        <n v="1611.6"/>
        <n v="1632"/>
        <n v="1700"/>
        <n v="1734"/>
        <n v="1751"/>
        <n v="1759.5"/>
        <n v="1764"/>
        <n v="1938"/>
        <n v="1989"/>
        <n v="2040"/>
        <n v="2142"/>
        <n v="2148.8"/>
        <n v="2205"/>
        <n v="2539.8"/>
        <n v="2652"/>
        <n v="2932.5"/>
        <n v="2958"/>
        <n v="3213"/>
        <n v="3442.5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218" createdVersion="3">
  <cacheSource type="worksheet">
    <worksheetSource ref="A1:N219" sheet="COUCHE"/>
  </cacheSource>
  <cacheFields count="14">
    <cacheField name="Localização" numFmtId="0">
      <sharedItems containsMixedTypes="1" containsNumber="1" containsInteger="1" minValue="1" maxValue="33" count="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9"/>
        <n v="30"/>
        <n v="31"/>
        <n v="32"/>
        <n v="33"/>
        <s v="Garagem"/>
        <s v="Palete Estoque"/>
        <s v="Palete garagem"/>
      </sharedItems>
    </cacheField>
    <cacheField name="Fornecedor" numFmtId="0">
      <sharedItems count="4">
        <s v="COLACRIL"/>
        <s v="FASSON"/>
        <s v="RITRAMA"/>
        <s v="VERTEX"/>
      </sharedItems>
    </cacheField>
    <cacheField name="Largura (mm)" numFmtId="0">
      <sharedItems containsSemiMixedTypes="0" containsString="0" containsNumber="1" containsInteger="1" minValue="60" maxValue="250" count="39">
        <n v="60"/>
        <n v="65"/>
        <n v="70"/>
        <n v="75"/>
        <n v="78"/>
        <n v="80"/>
        <n v="83"/>
        <n v="85"/>
        <n v="90"/>
        <n v="95"/>
        <n v="97"/>
        <n v="100"/>
        <n v="103"/>
        <n v="105"/>
        <n v="110"/>
        <n v="115"/>
        <n v="120"/>
        <n v="125"/>
        <n v="130"/>
        <n v="135"/>
        <n v="138"/>
        <n v="140"/>
        <n v="145"/>
        <n v="150"/>
        <n v="155"/>
        <n v="158"/>
        <n v="160"/>
        <n v="165"/>
        <n v="180"/>
        <n v="185"/>
        <n v="190"/>
        <n v="195"/>
        <n v="196"/>
        <n v="200"/>
        <n v="210"/>
        <n v="215"/>
        <n v="220"/>
        <n v="225"/>
        <n v="250"/>
      </sharedItems>
    </cacheField>
    <cacheField name="Comprimento (m)" numFmtId="0">
      <sharedItems containsSemiMixedTypes="0" containsString="0" containsNumber="1" containsInteger="1" minValue="500" maxValue="1500" count="6">
        <n v="500"/>
        <n v="600"/>
        <n v="700"/>
        <n v="800"/>
        <n v="1000"/>
        <n v="1500"/>
      </sharedItems>
    </cacheField>
    <cacheField name="Descrição do Item" numFmtId="0">
      <sharedItems count="4">
        <s v="COUCHE 20G COLACRIL "/>
        <s v="COUCHE 20G FASSON "/>
        <s v="COUCHE 30G VERTEX"/>
        <s v="RITRAMA "/>
      </sharedItems>
    </cacheField>
    <cacheField name="Total Mts Lineares" numFmtId="0">
      <sharedItems containsSemiMixedTypes="0" containsString="0" containsNumber="1" containsInteger="1" minValue="0" maxValue="19000" count="21">
        <n v="0"/>
        <n v="500"/>
        <n v="600"/>
        <n v="700"/>
        <n v="800"/>
        <n v="1000"/>
        <n v="1500"/>
        <n v="2000"/>
        <n v="3000"/>
        <n v="4000"/>
        <n v="4500"/>
        <n v="5000"/>
        <n v="6000"/>
        <n v="7500"/>
        <n v="9000"/>
        <n v="12000"/>
        <n v="13000"/>
        <n v="13500"/>
        <n v="14000"/>
        <n v="15000"/>
        <n v="19000"/>
      </sharedItems>
    </cacheField>
    <cacheField name="Gramagem" numFmtId="0">
      <sharedItems count="2">
        <s v="20G"/>
        <s v="30G"/>
      </sharedItems>
    </cacheField>
    <cacheField name="M2" numFmtId="0">
      <sharedItems containsString="0" containsBlank="1" containsNumber="1" minValue="0" maxValue="3990" count="100">
        <n v="0"/>
        <n v="57.5"/>
        <n v="60"/>
        <n v="62.5"/>
        <n v="65"/>
        <n v="68"/>
        <n v="77.5"/>
        <n v="78"/>
        <n v="79"/>
        <n v="81"/>
        <n v="83"/>
        <n v="85"/>
        <n v="90"/>
        <n v="97"/>
        <n v="97.5"/>
        <n v="105"/>
        <n v="110"/>
        <n v="115"/>
        <n v="120"/>
        <n v="124.5"/>
        <n v="125"/>
        <n v="127.5"/>
        <n v="130"/>
        <n v="135"/>
        <n v="140"/>
        <n v="142.5"/>
        <n v="145"/>
        <n v="150"/>
        <n v="155"/>
        <n v="156"/>
        <n v="157.5"/>
        <n v="158"/>
        <n v="160"/>
        <n v="165"/>
        <n v="172.5"/>
        <n v="180"/>
        <n v="187.5"/>
        <n v="190"/>
        <n v="195"/>
        <n v="196"/>
        <n v="200"/>
        <n v="202.5"/>
        <n v="210"/>
        <n v="215"/>
        <n v="217.5"/>
        <n v="225"/>
        <n v="234"/>
        <n v="240"/>
        <n v="247.5"/>
        <n v="250"/>
        <n v="255"/>
        <n v="260"/>
        <n v="270"/>
        <n v="277.5"/>
        <n v="290"/>
        <n v="291"/>
        <n v="292.5"/>
        <n v="300"/>
        <n v="309"/>
        <n v="315"/>
        <n v="330"/>
        <n v="360"/>
        <n v="373.5"/>
        <n v="375"/>
        <n v="390"/>
        <n v="400"/>
        <n v="405"/>
        <n v="420"/>
        <n v="427.5"/>
        <n v="435"/>
        <n v="450"/>
        <n v="465"/>
        <n v="474"/>
        <n v="480"/>
        <n v="500"/>
        <n v="510"/>
        <n v="515"/>
        <n v="517.5"/>
        <n v="525"/>
        <n v="555"/>
        <n v="570"/>
        <n v="585"/>
        <n v="600"/>
        <n v="630"/>
        <n v="632"/>
        <n v="747"/>
        <n v="780"/>
        <n v="810"/>
        <n v="862.5"/>
        <n v="870"/>
        <n v="945"/>
        <n v="1000"/>
        <n v="1012.5"/>
        <n v="1080"/>
        <n v="2220"/>
        <n v="2940"/>
        <n v="3150"/>
        <n v="3250"/>
        <n v="3990"/>
        <m/>
      </sharedItems>
    </cacheField>
    <cacheField name="Grupo" numFmtId="0">
      <sharedItems containsBlank="1" count="7">
        <s v="5030 G62"/>
        <s v="5031 G62"/>
        <s v="ADC 200 -  COLA ACRILICA"/>
        <s v="COUCHE HOTMELT"/>
        <s v="ECOPRINT / S2045N/ SCK 60"/>
        <s v="ECOPRINT / S2045N/ SCK 61"/>
        <m/>
      </sharedItems>
    </cacheField>
    <cacheField name="DATA2" numFmtId="0">
      <sharedItems containsDate="1" containsBlank="1" containsMixedTypes="1" minDate="2024-08-05T00:00:00" maxDate="2026-11-13T00:00:00" count="47">
        <d v="2024-08-05T00:00:00"/>
        <d v="2024-10-17T00:00:00"/>
        <d v="2024-10-28T00:00:00"/>
        <d v="2024-11-25T00:00:00"/>
        <d v="2024-12-01T00:00:00"/>
        <d v="2024-12-11T00:00:00"/>
        <d v="2024-12-15T00:00:00"/>
        <d v="2025-06-02T00:00:00"/>
        <d v="2025-07-01T00:00:00"/>
        <d v="2025-07-29T00:00:00"/>
        <d v="2025-08-10T00:00:00"/>
        <d v="2025-08-13T00:00:00"/>
        <d v="2025-09-09T00:00:00"/>
        <d v="2025-09-19T00:00:00"/>
        <d v="2025-09-21T00:00:00"/>
        <d v="2025-10-13T00:00:00"/>
        <d v="2025-10-14T00:00:00"/>
        <d v="2025-10-17T00:00:00"/>
        <d v="2025-10-28T00:00:00"/>
        <d v="2025-10-31T00:00:00"/>
        <d v="2025-11-18T00:00:00"/>
        <d v="2025-11-19T00:00:00"/>
        <d v="2025-11-20T00:00:00"/>
        <d v="2025-11-24T00:00:00"/>
        <d v="2025-11-26T00:00:00"/>
        <d v="2025-11-28T00:00:00"/>
        <d v="2025-12-19T00:00:00"/>
        <d v="2026-01-13T00:00:00"/>
        <d v="2026-01-14T00:00:00"/>
        <d v="2026-01-18T00:00:00"/>
        <d v="2026-02-04T00:00:00"/>
        <d v="2026-03-05T00:00:00"/>
        <d v="2026-03-10T00:00:00"/>
        <d v="2026-03-28T00:00:00"/>
        <d v="2026-03-29T00:00:00"/>
        <d v="2026-04-09T00:00:00"/>
        <d v="2026-05-20T00:00:00"/>
        <d v="2026-06-01T00:00:00"/>
        <d v="2026-06-02T00:00:00"/>
        <d v="2026-06-18T00:00:00"/>
        <d v="2026-06-23T00:00:00"/>
        <d v="2026-06-28T00:00:00"/>
        <d v="2026-09-19T00:00:00"/>
        <d v="2026-11-13T00:00:00"/>
        <s v="29/02/26"/>
        <s v="Emendas"/>
        <m/>
      </sharedItems>
    </cacheField>
    <cacheField name="Estoque" numFmtId="0">
      <sharedItems containsSemiMixedTypes="0" containsString="0" containsNumber="1" containsInteger="1" minValue="1" maxValue="40" count="13">
        <n v="1"/>
        <n v="2"/>
        <n v="3"/>
        <n v="4"/>
        <n v="5"/>
        <n v="6"/>
        <n v="7"/>
        <n v="9"/>
        <n v="10"/>
        <n v="13"/>
        <n v="15"/>
        <n v="20"/>
        <n v="40"/>
      </sharedItems>
    </cacheField>
    <cacheField name="SAÍDA" numFmtId="0">
      <sharedItems containsString="0" containsBlank="1" containsNumber="1" containsInteger="1" minValue="1" maxValue="21" count="10">
        <n v="1"/>
        <n v="2"/>
        <n v="3"/>
        <n v="4"/>
        <n v="5"/>
        <n v="6"/>
        <n v="9"/>
        <n v="10"/>
        <n v="21"/>
        <m/>
      </sharedItems>
    </cacheField>
    <cacheField name="Saldo" numFmtId="0">
      <sharedItems containsSemiMixedTypes="0" containsString="0" containsNumber="1" containsInteger="1" minValue="0" maxValue="19" count="13">
        <n v="0"/>
        <n v="1"/>
        <n v="2"/>
        <n v="3"/>
        <n v="4"/>
        <n v="5"/>
        <n v="6"/>
        <n v="8"/>
        <n v="9"/>
        <n v="13"/>
        <n v="14"/>
        <n v="15"/>
        <n v="19"/>
      </sharedItems>
    </cacheField>
    <cacheField name="custos" numFmtId="0">
      <sharedItems containsString="0" containsBlank="1" containsNumber="1" minValue="0" maxValue="13566" count="107">
        <n v="0"/>
        <n v="195.5"/>
        <n v="204"/>
        <n v="212.5"/>
        <n v="221"/>
        <n v="231.2"/>
        <n v="263.5"/>
        <n v="265.2"/>
        <n v="268.6"/>
        <n v="273"/>
        <n v="275.4"/>
        <n v="282.2"/>
        <n v="289"/>
        <n v="329.8"/>
        <n v="331.5"/>
        <n v="378"/>
        <n v="391"/>
        <n v="408"/>
        <n v="423.3"/>
        <n v="425"/>
        <n v="433.5"/>
        <n v="441"/>
        <n v="442"/>
        <n v="459"/>
        <n v="462"/>
        <n v="476"/>
        <n v="484.5"/>
        <n v="493"/>
        <n v="504"/>
        <n v="510"/>
        <n v="527"/>
        <n v="530.4"/>
        <n v="535.5"/>
        <n v="537.2"/>
        <n v="544"/>
        <n v="546"/>
        <n v="586.5"/>
        <n v="637.5"/>
        <n v="646"/>
        <n v="663"/>
        <n v="666.4"/>
        <n v="680"/>
        <n v="688.5"/>
        <n v="693"/>
        <n v="714"/>
        <n v="731"/>
        <n v="739.5"/>
        <n v="756"/>
        <n v="765"/>
        <n v="795.6"/>
        <n v="816"/>
        <n v="841.5"/>
        <n v="850"/>
        <n v="867"/>
        <n v="882"/>
        <n v="884"/>
        <n v="918"/>
        <n v="943.5"/>
        <n v="986"/>
        <n v="989.4"/>
        <n v="994.5"/>
        <n v="1020"/>
        <n v="1050.6"/>
        <n v="1071"/>
        <n v="1122"/>
        <n v="1224"/>
        <n v="1269.9"/>
        <n v="1275"/>
        <n v="1323"/>
        <n v="1326"/>
        <n v="1360"/>
        <n v="1377"/>
        <n v="1386"/>
        <n v="1428"/>
        <n v="1453.5"/>
        <n v="1479"/>
        <n v="1530"/>
        <n v="1581"/>
        <n v="1611.6"/>
        <n v="1632"/>
        <n v="1700"/>
        <n v="1734"/>
        <n v="1751"/>
        <n v="1759.5"/>
        <n v="1764"/>
        <n v="1887"/>
        <n v="1938"/>
        <n v="1989"/>
        <n v="2040"/>
        <n v="2142"/>
        <n v="2148.8"/>
        <n v="2205"/>
        <n v="2539.8"/>
        <n v="2652"/>
        <n v="2754"/>
        <n v="2932.5"/>
        <n v="2958"/>
        <n v="3213"/>
        <n v="3400"/>
        <n v="3442.5"/>
        <n v="3672"/>
        <n v="7548"/>
        <n v="9996"/>
        <n v="10710"/>
        <n v="11050"/>
        <n v="13566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cordCount="58" createdVersion="3">
  <cacheSource type="worksheet">
    <worksheetSource ref="A1:O59" sheet="TERMICO"/>
  </cacheSource>
  <cacheFields count="15">
    <cacheField name="Localização" numFmtId="0">
      <sharedItems containsMixedTypes="1" containsNumber="1" containsInteger="1" minValue="1" maxValue="21" count="15">
        <n v="1"/>
        <n v="2"/>
        <n v="4"/>
        <n v="6"/>
        <n v="8"/>
        <n v="9"/>
        <n v="13"/>
        <n v="14"/>
        <n v="15"/>
        <n v="16"/>
        <n v="17"/>
        <n v="18"/>
        <n v="20"/>
        <n v="21"/>
        <s v="Palete Estoque"/>
      </sharedItems>
    </cacheField>
    <cacheField name="Fornecedor" numFmtId="0">
      <sharedItems count="2">
        <s v="COLACRIL"/>
        <s v="FASSON"/>
      </sharedItems>
    </cacheField>
    <cacheField name="Largura (mm)" numFmtId="0">
      <sharedItems containsSemiMixedTypes="0" containsString="0" containsNumber="1" containsInteger="1" minValue="60" maxValue="250" count="18">
        <n v="60"/>
        <n v="65"/>
        <n v="70"/>
        <n v="77"/>
        <n v="80"/>
        <n v="86"/>
        <n v="95"/>
        <n v="100"/>
        <n v="105"/>
        <n v="110"/>
        <n v="120"/>
        <n v="180"/>
        <n v="188"/>
        <n v="190"/>
        <n v="210"/>
        <n v="220"/>
        <n v="240"/>
        <n v="250"/>
      </sharedItems>
    </cacheField>
    <cacheField name="Comprimento (m)" numFmtId="0">
      <sharedItems containsSemiMixedTypes="0" containsString="0" containsNumber="1" containsInteger="1" minValue="500" maxValue="1000" count="3">
        <n v="500"/>
        <n v="600"/>
        <n v="1000"/>
      </sharedItems>
    </cacheField>
    <cacheField name="Descrição do Item" numFmtId="0">
      <sharedItems count="2">
        <s v="TÉRMICO COLACRIL"/>
        <s v="TÉRMICO FASSON"/>
      </sharedItems>
    </cacheField>
    <cacheField name="Total Mts Lineares" numFmtId="0">
      <sharedItems containsSemiMixedTypes="0" containsString="0" containsNumber="1" containsInteger="1" minValue="0" maxValue="18000" count="10">
        <n v="0"/>
        <n v="500"/>
        <n v="600"/>
        <n v="1000"/>
        <n v="2000"/>
        <n v="3000"/>
        <n v="4000"/>
        <n v="8000"/>
        <n v="10000"/>
        <n v="18000"/>
      </sharedItems>
    </cacheField>
    <cacheField name="Gramagem" numFmtId="0">
      <sharedItems count="1">
        <s v="20G"/>
      </sharedItems>
    </cacheField>
    <cacheField name="M2" numFmtId="0">
      <sharedItems containsSemiMixedTypes="0" containsString="0" containsNumber="1" minValue="0" maxValue="2100" count="22">
        <n v="0"/>
        <n v="38.5"/>
        <n v="39"/>
        <n v="70"/>
        <n v="77"/>
        <n v="86"/>
        <n v="94"/>
        <n v="100"/>
        <n v="105"/>
        <n v="120"/>
        <n v="160"/>
        <n v="180"/>
        <n v="190"/>
        <n v="220"/>
        <n v="231"/>
        <n v="240"/>
        <n v="308"/>
        <n v="330"/>
        <n v="630"/>
        <n v="1080"/>
        <n v="1760"/>
        <n v="2100"/>
      </sharedItems>
    </cacheField>
    <cacheField name="Grupo" numFmtId="0">
      <sharedItems count="2">
        <s v="FASSON  TERMICO DRY S2045N"/>
        <s v="TÉRMICO COLACRIL"/>
      </sharedItems>
    </cacheField>
    <cacheField name="DATA2" numFmtId="0">
      <sharedItems containsNonDate="0" containsDate="1" containsString="0" containsBlank="1" minDate="2024-04-19T00:00:00" maxDate="2026-06-28T00:00:00" count="16">
        <d v="2024-04-19T00:00:00"/>
        <d v="2024-09-01T00:00:00"/>
        <d v="2024-10-20T00:00:00"/>
        <d v="2025-04-06T00:00:00"/>
        <d v="2025-07-12T00:00:00"/>
        <d v="2025-08-16T00:00:00"/>
        <d v="2025-09-01T00:00:00"/>
        <d v="2025-10-24T00:00:00"/>
        <d v="2025-12-08T00:00:00"/>
        <d v="2026-04-01T00:00:00"/>
        <d v="2026-04-06T00:00:00"/>
        <d v="2026-05-20T00:00:00"/>
        <d v="2026-06-11T00:00:00"/>
        <d v="2026-06-12T00:00:00"/>
        <d v="2026-06-28T00:00:00"/>
        <m/>
      </sharedItems>
    </cacheField>
    <cacheField name="Estoque" numFmtId="0">
      <sharedItems containsSemiMixedTypes="0" containsString="0" containsNumber="1" containsInteger="1" minValue="1" maxValue="18" count="9">
        <n v="1"/>
        <n v="2"/>
        <n v="3"/>
        <n v="4"/>
        <n v="6"/>
        <n v="7"/>
        <n v="8"/>
        <n v="10"/>
        <n v="18"/>
      </sharedItems>
    </cacheField>
    <cacheField name="SAÍDA" numFmtId="0">
      <sharedItems containsString="0" containsBlank="1" containsNumber="1" containsInteger="1" minValue="0" maxValue="8" count="9">
        <n v="0"/>
        <n v="1"/>
        <n v="2"/>
        <n v="3"/>
        <n v="4"/>
        <n v="6"/>
        <n v="7"/>
        <n v="8"/>
        <m/>
      </sharedItems>
    </cacheField>
    <cacheField name="Saldo" numFmtId="0">
      <sharedItems containsSemiMixedTypes="0" containsString="0" containsNumber="1" containsInteger="1" minValue="0" maxValue="18" count="8">
        <n v="0"/>
        <n v="1"/>
        <n v="2"/>
        <n v="3"/>
        <n v="4"/>
        <n v="8"/>
        <n v="10"/>
        <n v="18"/>
      </sharedItems>
    </cacheField>
    <cacheField name="custos" numFmtId="0">
      <sharedItems containsSemiMixedTypes="0" containsString="0" containsNumber="1" minValue="0" maxValue="7140" count="22">
        <n v="0"/>
        <n v="130.9"/>
        <n v="132.6"/>
        <n v="238"/>
        <n v="261.8"/>
        <n v="292.4"/>
        <n v="319.6"/>
        <n v="340"/>
        <n v="357"/>
        <n v="408"/>
        <n v="544"/>
        <n v="612"/>
        <n v="646"/>
        <n v="748"/>
        <n v="785.4"/>
        <n v="816"/>
        <n v="1047.2"/>
        <n v="1122"/>
        <n v="2142"/>
        <n v="3672"/>
        <n v="5984"/>
        <n v="7140"/>
      </sharedItems>
    </cacheField>
    <cacheField name="Observação:" numFmtId="0">
      <sharedItems containsBlank="1" count="2">
        <s v="Boi na brasa, 15 rolos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cordCount="201" createdVersion="3">
  <cacheSource type="worksheet">
    <worksheetSource ref="A1:N202" sheet="BOPP "/>
  </cacheSource>
  <cacheFields count="14">
    <cacheField name="Localização" numFmtId="0">
      <sharedItems containsMixedTypes="1" containsNumber="1" containsInteger="1" minValue="1" maxValue="24" count="18">
        <n v="1"/>
        <n v="2"/>
        <n v="3"/>
        <n v="4"/>
        <n v="5"/>
        <n v="6"/>
        <n v="7"/>
        <n v="8"/>
        <n v="9"/>
        <n v="10"/>
        <n v="11"/>
        <n v="12"/>
        <n v="19"/>
        <n v="20"/>
        <n v="22"/>
        <n v="23"/>
        <n v="24"/>
        <s v="meta"/>
      </sharedItems>
    </cacheField>
    <cacheField name="Fornecedor" numFmtId="0">
      <sharedItems count="3">
        <s v="COLACRIL"/>
        <s v="FASSON"/>
        <s v="RITRAMA"/>
      </sharedItems>
    </cacheField>
    <cacheField name="Largura (mm)" numFmtId="0">
      <sharedItems containsSemiMixedTypes="0" containsString="0" containsNumber="1" containsInteger="1" minValue="30" maxValue="334" count="46">
        <n v="30"/>
        <n v="40"/>
        <n v="60"/>
        <n v="61"/>
        <n v="65"/>
        <n v="70"/>
        <n v="75"/>
        <n v="76"/>
        <n v="80"/>
        <n v="83"/>
        <n v="84"/>
        <n v="85"/>
        <n v="88"/>
        <n v="90"/>
        <n v="95"/>
        <n v="100"/>
        <n v="102"/>
        <n v="105"/>
        <n v="110"/>
        <n v="111"/>
        <n v="112"/>
        <n v="115"/>
        <n v="120"/>
        <n v="125"/>
        <n v="128"/>
        <n v="130"/>
        <n v="131"/>
        <n v="132"/>
        <n v="135"/>
        <n v="140"/>
        <n v="145"/>
        <n v="150"/>
        <n v="155"/>
        <n v="160"/>
        <n v="163"/>
        <n v="165"/>
        <n v="180"/>
        <n v="205"/>
        <n v="210"/>
        <n v="220"/>
        <n v="235"/>
        <n v="240"/>
        <n v="250"/>
        <n v="275"/>
        <n v="333"/>
        <n v="334"/>
      </sharedItems>
    </cacheField>
    <cacheField name="Comprimento (m)" numFmtId="0">
      <sharedItems containsSemiMixedTypes="0" containsString="0" containsNumber="1" containsInteger="1" minValue="500" maxValue="2000" count="8">
        <n v="500"/>
        <n v="600"/>
        <n v="700"/>
        <n v="800"/>
        <n v="1000"/>
        <n v="1100"/>
        <n v="1500"/>
        <n v="2000"/>
      </sharedItems>
    </cacheField>
    <cacheField name="Descrição do Item" numFmtId="0">
      <sharedItems count="14">
        <s v="BOPP BRILHO COLACRIL  NBT "/>
        <s v="BOPP BRILHO COLACRIL BXT  "/>
        <s v="BOPP BRILHO RITRAMA"/>
        <s v="BOPP FOSCO COLACRIL BXT"/>
        <s v="BOPP FOSCO FASSON 20G"/>
        <s v="BOPP FOSCO FASSON 30G"/>
        <s v="BOPP FOSCO RITRAMA"/>
        <s v="BOPP FOSCO RITRAMA BXT"/>
        <s v="BOPP METALIZADO"/>
        <s v="BOPP METALIZADO COLACRIL BXT"/>
        <s v="BOPP TRANSPARENTE COLACRIL BXT"/>
        <s v="BOPP TRANSPARENTE FASSON"/>
        <s v="BOPP TRANSPARENTE RITRAMA"/>
        <s v="BOPP TRANSPARENTE RITRAMA BXT"/>
      </sharedItems>
    </cacheField>
    <cacheField name="Total Mts Lineares" numFmtId="0">
      <sharedItems containsSemiMixedTypes="0" containsString="0" containsNumber="1" containsInteger="1" minValue="0" maxValue="7000" count="14">
        <n v="0"/>
        <n v="500"/>
        <n v="700"/>
        <n v="800"/>
        <n v="1000"/>
        <n v="1500"/>
        <n v="2000"/>
        <n v="3000"/>
        <n v="4000"/>
        <n v="4400"/>
        <n v="4500"/>
        <n v="5000"/>
        <n v="6000"/>
        <n v="7000"/>
      </sharedItems>
    </cacheField>
    <cacheField name="Gramagem" numFmtId="0">
      <sharedItems containsBlank="1" count="3">
        <s v="20G"/>
        <s v="30G"/>
        <m/>
      </sharedItems>
    </cacheField>
    <cacheField name="M2" numFmtId="0">
      <sharedItems containsSemiMixedTypes="0" containsString="0" containsNumber="1" minValue="0" maxValue="1470" count="89">
        <n v="0"/>
        <n v="40"/>
        <n v="50"/>
        <n v="55.5"/>
        <n v="60"/>
        <n v="61.6"/>
        <n v="75"/>
        <n v="76"/>
        <n v="80"/>
        <n v="80.5"/>
        <n v="81.5"/>
        <n v="85"/>
        <n v="90"/>
        <n v="95"/>
        <n v="97.5"/>
        <n v="100"/>
        <n v="102.4"/>
        <n v="105"/>
        <n v="110"/>
        <n v="115"/>
        <n v="117.5"/>
        <n v="120"/>
        <n v="122"/>
        <n v="124.5"/>
        <n v="125"/>
        <n v="127.5"/>
        <n v="130"/>
        <n v="135"/>
        <n v="140"/>
        <n v="142.5"/>
        <n v="147"/>
        <n v="150"/>
        <n v="155"/>
        <n v="160"/>
        <n v="165"/>
        <n v="166"/>
        <n v="166.5"/>
        <n v="168"/>
        <n v="176"/>
        <n v="180"/>
        <n v="190"/>
        <n v="200"/>
        <n v="205"/>
        <n v="210"/>
        <n v="217.5"/>
        <n v="220"/>
        <n v="225"/>
        <n v="230"/>
        <n v="235"/>
        <n v="240"/>
        <n v="247.5"/>
        <n v="250"/>
        <n v="255"/>
        <n v="260"/>
        <n v="270"/>
        <n v="275"/>
        <n v="280"/>
        <n v="285"/>
        <n v="290"/>
        <n v="307.5"/>
        <n v="310"/>
        <n v="315"/>
        <n v="330"/>
        <n v="333"/>
        <n v="334"/>
        <n v="345"/>
        <n v="375"/>
        <n v="393"/>
        <n v="396"/>
        <n v="400"/>
        <n v="440"/>
        <n v="450"/>
        <n v="465"/>
        <n v="480"/>
        <n v="504"/>
        <n v="520"/>
        <n v="580"/>
        <n v="600"/>
        <n v="620"/>
        <n v="630"/>
        <n v="660"/>
        <n v="666"/>
        <n v="668"/>
        <n v="840"/>
        <n v="940"/>
        <n v="945"/>
        <n v="1056"/>
        <n v="1260"/>
        <n v="1470"/>
      </sharedItems>
    </cacheField>
    <cacheField name="Grupo" numFmtId="0">
      <sharedItems count="15">
        <s v="2102 - PP TC8 GLOSS WHITE CAV  60 / AP901/ WG55"/>
        <s v="7182 - PP MATT WHITE CAV  60 / AP903/ WG55"/>
        <s v="BOPP BCO BRILHO 60 M / ADC 1000/60GR"/>
        <s v="BOPP BCO BRILHO 60 M / ADC 210/60GR"/>
        <s v="BOPP BCO FOSCO 60 M / ADC 1000/60GR"/>
        <s v="BOPP MATT WHITE / NTC /  AP 901 "/>
        <s v="BOPP MATT WHITE / TC  / AP 903 BX TEMP"/>
        <s v="BOPP MET. FOSCO 60 M / ADC 1000/60GR"/>
        <s v="BOPP MET. FOSCO 60 M / ADC 210/60GR"/>
        <s v="BOPP TRANSP / TC / ADC 1000/60GR"/>
        <s v="FASSON PP FOSCO NTC S0290"/>
        <s v="PP BCO FOSCO NTC / S2075N "/>
        <s v="PP TRANSP NTC S0290 "/>
        <s v="RITRAMA 8046"/>
        <s v="RITRAMA 901"/>
      </sharedItems>
    </cacheField>
    <cacheField name="DATA2" numFmtId="0">
      <sharedItems containsNonDate="0" containsDate="1" containsString="0" containsBlank="1" minDate="2006-03-23T00:00:00" maxDate="2026-06-30T00:00:00" count="68">
        <d v="2006-03-23T00:00:00"/>
        <d v="2006-04-09T00:00:00"/>
        <d v="2015-03-04T00:00:00"/>
        <d v="2019-03-12T00:00:00"/>
        <d v="2020-04-20T00:00:00"/>
        <d v="2020-09-08T00:00:00"/>
        <d v="2023-01-20T00:00:00"/>
        <d v="2023-12-08T00:00:00"/>
        <d v="2024-02-19T00:00:00"/>
        <d v="2024-04-05T00:00:00"/>
        <d v="2024-05-06T00:00:00"/>
        <d v="2024-06-22T00:00:00"/>
        <d v="2024-08-01T00:00:00"/>
        <d v="2024-08-07T00:00:00"/>
        <d v="2024-10-19T00:00:00"/>
        <d v="2024-10-20T00:00:00"/>
        <d v="2024-11-10T00:00:00"/>
        <d v="2024-11-12T00:00:00"/>
        <d v="2024-12-09T00:00:00"/>
        <d v="2025-02-07T00:00:00"/>
        <d v="2025-02-11T00:00:00"/>
        <d v="2025-02-16T00:00:00"/>
        <d v="2025-02-25T00:00:00"/>
        <d v="2025-02-27T00:00:00"/>
        <d v="2025-03-18T00:00:00"/>
        <d v="2025-04-05T00:00:00"/>
        <d v="2025-05-07T00:00:00"/>
        <d v="2025-06-01T00:00:00"/>
        <d v="2025-06-04T00:00:00"/>
        <d v="2025-06-18T00:00:00"/>
        <d v="2025-07-03T00:00:00"/>
        <d v="2025-07-11T00:00:00"/>
        <d v="2025-07-12T00:00:00"/>
        <d v="2025-07-30T00:00:00"/>
        <d v="2025-08-02T00:00:00"/>
        <d v="2025-09-19T00:00:00"/>
        <d v="2025-09-24T00:00:00"/>
        <d v="2025-09-30T00:00:00"/>
        <d v="2025-10-01T00:00:00"/>
        <d v="2025-10-23T00:00:00"/>
        <d v="2025-10-29T00:00:00"/>
        <d v="2025-11-22T00:00:00"/>
        <d v="2025-12-01T00:00:00"/>
        <d v="2025-12-06T00:00:00"/>
        <d v="2025-12-07T00:00:00"/>
        <d v="2025-12-17T00:00:00"/>
        <d v="2026-02-08T00:00:00"/>
        <d v="2026-02-16T00:00:00"/>
        <d v="2026-03-04T00:00:00"/>
        <d v="2026-03-05T00:00:00"/>
        <d v="2026-03-08T00:00:00"/>
        <d v="2026-03-18T00:00:00"/>
        <d v="2026-03-23T00:00:00"/>
        <d v="2026-03-28T00:00:00"/>
        <d v="2026-03-29T00:00:00"/>
        <d v="2026-03-30T00:00:00"/>
        <d v="2026-04-02T00:00:00"/>
        <d v="2026-04-09T00:00:00"/>
        <d v="2026-05-08T00:00:00"/>
        <d v="2026-05-11T00:00:00"/>
        <d v="2026-05-21T00:00:00"/>
        <d v="2026-05-27T00:00:00"/>
        <d v="2026-06-02T00:00:00"/>
        <d v="2026-06-03T00:00:00"/>
        <d v="2026-06-04T00:00:00"/>
        <d v="2026-06-21T00:00:00"/>
        <d v="2026-06-30T00:00:00"/>
        <m/>
      </sharedItems>
    </cacheField>
    <cacheField name="Estoque" numFmtId="0">
      <sharedItems containsSemiMixedTypes="0" containsString="0" containsNumber="1" containsInteger="1" minValue="0" maxValue="9" count="9">
        <n v="0"/>
        <n v="1"/>
        <n v="2"/>
        <n v="3"/>
        <n v="4"/>
        <n v="5"/>
        <n v="6"/>
        <n v="7"/>
        <n v="9"/>
      </sharedItems>
    </cacheField>
    <cacheField name="SAÍDA" numFmtId="0">
      <sharedItems containsString="0" containsBlank="1" containsNumber="1" containsInteger="1" minValue="1" maxValue="7" count="6">
        <n v="1"/>
        <n v="2"/>
        <n v="3"/>
        <n v="5"/>
        <n v="7"/>
        <m/>
      </sharedItems>
    </cacheField>
    <cacheField name="Saldo" numFmtId="0">
      <sharedItems containsSemiMixedTypes="0" containsString="0" containsNumber="1" containsInteger="1" minValue="0" maxValue="7" count="8">
        <n v="0"/>
        <n v="1"/>
        <n v="2"/>
        <n v="3"/>
        <n v="4"/>
        <n v="5"/>
        <n v="6"/>
        <n v="7"/>
      </sharedItems>
    </cacheField>
    <cacheField name="custos" numFmtId="0">
      <sharedItems containsSemiMixedTypes="0" containsString="0" containsNumber="1" minValue="0" maxValue="9450" count="116">
        <n v="0"/>
        <n v="300"/>
        <n v="305.25"/>
        <n v="330"/>
        <n v="338.8"/>
        <n v="375"/>
        <n v="390"/>
        <n v="450"/>
        <n v="520"/>
        <n v="523.25"/>
        <n v="550"/>
        <n v="562.5"/>
        <n v="570"/>
        <n v="585"/>
        <n v="600"/>
        <n v="611.25"/>
        <n v="617.5"/>
        <n v="632.5"/>
        <n v="633.75"/>
        <n v="637.5"/>
        <n v="675"/>
        <n v="682.5"/>
        <n v="715"/>
        <n v="750"/>
        <n v="763.75"/>
        <n v="765"/>
        <n v="768"/>
        <n v="770"/>
        <n v="780"/>
        <n v="787.5"/>
        <n v="825"/>
        <n v="828.75"/>
        <n v="845"/>
        <n v="850"/>
        <n v="877.5"/>
        <n v="880"/>
        <n v="900"/>
        <n v="910"/>
        <n v="915"/>
        <n v="915.75"/>
        <n v="933.75"/>
        <n v="937.5"/>
        <n v="975"/>
        <n v="1007.5"/>
        <n v="1040"/>
        <n v="1068.75"/>
        <n v="1072.5"/>
        <n v="1102.5"/>
        <n v="1144"/>
        <n v="1155"/>
        <n v="1162.5"/>
        <n v="1170"/>
        <n v="1200"/>
        <n v="1210"/>
        <n v="1235"/>
        <n v="1245"/>
        <n v="1260"/>
        <n v="1265"/>
        <n v="1430"/>
        <n v="1462.5"/>
        <n v="1495"/>
        <n v="1500"/>
        <n v="1530"/>
        <n v="1537.5"/>
        <n v="1560"/>
        <n v="1575"/>
        <n v="1608.75"/>
        <n v="1650"/>
        <n v="1657.5"/>
        <n v="1755"/>
        <n v="1762.5"/>
        <n v="1800"/>
        <n v="1820"/>
        <n v="1848.75"/>
        <n v="1852.5"/>
        <n v="1875"/>
        <n v="1897.5"/>
        <n v="1950"/>
        <n v="2047.5"/>
        <n v="2062.5"/>
        <n v="2137.5"/>
        <n v="2175"/>
        <n v="2200"/>
        <n v="2306.25"/>
        <n v="2325"/>
        <n v="2362.5"/>
        <n v="2420"/>
        <n v="2475"/>
        <n v="2497.5"/>
        <n v="2505"/>
        <n v="2805"/>
        <n v="2812.5"/>
        <n v="2860"/>
        <n v="2925"/>
        <n v="2947.5"/>
        <n v="2970"/>
        <n v="3022.5"/>
        <n v="3276"/>
        <n v="3410"/>
        <n v="3600"/>
        <n v="3674"/>
        <n v="3770"/>
        <n v="4030"/>
        <n v="4095"/>
        <n v="4290"/>
        <n v="4350"/>
        <n v="4500"/>
        <n v="4725"/>
        <n v="4995"/>
        <n v="6110"/>
        <n v="6300"/>
        <n v="6930"/>
        <n v="7087.5"/>
        <n v="7920"/>
        <n v="8085"/>
        <n v="9450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cordCount="170" createdVersion="3">
  <cacheSource type="worksheet">
    <worksheetSource ref="A1:N171" sheet="BOPP "/>
  </cacheSource>
  <cacheFields count="14">
    <cacheField name="Localização" numFmtId="0">
      <sharedItems containsMixedTypes="1" containsNumber="1" containsInteger="1" minValue="1" maxValue="24" count="18">
        <n v="1"/>
        <n v="2"/>
        <n v="3"/>
        <n v="4"/>
        <n v="5"/>
        <n v="6"/>
        <n v="7"/>
        <n v="8"/>
        <n v="9"/>
        <n v="10"/>
        <n v="11"/>
        <n v="12"/>
        <n v="19"/>
        <n v="20"/>
        <n v="22"/>
        <n v="23"/>
        <n v="24"/>
        <s v="meta"/>
      </sharedItems>
    </cacheField>
    <cacheField name="Fornecedor" numFmtId="0">
      <sharedItems count="3">
        <s v="COLACRIL"/>
        <s v="FASSON"/>
        <s v="RITRAMA"/>
      </sharedItems>
    </cacheField>
    <cacheField name="Largura (mm)" numFmtId="0">
      <sharedItems containsSemiMixedTypes="0" containsString="0" containsNumber="1" containsInteger="1" minValue="30" maxValue="210" count="39">
        <n v="30"/>
        <n v="40"/>
        <n v="60"/>
        <n v="61"/>
        <n v="65"/>
        <n v="70"/>
        <n v="75"/>
        <n v="76"/>
        <n v="80"/>
        <n v="83"/>
        <n v="84"/>
        <n v="85"/>
        <n v="88"/>
        <n v="90"/>
        <n v="95"/>
        <n v="100"/>
        <n v="102"/>
        <n v="105"/>
        <n v="110"/>
        <n v="111"/>
        <n v="112"/>
        <n v="115"/>
        <n v="120"/>
        <n v="125"/>
        <n v="128"/>
        <n v="130"/>
        <n v="131"/>
        <n v="132"/>
        <n v="135"/>
        <n v="140"/>
        <n v="145"/>
        <n v="150"/>
        <n v="155"/>
        <n v="160"/>
        <n v="163"/>
        <n v="165"/>
        <n v="180"/>
        <n v="205"/>
        <n v="210"/>
      </sharedItems>
    </cacheField>
    <cacheField name="Comprimento (m)" numFmtId="0">
      <sharedItems containsSemiMixedTypes="0" containsString="0" containsNumber="1" containsInteger="1" minValue="500" maxValue="2000" count="7">
        <n v="500"/>
        <n v="600"/>
        <n v="700"/>
        <n v="800"/>
        <n v="1000"/>
        <n v="1500"/>
        <n v="2000"/>
      </sharedItems>
    </cacheField>
    <cacheField name="Descrição do Item" numFmtId="0">
      <sharedItems count="14">
        <s v="BOPP BRILHO COLACRIL  NBT "/>
        <s v="BOPP BRILHO COLACRIL BXT  "/>
        <s v="BOPP BRILHO RITRAMA"/>
        <s v="BOPP FOSCO COLACRIL BXT"/>
        <s v="BOPP FOSCO FASSON 20G"/>
        <s v="BOPP FOSCO FASSON 30G"/>
        <s v="BOPP FOSCO RITRAMA"/>
        <s v="BOPP FOSCO RITRAMA BXT"/>
        <s v="BOPP METALIZADO"/>
        <s v="BOPP METALIZADO COLACRIL BXT"/>
        <s v="BOPP TRANSPARENTE COLACRIL BXT"/>
        <s v="BOPP TRANSPARENTE FASSON"/>
        <s v="BOPP TRANSPARENTE RITRAMA"/>
        <s v="BOPP TRANSPARENTE RITRAMA BXT"/>
      </sharedItems>
    </cacheField>
    <cacheField name="Total Mts Lineares" numFmtId="0">
      <sharedItems containsSemiMixedTypes="0" containsString="0" containsNumber="1" containsInteger="1" minValue="0" maxValue="6000" count="12">
        <n v="0"/>
        <n v="500"/>
        <n v="700"/>
        <n v="800"/>
        <n v="1000"/>
        <n v="1500"/>
        <n v="2000"/>
        <n v="3000"/>
        <n v="4000"/>
        <n v="4500"/>
        <n v="5000"/>
        <n v="6000"/>
      </sharedItems>
    </cacheField>
    <cacheField name="Gramagem" numFmtId="0">
      <sharedItems containsBlank="1" count="3">
        <s v="20G"/>
        <s v="30G"/>
        <m/>
      </sharedItems>
    </cacheField>
    <cacheField name="M2" numFmtId="0">
      <sharedItems containsSemiMixedTypes="0" containsString="0" containsNumber="1" minValue="0" maxValue="1260" count="75">
        <n v="0"/>
        <n v="40"/>
        <n v="50"/>
        <n v="55.5"/>
        <n v="60"/>
        <n v="61.6"/>
        <n v="75"/>
        <n v="76"/>
        <n v="80"/>
        <n v="80.5"/>
        <n v="81.5"/>
        <n v="85"/>
        <n v="90"/>
        <n v="95"/>
        <n v="97.5"/>
        <n v="100"/>
        <n v="102.4"/>
        <n v="105"/>
        <n v="110"/>
        <n v="115"/>
        <n v="120"/>
        <n v="122"/>
        <n v="124.5"/>
        <n v="125"/>
        <n v="127.5"/>
        <n v="130"/>
        <n v="135"/>
        <n v="140"/>
        <n v="142.5"/>
        <n v="147"/>
        <n v="150"/>
        <n v="155"/>
        <n v="160"/>
        <n v="165"/>
        <n v="166"/>
        <n v="168"/>
        <n v="180"/>
        <n v="190"/>
        <n v="200"/>
        <n v="205"/>
        <n v="210"/>
        <n v="217.5"/>
        <n v="220"/>
        <n v="225"/>
        <n v="230"/>
        <n v="240"/>
        <n v="247.5"/>
        <n v="250"/>
        <n v="255"/>
        <n v="260"/>
        <n v="270"/>
        <n v="280"/>
        <n v="285"/>
        <n v="290"/>
        <n v="307.5"/>
        <n v="310"/>
        <n v="315"/>
        <n v="330"/>
        <n v="345"/>
        <n v="393"/>
        <n v="396"/>
        <n v="400"/>
        <n v="440"/>
        <n v="450"/>
        <n v="465"/>
        <n v="480"/>
        <n v="504"/>
        <n v="520"/>
        <n v="580"/>
        <n v="600"/>
        <n v="620"/>
        <n v="630"/>
        <n v="840"/>
        <n v="945"/>
        <n v="1260"/>
      </sharedItems>
    </cacheField>
    <cacheField name="Grupo" numFmtId="0">
      <sharedItems count="14">
        <s v="2102 - PP TC8 GLOSS WHITE CAV  60 / AP901/ WG55"/>
        <s v="7182 - PP MATT WHITE CAV  60 / AP903/ WG55"/>
        <s v="BOPP BCO BRILHO 60 M / ADC 1000/60GR"/>
        <s v="BOPP BCO BRILHO 60 M / ADC 210/60GR"/>
        <s v="BOPP BCO FOSCO 60 M / ADC 1000/60GR"/>
        <s v="BOPP MATT WHITE / NTC /  AP 901 "/>
        <s v="BOPP MATT WHITE / TC  / AP 903 BX TEMP"/>
        <s v="BOPP MET. FOSCO 60 M / ADC 1000/60GR"/>
        <s v="BOPP TRANSP / TC / ADC 1000/60GR"/>
        <s v="FASSON PP FOSCO NTC S0290"/>
        <s v="PP BCO FOSCO NTC / S2075N "/>
        <s v="PP TRANSP NTC S0290 "/>
        <s v="RITRAMA 8046"/>
        <s v="RITRAMA 901"/>
      </sharedItems>
    </cacheField>
    <cacheField name="DATA2" numFmtId="0">
      <sharedItems containsNonDate="0" containsDate="1" containsString="0" containsBlank="1" minDate="2006-03-23T00:00:00" maxDate="2026-06-30T00:00:00" count="63">
        <d v="2006-03-23T00:00:00"/>
        <d v="2006-04-09T00:00:00"/>
        <d v="2015-03-04T00:00:00"/>
        <d v="2019-03-12T00:00:00"/>
        <d v="2020-04-20T00:00:00"/>
        <d v="2020-09-08T00:00:00"/>
        <d v="2023-01-20T00:00:00"/>
        <d v="2023-12-08T00:00:00"/>
        <d v="2024-02-19T00:00:00"/>
        <d v="2024-04-05T00:00:00"/>
        <d v="2024-05-06T00:00:00"/>
        <d v="2024-06-22T00:00:00"/>
        <d v="2024-08-01T00:00:00"/>
        <d v="2024-08-07T00:00:00"/>
        <d v="2024-10-20T00:00:00"/>
        <d v="2024-11-10T00:00:00"/>
        <d v="2024-11-12T00:00:00"/>
        <d v="2024-12-09T00:00:00"/>
        <d v="2025-02-07T00:00:00"/>
        <d v="2025-02-11T00:00:00"/>
        <d v="2025-02-16T00:00:00"/>
        <d v="2025-02-25T00:00:00"/>
        <d v="2025-02-27T00:00:00"/>
        <d v="2025-03-18T00:00:00"/>
        <d v="2025-05-07T00:00:00"/>
        <d v="2025-06-01T00:00:00"/>
        <d v="2025-06-04T00:00:00"/>
        <d v="2025-06-18T00:00:00"/>
        <d v="2025-07-03T00:00:00"/>
        <d v="2025-07-11T00:00:00"/>
        <d v="2025-07-12T00:00:00"/>
        <d v="2025-07-30T00:00:00"/>
        <d v="2025-08-02T00:00:00"/>
        <d v="2025-09-19T00:00:00"/>
        <d v="2025-09-24T00:00:00"/>
        <d v="2025-09-30T00:00:00"/>
        <d v="2025-10-01T00:00:00"/>
        <d v="2025-10-23T00:00:00"/>
        <d v="2025-10-29T00:00:00"/>
        <d v="2025-11-22T00:00:00"/>
        <d v="2025-12-01T00:00:00"/>
        <d v="2025-12-06T00:00:00"/>
        <d v="2025-12-07T00:00:00"/>
        <d v="2025-12-17T00:00:00"/>
        <d v="2026-02-16T00:00:00"/>
        <d v="2026-03-04T00:00:00"/>
        <d v="2026-03-05T00:00:00"/>
        <d v="2026-03-08T00:00:00"/>
        <d v="2026-03-18T00:00:00"/>
        <d v="2026-03-28T00:00:00"/>
        <d v="2026-03-29T00:00:00"/>
        <d v="2026-03-30T00:00:00"/>
        <d v="2026-04-02T00:00:00"/>
        <d v="2026-04-09T00:00:00"/>
        <d v="2026-05-08T00:00:00"/>
        <d v="2026-05-11T00:00:00"/>
        <d v="2026-05-21T00:00:00"/>
        <d v="2026-05-27T00:00:00"/>
        <d v="2026-06-02T00:00:00"/>
        <d v="2026-06-03T00:00:00"/>
        <d v="2026-06-21T00:00:00"/>
        <d v="2026-06-30T00:00:00"/>
        <m/>
      </sharedItems>
    </cacheField>
    <cacheField name="Estoque" numFmtId="0">
      <sharedItems containsSemiMixedTypes="0" containsString="0" containsNumber="1" containsInteger="1" minValue="0" maxValue="9" count="9">
        <n v="0"/>
        <n v="1"/>
        <n v="2"/>
        <n v="3"/>
        <n v="4"/>
        <n v="5"/>
        <n v="6"/>
        <n v="7"/>
        <n v="9"/>
      </sharedItems>
    </cacheField>
    <cacheField name="SAÍDA" numFmtId="0">
      <sharedItems containsString="0" containsBlank="1" containsNumber="1" containsInteger="1" minValue="1" maxValue="7" count="6">
        <n v="1"/>
        <n v="2"/>
        <n v="3"/>
        <n v="5"/>
        <n v="7"/>
        <m/>
      </sharedItems>
    </cacheField>
    <cacheField name="Saldo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custos" numFmtId="0">
      <sharedItems containsSemiMixedTypes="0" containsString="0" containsNumber="1" minValue="0" maxValue="9450" count="99">
        <n v="0"/>
        <n v="300"/>
        <n v="305.25"/>
        <n v="330"/>
        <n v="338.8"/>
        <n v="375"/>
        <n v="390"/>
        <n v="450"/>
        <n v="520"/>
        <n v="523.25"/>
        <n v="550"/>
        <n v="562.5"/>
        <n v="570"/>
        <n v="585"/>
        <n v="600"/>
        <n v="611.25"/>
        <n v="617.5"/>
        <n v="632.5"/>
        <n v="633.75"/>
        <n v="637.5"/>
        <n v="675"/>
        <n v="682.5"/>
        <n v="715"/>
        <n v="750"/>
        <n v="765"/>
        <n v="768"/>
        <n v="770"/>
        <n v="780"/>
        <n v="787.5"/>
        <n v="825"/>
        <n v="828.75"/>
        <n v="845"/>
        <n v="850"/>
        <n v="877.5"/>
        <n v="880"/>
        <n v="900"/>
        <n v="910"/>
        <n v="915"/>
        <n v="933.75"/>
        <n v="937.5"/>
        <n v="975"/>
        <n v="1007.5"/>
        <n v="1040"/>
        <n v="1068.75"/>
        <n v="1072.5"/>
        <n v="1102.5"/>
        <n v="1155"/>
        <n v="1162.5"/>
        <n v="1170"/>
        <n v="1200"/>
        <n v="1210"/>
        <n v="1235"/>
        <n v="1245"/>
        <n v="1260"/>
        <n v="1265"/>
        <n v="1462.5"/>
        <n v="1495"/>
        <n v="1500"/>
        <n v="1530"/>
        <n v="1537.5"/>
        <n v="1560"/>
        <n v="1575"/>
        <n v="1608.75"/>
        <n v="1650"/>
        <n v="1657.5"/>
        <n v="1755"/>
        <n v="1800"/>
        <n v="1820"/>
        <n v="1848.75"/>
        <n v="1852.5"/>
        <n v="1875"/>
        <n v="1897.5"/>
        <n v="1950"/>
        <n v="2047.5"/>
        <n v="2137.5"/>
        <n v="2175"/>
        <n v="2200"/>
        <n v="2306.25"/>
        <n v="2325"/>
        <n v="2362.5"/>
        <n v="2420"/>
        <n v="2475"/>
        <n v="2860"/>
        <n v="2925"/>
        <n v="2947.5"/>
        <n v="2970"/>
        <n v="3022.5"/>
        <n v="3276"/>
        <n v="3410"/>
        <n v="3600"/>
        <n v="3770"/>
        <n v="4030"/>
        <n v="4095"/>
        <n v="4350"/>
        <n v="4500"/>
        <n v="4725"/>
        <n v="6300"/>
        <n v="7087.5"/>
        <n v="9450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cordCount="1957" createdVersion="3">
  <cacheSource type="worksheet">
    <worksheetSource ref="A1:F1958" sheet="Descrição das OS´s"/>
  </cacheSource>
  <cacheFields count="6">
    <cacheField name="OS" numFmtId="0">
      <sharedItems containsBlank="1" containsMixedTypes="1" containsNumber="1" containsInteger="1" minValue="2" maxValue="2704011" count="1406">
        <n v="2"/>
        <n v="3"/>
        <n v="4"/>
        <n v="5"/>
        <n v="6"/>
        <n v="9"/>
        <n v="12"/>
        <n v="13"/>
        <n v="14"/>
        <n v="15"/>
        <n v="16"/>
        <n v="17"/>
        <n v="19"/>
        <n v="20"/>
        <n v="23"/>
        <n v="24"/>
        <n v="25"/>
        <n v="26"/>
        <n v="27"/>
        <n v="28"/>
        <n v="29"/>
        <n v="30"/>
        <n v="31"/>
        <n v="32"/>
        <n v="33"/>
        <n v="36"/>
        <n v="38"/>
        <n v="40"/>
        <n v="41"/>
        <n v="42"/>
        <n v="43"/>
        <n v="45"/>
        <n v="46"/>
        <n v="47"/>
        <n v="48"/>
        <n v="49"/>
        <n v="50"/>
        <n v="51"/>
        <n v="52"/>
        <n v="57"/>
        <n v="58"/>
        <n v="61"/>
        <n v="62"/>
        <n v="65"/>
        <n v="66"/>
        <n v="67"/>
        <n v="100"/>
        <n v="109"/>
        <n v="117"/>
        <n v="120"/>
        <n v="131"/>
        <n v="134"/>
        <n v="138"/>
        <n v="139"/>
        <n v="140"/>
        <n v="141"/>
        <n v="142"/>
        <n v="144"/>
        <n v="145"/>
        <n v="147"/>
        <n v="148"/>
        <n v="150"/>
        <n v="151"/>
        <n v="153"/>
        <n v="154"/>
        <n v="155"/>
        <n v="156"/>
        <n v="157"/>
        <n v="158"/>
        <n v="159"/>
        <n v="161"/>
        <n v="162"/>
        <n v="163"/>
        <n v="165"/>
        <n v="168"/>
        <n v="169"/>
        <n v="172"/>
        <n v="173"/>
        <n v="174"/>
        <n v="175"/>
        <n v="176"/>
        <n v="177"/>
        <n v="178"/>
        <n v="179"/>
        <n v="183"/>
        <n v="184"/>
        <n v="185"/>
        <n v="187"/>
        <n v="188"/>
        <n v="190"/>
        <n v="191"/>
        <n v="192"/>
        <n v="193"/>
        <n v="194"/>
        <n v="195"/>
        <n v="196"/>
        <n v="197"/>
        <n v="199"/>
        <n v="202"/>
        <n v="203"/>
        <n v="204"/>
        <n v="206"/>
        <n v="207"/>
        <n v="208"/>
        <n v="210"/>
        <n v="212"/>
        <n v="215"/>
        <n v="217"/>
        <n v="218"/>
        <n v="220"/>
        <n v="221"/>
        <n v="223"/>
        <n v="224"/>
        <n v="225"/>
        <n v="228"/>
        <n v="232"/>
        <n v="233"/>
        <n v="236"/>
        <n v="240"/>
        <n v="241"/>
        <n v="242"/>
        <n v="243"/>
        <n v="244"/>
        <n v="245"/>
        <n v="246"/>
        <n v="305"/>
        <n v="309"/>
        <n v="310"/>
        <n v="312"/>
        <n v="317"/>
        <n v="322"/>
        <n v="325"/>
        <n v="327"/>
        <n v="329"/>
        <n v="330"/>
        <n v="331"/>
        <n v="332"/>
        <n v="333"/>
        <n v="336"/>
        <n v="337"/>
        <n v="339"/>
        <n v="340"/>
        <n v="341"/>
        <n v="343"/>
        <n v="344"/>
        <n v="345"/>
        <n v="346"/>
        <n v="348"/>
        <n v="349"/>
        <n v="350"/>
        <n v="351"/>
        <n v="352"/>
        <n v="353"/>
        <n v="354"/>
        <n v="355"/>
        <n v="356"/>
        <n v="357"/>
        <n v="359"/>
        <n v="361"/>
        <n v="362"/>
        <n v="363"/>
        <n v="364"/>
        <n v="365"/>
        <n v="367"/>
        <n v="368"/>
        <n v="369"/>
        <n v="370"/>
        <n v="371"/>
        <n v="372"/>
        <n v="373"/>
        <n v="374"/>
        <n v="376"/>
        <n v="378"/>
        <n v="379"/>
        <n v="380"/>
        <n v="381"/>
        <n v="382"/>
        <n v="384"/>
        <n v="385"/>
        <n v="386"/>
        <n v="387"/>
        <n v="389"/>
        <n v="390"/>
        <n v="391"/>
        <n v="392"/>
        <n v="393"/>
        <n v="394"/>
        <n v="395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5"/>
        <n v="416"/>
        <n v="418"/>
        <n v="419"/>
        <n v="420"/>
        <n v="421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2"/>
        <n v="493"/>
        <n v="494"/>
        <n v="495"/>
        <n v="497"/>
        <n v="498"/>
        <n v="499"/>
        <n v="500"/>
        <n v="501"/>
        <n v="502"/>
        <n v="503"/>
        <n v="504"/>
        <n v="505"/>
        <n v="506"/>
        <n v="507"/>
        <n v="509"/>
        <n v="510"/>
        <n v="511"/>
        <n v="517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4"/>
        <n v="535"/>
        <n v="537"/>
        <n v="538"/>
        <n v="539"/>
        <n v="540"/>
        <n v="541"/>
        <n v="542"/>
        <n v="544"/>
        <n v="545"/>
        <n v="546"/>
        <n v="547"/>
        <n v="548"/>
        <n v="549"/>
        <n v="550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8"/>
        <n v="570"/>
        <n v="571"/>
        <n v="572"/>
        <n v="573"/>
        <n v="574"/>
        <n v="576"/>
        <n v="579"/>
        <n v="581"/>
        <n v="582"/>
        <n v="583"/>
        <n v="585"/>
        <n v="586"/>
        <n v="589"/>
        <n v="591"/>
        <n v="592"/>
        <n v="593"/>
        <n v="594"/>
        <n v="595"/>
        <n v="596"/>
        <n v="597"/>
        <n v="598"/>
        <n v="600"/>
        <n v="601"/>
        <n v="603"/>
        <n v="604"/>
        <n v="605"/>
        <n v="606"/>
        <n v="607"/>
        <n v="608"/>
        <n v="609"/>
        <n v="610"/>
        <n v="611"/>
        <n v="612"/>
        <n v="615"/>
        <n v="618"/>
        <n v="619"/>
        <n v="621"/>
        <n v="622"/>
        <n v="623"/>
        <n v="624"/>
        <n v="625"/>
        <n v="626"/>
        <n v="628"/>
        <n v="629"/>
        <n v="630"/>
        <n v="631"/>
        <n v="632"/>
        <n v="633"/>
        <n v="634"/>
        <n v="635"/>
        <n v="636"/>
        <n v="638"/>
        <n v="639"/>
        <n v="640"/>
        <n v="641"/>
        <n v="642"/>
        <n v="643"/>
        <n v="644"/>
        <n v="645"/>
        <n v="646"/>
        <n v="648"/>
        <n v="650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8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7"/>
        <n v="698"/>
        <n v="699"/>
        <n v="700"/>
        <n v="701"/>
        <n v="702"/>
        <n v="703"/>
        <n v="704"/>
        <n v="705"/>
        <n v="707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3"/>
        <n v="724"/>
        <n v="725"/>
        <n v="727"/>
        <n v="728"/>
        <n v="729"/>
        <n v="730"/>
        <n v="731"/>
        <n v="734"/>
        <n v="735"/>
        <n v="736"/>
        <n v="737"/>
        <n v="738"/>
        <n v="739"/>
        <n v="740"/>
        <n v="741"/>
        <n v="742"/>
        <n v="743"/>
        <n v="744"/>
        <n v="745"/>
        <n v="747"/>
        <n v="750"/>
        <n v="751"/>
        <n v="752"/>
        <n v="753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3"/>
        <n v="774"/>
        <n v="777"/>
        <n v="778"/>
        <n v="780"/>
        <n v="781"/>
        <n v="783"/>
        <n v="784"/>
        <n v="785"/>
        <n v="786"/>
        <n v="787"/>
        <n v="788"/>
        <n v="789"/>
        <n v="790"/>
        <n v="791"/>
        <n v="792"/>
        <n v="796"/>
        <n v="799"/>
        <n v="801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3"/>
        <n v="845"/>
        <n v="846"/>
        <n v="847"/>
        <n v="848"/>
        <n v="849"/>
        <n v="850"/>
        <n v="851"/>
        <n v="852"/>
        <n v="853"/>
        <n v="855"/>
        <n v="857"/>
        <n v="858"/>
        <n v="861"/>
        <n v="862"/>
        <n v="863"/>
        <n v="864"/>
        <n v="865"/>
        <n v="867"/>
        <n v="868"/>
        <n v="869"/>
        <n v="870"/>
        <n v="871"/>
        <n v="872"/>
        <n v="873"/>
        <n v="874"/>
        <n v="878"/>
        <n v="891"/>
        <n v="894"/>
        <n v="895"/>
        <n v="896"/>
        <n v="898"/>
        <n v="899"/>
        <n v="902"/>
        <n v="905"/>
        <n v="906"/>
        <n v="908"/>
        <n v="964"/>
        <n v="979"/>
        <n v="982"/>
        <n v="983"/>
        <n v="985"/>
        <n v="986"/>
        <n v="987"/>
        <n v="988"/>
        <n v="990"/>
        <n v="991"/>
        <n v="992"/>
        <n v="995"/>
        <n v="998"/>
        <n v="1001"/>
        <n v="1002"/>
        <n v="1006"/>
        <n v="1007"/>
        <n v="1009"/>
        <n v="1015"/>
        <n v="1017"/>
        <n v="1021"/>
        <n v="1025"/>
        <n v="1028"/>
        <n v="1029"/>
        <n v="1035"/>
        <n v="1036"/>
        <n v="1037"/>
        <n v="1039"/>
        <n v="1040"/>
        <n v="1041"/>
        <n v="1042"/>
        <n v="1043"/>
        <n v="1044"/>
        <n v="1045"/>
        <n v="1046"/>
        <n v="1047"/>
        <n v="1048"/>
        <n v="1050"/>
        <n v="1051"/>
        <n v="1052"/>
        <n v="1053"/>
        <n v="1055"/>
        <n v="1056"/>
        <n v="1057"/>
        <n v="1058"/>
        <n v="1059"/>
        <n v="1061"/>
        <n v="1062"/>
        <n v="1063"/>
        <n v="1066"/>
        <n v="1067"/>
        <n v="1068"/>
        <n v="1069"/>
        <n v="1070"/>
        <n v="1071"/>
        <n v="1073"/>
        <n v="1074"/>
        <n v="1075"/>
        <n v="1076"/>
        <n v="1077"/>
        <n v="1078"/>
        <n v="1079"/>
        <n v="1080"/>
        <n v="1081"/>
        <n v="1083"/>
        <n v="1084"/>
        <n v="1085"/>
        <n v="1092"/>
        <n v="1093"/>
        <n v="1096"/>
        <n v="1097"/>
        <n v="1099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8"/>
        <n v="1119"/>
        <n v="1120"/>
        <n v="1121"/>
        <n v="1123"/>
        <n v="1125"/>
        <n v="1126"/>
        <n v="1128"/>
        <n v="1129"/>
        <n v="1130"/>
        <n v="1131"/>
        <n v="1133"/>
        <n v="1134"/>
        <n v="1135"/>
        <n v="1137"/>
        <n v="1138"/>
        <n v="1139"/>
        <n v="1140"/>
        <n v="1141"/>
        <n v="1142"/>
        <n v="1144"/>
        <n v="1145"/>
        <n v="1147"/>
        <n v="1148"/>
        <n v="1149"/>
        <n v="1150"/>
        <n v="1151"/>
        <n v="1153"/>
        <n v="1154"/>
        <n v="1157"/>
        <n v="1159"/>
        <n v="1161"/>
        <n v="1165"/>
        <n v="1166"/>
        <n v="1167"/>
        <n v="1169"/>
        <n v="1170"/>
        <n v="1171"/>
        <n v="1172"/>
        <n v="1173"/>
        <n v="1175"/>
        <n v="1176"/>
        <n v="1216"/>
        <n v="1217"/>
        <n v="1218"/>
        <n v="1220"/>
        <n v="1224"/>
        <n v="1225"/>
        <n v="1228"/>
        <n v="1241"/>
        <n v="1245"/>
        <n v="1246"/>
        <n v="1247"/>
        <n v="1248"/>
        <n v="1249"/>
        <n v="1250"/>
        <n v="1251"/>
        <n v="1252"/>
        <n v="1253"/>
        <n v="1255"/>
        <n v="1256"/>
        <n v="1257"/>
        <n v="1258"/>
        <n v="1260"/>
        <n v="1262"/>
        <n v="1263"/>
        <n v="1264"/>
        <n v="1265"/>
        <n v="1267"/>
        <n v="1270"/>
        <n v="1272"/>
        <n v="1275"/>
        <n v="1277"/>
        <n v="1280"/>
        <n v="1281"/>
        <n v="1284"/>
        <n v="1286"/>
        <n v="1299"/>
        <n v="1300"/>
        <n v="1301"/>
        <n v="1302"/>
        <n v="1303"/>
        <n v="1304"/>
        <n v="1305"/>
        <n v="1306"/>
        <n v="1307"/>
        <n v="1310"/>
        <n v="1311"/>
        <n v="1312"/>
        <n v="1314"/>
        <n v="1315"/>
        <n v="1318"/>
        <n v="1319"/>
        <n v="1321"/>
        <n v="1323"/>
        <n v="1324"/>
        <n v="1325"/>
        <n v="1326"/>
        <n v="1327"/>
        <n v="1328"/>
        <n v="1329"/>
        <n v="1333"/>
        <n v="1334"/>
        <n v="1336"/>
        <n v="1337"/>
        <n v="1338"/>
        <n v="1339"/>
        <n v="1340"/>
        <n v="1341"/>
        <n v="1342"/>
        <n v="1344"/>
        <n v="1345"/>
        <n v="1347"/>
        <n v="1352"/>
        <n v="1353"/>
        <n v="1355"/>
        <n v="1358"/>
        <n v="1359"/>
        <n v="1360"/>
        <n v="1361"/>
        <n v="1362"/>
        <n v="1363"/>
        <n v="1364"/>
        <n v="1365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2"/>
        <n v="1383"/>
        <n v="1393"/>
        <n v="1398"/>
        <n v="1399"/>
        <n v="1400"/>
        <n v="1402"/>
        <n v="1403"/>
        <n v="1404"/>
        <n v="1406"/>
        <n v="1409"/>
        <n v="1411"/>
        <n v="1413"/>
        <n v="1414"/>
        <n v="1417"/>
        <n v="1419"/>
        <n v="1420"/>
        <n v="1421"/>
        <n v="1422"/>
        <n v="1426"/>
        <n v="1427"/>
        <n v="1428"/>
        <n v="1429"/>
        <n v="1430"/>
        <n v="1432"/>
        <n v="1433"/>
        <n v="1434"/>
        <n v="1438"/>
        <n v="1440"/>
        <n v="1443"/>
        <n v="1479"/>
        <n v="1491"/>
        <n v="1492"/>
        <n v="1495"/>
        <n v="1496"/>
        <n v="1501"/>
        <n v="1503"/>
        <n v="1504"/>
        <n v="1507"/>
        <n v="1508"/>
        <n v="1509"/>
        <n v="1510"/>
        <n v="1522"/>
        <n v="1525"/>
        <n v="1526"/>
        <n v="27021"/>
        <n v="60309"/>
        <n v="60445"/>
        <n v="60817"/>
        <n v="210230"/>
        <n v="230459"/>
        <n v="260039"/>
        <n v="260211"/>
        <n v="260220"/>
        <n v="260221"/>
        <n v="260222"/>
        <n v="260223"/>
        <n v="260224"/>
        <n v="260225"/>
        <n v="260227"/>
        <n v="260228"/>
        <n v="260230"/>
        <n v="260231"/>
        <n v="260236"/>
        <n v="260237"/>
        <n v="260238"/>
        <n v="260239"/>
        <n v="260241"/>
        <n v="260247"/>
        <n v="260248"/>
        <n v="260251"/>
        <n v="260252"/>
        <n v="260253"/>
        <n v="260254"/>
        <n v="260257"/>
        <n v="260258"/>
        <n v="260260"/>
        <n v="260261"/>
        <n v="260262"/>
        <n v="260263"/>
        <n v="260264"/>
        <n v="260265"/>
        <n v="260266"/>
        <n v="260267"/>
        <n v="260268"/>
        <n v="260272"/>
        <n v="260274"/>
        <n v="260276"/>
        <n v="260277"/>
        <n v="260279"/>
        <n v="260280"/>
        <n v="260284"/>
        <n v="260285"/>
        <n v="260289"/>
        <n v="260290"/>
        <n v="260291"/>
        <n v="260292"/>
        <n v="260293"/>
        <n v="260295"/>
        <n v="260296"/>
        <n v="260297"/>
        <n v="260298"/>
        <n v="260301"/>
        <n v="260307"/>
        <n v="260308"/>
        <n v="260313"/>
        <n v="260314"/>
        <n v="260315"/>
        <n v="260316"/>
        <n v="260317"/>
        <n v="260318"/>
        <n v="260320"/>
        <n v="260321"/>
        <n v="260322"/>
        <n v="260324"/>
        <n v="260326"/>
        <n v="260327"/>
        <n v="260331"/>
        <n v="260332"/>
        <n v="260333"/>
        <n v="260336"/>
        <n v="260337"/>
        <n v="260339"/>
        <n v="260351"/>
        <n v="260355"/>
        <n v="260356"/>
        <n v="260357"/>
        <n v="260359"/>
        <n v="260360"/>
        <n v="260361"/>
        <n v="260362"/>
        <n v="260363"/>
        <n v="260367"/>
        <n v="260368"/>
        <n v="260370"/>
        <n v="260371"/>
        <n v="260373"/>
        <n v="260374"/>
        <n v="260376"/>
        <n v="260378"/>
        <n v="260379"/>
        <n v="260380"/>
        <n v="260385"/>
        <n v="260386"/>
        <n v="260389"/>
        <n v="260390"/>
        <n v="260392"/>
        <n v="260393"/>
        <n v="260394"/>
        <n v="260396"/>
        <n v="260397"/>
        <n v="260398"/>
        <n v="260399"/>
        <n v="260403"/>
        <n v="260412"/>
        <n v="260413"/>
        <n v="260417"/>
        <n v="260418"/>
        <n v="260420"/>
        <n v="260421"/>
        <n v="260424"/>
        <n v="260431"/>
        <n v="260432"/>
        <n v="260433"/>
        <n v="260434"/>
        <n v="260437"/>
        <n v="260438"/>
        <n v="260440"/>
        <n v="260441"/>
        <n v="260443"/>
        <n v="260447"/>
        <n v="260450"/>
        <n v="260451"/>
        <n v="260453"/>
        <n v="260456"/>
        <n v="260457"/>
        <n v="260460"/>
        <n v="260462"/>
        <n v="260463"/>
        <n v="260465"/>
        <n v="260470"/>
        <n v="260472"/>
        <n v="260475"/>
        <n v="260480"/>
        <n v="260482"/>
        <n v="260487"/>
        <n v="260488"/>
        <n v="260493"/>
        <n v="260495"/>
        <n v="260497"/>
        <n v="260512"/>
        <n v="260513"/>
        <n v="260515"/>
        <n v="260516"/>
        <n v="260517"/>
        <n v="260518"/>
        <n v="260519"/>
        <n v="260520"/>
        <n v="260522"/>
        <n v="260523"/>
        <n v="260524"/>
        <n v="260526"/>
        <n v="260529"/>
        <n v="260530"/>
        <n v="260538"/>
        <n v="260539"/>
        <n v="260540"/>
        <n v="260541"/>
        <n v="260543"/>
        <n v="260545"/>
        <n v="260546"/>
        <n v="260547"/>
        <n v="260549"/>
        <n v="260550"/>
        <n v="260552"/>
        <n v="260553"/>
        <n v="260555"/>
        <n v="260556"/>
        <n v="260557"/>
        <n v="260560"/>
        <n v="260561"/>
        <n v="260563"/>
        <n v="260564"/>
        <n v="260566"/>
        <n v="260569"/>
        <n v="260572"/>
        <n v="260575"/>
        <n v="260579"/>
        <n v="260586"/>
        <n v="260587"/>
        <n v="260589"/>
        <n v="260592"/>
        <n v="260624"/>
        <n v="260626"/>
        <n v="260628"/>
        <n v="260629"/>
        <n v="260634"/>
        <n v="260635"/>
        <n v="260636"/>
        <n v="260637"/>
        <n v="260638"/>
        <n v="260640"/>
        <n v="260641"/>
        <n v="260644"/>
        <n v="260648"/>
        <n v="260649"/>
        <n v="260653"/>
        <n v="260654"/>
        <n v="260655"/>
        <n v="260656"/>
        <n v="260661"/>
        <n v="260662"/>
        <n v="260665"/>
        <n v="260666"/>
        <n v="260667"/>
        <n v="260671"/>
        <n v="260673"/>
        <n v="260674"/>
        <n v="260676"/>
        <n v="260677"/>
        <n v="260678"/>
        <n v="260679"/>
        <n v="260680"/>
        <n v="260681"/>
        <n v="260684"/>
        <n v="260685"/>
        <n v="260686"/>
        <n v="260687"/>
        <n v="260690"/>
        <n v="260691"/>
        <n v="260692"/>
        <n v="260693"/>
        <n v="260694"/>
        <n v="260697"/>
        <n v="260698"/>
        <n v="260699"/>
        <n v="260700"/>
        <n v="260701"/>
        <n v="260702"/>
        <n v="260703"/>
        <n v="260704"/>
        <n v="260708"/>
        <n v="260709"/>
        <n v="260710"/>
        <n v="260711"/>
        <n v="260712"/>
        <n v="260713"/>
        <n v="260714"/>
        <n v="260715"/>
        <n v="260717"/>
        <n v="260718"/>
        <n v="260721"/>
        <n v="260722"/>
        <n v="260723"/>
        <n v="260726"/>
        <n v="260727"/>
        <n v="260728"/>
        <n v="260730"/>
        <n v="260731"/>
        <n v="260733"/>
        <n v="260736"/>
        <n v="260739"/>
        <n v="260741"/>
        <n v="260743"/>
        <n v="260745"/>
        <n v="260747"/>
        <n v="260748"/>
        <n v="260750"/>
        <n v="260751"/>
        <n v="260755"/>
        <n v="260759"/>
        <n v="260770"/>
        <n v="260773"/>
        <n v="260774"/>
        <n v="260775"/>
        <n v="260777"/>
        <n v="260778"/>
        <n v="260779"/>
        <n v="260781"/>
        <n v="260785"/>
        <n v="260786"/>
        <n v="260788"/>
        <n v="260791"/>
        <n v="260792"/>
        <n v="260796"/>
        <n v="260797"/>
        <n v="260798"/>
        <n v="260799"/>
        <n v="260807"/>
        <n v="260808"/>
        <n v="260809"/>
        <n v="260818"/>
        <n v="260820"/>
        <n v="260822"/>
        <n v="260825"/>
        <n v="260826"/>
        <n v="260829"/>
        <n v="260832"/>
        <n v="260835"/>
        <n v="260836"/>
        <n v="260838"/>
        <n v="260839"/>
        <n v="260841"/>
        <n v="260843"/>
        <n v="260844"/>
        <n v="260845"/>
        <n v="260846"/>
        <n v="260849"/>
        <n v="260850"/>
        <n v="260854"/>
        <n v="260855"/>
        <n v="260856"/>
        <n v="260857"/>
        <n v="260860"/>
        <n v="260861"/>
        <n v="260863"/>
        <n v="260874"/>
        <n v="260875"/>
        <n v="260876"/>
        <n v="260878"/>
        <n v="260881"/>
        <n v="260882"/>
        <n v="260883"/>
        <n v="260884"/>
        <n v="260886"/>
        <n v="260887"/>
        <n v="260889"/>
        <n v="260891"/>
        <n v="260930"/>
        <n v="260931"/>
        <n v="260932"/>
        <n v="260935"/>
        <n v="260936"/>
        <n v="260938"/>
        <n v="260939"/>
        <n v="260943"/>
        <n v="270001"/>
        <n v="270002"/>
        <n v="270007"/>
        <n v="270011"/>
        <n v="270016"/>
        <n v="270017"/>
        <n v="270019"/>
        <n v="270023"/>
        <n v="270026"/>
        <n v="270027"/>
        <n v="270030"/>
        <n v="270031"/>
        <n v="270034"/>
        <n v="270035"/>
        <n v="270036"/>
        <n v="270037"/>
        <n v="270038"/>
        <n v="270040"/>
        <n v="270041"/>
        <n v="270043"/>
        <n v="270049"/>
        <n v="270050"/>
        <n v="270051"/>
        <n v="270052"/>
        <n v="270053"/>
        <n v="270054"/>
        <n v="270058"/>
        <n v="270059"/>
        <n v="270060"/>
        <n v="270066"/>
        <n v="270067"/>
        <n v="270092"/>
        <n v="270103"/>
        <n v="270104"/>
        <n v="270105"/>
        <n v="270107"/>
        <n v="270109"/>
        <n v="270110"/>
        <n v="270114"/>
        <n v="270117"/>
        <n v="270119"/>
        <n v="270120"/>
        <n v="270123"/>
        <n v="270125"/>
        <n v="270126"/>
        <n v="270127"/>
        <n v="270128"/>
        <n v="270130"/>
        <n v="270132"/>
        <n v="270133"/>
        <n v="270136"/>
        <n v="270137"/>
        <n v="270139"/>
        <n v="270140"/>
        <n v="270141"/>
        <n v="270142"/>
        <n v="270145"/>
        <n v="270146"/>
        <n v="270147"/>
        <n v="270149"/>
        <n v="270151"/>
        <n v="270181"/>
        <n v="270191"/>
        <n v="270200"/>
        <n v="270201"/>
        <n v="270210"/>
        <n v="270211"/>
        <n v="270213"/>
        <n v="270223"/>
        <n v="270224"/>
        <n v="270229"/>
        <n v="270232"/>
        <n v="270235"/>
        <n v="270236"/>
        <n v="270238"/>
        <n v="270247"/>
        <n v="270248"/>
        <n v="270250"/>
        <n v="270251"/>
        <n v="270252"/>
        <n v="270255"/>
        <n v="270257"/>
        <n v="270258"/>
        <n v="270259"/>
        <n v="270264"/>
        <n v="270265"/>
        <n v="270266"/>
        <n v="270267"/>
        <n v="270268"/>
        <n v="270269"/>
        <n v="270270"/>
        <n v="270272"/>
        <n v="270276"/>
        <n v="270277"/>
        <n v="270278"/>
        <n v="270279"/>
        <n v="270280"/>
        <n v="270281"/>
        <n v="270284"/>
        <n v="270285"/>
        <n v="270289"/>
        <n v="270290"/>
        <n v="270292"/>
        <n v="270297"/>
        <n v="270298"/>
        <n v="270299"/>
        <n v="270300"/>
        <n v="270303"/>
        <n v="270305"/>
        <n v="270307"/>
        <n v="270308"/>
        <n v="270310"/>
        <n v="270311"/>
        <n v="270313"/>
        <n v="270319"/>
        <n v="270321"/>
        <n v="270322"/>
        <n v="270324"/>
        <n v="270325"/>
        <n v="270330"/>
        <n v="270331"/>
        <n v="270332"/>
        <n v="270335"/>
        <n v="270336"/>
        <n v="270338"/>
        <n v="270339"/>
        <n v="270343"/>
        <n v="270345"/>
        <n v="270348"/>
        <n v="270349"/>
        <n v="270352"/>
        <n v="270353"/>
        <n v="270354"/>
        <n v="270355"/>
        <n v="270356"/>
        <n v="270358"/>
        <n v="270359"/>
        <n v="270360"/>
        <n v="270361"/>
        <n v="270362"/>
        <n v="270363"/>
        <n v="270364"/>
        <n v="270365"/>
        <n v="270366"/>
        <n v="270367"/>
        <n v="270368"/>
        <n v="270369"/>
        <n v="270370"/>
        <n v="270371"/>
        <n v="270372"/>
        <n v="270374"/>
        <n v="270376"/>
        <n v="270377"/>
        <n v="270379"/>
        <n v="270381"/>
        <n v="270382"/>
        <n v="270387"/>
        <n v="270394"/>
        <n v="270395"/>
        <n v="270397"/>
        <n v="270398"/>
        <n v="270402"/>
        <n v="270404"/>
        <n v="270405"/>
        <n v="270408"/>
        <n v="270410"/>
        <n v="270411"/>
        <n v="270412"/>
        <n v="270413"/>
        <n v="270414"/>
        <n v="270416"/>
        <n v="270417"/>
        <n v="270418"/>
        <n v="270419"/>
        <n v="270420"/>
        <n v="270421"/>
        <n v="270422"/>
        <n v="270425"/>
        <n v="270426"/>
        <n v="270429"/>
        <n v="270430"/>
        <n v="270431"/>
        <n v="270432"/>
        <n v="270435"/>
        <n v="270441"/>
        <n v="270443"/>
        <n v="270444"/>
        <n v="270445"/>
        <n v="270447"/>
        <n v="270448"/>
        <n v="270452"/>
        <n v="270454"/>
        <n v="270455"/>
        <n v="270456"/>
        <n v="270457"/>
        <n v="270458"/>
        <n v="270459"/>
        <n v="270462"/>
        <n v="270465"/>
        <n v="270466"/>
        <n v="280893"/>
        <n v="2704011"/>
        <s v="  "/>
        <m/>
      </sharedItems>
    </cacheField>
    <cacheField name="Cliente" numFmtId="0">
      <sharedItems containsBlank="1" count="595">
        <s v=" CR Brasil"/>
        <s v="100% bonitinho"/>
        <s v="A + Verduras"/>
        <s v="ABC Café"/>
        <s v="ABC Extintores"/>
        <s v="Abelhinha Doces"/>
        <s v="Abilio Borges"/>
        <s v="Acampra"/>
        <s v="Açougue Vilela"/>
        <s v="Adesc"/>
        <s v="Adoro Boutique de Carnes"/>
        <s v="Advanta"/>
        <s v="AG Croppers"/>
        <s v="Agro são Braz"/>
        <s v="Agromen"/>
        <s v="Agromen Sementes"/>
        <s v="Alex Mussi"/>
        <s v="Algodão Doce"/>
        <s v="Aliança Malharia"/>
        <s v="Alunobre"/>
        <s v="Alves Carrijo"/>
        <s v="Alves e Moraes"/>
        <s v="Amanda Bandejinhas"/>
        <s v="Analyce sementes"/>
        <s v="Andrade Tomates"/>
        <s v="Aralat"/>
        <s v="Aromalho"/>
        <s v="Arroz Vasconcelos"/>
        <s v="Arte e confeito"/>
        <s v="Arte e confeitos"/>
        <s v="Associação Camponesa"/>
        <s v="Ateliê do Sabor"/>
        <s v="Ateliê Pet Petri"/>
        <s v="Autokey"/>
        <s v="Baby kids"/>
        <s v="Baked Brownie"/>
        <s v="Balorré"/>
        <s v="Baltazar"/>
        <s v="Baltazar Espetinhos"/>
        <s v="Bananada Caseira"/>
        <s v="Barbosa Representações"/>
        <s v="Barraca da Tia Vanda"/>
        <s v="Batata Mineira"/>
        <s v="Bazar Original"/>
        <s v="Beatriz Aparecida"/>
        <s v="Belissima Modas"/>
        <s v="Bellini"/>
        <s v="Bellini Sorvetes"/>
        <s v="Bernadão"/>
        <s v="Best Way"/>
        <s v="Bicoito Crocant"/>
        <s v="Bijoux "/>
        <s v="Bio Majestral"/>
        <s v="Bioplant"/>
        <s v="Biscoito 2 irmãos"/>
        <s v="Biscoito Caseiro JL"/>
        <s v="Biscoito Crocant"/>
        <s v="Biscoito Delícia da Vovó"/>
        <s v="Biscoito do Rei"/>
        <s v="Biscoito Ki Biscoito"/>
        <s v="Biscoito Oliveira Dimineiros"/>
        <s v="Biscoito Primor"/>
        <s v="Biscoito Vó Nestina"/>
        <s v="Biscoito Vovó Nalva"/>
        <s v="Boaventura Lanchonete"/>
        <s v="Bobs Industria"/>
        <s v="Bolacha JC"/>
        <s v="Bom de Minas"/>
        <s v="Bom Gosto"/>
        <s v="Bom Prato"/>
        <s v="Bothanica"/>
        <s v="Box da Eliana"/>
        <s v="Box do Chico"/>
        <s v="Br Vitaminas"/>
        <s v="Braex Encomendas"/>
        <s v="Brasil borrachas"/>
        <s v="Brigabom"/>
        <s v="Buona Pizza"/>
        <s v="Butelão"/>
        <s v="Cachaça artesanal"/>
        <s v="Cachaça Castelo"/>
        <s v="Cachaça Goianinha"/>
        <s v="Cachaça Mineira"/>
        <s v="Cachaça Mineira Fazenda Bela Vista"/>
        <s v="Cachaça Mineira Santa Juliana"/>
        <s v="Cachaça Pirraça"/>
        <s v="Cafeeira Paraná"/>
        <s v="Calçados Carvalho"/>
        <s v="Caramella"/>
        <s v="Cardoso Adega"/>
        <s v="Carlinhos"/>
        <s v="Carlinhos (cachaça N. Aurora)"/>
        <s v="Carneirinho Lanches"/>
        <s v="Caroline Lima"/>
        <s v="Casa da Farinha"/>
        <s v="Casa da saúde"/>
        <s v="Casa de Carnes Jaqueline"/>
        <s v="Casa de Carnes Silva"/>
        <s v="Casa de Saúde Santa Monica"/>
        <s v="Castelinho"/>
        <s v="CB Produtos "/>
        <s v="Celio Donizete"/>
        <s v="Centro Diagnóstico de Pat"/>
        <s v="Ceo Olhos"/>
        <s v="Ceramica Santa Marina"/>
        <s v="Chão de Minas"/>
        <s v="Check up"/>
        <s v="Chickeria"/>
        <s v="Chico Turismo"/>
        <s v="Chiquérrima"/>
        <s v="Chiquititas Sorvetes"/>
        <s v="Cia da Guariroba"/>
        <s v="Cia de Frios"/>
        <s v="Cl Frios"/>
        <s v="Claerro Sorvetes"/>
        <s v="Clinica de vacinação Imunovac"/>
        <s v="CMX Refeições"/>
        <s v="Coco Doce"/>
        <s v="Coelho"/>
        <s v="Comfrio"/>
        <s v="Condimentos Estrela"/>
        <s v="Confrio"/>
        <s v="Confrio Cuiabá"/>
        <s v="Confrio Itumbiara"/>
        <s v="Confrio Londrina"/>
        <s v="Coral Alimentos"/>
        <s v="Correios Cesário Alvim"/>
        <s v="Correios Luizote"/>
        <s v="Correios Vasconcelos"/>
        <s v="CR Brasil"/>
        <s v="Cremel"/>
        <s v="Cremellita Sorvetes"/>
        <s v="D Camargo Alimentos"/>
        <s v="Daleano Turismo"/>
        <s v="Dcasa"/>
        <s v="Delicias da  terra UAI"/>
        <s v="Delicias da terra"/>
        <s v="Delicias de Minas"/>
        <s v="Delta Uniformes"/>
        <s v="Dgust"/>
        <s v="Dgusto"/>
        <s v="Di pardini"/>
        <s v="Disk Alhos"/>
        <s v="Divina Coxinha"/>
        <s v="Doce Mania"/>
        <s v="Doces Abaeté"/>
        <s v="Doces Avemil"/>
        <s v="Doces Barbaros"/>
        <s v="Doces Bárbaros"/>
        <s v="Doces de Minas"/>
        <s v="Doces Flávia"/>
        <s v="Doces Marques"/>
        <s v="Doces Moura"/>
        <s v="Dona Chica"/>
        <s v="Dona Dinda"/>
        <s v="Donnuts"/>
        <s v="Dpaschoal"/>
        <s v="Dpaschoal Udia"/>
        <s v="Droga Lider"/>
        <s v="Drogalider"/>
        <s v="Drogamil"/>
        <s v="Dville"/>
        <s v="Edvaldo"/>
        <s v="Edvaldo (Selo daki)"/>
        <s v="Edvaldo (tia Judith)"/>
        <s v="Emilly Modas"/>
        <s v="Empório Divino"/>
        <s v="Empório dos Tapetes"/>
        <s v="Empório fish"/>
        <s v="Empório Ipanema"/>
        <s v="Empório Oliveira"/>
        <s v="Encanto de Minas"/>
        <s v="Engenho coqueiros"/>
        <s v="Entreposto agua limpa"/>
        <s v="Espetaço"/>
        <s v="Espeto Mania"/>
        <s v="Estação Tintas"/>
        <s v="Estancia Primavera"/>
        <s v="Estilo Ar"/>
        <s v="Estofcar"/>
        <s v="Explend"/>
        <s v="Expresso Alimentos"/>
        <s v="Extincendio"/>
        <s v="Extincendio   "/>
        <s v="Extincendio Catalão"/>
        <s v="Extincendio Ituiutaba"/>
        <s v="Extintores Regional"/>
        <s v="Fabiana Milazzo"/>
        <s v="Face de Cristo"/>
        <s v="Fama Doces"/>
        <s v="Fariminas"/>
        <s v="Farinha da mamãe"/>
        <s v="Farinha DJ"/>
        <s v="Farinha Ki Biju"/>
        <s v="Farinha Kibiju"/>
        <s v="Farinha Lurdes"/>
        <s v="Farinha Nobre Sabor"/>
        <s v="Farinha Saborosa"/>
        <s v="Farma"/>
        <s v="Farma Artesani"/>
        <s v="Farmacia Hom. Mineira"/>
        <s v="Farmacia Nacional"/>
        <s v="Farmácia nacional"/>
        <s v="Farofa de Goias"/>
        <s v="Fazenda Araras"/>
        <s v="Fazenda Bom Jardim"/>
        <s v="Fazenda Bucaina"/>
        <s v="Fazenda Esperança"/>
        <s v="Fazenda Tomate LP"/>
        <s v="Felipe tur"/>
        <s v="Fenix confecçoes"/>
        <s v="Ficc"/>
        <s v="Five Elements"/>
        <s v="Flor do Cerrado"/>
        <s v="Flor do dia"/>
        <s v="Floricultura"/>
        <s v="Floricultura Mercearia das plantas"/>
        <s v="Fm Forminhas"/>
        <s v="Fox Club"/>
        <s v="Fox Clube"/>
        <s v="Frankarimbos"/>
        <s v="Franmitha"/>
        <s v="Frozen Milk"/>
        <s v="Gabriella Hortaliças"/>
        <s v="Galeria do Pão de queijo"/>
        <s v="Garden Avenida"/>
        <s v="Gastro Clinica"/>
        <s v="Geleia Monte Sião"/>
        <s v="Geléia Monte Sião"/>
        <s v="GGK"/>
        <s v="Global extincendio prados"/>
        <s v="Global Transportes"/>
        <s v="Grafica Araguari"/>
        <s v="Grafica Estilo"/>
        <s v="Gráfica estilo"/>
        <s v="Grafica Scanner"/>
        <s v="Gráfica Scanner"/>
        <s v="Grafica Uberprint"/>
        <s v="Green Saladas"/>
        <s v="Green tec seeds"/>
        <s v="Grup Minas"/>
        <s v="Grupo Minas"/>
        <s v="Grupo Minas "/>
        <s v="Grupo Minas Barreiras"/>
        <s v="Grupo Minas Janaúba"/>
        <s v="Grupo Minas Vitória"/>
        <s v="Guarana Mineiro"/>
        <s v="Guedes Pizza"/>
        <s v="Gulodices"/>
        <s v="Hiper Shoes"/>
        <s v="Hortomed"/>
        <s v="Hospital Alta Colina"/>
        <s v="Hospital do Triangulo"/>
        <s v="Hospital Santa Clara"/>
        <s v="Hospital Santa Genoveva"/>
        <s v="Hospital Santa Marta"/>
        <s v="Hot Burguer"/>
        <s v="Hp Milhos"/>
        <s v="HZ Descartáveis"/>
        <s v="Ichi Kaizen"/>
        <s v="Idéia de minas"/>
        <s v="Imedi"/>
        <s v="Imperial Borrachas"/>
        <s v="Império das Tintas"/>
        <s v="Indusat"/>
        <s v="Inovação Rodos"/>
        <s v="Inovafix"/>
        <s v="Instituto Alfa e Beto"/>
        <s v="Integral automação"/>
        <s v="Interlog"/>
        <s v="Ip Alimentos"/>
        <s v="Ipac"/>
        <s v="Ippon"/>
        <s v="Irineu"/>
        <s v="Iso Olhos"/>
        <s v="Isso olhos"/>
        <s v="Itamax"/>
        <s v="JC Tomates"/>
        <s v="JF Produtos de Limpeza"/>
        <s v="JJ Necessaires "/>
        <s v="JMC Transportes"/>
        <s v="Jonas JC"/>
        <s v="José Oiimpo"/>
        <s v="José Olimpio"/>
        <s v="Juliete Concept"/>
        <s v="Kacuta"/>
        <s v="Kaito Rapadura Gourmet"/>
        <s v="Kamel"/>
        <s v="Kamel Magazine"/>
        <s v="Ki Queijo"/>
        <s v="Ki Sabor Bolachas"/>
        <s v="Ki Sabor Pirulitos"/>
        <s v="Ki Sabor Suspiro"/>
        <s v="kimassas"/>
        <s v="Koisas de Minas"/>
        <s v="KWS Sementes"/>
        <s v="L Vieira"/>
        <s v="Labac"/>
        <s v="Laboratório Eduardo Mineiro"/>
        <s v="Laboratório Faz Analises"/>
        <s v="Laboratório São José"/>
        <s v="Lady Lixas"/>
        <s v="Lanches Bikão"/>
        <s v="Lasmar"/>
        <s v="Laticinios São Francisco"/>
        <s v="Laudo"/>
        <s v="Laudo - hubio"/>
        <s v="Laudo Governança"/>
        <s v="Laudo Laboratórios"/>
        <s v="Ld Celulose"/>
        <s v="Legran pré fabricados"/>
        <s v="Lester"/>
        <s v="Lester Ituiutaba"/>
        <s v="Lilian Forster"/>
        <s v="Loft"/>
        <s v="Loja Doce"/>
        <s v="Lojas são joão"/>
        <s v="Lolla"/>
        <s v="Low Carb"/>
        <s v="Lr Verduras"/>
        <s v="Luiza Boutique"/>
        <s v="Magazine do Ofertão"/>
        <s v="Mamão Carvalho"/>
        <s v="Mandioca Coelho"/>
        <s v="Manteiga da terra potiguar"/>
        <s v="Manteiga Manhoso"/>
        <s v="Maricota"/>
        <s v="Marly Festas"/>
        <s v="Marmoreio"/>
        <s v="Martins"/>
        <s v="Martins Tecnologia"/>
        <s v="Master Pão Sírio"/>
        <s v="Mati Taperê"/>
        <s v="Mavie"/>
        <s v="Mavila"/>
        <s v="Medphoton"/>
        <s v="Meire Freitas"/>
        <s v="Mendels"/>
        <s v="Mendonça"/>
        <s v="MG4 Confecções"/>
        <s v="Mil Esportes"/>
        <s v="Milho Cunha"/>
        <s v="Milho Milena"/>
        <s v="Milho Santo André"/>
        <s v="Minas Coco"/>
        <s v="Mineiro de Minas"/>
        <s v="Mini Mercado Ferreira"/>
        <s v="Minussi  home"/>
        <s v="Minussihome"/>
        <s v="Mio da Fera"/>
        <s v="Mió da Fera"/>
        <s v="Mirabone"/>
        <s v="Moinho "/>
        <s v="Moinho Sete Irmãos"/>
        <s v="Molth Inox"/>
        <s v="Monsanto"/>
        <s v="Morgana Delicias"/>
        <s v="Morgana Delicias Caseiras"/>
        <s v="Multivisi"/>
        <s v="Mundim Sob Medidas"/>
        <s v="Murilo Castro"/>
        <s v="Naturallis"/>
        <s v="Naturallis Farmacia"/>
        <s v="NF Biscoitos"/>
        <s v="Okada"/>
        <s v="Orgulho de Minas"/>
        <s v="Orquidário Ituiutaba"/>
        <s v="Orthomed"/>
        <s v="Otoface"/>
        <s v="Ouro de Minas"/>
        <s v="Paladar Nutri"/>
        <s v="Pamonha Super quente"/>
        <s v="Panificadora Maricota"/>
        <s v="Panificadora Talita"/>
        <s v="Pão de mel dos reis"/>
        <s v="Pão de Queijo Beija Flor"/>
        <s v="Pão de Queijo Vó Delaide"/>
        <s v="Pão de Queijo vovó Delaide"/>
        <s v="Patricia Bonaldi"/>
        <s v="Paty Agronegócios"/>
        <s v="Peixoto"/>
        <s v="Pescado Central"/>
        <s v="Petalas Floricultura"/>
        <s v="Pétalas Floricultura"/>
        <s v="Petiscos"/>
        <s v="Petit Bombom"/>
        <s v="PGM Camisetas"/>
        <s v="Phormula e Cia"/>
        <s v="Pizza Minuto"/>
        <s v="Pizza S Santos"/>
        <s v="Pizza Santos"/>
        <s v="Pizzaria do Dennis"/>
        <s v="Planalto ovos"/>
        <s v="Plantação do Paraíba"/>
        <s v="PMG camisetas"/>
        <s v="Polpas Fazenda Limoeiro"/>
        <s v="Polvilho Caipira"/>
        <s v="Ponta a ponta"/>
        <s v="Poppys"/>
        <s v="Portati"/>
        <s v="Portatti"/>
        <s v="Pouvilho Caipira"/>
        <s v="PPA Paes Lemes"/>
        <s v="Praia Store"/>
        <s v="Pro Século"/>
        <s v="Pró Século"/>
        <s v="Produtos Alves e Moraes"/>
        <s v="Produtos caseiros Serve-se"/>
        <s v="Produtos GM"/>
        <s v="Produtos Hermom"/>
        <s v="Produtos Lurdes"/>
        <s v="Produtos Manzi"/>
        <s v="Produtos Oreles"/>
        <s v="Produtos Peloi"/>
        <s v="Pronto e Pratico"/>
        <s v="Protec"/>
        <s v="Pumpkin"/>
        <s v="Pumpkin Saudavel"/>
        <s v="Pururuca Mendes"/>
        <s v="Pururuca Mineira"/>
        <s v="Pururuca Triângulo"/>
        <s v="Qualiteste"/>
        <s v="Queijaria alto da serra"/>
        <s v="Queijaria Casquinha"/>
        <s v="Queijaria Guerra"/>
        <s v="Queijaria ouro da Serra"/>
        <s v="Queijaria Ouro das Gerais"/>
        <s v="Queijaria Santana"/>
        <s v="Queijo Faz Sapecado"/>
        <s v="Queijo Fazenda da tenda"/>
        <s v="Queijo Militão"/>
        <s v="Queijo Minas Cerrado"/>
        <s v="Queijo Minas Faz Tenda"/>
        <s v="Queijo Monte Alvão"/>
        <s v="Queijo Nata de Araxá"/>
        <s v="Queijo Oliveira"/>
        <s v="Queijo Patinho"/>
        <s v="Queijo Sapecado"/>
        <s v="Queijo WL"/>
        <s v="Quitandas Caseiras RZ"/>
        <s v="Rabaglio e Coli"/>
        <s v="Radical Bike"/>
        <s v="Rafiti"/>
        <s v="Randon"/>
        <s v="Rapadura altair"/>
        <s v="Rapadura Caseira do Toin"/>
        <s v="Rapadura Fazenda Bela Vista"/>
        <s v="Rapadura Pura Oliveira"/>
        <s v="Rarepan"/>
        <s v="RD Logistica"/>
        <s v="Real Alimentos"/>
        <s v="Recanto do Milho"/>
        <s v="Rede Lucas"/>
        <s v="Regina Sorvetes"/>
        <s v="Regional  Encomendas"/>
        <s v="Regional Encomendas"/>
        <s v="Rei da Pimenta"/>
        <s v="Rei das Miudezas"/>
        <s v="Rei das Pimentas"/>
        <s v="Rei do Abacate"/>
        <s v="Rei do Baralho"/>
        <s v="Rei do Real"/>
        <s v="Rei dos Enxovais"/>
        <s v="Renova"/>
        <s v="Reptec"/>
        <s v="Resinado"/>
        <s v="Rivera"/>
        <s v="Rodovalho Linguiças"/>
        <s v="Rolette Turismo"/>
        <s v="Rollete"/>
        <s v="Romar Calçados"/>
        <s v="Rota da carne"/>
        <s v="RR Uniformes"/>
        <s v="Sabiita"/>
        <s v="Sabin"/>
        <s v="Sabin Uberaba"/>
        <s v="Sabor total"/>
        <s v="Saboraí"/>
        <s v="Saborear"/>
        <s v="Saga autominas"/>
        <s v="Saga Michigan"/>
        <s v="Salte Indústria"/>
        <s v="Sama Autopeças"/>
        <s v="Sansil"/>
        <s v="Santa Casa de Araguari"/>
        <s v="Santa Clara"/>
        <s v="Santa Felícia"/>
        <s v="Santa Genoveva"/>
        <s v="Santa Marta"/>
        <s v="Segredos da roça"/>
        <s v="Seiko"/>
        <s v="Sequilhos Tradição"/>
        <s v="Serra Negra  "/>
        <s v="Serra Negra Alimentos"/>
        <s v="Serrana Turismo"/>
        <s v="Silva Santiago"/>
        <s v="Silvio Tilapia"/>
        <s v="Sis Clothes moda "/>
        <s v="Sitio Angico"/>
        <s v="Skala Modas"/>
        <s v="Solo Verde Aspersores"/>
        <s v="Sorpan"/>
        <s v="Sorvete Geerré"/>
        <s v="Sorveteria Beijo Frio"/>
        <s v="Sorveteria Doce Gelo"/>
        <s v="Sorveteria Frutibom"/>
        <s v="Sorveteria Gerré"/>
        <s v="Sorveteria ki big Moreninha"/>
        <s v="Sorveteria Moranguinho"/>
        <s v="Sorveteria Sorbom"/>
        <s v="Sorveteria Tropical"/>
        <s v="Sorveteria Vitoria"/>
        <s v="Sorveteria Zero Grau"/>
        <s v="Sorvetes Cremel"/>
        <s v="Sorvetes Kital"/>
        <s v="Sorvetim Sorvetes"/>
        <s v="Souza Cruz"/>
        <s v="SP Cartuchos"/>
        <s v="Stela Stores"/>
        <s v="Stillus"/>
        <s v="Stillus Calçados"/>
        <s v="Sturiny"/>
        <s v="Sueli Santos"/>
        <s v="Sun Quimica"/>
        <s v="Super Maxi"/>
        <s v="Supermaxi"/>
        <s v="Supermercado Boi na Brasa"/>
        <s v="Supermercado Ideal"/>
        <s v="Supermercado Kondor"/>
        <s v="Supermercado Smart Condor"/>
        <s v="Sustento Alimentos"/>
        <s v="Tabelionato de Protestos"/>
        <s v="Tania"/>
        <s v="Tati Minas"/>
        <s v="Tec Bel"/>
        <s v="Tecidos Tita"/>
        <s v="Tempera tudo"/>
        <s v="Terra Mineira"/>
        <s v="Tiburski"/>
        <s v="Tika pães"/>
        <s v="Toca dos Mineiros"/>
        <s v="Tolipo"/>
        <s v="Tom Turismo"/>
        <s v="Tomate A+ Verduras"/>
        <s v="Tomate Camargo"/>
        <s v="Tomate Cereja"/>
        <s v="Tomate Fazenda Jardim"/>
        <s v="Tomate Oliveira"/>
        <s v="Tomateberry"/>
        <s v="Torresminho Rancho Mineiro"/>
        <s v="Tortas e Quitandas da Ju"/>
        <s v="Transimões"/>
        <s v="Triangulo Eletrofiltros"/>
        <s v="Tribo da Rasteira"/>
        <s v="Tunikinha Baby"/>
        <s v="UAI Chica"/>
        <s v="Uai Groove"/>
        <s v="Uberlog"/>
        <s v="Ubermédica"/>
        <s v="Udi Berry"/>
        <s v="Udi Cores"/>
        <s v="Udi Nutri"/>
        <s v="Udi Sabor"/>
        <s v="Udilog"/>
        <s v="Udipan"/>
        <s v="Umc"/>
        <s v="Unifardas"/>
        <s v="Unimed"/>
        <s v="Unimed espaço de saude"/>
        <s v="Unimed Regional Sul"/>
        <s v="Valdson Cachaça"/>
        <s v="Valentina"/>
        <s v="Valfluid"/>
        <s v="Vasconcelos"/>
        <s v="Vassouras Mendonça"/>
        <s v="Vera Lúcia Gervásio"/>
        <s v="Verry Maquinas"/>
        <s v="Via Sabor"/>
        <s v="Victor Augusto Chagas"/>
        <s v="Victor Tomates"/>
        <s v="Vilela Gourmet"/>
        <s v="Villa Carioca"/>
        <s v="Visual Modas"/>
        <s v="Vitamineira"/>
        <s v="Vitamineiras"/>
        <s v="Viva Esquadrias"/>
        <s v="Vo Cleuza"/>
        <s v="Vó Cleuza"/>
        <s v="Vó dora"/>
        <s v="Voar Aviation"/>
        <s v="Vovó Nalva"/>
        <s v="Vulcaflex"/>
        <s v="WR Farofa Mineira"/>
        <s v="Xavier Espeto"/>
        <m/>
      </sharedItems>
    </cacheField>
    <cacheField name="Data2" numFmtId="0">
      <sharedItems containsSemiMixedTypes="0" containsNonDate="0" containsDate="1" containsString="0" minDate="2023-07-08T00:00:00" maxDate="2025-07-18T00:00:00" count="173">
        <d v="2023-07-08T00:00:00"/>
        <d v="2024-01-06T00:00:00"/>
        <d v="2024-01-08T00:00:00"/>
        <d v="2024-01-15T00:00:00"/>
        <d v="2024-01-23T00:00:00"/>
        <d v="2024-02-07T00:00:00"/>
        <d v="2024-02-11T00:00:00"/>
        <d v="2024-02-15T00:00:00"/>
        <d v="2024-02-20T00:00:00"/>
        <d v="2024-02-21T00:00:00"/>
        <d v="2024-02-23T00:00:00"/>
        <d v="2024-02-26T00:00:00"/>
        <d v="2024-02-27T00:00:00"/>
        <d v="2024-02-28T00:00:00"/>
        <d v="2024-02-29T00:00:00"/>
        <d v="2024-03-04T00:00:00"/>
        <d v="2024-03-18T00:00:00"/>
        <d v="2024-04-02T00:00:00"/>
        <d v="2024-04-04T00:00:00"/>
        <d v="2024-04-05T00:00:00"/>
        <d v="2024-04-08T00:00:00"/>
        <d v="2024-04-10T00:00:00"/>
        <d v="2024-04-11T00:00:00"/>
        <d v="2024-04-15T00:00:00"/>
        <d v="2024-04-16T00:00:00"/>
        <d v="2024-04-17T00:00:00"/>
        <d v="2024-04-18T00:00:00"/>
        <d v="2024-04-19T00:00:00"/>
        <d v="2024-04-26T00:00:00"/>
        <d v="2024-04-30T00:00:00"/>
        <d v="2024-05-03T00:00:00"/>
        <d v="2024-05-06T00:00:00"/>
        <d v="2024-05-08T00:00:00"/>
        <d v="2024-05-09T00:00:00"/>
        <d v="2024-05-10T00:00:00"/>
        <d v="2024-05-13T00:00:00"/>
        <d v="2024-05-14T00:00:00"/>
        <d v="2024-05-15T00:00:00"/>
        <d v="2024-05-20T00:00:00"/>
        <d v="2024-05-21T00:00:00"/>
        <d v="2024-05-23T00:00:00"/>
        <d v="2024-05-27T00:00:00"/>
        <d v="2024-05-29T00:00:00"/>
        <d v="2024-06-03T00:00:00"/>
        <d v="2024-06-04T00:00:00"/>
        <d v="2024-06-05T00:00:00"/>
        <d v="2024-06-06T00:00:00"/>
        <d v="2024-06-07T00:00:00"/>
        <d v="2024-06-13T00:00:00"/>
        <d v="2024-06-14T00:00:00"/>
        <d v="2024-06-19T00:00:00"/>
        <d v="2024-06-24T00:00:00"/>
        <d v="2024-06-27T00:00:00"/>
        <d v="2024-06-28T00:00:00"/>
        <d v="2024-07-03T00:00:00"/>
        <d v="2024-07-04T00:00:00"/>
        <d v="2024-07-05T00:00:00"/>
        <d v="2024-07-09T00:00:00"/>
        <d v="2024-07-10T00:00:00"/>
        <d v="2024-07-17T00:00:00"/>
        <d v="2024-07-22T00:00:00"/>
        <d v="2024-07-23T00:00:00"/>
        <d v="2024-07-24T00:00:00"/>
        <d v="2024-07-26T00:00:00"/>
        <d v="2024-07-29T00:00:00"/>
        <d v="2024-07-30T00:00:00"/>
        <d v="2024-08-01T00:00:00"/>
        <d v="2024-08-02T00:00:00"/>
        <d v="2024-08-06T00:00:00"/>
        <d v="2024-08-08T00:00:00"/>
        <d v="2024-08-13T00:00:00"/>
        <d v="2024-08-14T00:00:00"/>
        <d v="2024-08-29T00:00:00"/>
        <d v="2024-09-03T00:00:00"/>
        <d v="2024-09-04T00:00:00"/>
        <d v="2024-09-06T00:00:00"/>
        <d v="2024-09-11T00:00:00"/>
        <d v="2024-09-13T00:00:00"/>
        <d v="2024-09-17T00:00:00"/>
        <d v="2024-09-18T00:00:00"/>
        <d v="2024-09-19T00:00:00"/>
        <d v="2024-09-23T00:00:00"/>
        <d v="2024-09-24T00:00:00"/>
        <d v="2024-09-27T00:00:00"/>
        <d v="2024-09-30T00:00:00"/>
        <d v="2024-10-01T00:00:00"/>
        <d v="2024-10-02T00:00:00"/>
        <d v="2024-10-07T00:00:00"/>
        <d v="2024-10-09T00:00:00"/>
        <d v="2024-10-14T00:00:00"/>
        <d v="2024-10-16T00:00:00"/>
        <d v="2024-10-28T00:00:00"/>
        <d v="2024-10-30T00:00:00"/>
        <d v="2024-10-31T00:00:00"/>
        <d v="2024-11-04T00:00:00"/>
        <d v="2024-11-06T00:00:00"/>
        <d v="2024-11-11T00:00:00"/>
        <d v="2024-11-18T00:00:00"/>
        <d v="2024-11-19T00:00:00"/>
        <d v="2024-11-25T00:00:00"/>
        <d v="2024-11-27T00:00:00"/>
        <d v="2024-11-28T00:00:00"/>
        <d v="2024-12-03T00:00:00"/>
        <d v="2024-12-06T00:00:00"/>
        <d v="2024-12-10T00:00:00"/>
        <d v="2024-12-11T00:00:00"/>
        <d v="2024-12-23T00:00:00"/>
        <d v="2024-12-26T00:00:00"/>
        <d v="2024-12-27T00:00:00"/>
        <d v="2024-12-30T00:00:00"/>
        <d v="2025-01-01T00:00:00"/>
        <d v="2025-01-03T00:00:00"/>
        <d v="2025-01-13T00:00:00"/>
        <d v="2025-01-17T00:00:00"/>
        <d v="2025-01-20T00:00:00"/>
        <d v="2025-01-21T00:00:00"/>
        <d v="2025-01-22T00:00:00"/>
        <d v="2025-02-06T00:00:00"/>
        <d v="2025-02-10T00:00:00"/>
        <d v="2025-02-12T00:00:00"/>
        <d v="2025-02-13T00:00:00"/>
        <d v="2025-02-17T00:00:00"/>
        <d v="2025-02-19T00:00:00"/>
        <d v="2025-02-24T00:00:00"/>
        <d v="2025-02-26T00:00:00"/>
        <d v="2025-02-27T00:00:00"/>
        <d v="2025-03-24T00:00:00"/>
        <d v="2025-03-27T00:00:00"/>
        <d v="2025-03-28T00:00:00"/>
        <d v="2025-04-01T00:00:00"/>
        <d v="2025-04-07T00:00:00"/>
        <d v="2025-04-11T00:00:00"/>
        <d v="2025-04-14T00:00:00"/>
        <d v="2025-04-16T00:00:00"/>
        <d v="2025-04-17T00:00:00"/>
        <d v="2025-04-23T00:00:00"/>
        <d v="2025-04-24T00:00:00"/>
        <d v="2025-04-28T00:00:00"/>
        <d v="2025-04-29T00:00:00"/>
        <d v="2025-04-30T00:00:00"/>
        <d v="2025-05-07T00:00:00"/>
        <d v="2025-05-09T00:00:00"/>
        <d v="2025-05-12T00:00:00"/>
        <d v="2025-05-13T00:00:00"/>
        <d v="2025-05-14T00:00:00"/>
        <d v="2025-05-15T00:00:00"/>
        <d v="2025-05-19T00:00:00"/>
        <d v="2025-05-21T00:00:00"/>
        <d v="2025-05-22T00:00:00"/>
        <d v="2025-05-28T00:00:00"/>
        <d v="2025-06-02T00:00:00"/>
        <d v="2025-06-03T00:00:00"/>
        <d v="2025-06-05T00:00:00"/>
        <d v="2025-06-09T00:00:00"/>
        <d v="2025-06-10T00:00:00"/>
        <d v="2025-06-11T00:00:00"/>
        <d v="2025-06-12T00:00:00"/>
        <d v="2025-06-13T00:00:00"/>
        <d v="2025-06-17T00:00:00"/>
        <d v="2025-06-18T00:00:00"/>
        <d v="2025-06-24T00:00:00"/>
        <d v="2025-06-25T00:00:00"/>
        <d v="2025-06-26T00:00:00"/>
        <d v="2025-06-30T00:00:00"/>
        <d v="2025-07-02T00:00:00"/>
        <d v="2025-07-03T00:00:00"/>
        <d v="2025-07-04T00:00:00"/>
        <d v="2025-07-08T00:00:00"/>
        <d v="2025-07-09T00:00:00"/>
        <d v="2025-07-11T00:00:00"/>
        <d v="2025-07-16T00:00:00"/>
        <d v="2025-07-17T00:00:00"/>
        <d v="2025-07-18T00:00:00"/>
      </sharedItems>
    </cacheField>
    <cacheField name="Largura" numFmtId="0">
      <sharedItems containsString="0" containsBlank="1" containsNumber="1" minValue="2.5" maxValue="250" count="78">
        <n v="2.5"/>
        <n v="3"/>
        <n v="4.8"/>
        <n v="5"/>
        <n v="10"/>
        <n v="15"/>
        <n v="20"/>
        <n v="25"/>
        <n v="30"/>
        <n v="32"/>
        <n v="34"/>
        <n v="35"/>
        <n v="37"/>
        <n v="38"/>
        <n v="40"/>
        <n v="42"/>
        <n v="43"/>
        <n v="44"/>
        <n v="45"/>
        <n v="46"/>
        <n v="47"/>
        <n v="48"/>
        <n v="50"/>
        <n v="53"/>
        <n v="55"/>
        <n v="58"/>
        <n v="60"/>
        <n v="63"/>
        <n v="64"/>
        <n v="65"/>
        <n v="70"/>
        <n v="73"/>
        <n v="74"/>
        <n v="75"/>
        <n v="78"/>
        <n v="80"/>
        <n v="83"/>
        <n v="84"/>
        <n v="85"/>
        <n v="88"/>
        <n v="90"/>
        <n v="93"/>
        <n v="95"/>
        <n v="97"/>
        <n v="100"/>
        <n v="102"/>
        <n v="103"/>
        <n v="105"/>
        <n v="110"/>
        <n v="115"/>
        <n v="118"/>
        <n v="120"/>
        <n v="125"/>
        <n v="128"/>
        <n v="129"/>
        <n v="130"/>
        <n v="133"/>
        <n v="135"/>
        <n v="137"/>
        <n v="138"/>
        <n v="140"/>
        <n v="145"/>
        <n v="148"/>
        <n v="150"/>
        <n v="155"/>
        <n v="158"/>
        <n v="160"/>
        <n v="180"/>
        <n v="185"/>
        <n v="190"/>
        <n v="200"/>
        <n v="210"/>
        <n v="220"/>
        <n v="225"/>
        <n v="235"/>
        <n v="240"/>
        <n v="250"/>
        <m/>
      </sharedItems>
    </cacheField>
    <cacheField name="Lineares" numFmtId="0">
      <sharedItems containsString="0" containsBlank="1" containsNumber="1" containsInteger="1" minValue="17" maxValue="37000" count="486">
        <n v="17"/>
        <n v="30"/>
        <n v="32"/>
        <n v="36"/>
        <n v="37"/>
        <n v="38"/>
        <n v="45"/>
        <n v="46"/>
        <n v="50"/>
        <n v="52"/>
        <n v="53"/>
        <n v="54"/>
        <n v="56"/>
        <n v="60"/>
        <n v="65"/>
        <n v="66"/>
        <n v="67"/>
        <n v="68"/>
        <n v="70"/>
        <n v="72"/>
        <n v="74"/>
        <n v="75"/>
        <n v="78"/>
        <n v="83"/>
        <n v="84"/>
        <n v="85"/>
        <n v="88"/>
        <n v="90"/>
        <n v="96"/>
        <n v="99"/>
        <n v="100"/>
        <n v="104"/>
        <n v="105"/>
        <n v="108"/>
        <n v="111"/>
        <n v="112"/>
        <n v="113"/>
        <n v="114"/>
        <n v="115"/>
        <n v="120"/>
        <n v="124"/>
        <n v="126"/>
        <n v="128"/>
        <n v="130"/>
        <n v="131"/>
        <n v="133"/>
        <n v="134"/>
        <n v="135"/>
        <n v="136"/>
        <n v="140"/>
        <n v="146"/>
        <n v="148"/>
        <n v="150"/>
        <n v="151"/>
        <n v="152"/>
        <n v="153"/>
        <n v="156"/>
        <n v="158"/>
        <n v="159"/>
        <n v="160"/>
        <n v="162"/>
        <n v="165"/>
        <n v="168"/>
        <n v="170"/>
        <n v="176"/>
        <n v="180"/>
        <n v="182"/>
        <n v="184"/>
        <n v="188"/>
        <n v="189"/>
        <n v="190"/>
        <n v="191"/>
        <n v="192"/>
        <n v="195"/>
        <n v="198"/>
        <n v="200"/>
        <n v="204"/>
        <n v="210"/>
        <n v="212"/>
        <n v="213"/>
        <n v="215"/>
        <n v="219"/>
        <n v="220"/>
        <n v="223"/>
        <n v="224"/>
        <n v="225"/>
        <n v="228"/>
        <n v="230"/>
        <n v="239"/>
        <n v="240"/>
        <n v="243"/>
        <n v="245"/>
        <n v="248"/>
        <n v="250"/>
        <n v="252"/>
        <n v="255"/>
        <n v="256"/>
        <n v="258"/>
        <n v="260"/>
        <n v="265"/>
        <n v="267"/>
        <n v="270"/>
        <n v="271"/>
        <n v="272"/>
        <n v="280"/>
        <n v="285"/>
        <n v="288"/>
        <n v="290"/>
        <n v="297"/>
        <n v="299"/>
        <n v="300"/>
        <n v="305"/>
        <n v="310"/>
        <n v="312"/>
        <n v="315"/>
        <n v="318"/>
        <n v="319"/>
        <n v="320"/>
        <n v="322"/>
        <n v="323"/>
        <n v="324"/>
        <n v="330"/>
        <n v="335"/>
        <n v="340"/>
        <n v="345"/>
        <n v="346"/>
        <n v="347"/>
        <n v="350"/>
        <n v="360"/>
        <n v="363"/>
        <n v="365"/>
        <n v="366"/>
        <n v="368"/>
        <n v="370"/>
        <n v="371"/>
        <n v="373"/>
        <n v="374"/>
        <n v="375"/>
        <n v="378"/>
        <n v="380"/>
        <n v="383"/>
        <n v="384"/>
        <n v="389"/>
        <n v="396"/>
        <n v="400"/>
        <n v="405"/>
        <n v="408"/>
        <n v="410"/>
        <n v="414"/>
        <n v="415"/>
        <n v="420"/>
        <n v="421"/>
        <n v="426"/>
        <n v="430"/>
        <n v="439"/>
        <n v="440"/>
        <n v="443"/>
        <n v="446"/>
        <n v="450"/>
        <n v="460"/>
        <n v="464"/>
        <n v="473"/>
        <n v="475"/>
        <n v="478"/>
        <n v="479"/>
        <n v="480"/>
        <n v="491"/>
        <n v="495"/>
        <n v="500"/>
        <n v="510"/>
        <n v="520"/>
        <n v="525"/>
        <n v="528"/>
        <n v="530"/>
        <n v="536"/>
        <n v="538"/>
        <n v="540"/>
        <n v="544"/>
        <n v="545"/>
        <n v="550"/>
        <n v="559"/>
        <n v="560"/>
        <n v="571"/>
        <n v="576"/>
        <n v="585"/>
        <n v="593"/>
        <n v="594"/>
        <n v="600"/>
        <n v="609"/>
        <n v="610"/>
        <n v="612"/>
        <n v="615"/>
        <n v="620"/>
        <n v="623"/>
        <n v="625"/>
        <n v="630"/>
        <n v="632"/>
        <n v="635"/>
        <n v="638"/>
        <n v="640"/>
        <n v="645"/>
        <n v="648"/>
        <n v="649"/>
        <n v="650"/>
        <n v="662"/>
        <n v="663"/>
        <n v="664"/>
        <n v="670"/>
        <n v="675"/>
        <n v="679"/>
        <n v="680"/>
        <n v="681"/>
        <n v="685"/>
        <n v="690"/>
        <n v="700"/>
        <n v="718"/>
        <n v="720"/>
        <n v="726"/>
        <n v="728"/>
        <n v="729"/>
        <n v="730"/>
        <n v="735"/>
        <n v="740"/>
        <n v="742"/>
        <n v="745"/>
        <n v="746"/>
        <n v="750"/>
        <n v="760"/>
        <n v="765"/>
        <n v="767"/>
        <n v="768"/>
        <n v="773"/>
        <n v="775"/>
        <n v="780"/>
        <n v="784"/>
        <n v="795"/>
        <n v="799"/>
        <n v="800"/>
        <n v="804"/>
        <n v="810"/>
        <n v="816"/>
        <n v="819"/>
        <n v="825"/>
        <n v="832"/>
        <n v="840"/>
        <n v="847"/>
        <n v="850"/>
        <n v="857"/>
        <n v="860"/>
        <n v="882"/>
        <n v="894"/>
        <n v="900"/>
        <n v="910"/>
        <n v="920"/>
        <n v="930"/>
        <n v="940"/>
        <n v="945"/>
        <n v="950"/>
        <n v="958"/>
        <n v="960"/>
        <n v="980"/>
        <n v="990"/>
        <n v="994"/>
        <n v="1000"/>
        <n v="1002"/>
        <n v="1005"/>
        <n v="1010"/>
        <n v="1020"/>
        <n v="1030"/>
        <n v="1040"/>
        <n v="1049"/>
        <n v="1050"/>
        <n v="1053"/>
        <n v="1060"/>
        <n v="1075"/>
        <n v="1080"/>
        <n v="1082"/>
        <n v="1088"/>
        <n v="1100"/>
        <n v="1114"/>
        <n v="1120"/>
        <n v="1125"/>
        <n v="1142"/>
        <n v="1150"/>
        <n v="1168"/>
        <n v="1180"/>
        <n v="1183"/>
        <n v="1200"/>
        <n v="1206"/>
        <n v="1236"/>
        <n v="1238"/>
        <n v="1240"/>
        <n v="1245"/>
        <n v="1248"/>
        <n v="1250"/>
        <n v="1260"/>
        <n v="1265"/>
        <n v="1275"/>
        <n v="1277"/>
        <n v="1280"/>
        <n v="1290"/>
        <n v="1300"/>
        <n v="1314"/>
        <n v="1325"/>
        <n v="1340"/>
        <n v="1350"/>
        <n v="1360"/>
        <n v="1380"/>
        <n v="1400"/>
        <n v="1425"/>
        <n v="1428"/>
        <n v="1440"/>
        <n v="1480"/>
        <n v="1485"/>
        <n v="1490"/>
        <n v="1500"/>
        <n v="1506"/>
        <n v="1530"/>
        <n v="1539"/>
        <n v="1545"/>
        <n v="1560"/>
        <n v="1575"/>
        <n v="1590"/>
        <n v="1596"/>
        <n v="1600"/>
        <n v="1604"/>
        <n v="1620"/>
        <n v="1625"/>
        <n v="1650"/>
        <n v="1680"/>
        <n v="1688"/>
        <n v="1695"/>
        <n v="1700"/>
        <n v="1750"/>
        <n v="1753"/>
        <n v="1780"/>
        <n v="1800"/>
        <n v="1820"/>
        <n v="1830"/>
        <n v="1840"/>
        <n v="1850"/>
        <n v="1855"/>
        <n v="1868"/>
        <n v="1875"/>
        <n v="1900"/>
        <n v="1905"/>
        <n v="1930"/>
        <n v="1953"/>
        <n v="1980"/>
        <n v="2000"/>
        <n v="2010"/>
        <n v="2040"/>
        <n v="2100"/>
        <n v="2106"/>
        <n v="2108"/>
        <n v="2120"/>
        <n v="2150"/>
        <n v="2160"/>
        <n v="2163"/>
        <n v="2200"/>
        <n v="2220"/>
        <n v="2225"/>
        <n v="2241"/>
        <n v="2250"/>
        <n v="2253"/>
        <n v="2280"/>
        <n v="2300"/>
        <n v="2320"/>
        <n v="2376"/>
        <n v="2400"/>
        <n v="2430"/>
        <n v="2459"/>
        <n v="2475"/>
        <n v="2480"/>
        <n v="2490"/>
        <n v="2500"/>
        <n v="2520"/>
        <n v="2540"/>
        <n v="2550"/>
        <n v="2560"/>
        <n v="2575"/>
        <n v="2580"/>
        <n v="2600"/>
        <n v="2650"/>
        <n v="2667"/>
        <n v="2680"/>
        <n v="2700"/>
        <n v="2720"/>
        <n v="2739"/>
        <n v="2750"/>
        <n v="2800"/>
        <n v="2835"/>
        <n v="2850"/>
        <n v="2900"/>
        <n v="2940"/>
        <n v="2967"/>
        <n v="2970"/>
        <n v="2988"/>
        <n v="3000"/>
        <n v="3040"/>
        <n v="3060"/>
        <n v="3090"/>
        <n v="3100"/>
        <n v="3150"/>
        <n v="3192"/>
        <n v="3200"/>
        <n v="3208"/>
        <n v="3245"/>
        <n v="3300"/>
        <n v="3400"/>
        <n v="3500"/>
        <n v="3549"/>
        <n v="3600"/>
        <n v="3709"/>
        <n v="3713"/>
        <n v="3735"/>
        <n v="3750"/>
        <n v="3769"/>
        <n v="3780"/>
        <n v="3800"/>
        <n v="3810"/>
        <n v="3840"/>
        <n v="3870"/>
        <n v="3900"/>
        <n v="4000"/>
        <n v="4080"/>
        <n v="4200"/>
        <n v="4223"/>
        <n v="4300"/>
        <n v="4452"/>
        <n v="4500"/>
        <n v="4505"/>
        <n v="4650"/>
        <n v="4700"/>
        <n v="4788"/>
        <n v="4800"/>
        <n v="4900"/>
        <n v="4980"/>
        <n v="5000"/>
        <n v="5005"/>
        <n v="5006"/>
        <n v="5100"/>
        <n v="5161"/>
        <n v="5167"/>
        <n v="5168"/>
        <n v="5200"/>
        <n v="5395"/>
        <n v="5500"/>
        <n v="5600"/>
        <n v="5934"/>
        <n v="6000"/>
        <n v="6007"/>
        <n v="6200"/>
        <n v="6300"/>
        <n v="6400"/>
        <n v="6734"/>
        <n v="6750"/>
        <n v="7200"/>
        <n v="7233"/>
        <n v="7483"/>
        <n v="7500"/>
        <n v="7600"/>
        <n v="7750"/>
        <n v="8400"/>
        <n v="8904"/>
        <n v="9000"/>
        <n v="9010"/>
        <n v="10000"/>
        <n v="10011"/>
        <n v="10333"/>
        <n v="10400"/>
        <n v="10500"/>
        <n v="11000"/>
        <n v="11200"/>
        <n v="12600"/>
        <n v="13000"/>
        <n v="13500"/>
        <n v="13541"/>
        <n v="13600"/>
        <n v="21000"/>
        <n v="22568"/>
        <n v="27000"/>
        <n v="27081"/>
        <n v="28000"/>
        <n v="37000"/>
        <m/>
      </sharedItems>
    </cacheField>
    <cacheField name="Material" numFmtId="0">
      <sharedItems containsBlank="1" count="20">
        <s v="Bopp 30gr"/>
        <s v="Bopp branco Brilho"/>
        <s v="Bopp branco fosco"/>
        <s v="Bopp brilho bx temp"/>
        <s v="Bopp fosco bx temp."/>
        <s v="Bopp Prata"/>
        <s v="Bopp Transparente"/>
        <s v="Cetim"/>
        <s v="Couchê 20gr"/>
        <s v="Couchê 30gr"/>
        <s v="Fosco"/>
        <s v="Laminação"/>
        <s v="Laminado Prata"/>
        <s v="Papel fosco"/>
        <s v="resinado"/>
        <s v="Tafetá"/>
        <s v="TAG"/>
        <s v="Tag sem cola"/>
        <s v="Térmico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0"/>
    <x v="0"/>
    <x v="2"/>
    <x v="2"/>
    <x v="1"/>
    <x v="0"/>
    <x v="0"/>
    <x v="0"/>
    <x v="1"/>
    <x v="1"/>
    <x v="4"/>
    <x v="1"/>
    <x v="0"/>
    <x v="0"/>
  </r>
  <r>
    <x v="0"/>
    <x v="0"/>
    <x v="3"/>
    <x v="2"/>
    <x v="0"/>
    <x v="0"/>
    <x v="0"/>
    <x v="0"/>
    <x v="0"/>
    <x v="1"/>
    <x v="4"/>
    <x v="1"/>
    <x v="0"/>
    <x v="0"/>
  </r>
  <r>
    <x v="1"/>
    <x v="0"/>
    <x v="0"/>
    <x v="4"/>
    <x v="1"/>
    <x v="2"/>
    <x v="0"/>
    <x v="1"/>
    <x v="1"/>
    <x v="1"/>
    <x v="0"/>
    <x v="1"/>
    <x v="1"/>
    <x v="1"/>
  </r>
  <r>
    <x v="1"/>
    <x v="0"/>
    <x v="1"/>
    <x v="6"/>
    <x v="1"/>
    <x v="4"/>
    <x v="0"/>
    <x v="2"/>
    <x v="1"/>
    <x v="1"/>
    <x v="0"/>
    <x v="1"/>
    <x v="1"/>
    <x v="2"/>
  </r>
  <r>
    <x v="0"/>
    <x v="0"/>
    <x v="4"/>
    <x v="2"/>
    <x v="1"/>
    <x v="0"/>
    <x v="0"/>
    <x v="0"/>
    <x v="1"/>
    <x v="1"/>
    <x v="4"/>
    <x v="1"/>
    <x v="0"/>
    <x v="0"/>
  </r>
  <r>
    <x v="0"/>
    <x v="0"/>
    <x v="4"/>
    <x v="2"/>
    <x v="0"/>
    <x v="0"/>
    <x v="0"/>
    <x v="0"/>
    <x v="0"/>
    <x v="1"/>
    <x v="4"/>
    <x v="1"/>
    <x v="0"/>
    <x v="0"/>
  </r>
  <r>
    <x v="0"/>
    <x v="0"/>
    <x v="5"/>
    <x v="2"/>
    <x v="1"/>
    <x v="0"/>
    <x v="0"/>
    <x v="0"/>
    <x v="1"/>
    <x v="1"/>
    <x v="4"/>
    <x v="1"/>
    <x v="0"/>
    <x v="0"/>
  </r>
  <r>
    <x v="0"/>
    <x v="0"/>
    <x v="6"/>
    <x v="3"/>
    <x v="1"/>
    <x v="0"/>
    <x v="0"/>
    <x v="0"/>
    <x v="1"/>
    <x v="1"/>
    <x v="4"/>
    <x v="1"/>
    <x v="0"/>
    <x v="0"/>
  </r>
  <r>
    <x v="0"/>
    <x v="0"/>
    <x v="7"/>
    <x v="1"/>
    <x v="1"/>
    <x v="0"/>
    <x v="0"/>
    <x v="0"/>
    <x v="1"/>
    <x v="1"/>
    <x v="4"/>
    <x v="1"/>
    <x v="0"/>
    <x v="0"/>
  </r>
  <r>
    <x v="0"/>
    <x v="0"/>
    <x v="8"/>
    <x v="2"/>
    <x v="1"/>
    <x v="0"/>
    <x v="0"/>
    <x v="0"/>
    <x v="1"/>
    <x v="1"/>
    <x v="4"/>
    <x v="1"/>
    <x v="0"/>
    <x v="0"/>
  </r>
  <r>
    <x v="1"/>
    <x v="0"/>
    <x v="9"/>
    <x v="5"/>
    <x v="1"/>
    <x v="3"/>
    <x v="0"/>
    <x v="4"/>
    <x v="1"/>
    <x v="1"/>
    <x v="0"/>
    <x v="1"/>
    <x v="1"/>
    <x v="4"/>
  </r>
  <r>
    <x v="1"/>
    <x v="0"/>
    <x v="9"/>
    <x v="6"/>
    <x v="1"/>
    <x v="5"/>
    <x v="0"/>
    <x v="6"/>
    <x v="1"/>
    <x v="1"/>
    <x v="1"/>
    <x v="1"/>
    <x v="2"/>
    <x v="6"/>
  </r>
  <r>
    <x v="1"/>
    <x v="0"/>
    <x v="9"/>
    <x v="5"/>
    <x v="1"/>
    <x v="0"/>
    <x v="0"/>
    <x v="0"/>
    <x v="1"/>
    <x v="1"/>
    <x v="4"/>
    <x v="1"/>
    <x v="0"/>
    <x v="0"/>
  </r>
  <r>
    <x v="1"/>
    <x v="0"/>
    <x v="10"/>
    <x v="6"/>
    <x v="1"/>
    <x v="7"/>
    <x v="0"/>
    <x v="10"/>
    <x v="1"/>
    <x v="1"/>
    <x v="3"/>
    <x v="1"/>
    <x v="4"/>
    <x v="10"/>
  </r>
  <r>
    <x v="1"/>
    <x v="0"/>
    <x v="10"/>
    <x v="6"/>
    <x v="1"/>
    <x v="0"/>
    <x v="0"/>
    <x v="0"/>
    <x v="1"/>
    <x v="1"/>
    <x v="4"/>
    <x v="1"/>
    <x v="0"/>
    <x v="0"/>
  </r>
  <r>
    <x v="1"/>
    <x v="0"/>
    <x v="10"/>
    <x v="6"/>
    <x v="1"/>
    <x v="0"/>
    <x v="0"/>
    <x v="0"/>
    <x v="1"/>
    <x v="1"/>
    <x v="4"/>
    <x v="1"/>
    <x v="0"/>
    <x v="0"/>
  </r>
  <r>
    <x v="0"/>
    <x v="0"/>
    <x v="11"/>
    <x v="2"/>
    <x v="1"/>
    <x v="0"/>
    <x v="0"/>
    <x v="0"/>
    <x v="1"/>
    <x v="1"/>
    <x v="4"/>
    <x v="1"/>
    <x v="0"/>
    <x v="0"/>
  </r>
  <r>
    <x v="3"/>
    <x v="0"/>
    <x v="12"/>
    <x v="6"/>
    <x v="1"/>
    <x v="6"/>
    <x v="0"/>
    <x v="9"/>
    <x v="1"/>
    <x v="1"/>
    <x v="2"/>
    <x v="0"/>
    <x v="3"/>
    <x v="9"/>
  </r>
  <r>
    <x v="4"/>
    <x v="0"/>
    <x v="12"/>
    <x v="6"/>
    <x v="1"/>
    <x v="0"/>
    <x v="0"/>
    <x v="0"/>
    <x v="1"/>
    <x v="0"/>
    <x v="4"/>
    <x v="1"/>
    <x v="0"/>
    <x v="0"/>
  </r>
  <r>
    <x v="3"/>
    <x v="0"/>
    <x v="13"/>
    <x v="6"/>
    <x v="1"/>
    <x v="0"/>
    <x v="0"/>
    <x v="0"/>
    <x v="1"/>
    <x v="1"/>
    <x v="4"/>
    <x v="1"/>
    <x v="0"/>
    <x v="0"/>
  </r>
  <r>
    <x v="4"/>
    <x v="0"/>
    <x v="13"/>
    <x v="6"/>
    <x v="1"/>
    <x v="0"/>
    <x v="0"/>
    <x v="0"/>
    <x v="1"/>
    <x v="0"/>
    <x v="4"/>
    <x v="1"/>
    <x v="0"/>
    <x v="0"/>
  </r>
  <r>
    <x v="1"/>
    <x v="0"/>
    <x v="14"/>
    <x v="1"/>
    <x v="1"/>
    <x v="1"/>
    <x v="0"/>
    <x v="3"/>
    <x v="1"/>
    <x v="1"/>
    <x v="0"/>
    <x v="1"/>
    <x v="1"/>
    <x v="3"/>
  </r>
  <r>
    <x v="1"/>
    <x v="0"/>
    <x v="14"/>
    <x v="6"/>
    <x v="1"/>
    <x v="0"/>
    <x v="0"/>
    <x v="0"/>
    <x v="1"/>
    <x v="1"/>
    <x v="4"/>
    <x v="1"/>
    <x v="0"/>
    <x v="0"/>
  </r>
  <r>
    <x v="3"/>
    <x v="0"/>
    <x v="15"/>
    <x v="6"/>
    <x v="1"/>
    <x v="4"/>
    <x v="0"/>
    <x v="5"/>
    <x v="1"/>
    <x v="1"/>
    <x v="0"/>
    <x v="1"/>
    <x v="1"/>
    <x v="5"/>
  </r>
  <r>
    <x v="3"/>
    <x v="0"/>
    <x v="13"/>
    <x v="6"/>
    <x v="1"/>
    <x v="5"/>
    <x v="0"/>
    <x v="8"/>
    <x v="1"/>
    <x v="1"/>
    <x v="1"/>
    <x v="1"/>
    <x v="2"/>
    <x v="8"/>
  </r>
  <r>
    <x v="3"/>
    <x v="0"/>
    <x v="21"/>
    <x v="6"/>
    <x v="1"/>
    <x v="4"/>
    <x v="0"/>
    <x v="7"/>
    <x v="1"/>
    <x v="1"/>
    <x v="0"/>
    <x v="1"/>
    <x v="1"/>
    <x v="7"/>
  </r>
  <r>
    <x v="4"/>
    <x v="0"/>
    <x v="16"/>
    <x v="6"/>
    <x v="1"/>
    <x v="0"/>
    <x v="0"/>
    <x v="0"/>
    <x v="1"/>
    <x v="0"/>
    <x v="4"/>
    <x v="1"/>
    <x v="0"/>
    <x v="0"/>
  </r>
  <r>
    <x v="0"/>
    <x v="0"/>
    <x v="17"/>
    <x v="6"/>
    <x v="0"/>
    <x v="0"/>
    <x v="0"/>
    <x v="0"/>
    <x v="0"/>
    <x v="1"/>
    <x v="4"/>
    <x v="1"/>
    <x v="0"/>
    <x v="0"/>
  </r>
  <r>
    <x v="4"/>
    <x v="0"/>
    <x v="17"/>
    <x v="2"/>
    <x v="1"/>
    <x v="0"/>
    <x v="0"/>
    <x v="0"/>
    <x v="1"/>
    <x v="0"/>
    <x v="4"/>
    <x v="1"/>
    <x v="0"/>
    <x v="0"/>
  </r>
  <r>
    <x v="2"/>
    <x v="0"/>
    <x v="18"/>
    <x v="6"/>
    <x v="1"/>
    <x v="0"/>
    <x v="0"/>
    <x v="0"/>
    <x v="1"/>
    <x v="1"/>
    <x v="4"/>
    <x v="1"/>
    <x v="0"/>
    <x v="0"/>
  </r>
  <r>
    <x v="2"/>
    <x v="0"/>
    <x v="18"/>
    <x v="6"/>
    <x v="1"/>
    <x v="0"/>
    <x v="0"/>
    <x v="0"/>
    <x v="1"/>
    <x v="1"/>
    <x v="4"/>
    <x v="1"/>
    <x v="0"/>
    <x v="0"/>
  </r>
  <r>
    <x v="0"/>
    <x v="0"/>
    <x v="19"/>
    <x v="0"/>
    <x v="1"/>
    <x v="0"/>
    <x v="0"/>
    <x v="0"/>
    <x v="1"/>
    <x v="1"/>
    <x v="4"/>
    <x v="1"/>
    <x v="0"/>
    <x v="0"/>
  </r>
  <r>
    <x v="2"/>
    <x v="0"/>
    <x v="19"/>
    <x v="6"/>
    <x v="1"/>
    <x v="0"/>
    <x v="0"/>
    <x v="0"/>
    <x v="1"/>
    <x v="1"/>
    <x v="4"/>
    <x v="1"/>
    <x v="0"/>
    <x v="0"/>
  </r>
  <r>
    <x v="1"/>
    <x v="0"/>
    <x v="20"/>
    <x v="6"/>
    <x v="1"/>
    <x v="0"/>
    <x v="0"/>
    <x v="0"/>
    <x v="1"/>
    <x v="1"/>
    <x v="4"/>
    <x v="1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">
  <r>
    <x v="0"/>
    <x v="0"/>
    <x v="0"/>
    <x v="2"/>
    <x v="2"/>
    <x v="4"/>
    <x v="1"/>
    <x v="0"/>
    <x v="1"/>
    <x v="4"/>
    <x v="1"/>
    <x v="1"/>
    <x v="2"/>
    <x v="0"/>
  </r>
  <r>
    <x v="0"/>
    <x v="1"/>
    <x v="1"/>
    <x v="2"/>
    <x v="1"/>
    <x v="4"/>
    <x v="0"/>
    <x v="9"/>
    <x v="13"/>
    <x v="7"/>
    <x v="1"/>
    <x v="1"/>
    <x v="2"/>
    <x v="13"/>
  </r>
  <r>
    <x v="0"/>
    <x v="0"/>
    <x v="2"/>
    <x v="2"/>
    <x v="2"/>
    <x v="3"/>
    <x v="1"/>
    <x v="1"/>
    <x v="1"/>
    <x v="3"/>
    <x v="0"/>
    <x v="1"/>
    <x v="1"/>
    <x v="1"/>
  </r>
  <r>
    <x v="0"/>
    <x v="0"/>
    <x v="2"/>
    <x v="2"/>
    <x v="2"/>
    <x v="3"/>
    <x v="1"/>
    <x v="1"/>
    <x v="1"/>
    <x v="1"/>
    <x v="0"/>
    <x v="1"/>
    <x v="1"/>
    <x v="1"/>
  </r>
  <r>
    <x v="1"/>
    <x v="0"/>
    <x v="3"/>
    <x v="2"/>
    <x v="0"/>
    <x v="0"/>
    <x v="0"/>
    <x v="0"/>
    <x v="0"/>
    <x v="9"/>
    <x v="4"/>
    <x v="1"/>
    <x v="0"/>
    <x v="0"/>
  </r>
  <r>
    <x v="1"/>
    <x v="0"/>
    <x v="3"/>
    <x v="2"/>
    <x v="2"/>
    <x v="3"/>
    <x v="1"/>
    <x v="2"/>
    <x v="1"/>
    <x v="9"/>
    <x v="0"/>
    <x v="1"/>
    <x v="1"/>
    <x v="2"/>
  </r>
  <r>
    <x v="2"/>
    <x v="0"/>
    <x v="3"/>
    <x v="2"/>
    <x v="2"/>
    <x v="3"/>
    <x v="1"/>
    <x v="2"/>
    <x v="1"/>
    <x v="5"/>
    <x v="0"/>
    <x v="1"/>
    <x v="1"/>
    <x v="2"/>
  </r>
  <r>
    <x v="6"/>
    <x v="0"/>
    <x v="4"/>
    <x v="2"/>
    <x v="0"/>
    <x v="0"/>
    <x v="0"/>
    <x v="0"/>
    <x v="2"/>
    <x v="9"/>
    <x v="4"/>
    <x v="1"/>
    <x v="0"/>
    <x v="0"/>
  </r>
  <r>
    <x v="1"/>
    <x v="0"/>
    <x v="4"/>
    <x v="3"/>
    <x v="2"/>
    <x v="5"/>
    <x v="1"/>
    <x v="21"/>
    <x v="1"/>
    <x v="9"/>
    <x v="2"/>
    <x v="1"/>
    <x v="3"/>
    <x v="17"/>
  </r>
  <r>
    <x v="2"/>
    <x v="0"/>
    <x v="5"/>
    <x v="2"/>
    <x v="2"/>
    <x v="3"/>
    <x v="1"/>
    <x v="4"/>
    <x v="1"/>
    <x v="5"/>
    <x v="0"/>
    <x v="1"/>
    <x v="1"/>
    <x v="4"/>
  </r>
  <r>
    <x v="0"/>
    <x v="1"/>
    <x v="5"/>
    <x v="2"/>
    <x v="1"/>
    <x v="3"/>
    <x v="0"/>
    <x v="4"/>
    <x v="13"/>
    <x v="7"/>
    <x v="0"/>
    <x v="1"/>
    <x v="1"/>
    <x v="8"/>
  </r>
  <r>
    <x v="1"/>
    <x v="0"/>
    <x v="6"/>
    <x v="2"/>
    <x v="0"/>
    <x v="0"/>
    <x v="0"/>
    <x v="0"/>
    <x v="3"/>
    <x v="9"/>
    <x v="4"/>
    <x v="1"/>
    <x v="0"/>
    <x v="0"/>
  </r>
  <r>
    <x v="1"/>
    <x v="0"/>
    <x v="6"/>
    <x v="2"/>
    <x v="2"/>
    <x v="3"/>
    <x v="1"/>
    <x v="5"/>
    <x v="1"/>
    <x v="9"/>
    <x v="0"/>
    <x v="1"/>
    <x v="1"/>
    <x v="5"/>
  </r>
  <r>
    <x v="2"/>
    <x v="0"/>
    <x v="6"/>
    <x v="2"/>
    <x v="2"/>
    <x v="3"/>
    <x v="1"/>
    <x v="5"/>
    <x v="1"/>
    <x v="5"/>
    <x v="0"/>
    <x v="1"/>
    <x v="1"/>
    <x v="5"/>
  </r>
  <r>
    <x v="0"/>
    <x v="0"/>
    <x v="7"/>
    <x v="2"/>
    <x v="2"/>
    <x v="3"/>
    <x v="1"/>
    <x v="6"/>
    <x v="1"/>
    <x v="1"/>
    <x v="0"/>
    <x v="1"/>
    <x v="1"/>
    <x v="6"/>
  </r>
  <r>
    <x v="1"/>
    <x v="0"/>
    <x v="7"/>
    <x v="2"/>
    <x v="2"/>
    <x v="6"/>
    <x v="1"/>
    <x v="22"/>
    <x v="1"/>
    <x v="8"/>
    <x v="3"/>
    <x v="1"/>
    <x v="4"/>
    <x v="21"/>
  </r>
  <r>
    <x v="2"/>
    <x v="0"/>
    <x v="7"/>
    <x v="2"/>
    <x v="2"/>
    <x v="3"/>
    <x v="1"/>
    <x v="6"/>
    <x v="1"/>
    <x v="9"/>
    <x v="0"/>
    <x v="1"/>
    <x v="1"/>
    <x v="6"/>
  </r>
  <r>
    <x v="0"/>
    <x v="0"/>
    <x v="8"/>
    <x v="2"/>
    <x v="2"/>
    <x v="3"/>
    <x v="1"/>
    <x v="7"/>
    <x v="1"/>
    <x v="4"/>
    <x v="0"/>
    <x v="1"/>
    <x v="1"/>
    <x v="7"/>
  </r>
  <r>
    <x v="1"/>
    <x v="0"/>
    <x v="8"/>
    <x v="2"/>
    <x v="2"/>
    <x v="4"/>
    <x v="1"/>
    <x v="16"/>
    <x v="1"/>
    <x v="9"/>
    <x v="1"/>
    <x v="1"/>
    <x v="2"/>
    <x v="13"/>
  </r>
  <r>
    <x v="5"/>
    <x v="0"/>
    <x v="9"/>
    <x v="2"/>
    <x v="0"/>
    <x v="0"/>
    <x v="0"/>
    <x v="0"/>
    <x v="4"/>
    <x v="9"/>
    <x v="4"/>
    <x v="1"/>
    <x v="0"/>
    <x v="0"/>
  </r>
  <r>
    <x v="5"/>
    <x v="0"/>
    <x v="9"/>
    <x v="1"/>
    <x v="0"/>
    <x v="0"/>
    <x v="0"/>
    <x v="0"/>
    <x v="5"/>
    <x v="9"/>
    <x v="4"/>
    <x v="1"/>
    <x v="0"/>
    <x v="0"/>
  </r>
  <r>
    <x v="4"/>
    <x v="0"/>
    <x v="9"/>
    <x v="2"/>
    <x v="0"/>
    <x v="0"/>
    <x v="0"/>
    <x v="0"/>
    <x v="6"/>
    <x v="9"/>
    <x v="4"/>
    <x v="1"/>
    <x v="0"/>
    <x v="0"/>
  </r>
  <r>
    <x v="3"/>
    <x v="0"/>
    <x v="9"/>
    <x v="2"/>
    <x v="0"/>
    <x v="0"/>
    <x v="0"/>
    <x v="0"/>
    <x v="7"/>
    <x v="9"/>
    <x v="4"/>
    <x v="1"/>
    <x v="0"/>
    <x v="0"/>
  </r>
  <r>
    <x v="1"/>
    <x v="0"/>
    <x v="9"/>
    <x v="2"/>
    <x v="0"/>
    <x v="0"/>
    <x v="0"/>
    <x v="0"/>
    <x v="8"/>
    <x v="9"/>
    <x v="4"/>
    <x v="1"/>
    <x v="0"/>
    <x v="0"/>
  </r>
  <r>
    <x v="4"/>
    <x v="1"/>
    <x v="9"/>
    <x v="2"/>
    <x v="1"/>
    <x v="3"/>
    <x v="0"/>
    <x v="8"/>
    <x v="13"/>
    <x v="6"/>
    <x v="0"/>
    <x v="1"/>
    <x v="1"/>
    <x v="12"/>
  </r>
  <r>
    <x v="3"/>
    <x v="1"/>
    <x v="9"/>
    <x v="2"/>
    <x v="1"/>
    <x v="3"/>
    <x v="0"/>
    <x v="8"/>
    <x v="13"/>
    <x v="6"/>
    <x v="0"/>
    <x v="1"/>
    <x v="1"/>
    <x v="12"/>
  </r>
  <r>
    <x v="0"/>
    <x v="1"/>
    <x v="10"/>
    <x v="2"/>
    <x v="1"/>
    <x v="4"/>
    <x v="0"/>
    <x v="18"/>
    <x v="13"/>
    <x v="7"/>
    <x v="2"/>
    <x v="0"/>
    <x v="2"/>
    <x v="19"/>
  </r>
  <r>
    <x v="1"/>
    <x v="0"/>
    <x v="10"/>
    <x v="2"/>
    <x v="0"/>
    <x v="0"/>
    <x v="0"/>
    <x v="0"/>
    <x v="9"/>
    <x v="9"/>
    <x v="4"/>
    <x v="1"/>
    <x v="0"/>
    <x v="0"/>
  </r>
  <r>
    <x v="1"/>
    <x v="0"/>
    <x v="11"/>
    <x v="2"/>
    <x v="0"/>
    <x v="0"/>
    <x v="0"/>
    <x v="0"/>
    <x v="10"/>
    <x v="9"/>
    <x v="4"/>
    <x v="1"/>
    <x v="0"/>
    <x v="0"/>
  </r>
  <r>
    <x v="1"/>
    <x v="1"/>
    <x v="11"/>
    <x v="2"/>
    <x v="1"/>
    <x v="3"/>
    <x v="0"/>
    <x v="10"/>
    <x v="13"/>
    <x v="7"/>
    <x v="0"/>
    <x v="1"/>
    <x v="1"/>
    <x v="14"/>
  </r>
  <r>
    <x v="2"/>
    <x v="0"/>
    <x v="12"/>
    <x v="2"/>
    <x v="0"/>
    <x v="0"/>
    <x v="0"/>
    <x v="0"/>
    <x v="11"/>
    <x v="9"/>
    <x v="4"/>
    <x v="1"/>
    <x v="0"/>
    <x v="0"/>
  </r>
  <r>
    <x v="1"/>
    <x v="1"/>
    <x v="12"/>
    <x v="2"/>
    <x v="1"/>
    <x v="3"/>
    <x v="0"/>
    <x v="11"/>
    <x v="13"/>
    <x v="7"/>
    <x v="0"/>
    <x v="1"/>
    <x v="1"/>
    <x v="15"/>
  </r>
  <r>
    <x v="2"/>
    <x v="0"/>
    <x v="13"/>
    <x v="2"/>
    <x v="2"/>
    <x v="3"/>
    <x v="1"/>
    <x v="12"/>
    <x v="1"/>
    <x v="0"/>
    <x v="0"/>
    <x v="1"/>
    <x v="1"/>
    <x v="9"/>
  </r>
  <r>
    <x v="1"/>
    <x v="1"/>
    <x v="13"/>
    <x v="2"/>
    <x v="1"/>
    <x v="4"/>
    <x v="0"/>
    <x v="20"/>
    <x v="13"/>
    <x v="7"/>
    <x v="1"/>
    <x v="1"/>
    <x v="2"/>
    <x v="22"/>
  </r>
  <r>
    <x v="1"/>
    <x v="0"/>
    <x v="14"/>
    <x v="2"/>
    <x v="0"/>
    <x v="0"/>
    <x v="0"/>
    <x v="0"/>
    <x v="12"/>
    <x v="9"/>
    <x v="4"/>
    <x v="1"/>
    <x v="0"/>
    <x v="0"/>
  </r>
  <r>
    <x v="1"/>
    <x v="1"/>
    <x v="14"/>
    <x v="2"/>
    <x v="1"/>
    <x v="3"/>
    <x v="0"/>
    <x v="13"/>
    <x v="13"/>
    <x v="7"/>
    <x v="0"/>
    <x v="1"/>
    <x v="1"/>
    <x v="16"/>
  </r>
  <r>
    <x v="2"/>
    <x v="0"/>
    <x v="15"/>
    <x v="2"/>
    <x v="2"/>
    <x v="3"/>
    <x v="1"/>
    <x v="14"/>
    <x v="1"/>
    <x v="2"/>
    <x v="0"/>
    <x v="1"/>
    <x v="1"/>
    <x v="10"/>
  </r>
  <r>
    <x v="2"/>
    <x v="0"/>
    <x v="15"/>
    <x v="0"/>
    <x v="2"/>
    <x v="1"/>
    <x v="1"/>
    <x v="3"/>
    <x v="1"/>
    <x v="9"/>
    <x v="0"/>
    <x v="1"/>
    <x v="1"/>
    <x v="3"/>
  </r>
  <r>
    <x v="2"/>
    <x v="1"/>
    <x v="16"/>
    <x v="2"/>
    <x v="1"/>
    <x v="3"/>
    <x v="0"/>
    <x v="17"/>
    <x v="13"/>
    <x v="7"/>
    <x v="0"/>
    <x v="1"/>
    <x v="1"/>
    <x v="18"/>
  </r>
  <r>
    <x v="2"/>
    <x v="0"/>
    <x v="17"/>
    <x v="1"/>
    <x v="2"/>
    <x v="2"/>
    <x v="1"/>
    <x v="15"/>
    <x v="1"/>
    <x v="9"/>
    <x v="0"/>
    <x v="1"/>
    <x v="1"/>
    <x v="11"/>
  </r>
  <r>
    <x v="2"/>
    <x v="1"/>
    <x v="18"/>
    <x v="2"/>
    <x v="1"/>
    <x v="3"/>
    <x v="0"/>
    <x v="19"/>
    <x v="13"/>
    <x v="7"/>
    <x v="0"/>
    <x v="1"/>
    <x v="1"/>
    <x v="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79">
  <r>
    <x v="27"/>
    <x v="3"/>
    <x v="0"/>
    <x v="3"/>
    <x v="2"/>
    <x v="6"/>
    <x v="1"/>
    <x v="17"/>
    <x v="0"/>
    <x v="18"/>
    <x v="1"/>
    <x v="6"/>
    <x v="2"/>
    <x v="27"/>
  </r>
  <r>
    <x v="4"/>
    <x v="1"/>
    <x v="0"/>
    <x v="3"/>
    <x v="1"/>
    <x v="6"/>
    <x v="0"/>
    <x v="17"/>
    <x v="4"/>
    <x v="25"/>
    <x v="5"/>
    <x v="3"/>
    <x v="2"/>
    <x v="16"/>
  </r>
  <r>
    <x v="0"/>
    <x v="1"/>
    <x v="0"/>
    <x v="3"/>
    <x v="1"/>
    <x v="11"/>
    <x v="0"/>
    <x v="52"/>
    <x v="4"/>
    <x v="27"/>
    <x v="6"/>
    <x v="0"/>
    <x v="6"/>
    <x v="55"/>
  </r>
  <r>
    <x v="1"/>
    <x v="1"/>
    <x v="0"/>
    <x v="3"/>
    <x v="1"/>
    <x v="0"/>
    <x v="0"/>
    <x v="0"/>
    <x v="4"/>
    <x v="27"/>
    <x v="0"/>
    <x v="0"/>
    <x v="0"/>
    <x v="0"/>
  </r>
  <r>
    <x v="27"/>
    <x v="3"/>
    <x v="1"/>
    <x v="3"/>
    <x v="2"/>
    <x v="6"/>
    <x v="1"/>
    <x v="21"/>
    <x v="0"/>
    <x v="18"/>
    <x v="1"/>
    <x v="6"/>
    <x v="2"/>
    <x v="34"/>
  </r>
  <r>
    <x v="28"/>
    <x v="3"/>
    <x v="1"/>
    <x v="3"/>
    <x v="2"/>
    <x v="4"/>
    <x v="1"/>
    <x v="4"/>
    <x v="0"/>
    <x v="18"/>
    <x v="0"/>
    <x v="6"/>
    <x v="1"/>
    <x v="9"/>
  </r>
  <r>
    <x v="4"/>
    <x v="1"/>
    <x v="1"/>
    <x v="4"/>
    <x v="1"/>
    <x v="5"/>
    <x v="0"/>
    <x v="13"/>
    <x v="4"/>
    <x v="28"/>
    <x v="2"/>
    <x v="1"/>
    <x v="1"/>
    <x v="14"/>
  </r>
  <r>
    <x v="3"/>
    <x v="1"/>
    <x v="1"/>
    <x v="4"/>
    <x v="1"/>
    <x v="7"/>
    <x v="0"/>
    <x v="35"/>
    <x v="4"/>
    <x v="31"/>
    <x v="4"/>
    <x v="2"/>
    <x v="2"/>
    <x v="37"/>
  </r>
  <r>
    <x v="5"/>
    <x v="1"/>
    <x v="1"/>
    <x v="4"/>
    <x v="1"/>
    <x v="0"/>
    <x v="0"/>
    <x v="0"/>
    <x v="4"/>
    <x v="38"/>
    <x v="0"/>
    <x v="0"/>
    <x v="0"/>
    <x v="0"/>
  </r>
  <r>
    <x v="0"/>
    <x v="1"/>
    <x v="1"/>
    <x v="3"/>
    <x v="1"/>
    <x v="0"/>
    <x v="0"/>
    <x v="0"/>
    <x v="4"/>
    <x v="39"/>
    <x v="0"/>
    <x v="0"/>
    <x v="0"/>
    <x v="0"/>
  </r>
  <r>
    <x v="1"/>
    <x v="0"/>
    <x v="1"/>
    <x v="4"/>
    <x v="0"/>
    <x v="5"/>
    <x v="0"/>
    <x v="13"/>
    <x v="2"/>
    <x v="32"/>
    <x v="0"/>
    <x v="6"/>
    <x v="1"/>
    <x v="14"/>
  </r>
  <r>
    <x v="1"/>
    <x v="1"/>
    <x v="1"/>
    <x v="3"/>
    <x v="1"/>
    <x v="4"/>
    <x v="0"/>
    <x v="4"/>
    <x v="4"/>
    <x v="31"/>
    <x v="0"/>
    <x v="6"/>
    <x v="1"/>
    <x v="4"/>
  </r>
  <r>
    <x v="0"/>
    <x v="1"/>
    <x v="1"/>
    <x v="3"/>
    <x v="1"/>
    <x v="6"/>
    <x v="0"/>
    <x v="21"/>
    <x v="4"/>
    <x v="36"/>
    <x v="2"/>
    <x v="0"/>
    <x v="2"/>
    <x v="21"/>
  </r>
  <r>
    <x v="4"/>
    <x v="1"/>
    <x v="1"/>
    <x v="4"/>
    <x v="1"/>
    <x v="7"/>
    <x v="0"/>
    <x v="35"/>
    <x v="4"/>
    <x v="28"/>
    <x v="1"/>
    <x v="6"/>
    <x v="2"/>
    <x v="37"/>
  </r>
  <r>
    <x v="25"/>
    <x v="3"/>
    <x v="2"/>
    <x v="3"/>
    <x v="2"/>
    <x v="7"/>
    <x v="1"/>
    <x v="37"/>
    <x v="0"/>
    <x v="26"/>
    <x v="3"/>
    <x v="0"/>
    <x v="3"/>
    <x v="47"/>
  </r>
  <r>
    <x v="1"/>
    <x v="1"/>
    <x v="2"/>
    <x v="4"/>
    <x v="1"/>
    <x v="9"/>
    <x v="0"/>
    <x v="50"/>
    <x v="4"/>
    <x v="31"/>
    <x v="4"/>
    <x v="1"/>
    <x v="3"/>
    <x v="54"/>
  </r>
  <r>
    <x v="2"/>
    <x v="1"/>
    <x v="2"/>
    <x v="3"/>
    <x v="1"/>
    <x v="0"/>
    <x v="0"/>
    <x v="0"/>
    <x v="4"/>
    <x v="31"/>
    <x v="0"/>
    <x v="0"/>
    <x v="0"/>
    <x v="0"/>
  </r>
  <r>
    <x v="9"/>
    <x v="1"/>
    <x v="2"/>
    <x v="4"/>
    <x v="1"/>
    <x v="7"/>
    <x v="0"/>
    <x v="37"/>
    <x v="4"/>
    <x v="31"/>
    <x v="1"/>
    <x v="6"/>
    <x v="2"/>
    <x v="40"/>
  </r>
  <r>
    <x v="1"/>
    <x v="1"/>
    <x v="3"/>
    <x v="3"/>
    <x v="1"/>
    <x v="0"/>
    <x v="0"/>
    <x v="0"/>
    <x v="4"/>
    <x v="11"/>
    <x v="0"/>
    <x v="0"/>
    <x v="0"/>
    <x v="0"/>
  </r>
  <r>
    <x v="3"/>
    <x v="1"/>
    <x v="3"/>
    <x v="3"/>
    <x v="1"/>
    <x v="6"/>
    <x v="0"/>
    <x v="26"/>
    <x v="4"/>
    <x v="16"/>
    <x v="1"/>
    <x v="6"/>
    <x v="2"/>
    <x v="28"/>
  </r>
  <r>
    <x v="4"/>
    <x v="1"/>
    <x v="3"/>
    <x v="3"/>
    <x v="1"/>
    <x v="0"/>
    <x v="0"/>
    <x v="0"/>
    <x v="4"/>
    <x v="16"/>
    <x v="0"/>
    <x v="0"/>
    <x v="0"/>
    <x v="0"/>
  </r>
  <r>
    <x v="0"/>
    <x v="1"/>
    <x v="3"/>
    <x v="3"/>
    <x v="1"/>
    <x v="7"/>
    <x v="0"/>
    <x v="39"/>
    <x v="4"/>
    <x v="18"/>
    <x v="2"/>
    <x v="6"/>
    <x v="3"/>
    <x v="42"/>
  </r>
  <r>
    <x v="2"/>
    <x v="1"/>
    <x v="3"/>
    <x v="3"/>
    <x v="1"/>
    <x v="6"/>
    <x v="0"/>
    <x v="26"/>
    <x v="4"/>
    <x v="23"/>
    <x v="1"/>
    <x v="6"/>
    <x v="2"/>
    <x v="28"/>
  </r>
  <r>
    <x v="4"/>
    <x v="1"/>
    <x v="3"/>
    <x v="4"/>
    <x v="1"/>
    <x v="14"/>
    <x v="0"/>
    <x v="80"/>
    <x v="4"/>
    <x v="31"/>
    <x v="7"/>
    <x v="6"/>
    <x v="7"/>
    <x v="86"/>
  </r>
  <r>
    <x v="1"/>
    <x v="1"/>
    <x v="4"/>
    <x v="3"/>
    <x v="1"/>
    <x v="6"/>
    <x v="0"/>
    <x v="28"/>
    <x v="4"/>
    <x v="6"/>
    <x v="1"/>
    <x v="6"/>
    <x v="2"/>
    <x v="30"/>
  </r>
  <r>
    <x v="1"/>
    <x v="1"/>
    <x v="4"/>
    <x v="3"/>
    <x v="1"/>
    <x v="0"/>
    <x v="0"/>
    <x v="0"/>
    <x v="4"/>
    <x v="6"/>
    <x v="1"/>
    <x v="1"/>
    <x v="0"/>
    <x v="0"/>
  </r>
  <r>
    <x v="0"/>
    <x v="1"/>
    <x v="4"/>
    <x v="3"/>
    <x v="1"/>
    <x v="4"/>
    <x v="0"/>
    <x v="7"/>
    <x v="4"/>
    <x v="6"/>
    <x v="0"/>
    <x v="6"/>
    <x v="1"/>
    <x v="7"/>
  </r>
  <r>
    <x v="2"/>
    <x v="1"/>
    <x v="4"/>
    <x v="3"/>
    <x v="1"/>
    <x v="7"/>
    <x v="0"/>
    <x v="40"/>
    <x v="4"/>
    <x v="6"/>
    <x v="2"/>
    <x v="6"/>
    <x v="3"/>
    <x v="43"/>
  </r>
  <r>
    <x v="3"/>
    <x v="1"/>
    <x v="4"/>
    <x v="3"/>
    <x v="1"/>
    <x v="10"/>
    <x v="0"/>
    <x v="55"/>
    <x v="4"/>
    <x v="25"/>
    <x v="4"/>
    <x v="6"/>
    <x v="5"/>
    <x v="59"/>
  </r>
  <r>
    <x v="2"/>
    <x v="1"/>
    <x v="5"/>
    <x v="3"/>
    <x v="1"/>
    <x v="0"/>
    <x v="0"/>
    <x v="0"/>
    <x v="4"/>
    <x v="23"/>
    <x v="1"/>
    <x v="1"/>
    <x v="0"/>
    <x v="0"/>
  </r>
  <r>
    <x v="24"/>
    <x v="3"/>
    <x v="5"/>
    <x v="3"/>
    <x v="2"/>
    <x v="0"/>
    <x v="1"/>
    <x v="0"/>
    <x v="0"/>
    <x v="26"/>
    <x v="0"/>
    <x v="0"/>
    <x v="0"/>
    <x v="0"/>
  </r>
  <r>
    <x v="9"/>
    <x v="0"/>
    <x v="5"/>
    <x v="4"/>
    <x v="0"/>
    <x v="5"/>
    <x v="0"/>
    <x v="17"/>
    <x v="2"/>
    <x v="32"/>
    <x v="0"/>
    <x v="6"/>
    <x v="1"/>
    <x v="16"/>
  </r>
  <r>
    <x v="12"/>
    <x v="0"/>
    <x v="5"/>
    <x v="4"/>
    <x v="0"/>
    <x v="5"/>
    <x v="0"/>
    <x v="17"/>
    <x v="2"/>
    <x v="32"/>
    <x v="0"/>
    <x v="6"/>
    <x v="1"/>
    <x v="16"/>
  </r>
  <r>
    <x v="0"/>
    <x v="0"/>
    <x v="5"/>
    <x v="4"/>
    <x v="0"/>
    <x v="11"/>
    <x v="0"/>
    <x v="64"/>
    <x v="2"/>
    <x v="32"/>
    <x v="4"/>
    <x v="0"/>
    <x v="4"/>
    <x v="69"/>
  </r>
  <r>
    <x v="2"/>
    <x v="0"/>
    <x v="5"/>
    <x v="4"/>
    <x v="0"/>
    <x v="5"/>
    <x v="0"/>
    <x v="17"/>
    <x v="2"/>
    <x v="32"/>
    <x v="1"/>
    <x v="0"/>
    <x v="1"/>
    <x v="16"/>
  </r>
  <r>
    <x v="0"/>
    <x v="1"/>
    <x v="5"/>
    <x v="3"/>
    <x v="1"/>
    <x v="7"/>
    <x v="0"/>
    <x v="41"/>
    <x v="4"/>
    <x v="36"/>
    <x v="2"/>
    <x v="6"/>
    <x v="3"/>
    <x v="44"/>
  </r>
  <r>
    <x v="1"/>
    <x v="1"/>
    <x v="6"/>
    <x v="3"/>
    <x v="1"/>
    <x v="4"/>
    <x v="0"/>
    <x v="10"/>
    <x v="4"/>
    <x v="9"/>
    <x v="0"/>
    <x v="6"/>
    <x v="1"/>
    <x v="11"/>
  </r>
  <r>
    <x v="1"/>
    <x v="1"/>
    <x v="6"/>
    <x v="4"/>
    <x v="1"/>
    <x v="5"/>
    <x v="0"/>
    <x v="18"/>
    <x v="4"/>
    <x v="31"/>
    <x v="0"/>
    <x v="6"/>
    <x v="1"/>
    <x v="17"/>
  </r>
  <r>
    <x v="5"/>
    <x v="1"/>
    <x v="6"/>
    <x v="4"/>
    <x v="1"/>
    <x v="13"/>
    <x v="0"/>
    <x v="75"/>
    <x v="4"/>
    <x v="31"/>
    <x v="5"/>
    <x v="6"/>
    <x v="6"/>
    <x v="81"/>
  </r>
  <r>
    <x v="2"/>
    <x v="0"/>
    <x v="6"/>
    <x v="4"/>
    <x v="0"/>
    <x v="9"/>
    <x v="0"/>
    <x v="53"/>
    <x v="2"/>
    <x v="32"/>
    <x v="2"/>
    <x v="6"/>
    <x v="3"/>
    <x v="56"/>
  </r>
  <r>
    <x v="3"/>
    <x v="1"/>
    <x v="6"/>
    <x v="3"/>
    <x v="1"/>
    <x v="4"/>
    <x v="0"/>
    <x v="10"/>
    <x v="4"/>
    <x v="31"/>
    <x v="0"/>
    <x v="6"/>
    <x v="1"/>
    <x v="11"/>
  </r>
  <r>
    <x v="0"/>
    <x v="1"/>
    <x v="7"/>
    <x v="3"/>
    <x v="1"/>
    <x v="0"/>
    <x v="0"/>
    <x v="0"/>
    <x v="4"/>
    <x v="39"/>
    <x v="0"/>
    <x v="0"/>
    <x v="0"/>
    <x v="0"/>
  </r>
  <r>
    <x v="1"/>
    <x v="1"/>
    <x v="7"/>
    <x v="3"/>
    <x v="1"/>
    <x v="4"/>
    <x v="0"/>
    <x v="11"/>
    <x v="4"/>
    <x v="39"/>
    <x v="0"/>
    <x v="6"/>
    <x v="1"/>
    <x v="12"/>
  </r>
  <r>
    <x v="33"/>
    <x v="0"/>
    <x v="7"/>
    <x v="4"/>
    <x v="0"/>
    <x v="5"/>
    <x v="0"/>
    <x v="20"/>
    <x v="2"/>
    <x v="40"/>
    <x v="6"/>
    <x v="5"/>
    <x v="1"/>
    <x v="19"/>
  </r>
  <r>
    <x v="2"/>
    <x v="0"/>
    <x v="7"/>
    <x v="4"/>
    <x v="0"/>
    <x v="11"/>
    <x v="0"/>
    <x v="66"/>
    <x v="2"/>
    <x v="32"/>
    <x v="4"/>
    <x v="0"/>
    <x v="4"/>
    <x v="71"/>
  </r>
  <r>
    <x v="0"/>
    <x v="0"/>
    <x v="7"/>
    <x v="4"/>
    <x v="0"/>
    <x v="0"/>
    <x v="0"/>
    <x v="0"/>
    <x v="2"/>
    <x v="32"/>
    <x v="1"/>
    <x v="1"/>
    <x v="0"/>
    <x v="0"/>
  </r>
  <r>
    <x v="1"/>
    <x v="0"/>
    <x v="7"/>
    <x v="2"/>
    <x v="0"/>
    <x v="3"/>
    <x v="0"/>
    <x v="5"/>
    <x v="2"/>
    <x v="32"/>
    <x v="0"/>
    <x v="6"/>
    <x v="1"/>
    <x v="5"/>
  </r>
  <r>
    <x v="0"/>
    <x v="1"/>
    <x v="7"/>
    <x v="3"/>
    <x v="1"/>
    <x v="7"/>
    <x v="0"/>
    <x v="43"/>
    <x v="4"/>
    <x v="36"/>
    <x v="2"/>
    <x v="6"/>
    <x v="3"/>
    <x v="46"/>
  </r>
  <r>
    <x v="2"/>
    <x v="1"/>
    <x v="7"/>
    <x v="3"/>
    <x v="1"/>
    <x v="7"/>
    <x v="0"/>
    <x v="43"/>
    <x v="4"/>
    <x v="36"/>
    <x v="2"/>
    <x v="6"/>
    <x v="3"/>
    <x v="46"/>
  </r>
  <r>
    <x v="17"/>
    <x v="1"/>
    <x v="8"/>
    <x v="4"/>
    <x v="1"/>
    <x v="5"/>
    <x v="0"/>
    <x v="22"/>
    <x v="4"/>
    <x v="28"/>
    <x v="1"/>
    <x v="0"/>
    <x v="1"/>
    <x v="22"/>
  </r>
  <r>
    <x v="9"/>
    <x v="0"/>
    <x v="8"/>
    <x v="4"/>
    <x v="0"/>
    <x v="7"/>
    <x v="0"/>
    <x v="45"/>
    <x v="2"/>
    <x v="32"/>
    <x v="2"/>
    <x v="0"/>
    <x v="2"/>
    <x v="49"/>
  </r>
  <r>
    <x v="12"/>
    <x v="0"/>
    <x v="8"/>
    <x v="4"/>
    <x v="0"/>
    <x v="5"/>
    <x v="0"/>
    <x v="22"/>
    <x v="2"/>
    <x v="32"/>
    <x v="0"/>
    <x v="6"/>
    <x v="1"/>
    <x v="22"/>
  </r>
  <r>
    <x v="14"/>
    <x v="0"/>
    <x v="8"/>
    <x v="4"/>
    <x v="0"/>
    <x v="5"/>
    <x v="0"/>
    <x v="22"/>
    <x v="2"/>
    <x v="32"/>
    <x v="0"/>
    <x v="6"/>
    <x v="1"/>
    <x v="22"/>
  </r>
  <r>
    <x v="4"/>
    <x v="1"/>
    <x v="8"/>
    <x v="3"/>
    <x v="1"/>
    <x v="0"/>
    <x v="0"/>
    <x v="0"/>
    <x v="4"/>
    <x v="36"/>
    <x v="0"/>
    <x v="0"/>
    <x v="0"/>
    <x v="0"/>
  </r>
  <r>
    <x v="17"/>
    <x v="1"/>
    <x v="8"/>
    <x v="4"/>
    <x v="1"/>
    <x v="5"/>
    <x v="0"/>
    <x v="22"/>
    <x v="4"/>
    <x v="28"/>
    <x v="0"/>
    <x v="6"/>
    <x v="1"/>
    <x v="22"/>
  </r>
  <r>
    <x v="12"/>
    <x v="1"/>
    <x v="9"/>
    <x v="4"/>
    <x v="1"/>
    <x v="5"/>
    <x v="0"/>
    <x v="24"/>
    <x v="4"/>
    <x v="32"/>
    <x v="0"/>
    <x v="6"/>
    <x v="1"/>
    <x v="25"/>
  </r>
  <r>
    <x v="1"/>
    <x v="1"/>
    <x v="9"/>
    <x v="3"/>
    <x v="1"/>
    <x v="0"/>
    <x v="0"/>
    <x v="0"/>
    <x v="4"/>
    <x v="2"/>
    <x v="0"/>
    <x v="0"/>
    <x v="0"/>
    <x v="0"/>
  </r>
  <r>
    <x v="26"/>
    <x v="3"/>
    <x v="9"/>
    <x v="3"/>
    <x v="2"/>
    <x v="0"/>
    <x v="1"/>
    <x v="0"/>
    <x v="0"/>
    <x v="18"/>
    <x v="0"/>
    <x v="0"/>
    <x v="0"/>
    <x v="0"/>
  </r>
  <r>
    <x v="23"/>
    <x v="2"/>
    <x v="9"/>
    <x v="3"/>
    <x v="3"/>
    <x v="4"/>
    <x v="0"/>
    <x v="81"/>
    <x v="3"/>
    <x v="20"/>
    <x v="0"/>
    <x v="6"/>
    <x v="1"/>
    <x v="87"/>
  </r>
  <r>
    <x v="3"/>
    <x v="2"/>
    <x v="9"/>
    <x v="3"/>
    <x v="3"/>
    <x v="4"/>
    <x v="0"/>
    <x v="81"/>
    <x v="3"/>
    <x v="20"/>
    <x v="0"/>
    <x v="6"/>
    <x v="1"/>
    <x v="87"/>
  </r>
  <r>
    <x v="7"/>
    <x v="1"/>
    <x v="9"/>
    <x v="4"/>
    <x v="1"/>
    <x v="11"/>
    <x v="0"/>
    <x v="70"/>
    <x v="4"/>
    <x v="27"/>
    <x v="3"/>
    <x v="6"/>
    <x v="4"/>
    <x v="75"/>
  </r>
  <r>
    <x v="17"/>
    <x v="1"/>
    <x v="9"/>
    <x v="4"/>
    <x v="1"/>
    <x v="9"/>
    <x v="0"/>
    <x v="59"/>
    <x v="4"/>
    <x v="28"/>
    <x v="2"/>
    <x v="6"/>
    <x v="3"/>
    <x v="64"/>
  </r>
  <r>
    <x v="10"/>
    <x v="0"/>
    <x v="9"/>
    <x v="4"/>
    <x v="0"/>
    <x v="9"/>
    <x v="0"/>
    <x v="59"/>
    <x v="2"/>
    <x v="32"/>
    <x v="2"/>
    <x v="6"/>
    <x v="3"/>
    <x v="64"/>
  </r>
  <r>
    <x v="5"/>
    <x v="1"/>
    <x v="10"/>
    <x v="3"/>
    <x v="1"/>
    <x v="4"/>
    <x v="0"/>
    <x v="12"/>
    <x v="4"/>
    <x v="3"/>
    <x v="0"/>
    <x v="6"/>
    <x v="1"/>
    <x v="13"/>
  </r>
  <r>
    <x v="1"/>
    <x v="1"/>
    <x v="10"/>
    <x v="3"/>
    <x v="1"/>
    <x v="4"/>
    <x v="0"/>
    <x v="12"/>
    <x v="4"/>
    <x v="4"/>
    <x v="0"/>
    <x v="6"/>
    <x v="1"/>
    <x v="13"/>
  </r>
  <r>
    <x v="4"/>
    <x v="1"/>
    <x v="10"/>
    <x v="3"/>
    <x v="1"/>
    <x v="0"/>
    <x v="0"/>
    <x v="0"/>
    <x v="4"/>
    <x v="3"/>
    <x v="0"/>
    <x v="0"/>
    <x v="0"/>
    <x v="0"/>
  </r>
  <r>
    <x v="24"/>
    <x v="1"/>
    <x v="10"/>
    <x v="3"/>
    <x v="1"/>
    <x v="7"/>
    <x v="0"/>
    <x v="47"/>
    <x v="4"/>
    <x v="36"/>
    <x v="2"/>
    <x v="6"/>
    <x v="3"/>
    <x v="51"/>
  </r>
  <r>
    <x v="14"/>
    <x v="1"/>
    <x v="11"/>
    <x v="4"/>
    <x v="1"/>
    <x v="9"/>
    <x v="0"/>
    <x v="61"/>
    <x v="4"/>
    <x v="28"/>
    <x v="2"/>
    <x v="6"/>
    <x v="3"/>
    <x v="66"/>
  </r>
  <r>
    <x v="7"/>
    <x v="0"/>
    <x v="11"/>
    <x v="4"/>
    <x v="0"/>
    <x v="9"/>
    <x v="0"/>
    <x v="61"/>
    <x v="2"/>
    <x v="32"/>
    <x v="3"/>
    <x v="0"/>
    <x v="3"/>
    <x v="66"/>
  </r>
  <r>
    <x v="3"/>
    <x v="1"/>
    <x v="11"/>
    <x v="3"/>
    <x v="1"/>
    <x v="7"/>
    <x v="0"/>
    <x v="48"/>
    <x v="4"/>
    <x v="35"/>
    <x v="5"/>
    <x v="2"/>
    <x v="3"/>
    <x v="52"/>
  </r>
  <r>
    <x v="4"/>
    <x v="1"/>
    <x v="11"/>
    <x v="3"/>
    <x v="1"/>
    <x v="8"/>
    <x v="0"/>
    <x v="56"/>
    <x v="4"/>
    <x v="35"/>
    <x v="3"/>
    <x v="6"/>
    <x v="4"/>
    <x v="60"/>
  </r>
  <r>
    <x v="5"/>
    <x v="1"/>
    <x v="11"/>
    <x v="3"/>
    <x v="1"/>
    <x v="10"/>
    <x v="0"/>
    <x v="65"/>
    <x v="4"/>
    <x v="35"/>
    <x v="4"/>
    <x v="6"/>
    <x v="5"/>
    <x v="70"/>
  </r>
  <r>
    <x v="8"/>
    <x v="1"/>
    <x v="12"/>
    <x v="3"/>
    <x v="1"/>
    <x v="7"/>
    <x v="0"/>
    <x v="49"/>
    <x v="4"/>
    <x v="24"/>
    <x v="4"/>
    <x v="1"/>
    <x v="3"/>
    <x v="53"/>
  </r>
  <r>
    <x v="6"/>
    <x v="1"/>
    <x v="12"/>
    <x v="3"/>
    <x v="1"/>
    <x v="10"/>
    <x v="0"/>
    <x v="67"/>
    <x v="4"/>
    <x v="25"/>
    <x v="4"/>
    <x v="6"/>
    <x v="5"/>
    <x v="72"/>
  </r>
  <r>
    <x v="13"/>
    <x v="1"/>
    <x v="13"/>
    <x v="4"/>
    <x v="1"/>
    <x v="5"/>
    <x v="0"/>
    <x v="29"/>
    <x v="4"/>
    <x v="28"/>
    <x v="0"/>
    <x v="6"/>
    <x v="1"/>
    <x v="31"/>
  </r>
  <r>
    <x v="26"/>
    <x v="3"/>
    <x v="13"/>
    <x v="3"/>
    <x v="2"/>
    <x v="0"/>
    <x v="1"/>
    <x v="0"/>
    <x v="1"/>
    <x v="7"/>
    <x v="1"/>
    <x v="1"/>
    <x v="0"/>
    <x v="0"/>
  </r>
  <r>
    <x v="27"/>
    <x v="3"/>
    <x v="13"/>
    <x v="3"/>
    <x v="2"/>
    <x v="4"/>
    <x v="1"/>
    <x v="14"/>
    <x v="0"/>
    <x v="7"/>
    <x v="0"/>
    <x v="6"/>
    <x v="1"/>
    <x v="20"/>
  </r>
  <r>
    <x v="28"/>
    <x v="3"/>
    <x v="13"/>
    <x v="3"/>
    <x v="2"/>
    <x v="10"/>
    <x v="1"/>
    <x v="69"/>
    <x v="0"/>
    <x v="7"/>
    <x v="4"/>
    <x v="6"/>
    <x v="5"/>
    <x v="80"/>
  </r>
  <r>
    <x v="24"/>
    <x v="3"/>
    <x v="13"/>
    <x v="3"/>
    <x v="2"/>
    <x v="8"/>
    <x v="1"/>
    <x v="58"/>
    <x v="0"/>
    <x v="7"/>
    <x v="3"/>
    <x v="6"/>
    <x v="4"/>
    <x v="74"/>
  </r>
  <r>
    <x v="29"/>
    <x v="3"/>
    <x v="13"/>
    <x v="3"/>
    <x v="2"/>
    <x v="7"/>
    <x v="1"/>
    <x v="50"/>
    <x v="0"/>
    <x v="18"/>
    <x v="2"/>
    <x v="6"/>
    <x v="3"/>
    <x v="58"/>
  </r>
  <r>
    <x v="12"/>
    <x v="1"/>
    <x v="13"/>
    <x v="4"/>
    <x v="1"/>
    <x v="11"/>
    <x v="0"/>
    <x v="73"/>
    <x v="4"/>
    <x v="28"/>
    <x v="3"/>
    <x v="6"/>
    <x v="4"/>
    <x v="78"/>
  </r>
  <r>
    <x v="23"/>
    <x v="1"/>
    <x v="13"/>
    <x v="4"/>
    <x v="1"/>
    <x v="0"/>
    <x v="0"/>
    <x v="0"/>
    <x v="4"/>
    <x v="28"/>
    <x v="0"/>
    <x v="0"/>
    <x v="0"/>
    <x v="0"/>
  </r>
  <r>
    <x v="14"/>
    <x v="1"/>
    <x v="13"/>
    <x v="4"/>
    <x v="1"/>
    <x v="0"/>
    <x v="0"/>
    <x v="0"/>
    <x v="4"/>
    <x v="29"/>
    <x v="0"/>
    <x v="0"/>
    <x v="0"/>
    <x v="0"/>
  </r>
  <r>
    <x v="18"/>
    <x v="0"/>
    <x v="13"/>
    <x v="4"/>
    <x v="0"/>
    <x v="7"/>
    <x v="0"/>
    <x v="50"/>
    <x v="2"/>
    <x v="32"/>
    <x v="1"/>
    <x v="6"/>
    <x v="2"/>
    <x v="54"/>
  </r>
  <r>
    <x v="18"/>
    <x v="0"/>
    <x v="13"/>
    <x v="4"/>
    <x v="0"/>
    <x v="5"/>
    <x v="0"/>
    <x v="29"/>
    <x v="2"/>
    <x v="32"/>
    <x v="0"/>
    <x v="6"/>
    <x v="1"/>
    <x v="31"/>
  </r>
  <r>
    <x v="18"/>
    <x v="0"/>
    <x v="13"/>
    <x v="4"/>
    <x v="0"/>
    <x v="7"/>
    <x v="0"/>
    <x v="50"/>
    <x v="2"/>
    <x v="32"/>
    <x v="1"/>
    <x v="6"/>
    <x v="2"/>
    <x v="54"/>
  </r>
  <r>
    <x v="17"/>
    <x v="0"/>
    <x v="13"/>
    <x v="3"/>
    <x v="0"/>
    <x v="0"/>
    <x v="0"/>
    <x v="0"/>
    <x v="2"/>
    <x v="32"/>
    <x v="2"/>
    <x v="2"/>
    <x v="0"/>
    <x v="0"/>
  </r>
  <r>
    <x v="28"/>
    <x v="0"/>
    <x v="13"/>
    <x v="4"/>
    <x v="0"/>
    <x v="5"/>
    <x v="0"/>
    <x v="29"/>
    <x v="2"/>
    <x v="32"/>
    <x v="0"/>
    <x v="6"/>
    <x v="1"/>
    <x v="31"/>
  </r>
  <r>
    <x v="27"/>
    <x v="0"/>
    <x v="13"/>
    <x v="4"/>
    <x v="0"/>
    <x v="5"/>
    <x v="0"/>
    <x v="29"/>
    <x v="2"/>
    <x v="32"/>
    <x v="0"/>
    <x v="6"/>
    <x v="1"/>
    <x v="31"/>
  </r>
  <r>
    <x v="14"/>
    <x v="0"/>
    <x v="13"/>
    <x v="4"/>
    <x v="0"/>
    <x v="5"/>
    <x v="0"/>
    <x v="29"/>
    <x v="2"/>
    <x v="34"/>
    <x v="0"/>
    <x v="6"/>
    <x v="1"/>
    <x v="31"/>
  </r>
  <r>
    <x v="26"/>
    <x v="1"/>
    <x v="13"/>
    <x v="3"/>
    <x v="1"/>
    <x v="13"/>
    <x v="0"/>
    <x v="79"/>
    <x v="4"/>
    <x v="36"/>
    <x v="8"/>
    <x v="0"/>
    <x v="7"/>
    <x v="85"/>
  </r>
  <r>
    <x v="31"/>
    <x v="3"/>
    <x v="14"/>
    <x v="3"/>
    <x v="2"/>
    <x v="0"/>
    <x v="1"/>
    <x v="0"/>
    <x v="0"/>
    <x v="18"/>
    <x v="0"/>
    <x v="0"/>
    <x v="0"/>
    <x v="0"/>
  </r>
  <r>
    <x v="29"/>
    <x v="3"/>
    <x v="14"/>
    <x v="3"/>
    <x v="2"/>
    <x v="7"/>
    <x v="1"/>
    <x v="51"/>
    <x v="0"/>
    <x v="21"/>
    <x v="2"/>
    <x v="6"/>
    <x v="3"/>
    <x v="62"/>
  </r>
  <r>
    <x v="28"/>
    <x v="3"/>
    <x v="14"/>
    <x v="4"/>
    <x v="2"/>
    <x v="5"/>
    <x v="1"/>
    <x v="32"/>
    <x v="0"/>
    <x v="22"/>
    <x v="0"/>
    <x v="6"/>
    <x v="1"/>
    <x v="39"/>
  </r>
  <r>
    <x v="28"/>
    <x v="3"/>
    <x v="14"/>
    <x v="3"/>
    <x v="2"/>
    <x v="4"/>
    <x v="1"/>
    <x v="15"/>
    <x v="0"/>
    <x v="26"/>
    <x v="0"/>
    <x v="6"/>
    <x v="1"/>
    <x v="23"/>
  </r>
  <r>
    <x v="9"/>
    <x v="1"/>
    <x v="14"/>
    <x v="3"/>
    <x v="1"/>
    <x v="0"/>
    <x v="0"/>
    <x v="0"/>
    <x v="4"/>
    <x v="35"/>
    <x v="0"/>
    <x v="0"/>
    <x v="0"/>
    <x v="0"/>
  </r>
  <r>
    <x v="18"/>
    <x v="1"/>
    <x v="15"/>
    <x v="0"/>
    <x v="1"/>
    <x v="1"/>
    <x v="0"/>
    <x v="1"/>
    <x v="4"/>
    <x v="30"/>
    <x v="0"/>
    <x v="6"/>
    <x v="1"/>
    <x v="1"/>
  </r>
  <r>
    <x v="30"/>
    <x v="1"/>
    <x v="15"/>
    <x v="3"/>
    <x v="1"/>
    <x v="4"/>
    <x v="0"/>
    <x v="16"/>
    <x v="4"/>
    <x v="25"/>
    <x v="0"/>
    <x v="6"/>
    <x v="1"/>
    <x v="15"/>
  </r>
  <r>
    <x v="19"/>
    <x v="1"/>
    <x v="15"/>
    <x v="3"/>
    <x v="1"/>
    <x v="0"/>
    <x v="0"/>
    <x v="0"/>
    <x v="4"/>
    <x v="25"/>
    <x v="0"/>
    <x v="0"/>
    <x v="0"/>
    <x v="0"/>
  </r>
  <r>
    <x v="23"/>
    <x v="1"/>
    <x v="15"/>
    <x v="3"/>
    <x v="1"/>
    <x v="4"/>
    <x v="0"/>
    <x v="16"/>
    <x v="4"/>
    <x v="25"/>
    <x v="0"/>
    <x v="6"/>
    <x v="1"/>
    <x v="15"/>
  </r>
  <r>
    <x v="17"/>
    <x v="1"/>
    <x v="15"/>
    <x v="4"/>
    <x v="1"/>
    <x v="9"/>
    <x v="0"/>
    <x v="68"/>
    <x v="4"/>
    <x v="28"/>
    <x v="2"/>
    <x v="6"/>
    <x v="3"/>
    <x v="73"/>
  </r>
  <r>
    <x v="16"/>
    <x v="1"/>
    <x v="15"/>
    <x v="4"/>
    <x v="1"/>
    <x v="12"/>
    <x v="0"/>
    <x v="77"/>
    <x v="4"/>
    <x v="28"/>
    <x v="4"/>
    <x v="6"/>
    <x v="5"/>
    <x v="83"/>
  </r>
  <r>
    <x v="19"/>
    <x v="1"/>
    <x v="15"/>
    <x v="4"/>
    <x v="1"/>
    <x v="5"/>
    <x v="0"/>
    <x v="33"/>
    <x v="4"/>
    <x v="28"/>
    <x v="0"/>
    <x v="6"/>
    <x v="1"/>
    <x v="35"/>
  </r>
  <r>
    <x v="15"/>
    <x v="1"/>
    <x v="15"/>
    <x v="4"/>
    <x v="1"/>
    <x v="5"/>
    <x v="0"/>
    <x v="33"/>
    <x v="4"/>
    <x v="30"/>
    <x v="0"/>
    <x v="6"/>
    <x v="1"/>
    <x v="35"/>
  </r>
  <r>
    <x v="19"/>
    <x v="1"/>
    <x v="15"/>
    <x v="3"/>
    <x v="1"/>
    <x v="4"/>
    <x v="0"/>
    <x v="16"/>
    <x v="4"/>
    <x v="40"/>
    <x v="0"/>
    <x v="6"/>
    <x v="1"/>
    <x v="15"/>
  </r>
  <r>
    <x v="18"/>
    <x v="1"/>
    <x v="16"/>
    <x v="0"/>
    <x v="1"/>
    <x v="1"/>
    <x v="0"/>
    <x v="2"/>
    <x v="4"/>
    <x v="40"/>
    <x v="0"/>
    <x v="6"/>
    <x v="1"/>
    <x v="2"/>
  </r>
  <r>
    <x v="15"/>
    <x v="2"/>
    <x v="16"/>
    <x v="3"/>
    <x v="3"/>
    <x v="0"/>
    <x v="0"/>
    <x v="81"/>
    <x v="3"/>
    <x v="0"/>
    <x v="0"/>
    <x v="0"/>
    <x v="0"/>
    <x v="87"/>
  </r>
  <r>
    <x v="9"/>
    <x v="1"/>
    <x v="16"/>
    <x v="4"/>
    <x v="1"/>
    <x v="0"/>
    <x v="0"/>
    <x v="0"/>
    <x v="4"/>
    <x v="6"/>
    <x v="0"/>
    <x v="0"/>
    <x v="0"/>
    <x v="0"/>
  </r>
  <r>
    <x v="1"/>
    <x v="1"/>
    <x v="16"/>
    <x v="3"/>
    <x v="1"/>
    <x v="6"/>
    <x v="0"/>
    <x v="41"/>
    <x v="4"/>
    <x v="10"/>
    <x v="1"/>
    <x v="6"/>
    <x v="2"/>
    <x v="44"/>
  </r>
  <r>
    <x v="8"/>
    <x v="1"/>
    <x v="16"/>
    <x v="3"/>
    <x v="1"/>
    <x v="10"/>
    <x v="0"/>
    <x v="72"/>
    <x v="4"/>
    <x v="12"/>
    <x v="4"/>
    <x v="6"/>
    <x v="5"/>
    <x v="77"/>
  </r>
  <r>
    <x v="7"/>
    <x v="1"/>
    <x v="16"/>
    <x v="3"/>
    <x v="1"/>
    <x v="4"/>
    <x v="0"/>
    <x v="17"/>
    <x v="4"/>
    <x v="13"/>
    <x v="0"/>
    <x v="6"/>
    <x v="1"/>
    <x v="16"/>
  </r>
  <r>
    <x v="15"/>
    <x v="2"/>
    <x v="16"/>
    <x v="3"/>
    <x v="3"/>
    <x v="4"/>
    <x v="0"/>
    <x v="81"/>
    <x v="3"/>
    <x v="14"/>
    <x v="0"/>
    <x v="6"/>
    <x v="1"/>
    <x v="87"/>
  </r>
  <r>
    <x v="24"/>
    <x v="3"/>
    <x v="16"/>
    <x v="3"/>
    <x v="2"/>
    <x v="4"/>
    <x v="1"/>
    <x v="17"/>
    <x v="0"/>
    <x v="17"/>
    <x v="0"/>
    <x v="6"/>
    <x v="1"/>
    <x v="27"/>
  </r>
  <r>
    <x v="6"/>
    <x v="1"/>
    <x v="16"/>
    <x v="3"/>
    <x v="1"/>
    <x v="4"/>
    <x v="0"/>
    <x v="17"/>
    <x v="4"/>
    <x v="23"/>
    <x v="0"/>
    <x v="6"/>
    <x v="1"/>
    <x v="16"/>
  </r>
  <r>
    <x v="8"/>
    <x v="1"/>
    <x v="16"/>
    <x v="3"/>
    <x v="1"/>
    <x v="4"/>
    <x v="0"/>
    <x v="17"/>
    <x v="4"/>
    <x v="23"/>
    <x v="0"/>
    <x v="6"/>
    <x v="1"/>
    <x v="16"/>
  </r>
  <r>
    <x v="11"/>
    <x v="1"/>
    <x v="16"/>
    <x v="4"/>
    <x v="1"/>
    <x v="7"/>
    <x v="0"/>
    <x v="52"/>
    <x v="5"/>
    <x v="37"/>
    <x v="1"/>
    <x v="6"/>
    <x v="2"/>
    <x v="55"/>
  </r>
  <r>
    <x v="18"/>
    <x v="1"/>
    <x v="17"/>
    <x v="4"/>
    <x v="1"/>
    <x v="5"/>
    <x v="0"/>
    <x v="34"/>
    <x v="4"/>
    <x v="32"/>
    <x v="0"/>
    <x v="6"/>
    <x v="1"/>
    <x v="36"/>
  </r>
  <r>
    <x v="18"/>
    <x v="0"/>
    <x v="17"/>
    <x v="0"/>
    <x v="0"/>
    <x v="1"/>
    <x v="0"/>
    <x v="3"/>
    <x v="2"/>
    <x v="32"/>
    <x v="0"/>
    <x v="6"/>
    <x v="1"/>
    <x v="3"/>
  </r>
  <r>
    <x v="15"/>
    <x v="1"/>
    <x v="17"/>
    <x v="3"/>
    <x v="1"/>
    <x v="6"/>
    <x v="0"/>
    <x v="42"/>
    <x v="4"/>
    <x v="36"/>
    <x v="1"/>
    <x v="6"/>
    <x v="2"/>
    <x v="45"/>
  </r>
  <r>
    <x v="6"/>
    <x v="1"/>
    <x v="17"/>
    <x v="3"/>
    <x v="1"/>
    <x v="0"/>
    <x v="0"/>
    <x v="0"/>
    <x v="4"/>
    <x v="40"/>
    <x v="0"/>
    <x v="0"/>
    <x v="0"/>
    <x v="0"/>
  </r>
  <r>
    <x v="23"/>
    <x v="1"/>
    <x v="17"/>
    <x v="3"/>
    <x v="1"/>
    <x v="4"/>
    <x v="0"/>
    <x v="19"/>
    <x v="4"/>
    <x v="40"/>
    <x v="0"/>
    <x v="6"/>
    <x v="1"/>
    <x v="18"/>
  </r>
  <r>
    <x v="33"/>
    <x v="0"/>
    <x v="17"/>
    <x v="4"/>
    <x v="0"/>
    <x v="7"/>
    <x v="0"/>
    <x v="54"/>
    <x v="2"/>
    <x v="40"/>
    <x v="6"/>
    <x v="4"/>
    <x v="2"/>
    <x v="57"/>
  </r>
  <r>
    <x v="18"/>
    <x v="0"/>
    <x v="17"/>
    <x v="4"/>
    <x v="0"/>
    <x v="0"/>
    <x v="0"/>
    <x v="0"/>
    <x v="2"/>
    <x v="32"/>
    <x v="3"/>
    <x v="3"/>
    <x v="0"/>
    <x v="0"/>
  </r>
  <r>
    <x v="21"/>
    <x v="1"/>
    <x v="17"/>
    <x v="3"/>
    <x v="1"/>
    <x v="7"/>
    <x v="0"/>
    <x v="54"/>
    <x v="4"/>
    <x v="36"/>
    <x v="2"/>
    <x v="6"/>
    <x v="3"/>
    <x v="57"/>
  </r>
  <r>
    <x v="13"/>
    <x v="0"/>
    <x v="18"/>
    <x v="4"/>
    <x v="0"/>
    <x v="5"/>
    <x v="0"/>
    <x v="35"/>
    <x v="2"/>
    <x v="32"/>
    <x v="0"/>
    <x v="6"/>
    <x v="1"/>
    <x v="37"/>
  </r>
  <r>
    <x v="10"/>
    <x v="0"/>
    <x v="18"/>
    <x v="4"/>
    <x v="0"/>
    <x v="5"/>
    <x v="0"/>
    <x v="35"/>
    <x v="2"/>
    <x v="32"/>
    <x v="0"/>
    <x v="6"/>
    <x v="1"/>
    <x v="37"/>
  </r>
  <r>
    <x v="11"/>
    <x v="0"/>
    <x v="18"/>
    <x v="4"/>
    <x v="0"/>
    <x v="5"/>
    <x v="0"/>
    <x v="35"/>
    <x v="2"/>
    <x v="32"/>
    <x v="0"/>
    <x v="6"/>
    <x v="1"/>
    <x v="37"/>
  </r>
  <r>
    <x v="14"/>
    <x v="0"/>
    <x v="18"/>
    <x v="4"/>
    <x v="0"/>
    <x v="7"/>
    <x v="0"/>
    <x v="55"/>
    <x v="2"/>
    <x v="32"/>
    <x v="2"/>
    <x v="0"/>
    <x v="2"/>
    <x v="59"/>
  </r>
  <r>
    <x v="17"/>
    <x v="0"/>
    <x v="18"/>
    <x v="3"/>
    <x v="0"/>
    <x v="0"/>
    <x v="0"/>
    <x v="0"/>
    <x v="2"/>
    <x v="32"/>
    <x v="1"/>
    <x v="1"/>
    <x v="0"/>
    <x v="0"/>
  </r>
  <r>
    <x v="20"/>
    <x v="0"/>
    <x v="18"/>
    <x v="4"/>
    <x v="0"/>
    <x v="9"/>
    <x v="0"/>
    <x v="71"/>
    <x v="2"/>
    <x v="34"/>
    <x v="2"/>
    <x v="6"/>
    <x v="3"/>
    <x v="76"/>
  </r>
  <r>
    <x v="6"/>
    <x v="0"/>
    <x v="18"/>
    <x v="4"/>
    <x v="0"/>
    <x v="11"/>
    <x v="0"/>
    <x v="76"/>
    <x v="2"/>
    <x v="33"/>
    <x v="3"/>
    <x v="6"/>
    <x v="4"/>
    <x v="82"/>
  </r>
  <r>
    <x v="18"/>
    <x v="0"/>
    <x v="18"/>
    <x v="4"/>
    <x v="0"/>
    <x v="5"/>
    <x v="0"/>
    <x v="35"/>
    <x v="2"/>
    <x v="32"/>
    <x v="1"/>
    <x v="0"/>
    <x v="1"/>
    <x v="37"/>
  </r>
  <r>
    <x v="25"/>
    <x v="1"/>
    <x v="18"/>
    <x v="3"/>
    <x v="1"/>
    <x v="6"/>
    <x v="0"/>
    <x v="44"/>
    <x v="4"/>
    <x v="36"/>
    <x v="3"/>
    <x v="1"/>
    <x v="2"/>
    <x v="48"/>
  </r>
  <r>
    <x v="27"/>
    <x v="1"/>
    <x v="18"/>
    <x v="3"/>
    <x v="1"/>
    <x v="11"/>
    <x v="0"/>
    <x v="76"/>
    <x v="4"/>
    <x v="36"/>
    <x v="5"/>
    <x v="6"/>
    <x v="6"/>
    <x v="82"/>
  </r>
  <r>
    <x v="12"/>
    <x v="1"/>
    <x v="19"/>
    <x v="3"/>
    <x v="1"/>
    <x v="4"/>
    <x v="0"/>
    <x v="22"/>
    <x v="4"/>
    <x v="31"/>
    <x v="0"/>
    <x v="6"/>
    <x v="1"/>
    <x v="22"/>
  </r>
  <r>
    <x v="13"/>
    <x v="1"/>
    <x v="19"/>
    <x v="3"/>
    <x v="1"/>
    <x v="0"/>
    <x v="0"/>
    <x v="0"/>
    <x v="4"/>
    <x v="31"/>
    <x v="0"/>
    <x v="0"/>
    <x v="0"/>
    <x v="0"/>
  </r>
  <r>
    <x v="18"/>
    <x v="1"/>
    <x v="19"/>
    <x v="1"/>
    <x v="1"/>
    <x v="2"/>
    <x v="0"/>
    <x v="9"/>
    <x v="4"/>
    <x v="23"/>
    <x v="0"/>
    <x v="6"/>
    <x v="1"/>
    <x v="10"/>
  </r>
  <r>
    <x v="9"/>
    <x v="1"/>
    <x v="19"/>
    <x v="3"/>
    <x v="1"/>
    <x v="4"/>
    <x v="0"/>
    <x v="22"/>
    <x v="4"/>
    <x v="13"/>
    <x v="0"/>
    <x v="6"/>
    <x v="1"/>
    <x v="22"/>
  </r>
  <r>
    <x v="7"/>
    <x v="1"/>
    <x v="19"/>
    <x v="3"/>
    <x v="1"/>
    <x v="6"/>
    <x v="0"/>
    <x v="45"/>
    <x v="4"/>
    <x v="13"/>
    <x v="1"/>
    <x v="6"/>
    <x v="2"/>
    <x v="49"/>
  </r>
  <r>
    <x v="12"/>
    <x v="1"/>
    <x v="19"/>
    <x v="3"/>
    <x v="1"/>
    <x v="4"/>
    <x v="0"/>
    <x v="22"/>
    <x v="4"/>
    <x v="15"/>
    <x v="0"/>
    <x v="6"/>
    <x v="1"/>
    <x v="22"/>
  </r>
  <r>
    <x v="32"/>
    <x v="1"/>
    <x v="19"/>
    <x v="4"/>
    <x v="1"/>
    <x v="5"/>
    <x v="0"/>
    <x v="36"/>
    <x v="4"/>
    <x v="31"/>
    <x v="1"/>
    <x v="0"/>
    <x v="1"/>
    <x v="38"/>
  </r>
  <r>
    <x v="20"/>
    <x v="1"/>
    <x v="19"/>
    <x v="4"/>
    <x v="1"/>
    <x v="5"/>
    <x v="0"/>
    <x v="36"/>
    <x v="4"/>
    <x v="31"/>
    <x v="0"/>
    <x v="6"/>
    <x v="1"/>
    <x v="38"/>
  </r>
  <r>
    <x v="21"/>
    <x v="1"/>
    <x v="19"/>
    <x v="4"/>
    <x v="1"/>
    <x v="7"/>
    <x v="0"/>
    <x v="57"/>
    <x v="4"/>
    <x v="31"/>
    <x v="1"/>
    <x v="6"/>
    <x v="2"/>
    <x v="61"/>
  </r>
  <r>
    <x v="25"/>
    <x v="1"/>
    <x v="19"/>
    <x v="3"/>
    <x v="1"/>
    <x v="4"/>
    <x v="0"/>
    <x v="22"/>
    <x v="5"/>
    <x v="36"/>
    <x v="0"/>
    <x v="6"/>
    <x v="1"/>
    <x v="22"/>
  </r>
  <r>
    <x v="28"/>
    <x v="1"/>
    <x v="19"/>
    <x v="3"/>
    <x v="1"/>
    <x v="7"/>
    <x v="0"/>
    <x v="57"/>
    <x v="4"/>
    <x v="36"/>
    <x v="2"/>
    <x v="6"/>
    <x v="3"/>
    <x v="61"/>
  </r>
  <r>
    <x v="13"/>
    <x v="1"/>
    <x v="20"/>
    <x v="0"/>
    <x v="1"/>
    <x v="0"/>
    <x v="0"/>
    <x v="0"/>
    <x v="6"/>
    <x v="40"/>
    <x v="0"/>
    <x v="0"/>
    <x v="0"/>
    <x v="0"/>
  </r>
  <r>
    <x v="18"/>
    <x v="1"/>
    <x v="21"/>
    <x v="4"/>
    <x v="1"/>
    <x v="5"/>
    <x v="0"/>
    <x v="37"/>
    <x v="4"/>
    <x v="27"/>
    <x v="0"/>
    <x v="6"/>
    <x v="1"/>
    <x v="40"/>
  </r>
  <r>
    <x v="18"/>
    <x v="1"/>
    <x v="21"/>
    <x v="3"/>
    <x v="1"/>
    <x v="4"/>
    <x v="0"/>
    <x v="23"/>
    <x v="4"/>
    <x v="27"/>
    <x v="0"/>
    <x v="6"/>
    <x v="1"/>
    <x v="24"/>
  </r>
  <r>
    <x v="23"/>
    <x v="1"/>
    <x v="21"/>
    <x v="4"/>
    <x v="1"/>
    <x v="7"/>
    <x v="0"/>
    <x v="58"/>
    <x v="4"/>
    <x v="27"/>
    <x v="1"/>
    <x v="6"/>
    <x v="2"/>
    <x v="63"/>
  </r>
  <r>
    <x v="13"/>
    <x v="1"/>
    <x v="21"/>
    <x v="4"/>
    <x v="1"/>
    <x v="7"/>
    <x v="0"/>
    <x v="58"/>
    <x v="4"/>
    <x v="31"/>
    <x v="1"/>
    <x v="6"/>
    <x v="2"/>
    <x v="63"/>
  </r>
  <r>
    <x v="15"/>
    <x v="1"/>
    <x v="21"/>
    <x v="4"/>
    <x v="1"/>
    <x v="7"/>
    <x v="0"/>
    <x v="58"/>
    <x v="4"/>
    <x v="31"/>
    <x v="1"/>
    <x v="6"/>
    <x v="2"/>
    <x v="63"/>
  </r>
  <r>
    <x v="17"/>
    <x v="1"/>
    <x v="21"/>
    <x v="3"/>
    <x v="1"/>
    <x v="4"/>
    <x v="0"/>
    <x v="23"/>
    <x v="4"/>
    <x v="36"/>
    <x v="0"/>
    <x v="6"/>
    <x v="1"/>
    <x v="24"/>
  </r>
  <r>
    <x v="19"/>
    <x v="1"/>
    <x v="21"/>
    <x v="3"/>
    <x v="1"/>
    <x v="0"/>
    <x v="0"/>
    <x v="0"/>
    <x v="4"/>
    <x v="36"/>
    <x v="0"/>
    <x v="0"/>
    <x v="0"/>
    <x v="0"/>
  </r>
  <r>
    <x v="20"/>
    <x v="1"/>
    <x v="21"/>
    <x v="3"/>
    <x v="1"/>
    <x v="4"/>
    <x v="0"/>
    <x v="23"/>
    <x v="4"/>
    <x v="36"/>
    <x v="0"/>
    <x v="6"/>
    <x v="1"/>
    <x v="24"/>
  </r>
  <r>
    <x v="13"/>
    <x v="1"/>
    <x v="22"/>
    <x v="3"/>
    <x v="1"/>
    <x v="4"/>
    <x v="0"/>
    <x v="25"/>
    <x v="4"/>
    <x v="1"/>
    <x v="0"/>
    <x v="6"/>
    <x v="1"/>
    <x v="26"/>
  </r>
  <r>
    <x v="22"/>
    <x v="1"/>
    <x v="22"/>
    <x v="4"/>
    <x v="1"/>
    <x v="5"/>
    <x v="0"/>
    <x v="38"/>
    <x v="4"/>
    <x v="6"/>
    <x v="0"/>
    <x v="6"/>
    <x v="1"/>
    <x v="41"/>
  </r>
  <r>
    <x v="14"/>
    <x v="1"/>
    <x v="22"/>
    <x v="4"/>
    <x v="1"/>
    <x v="5"/>
    <x v="0"/>
    <x v="38"/>
    <x v="4"/>
    <x v="8"/>
    <x v="0"/>
    <x v="6"/>
    <x v="1"/>
    <x v="41"/>
  </r>
  <r>
    <x v="14"/>
    <x v="1"/>
    <x v="22"/>
    <x v="3"/>
    <x v="1"/>
    <x v="6"/>
    <x v="0"/>
    <x v="46"/>
    <x v="4"/>
    <x v="15"/>
    <x v="1"/>
    <x v="6"/>
    <x v="2"/>
    <x v="50"/>
  </r>
  <r>
    <x v="10"/>
    <x v="1"/>
    <x v="22"/>
    <x v="3"/>
    <x v="1"/>
    <x v="7"/>
    <x v="0"/>
    <x v="60"/>
    <x v="4"/>
    <x v="23"/>
    <x v="2"/>
    <x v="6"/>
    <x v="3"/>
    <x v="65"/>
  </r>
  <r>
    <x v="21"/>
    <x v="1"/>
    <x v="22"/>
    <x v="3"/>
    <x v="1"/>
    <x v="4"/>
    <x v="0"/>
    <x v="25"/>
    <x v="4"/>
    <x v="23"/>
    <x v="1"/>
    <x v="0"/>
    <x v="1"/>
    <x v="26"/>
  </r>
  <r>
    <x v="11"/>
    <x v="0"/>
    <x v="22"/>
    <x v="4"/>
    <x v="0"/>
    <x v="11"/>
    <x v="0"/>
    <x v="78"/>
    <x v="2"/>
    <x v="32"/>
    <x v="3"/>
    <x v="6"/>
    <x v="4"/>
    <x v="84"/>
  </r>
  <r>
    <x v="9"/>
    <x v="1"/>
    <x v="22"/>
    <x v="2"/>
    <x v="1"/>
    <x v="0"/>
    <x v="0"/>
    <x v="0"/>
    <x v="4"/>
    <x v="40"/>
    <x v="0"/>
    <x v="0"/>
    <x v="0"/>
    <x v="0"/>
  </r>
  <r>
    <x v="23"/>
    <x v="1"/>
    <x v="23"/>
    <x v="3"/>
    <x v="1"/>
    <x v="6"/>
    <x v="0"/>
    <x v="48"/>
    <x v="5"/>
    <x v="28"/>
    <x v="1"/>
    <x v="6"/>
    <x v="2"/>
    <x v="52"/>
  </r>
  <r>
    <x v="14"/>
    <x v="1"/>
    <x v="23"/>
    <x v="4"/>
    <x v="1"/>
    <x v="5"/>
    <x v="0"/>
    <x v="39"/>
    <x v="4"/>
    <x v="29"/>
    <x v="0"/>
    <x v="6"/>
    <x v="1"/>
    <x v="42"/>
  </r>
  <r>
    <x v="12"/>
    <x v="1"/>
    <x v="24"/>
    <x v="3"/>
    <x v="1"/>
    <x v="4"/>
    <x v="0"/>
    <x v="27"/>
    <x v="4"/>
    <x v="18"/>
    <x v="2"/>
    <x v="1"/>
    <x v="1"/>
    <x v="29"/>
  </r>
  <r>
    <x v="10"/>
    <x v="1"/>
    <x v="24"/>
    <x v="3"/>
    <x v="1"/>
    <x v="0"/>
    <x v="0"/>
    <x v="0"/>
    <x v="4"/>
    <x v="19"/>
    <x v="0"/>
    <x v="0"/>
    <x v="0"/>
    <x v="0"/>
  </r>
  <r>
    <x v="15"/>
    <x v="1"/>
    <x v="24"/>
    <x v="3"/>
    <x v="1"/>
    <x v="4"/>
    <x v="0"/>
    <x v="27"/>
    <x v="4"/>
    <x v="23"/>
    <x v="0"/>
    <x v="6"/>
    <x v="1"/>
    <x v="29"/>
  </r>
  <r>
    <x v="19"/>
    <x v="1"/>
    <x v="24"/>
    <x v="3"/>
    <x v="1"/>
    <x v="7"/>
    <x v="0"/>
    <x v="62"/>
    <x v="4"/>
    <x v="23"/>
    <x v="2"/>
    <x v="6"/>
    <x v="3"/>
    <x v="67"/>
  </r>
  <r>
    <x v="20"/>
    <x v="1"/>
    <x v="24"/>
    <x v="3"/>
    <x v="1"/>
    <x v="7"/>
    <x v="0"/>
    <x v="62"/>
    <x v="4"/>
    <x v="23"/>
    <x v="2"/>
    <x v="6"/>
    <x v="3"/>
    <x v="67"/>
  </r>
  <r>
    <x v="22"/>
    <x v="1"/>
    <x v="24"/>
    <x v="0"/>
    <x v="1"/>
    <x v="1"/>
    <x v="0"/>
    <x v="6"/>
    <x v="4"/>
    <x v="40"/>
    <x v="0"/>
    <x v="6"/>
    <x v="1"/>
    <x v="6"/>
  </r>
  <r>
    <x v="13"/>
    <x v="1"/>
    <x v="25"/>
    <x v="3"/>
    <x v="1"/>
    <x v="4"/>
    <x v="0"/>
    <x v="30"/>
    <x v="4"/>
    <x v="36"/>
    <x v="0"/>
    <x v="6"/>
    <x v="1"/>
    <x v="32"/>
  </r>
  <r>
    <x v="14"/>
    <x v="1"/>
    <x v="25"/>
    <x v="3"/>
    <x v="1"/>
    <x v="8"/>
    <x v="0"/>
    <x v="74"/>
    <x v="4"/>
    <x v="36"/>
    <x v="3"/>
    <x v="6"/>
    <x v="4"/>
    <x v="79"/>
  </r>
  <r>
    <x v="17"/>
    <x v="1"/>
    <x v="25"/>
    <x v="3"/>
    <x v="1"/>
    <x v="7"/>
    <x v="0"/>
    <x v="63"/>
    <x v="4"/>
    <x v="36"/>
    <x v="2"/>
    <x v="6"/>
    <x v="3"/>
    <x v="68"/>
  </r>
  <r>
    <x v="22"/>
    <x v="1"/>
    <x v="25"/>
    <x v="0"/>
    <x v="1"/>
    <x v="1"/>
    <x v="0"/>
    <x v="8"/>
    <x v="4"/>
    <x v="5"/>
    <x v="0"/>
    <x v="6"/>
    <x v="1"/>
    <x v="8"/>
  </r>
  <r>
    <x v="21"/>
    <x v="1"/>
    <x v="25"/>
    <x v="3"/>
    <x v="1"/>
    <x v="4"/>
    <x v="0"/>
    <x v="30"/>
    <x v="4"/>
    <x v="35"/>
    <x v="0"/>
    <x v="6"/>
    <x v="1"/>
    <x v="32"/>
  </r>
  <r>
    <x v="32"/>
    <x v="1"/>
    <x v="25"/>
    <x v="3"/>
    <x v="1"/>
    <x v="7"/>
    <x v="0"/>
    <x v="63"/>
    <x v="4"/>
    <x v="35"/>
    <x v="2"/>
    <x v="6"/>
    <x v="3"/>
    <x v="68"/>
  </r>
  <r>
    <x v="31"/>
    <x v="1"/>
    <x v="25"/>
    <x v="3"/>
    <x v="1"/>
    <x v="7"/>
    <x v="0"/>
    <x v="63"/>
    <x v="4"/>
    <x v="36"/>
    <x v="2"/>
    <x v="6"/>
    <x v="3"/>
    <x v="68"/>
  </r>
  <r>
    <x v="30"/>
    <x v="1"/>
    <x v="26"/>
    <x v="3"/>
    <x v="1"/>
    <x v="4"/>
    <x v="0"/>
    <x v="31"/>
    <x v="4"/>
    <x v="36"/>
    <x v="0"/>
    <x v="6"/>
    <x v="1"/>
    <x v="33"/>
  </r>
  <r>
    <x v="31"/>
    <x v="1"/>
    <x v="26"/>
    <x v="3"/>
    <x v="1"/>
    <x v="7"/>
    <x v="0"/>
    <x v="64"/>
    <x v="4"/>
    <x v="36"/>
    <x v="2"/>
    <x v="6"/>
    <x v="3"/>
    <x v="6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8">
  <r>
    <x v="27"/>
    <x v="3"/>
    <x v="0"/>
    <x v="4"/>
    <x v="2"/>
    <x v="7"/>
    <x v="1"/>
    <x v="18"/>
    <x v="0"/>
    <x v="21"/>
    <x v="1"/>
    <x v="9"/>
    <x v="2"/>
    <x v="28"/>
  </r>
  <r>
    <x v="4"/>
    <x v="1"/>
    <x v="0"/>
    <x v="4"/>
    <x v="1"/>
    <x v="7"/>
    <x v="0"/>
    <x v="18"/>
    <x v="4"/>
    <x v="28"/>
    <x v="5"/>
    <x v="3"/>
    <x v="2"/>
    <x v="17"/>
  </r>
  <r>
    <x v="0"/>
    <x v="1"/>
    <x v="0"/>
    <x v="4"/>
    <x v="1"/>
    <x v="12"/>
    <x v="0"/>
    <x v="61"/>
    <x v="4"/>
    <x v="30"/>
    <x v="6"/>
    <x v="0"/>
    <x v="6"/>
    <x v="65"/>
  </r>
  <r>
    <x v="1"/>
    <x v="1"/>
    <x v="0"/>
    <x v="4"/>
    <x v="1"/>
    <x v="0"/>
    <x v="0"/>
    <x v="0"/>
    <x v="4"/>
    <x v="30"/>
    <x v="0"/>
    <x v="0"/>
    <x v="0"/>
    <x v="0"/>
  </r>
  <r>
    <x v="27"/>
    <x v="3"/>
    <x v="1"/>
    <x v="4"/>
    <x v="2"/>
    <x v="7"/>
    <x v="1"/>
    <x v="22"/>
    <x v="0"/>
    <x v="21"/>
    <x v="1"/>
    <x v="9"/>
    <x v="2"/>
    <x v="35"/>
  </r>
  <r>
    <x v="28"/>
    <x v="3"/>
    <x v="1"/>
    <x v="4"/>
    <x v="2"/>
    <x v="5"/>
    <x v="1"/>
    <x v="4"/>
    <x v="0"/>
    <x v="21"/>
    <x v="0"/>
    <x v="9"/>
    <x v="1"/>
    <x v="9"/>
  </r>
  <r>
    <x v="4"/>
    <x v="1"/>
    <x v="1"/>
    <x v="5"/>
    <x v="1"/>
    <x v="6"/>
    <x v="0"/>
    <x v="14"/>
    <x v="4"/>
    <x v="31"/>
    <x v="2"/>
    <x v="1"/>
    <x v="1"/>
    <x v="14"/>
  </r>
  <r>
    <x v="3"/>
    <x v="1"/>
    <x v="1"/>
    <x v="5"/>
    <x v="1"/>
    <x v="8"/>
    <x v="0"/>
    <x v="38"/>
    <x v="4"/>
    <x v="34"/>
    <x v="4"/>
    <x v="2"/>
    <x v="2"/>
    <x v="39"/>
  </r>
  <r>
    <x v="5"/>
    <x v="1"/>
    <x v="1"/>
    <x v="5"/>
    <x v="1"/>
    <x v="0"/>
    <x v="0"/>
    <x v="0"/>
    <x v="4"/>
    <x v="44"/>
    <x v="0"/>
    <x v="0"/>
    <x v="0"/>
    <x v="0"/>
  </r>
  <r>
    <x v="0"/>
    <x v="1"/>
    <x v="1"/>
    <x v="4"/>
    <x v="1"/>
    <x v="0"/>
    <x v="0"/>
    <x v="0"/>
    <x v="4"/>
    <x v="45"/>
    <x v="0"/>
    <x v="0"/>
    <x v="0"/>
    <x v="0"/>
  </r>
  <r>
    <x v="1"/>
    <x v="0"/>
    <x v="1"/>
    <x v="5"/>
    <x v="0"/>
    <x v="6"/>
    <x v="0"/>
    <x v="14"/>
    <x v="2"/>
    <x v="35"/>
    <x v="0"/>
    <x v="9"/>
    <x v="1"/>
    <x v="14"/>
  </r>
  <r>
    <x v="1"/>
    <x v="1"/>
    <x v="1"/>
    <x v="4"/>
    <x v="1"/>
    <x v="5"/>
    <x v="0"/>
    <x v="4"/>
    <x v="4"/>
    <x v="34"/>
    <x v="0"/>
    <x v="9"/>
    <x v="1"/>
    <x v="4"/>
  </r>
  <r>
    <x v="0"/>
    <x v="1"/>
    <x v="1"/>
    <x v="4"/>
    <x v="1"/>
    <x v="7"/>
    <x v="0"/>
    <x v="22"/>
    <x v="4"/>
    <x v="41"/>
    <x v="2"/>
    <x v="0"/>
    <x v="2"/>
    <x v="22"/>
  </r>
  <r>
    <x v="4"/>
    <x v="1"/>
    <x v="1"/>
    <x v="5"/>
    <x v="1"/>
    <x v="8"/>
    <x v="0"/>
    <x v="38"/>
    <x v="4"/>
    <x v="31"/>
    <x v="1"/>
    <x v="9"/>
    <x v="2"/>
    <x v="39"/>
  </r>
  <r>
    <x v="25"/>
    <x v="3"/>
    <x v="2"/>
    <x v="4"/>
    <x v="2"/>
    <x v="8"/>
    <x v="1"/>
    <x v="42"/>
    <x v="0"/>
    <x v="29"/>
    <x v="3"/>
    <x v="0"/>
    <x v="3"/>
    <x v="54"/>
  </r>
  <r>
    <x v="1"/>
    <x v="1"/>
    <x v="2"/>
    <x v="5"/>
    <x v="1"/>
    <x v="10"/>
    <x v="0"/>
    <x v="59"/>
    <x v="4"/>
    <x v="34"/>
    <x v="4"/>
    <x v="1"/>
    <x v="3"/>
    <x v="63"/>
  </r>
  <r>
    <x v="2"/>
    <x v="1"/>
    <x v="2"/>
    <x v="4"/>
    <x v="1"/>
    <x v="0"/>
    <x v="0"/>
    <x v="0"/>
    <x v="4"/>
    <x v="34"/>
    <x v="0"/>
    <x v="0"/>
    <x v="0"/>
    <x v="0"/>
  </r>
  <r>
    <x v="9"/>
    <x v="1"/>
    <x v="2"/>
    <x v="5"/>
    <x v="1"/>
    <x v="8"/>
    <x v="0"/>
    <x v="42"/>
    <x v="4"/>
    <x v="34"/>
    <x v="1"/>
    <x v="9"/>
    <x v="2"/>
    <x v="44"/>
  </r>
  <r>
    <x v="1"/>
    <x v="1"/>
    <x v="3"/>
    <x v="4"/>
    <x v="1"/>
    <x v="0"/>
    <x v="0"/>
    <x v="0"/>
    <x v="4"/>
    <x v="14"/>
    <x v="0"/>
    <x v="0"/>
    <x v="0"/>
    <x v="0"/>
  </r>
  <r>
    <x v="3"/>
    <x v="1"/>
    <x v="3"/>
    <x v="4"/>
    <x v="1"/>
    <x v="7"/>
    <x v="0"/>
    <x v="27"/>
    <x v="4"/>
    <x v="19"/>
    <x v="1"/>
    <x v="9"/>
    <x v="2"/>
    <x v="29"/>
  </r>
  <r>
    <x v="4"/>
    <x v="1"/>
    <x v="3"/>
    <x v="4"/>
    <x v="1"/>
    <x v="0"/>
    <x v="0"/>
    <x v="0"/>
    <x v="4"/>
    <x v="19"/>
    <x v="0"/>
    <x v="0"/>
    <x v="0"/>
    <x v="0"/>
  </r>
  <r>
    <x v="0"/>
    <x v="1"/>
    <x v="3"/>
    <x v="4"/>
    <x v="1"/>
    <x v="8"/>
    <x v="0"/>
    <x v="45"/>
    <x v="4"/>
    <x v="21"/>
    <x v="2"/>
    <x v="9"/>
    <x v="3"/>
    <x v="48"/>
  </r>
  <r>
    <x v="2"/>
    <x v="1"/>
    <x v="3"/>
    <x v="4"/>
    <x v="1"/>
    <x v="7"/>
    <x v="0"/>
    <x v="27"/>
    <x v="4"/>
    <x v="26"/>
    <x v="1"/>
    <x v="9"/>
    <x v="2"/>
    <x v="29"/>
  </r>
  <r>
    <x v="4"/>
    <x v="1"/>
    <x v="3"/>
    <x v="5"/>
    <x v="1"/>
    <x v="17"/>
    <x v="0"/>
    <x v="92"/>
    <x v="4"/>
    <x v="34"/>
    <x v="7"/>
    <x v="9"/>
    <x v="8"/>
    <x v="99"/>
  </r>
  <r>
    <x v="1"/>
    <x v="1"/>
    <x v="4"/>
    <x v="4"/>
    <x v="1"/>
    <x v="7"/>
    <x v="0"/>
    <x v="29"/>
    <x v="4"/>
    <x v="8"/>
    <x v="1"/>
    <x v="9"/>
    <x v="2"/>
    <x v="31"/>
  </r>
  <r>
    <x v="1"/>
    <x v="1"/>
    <x v="4"/>
    <x v="4"/>
    <x v="1"/>
    <x v="0"/>
    <x v="0"/>
    <x v="0"/>
    <x v="4"/>
    <x v="8"/>
    <x v="1"/>
    <x v="1"/>
    <x v="0"/>
    <x v="0"/>
  </r>
  <r>
    <x v="0"/>
    <x v="1"/>
    <x v="4"/>
    <x v="4"/>
    <x v="1"/>
    <x v="5"/>
    <x v="0"/>
    <x v="7"/>
    <x v="4"/>
    <x v="8"/>
    <x v="0"/>
    <x v="9"/>
    <x v="1"/>
    <x v="7"/>
  </r>
  <r>
    <x v="2"/>
    <x v="1"/>
    <x v="4"/>
    <x v="4"/>
    <x v="1"/>
    <x v="8"/>
    <x v="0"/>
    <x v="46"/>
    <x v="4"/>
    <x v="8"/>
    <x v="2"/>
    <x v="9"/>
    <x v="3"/>
    <x v="49"/>
  </r>
  <r>
    <x v="3"/>
    <x v="1"/>
    <x v="4"/>
    <x v="4"/>
    <x v="1"/>
    <x v="11"/>
    <x v="0"/>
    <x v="64"/>
    <x v="4"/>
    <x v="28"/>
    <x v="4"/>
    <x v="9"/>
    <x v="5"/>
    <x v="69"/>
  </r>
  <r>
    <x v="2"/>
    <x v="1"/>
    <x v="5"/>
    <x v="4"/>
    <x v="1"/>
    <x v="0"/>
    <x v="0"/>
    <x v="0"/>
    <x v="4"/>
    <x v="26"/>
    <x v="1"/>
    <x v="1"/>
    <x v="0"/>
    <x v="0"/>
  </r>
  <r>
    <x v="24"/>
    <x v="3"/>
    <x v="5"/>
    <x v="4"/>
    <x v="2"/>
    <x v="0"/>
    <x v="1"/>
    <x v="0"/>
    <x v="0"/>
    <x v="29"/>
    <x v="0"/>
    <x v="0"/>
    <x v="0"/>
    <x v="0"/>
  </r>
  <r>
    <x v="9"/>
    <x v="0"/>
    <x v="5"/>
    <x v="5"/>
    <x v="0"/>
    <x v="6"/>
    <x v="0"/>
    <x v="18"/>
    <x v="2"/>
    <x v="35"/>
    <x v="0"/>
    <x v="9"/>
    <x v="1"/>
    <x v="17"/>
  </r>
  <r>
    <x v="12"/>
    <x v="0"/>
    <x v="5"/>
    <x v="5"/>
    <x v="0"/>
    <x v="6"/>
    <x v="0"/>
    <x v="18"/>
    <x v="2"/>
    <x v="35"/>
    <x v="0"/>
    <x v="9"/>
    <x v="1"/>
    <x v="17"/>
  </r>
  <r>
    <x v="0"/>
    <x v="0"/>
    <x v="5"/>
    <x v="5"/>
    <x v="0"/>
    <x v="12"/>
    <x v="0"/>
    <x v="73"/>
    <x v="2"/>
    <x v="35"/>
    <x v="4"/>
    <x v="0"/>
    <x v="4"/>
    <x v="79"/>
  </r>
  <r>
    <x v="2"/>
    <x v="0"/>
    <x v="5"/>
    <x v="5"/>
    <x v="0"/>
    <x v="6"/>
    <x v="0"/>
    <x v="18"/>
    <x v="2"/>
    <x v="35"/>
    <x v="1"/>
    <x v="0"/>
    <x v="1"/>
    <x v="17"/>
  </r>
  <r>
    <x v="0"/>
    <x v="1"/>
    <x v="5"/>
    <x v="4"/>
    <x v="1"/>
    <x v="8"/>
    <x v="0"/>
    <x v="47"/>
    <x v="4"/>
    <x v="41"/>
    <x v="2"/>
    <x v="9"/>
    <x v="3"/>
    <x v="50"/>
  </r>
  <r>
    <x v="1"/>
    <x v="1"/>
    <x v="6"/>
    <x v="4"/>
    <x v="1"/>
    <x v="5"/>
    <x v="0"/>
    <x v="10"/>
    <x v="4"/>
    <x v="11"/>
    <x v="0"/>
    <x v="9"/>
    <x v="1"/>
    <x v="11"/>
  </r>
  <r>
    <x v="1"/>
    <x v="1"/>
    <x v="6"/>
    <x v="5"/>
    <x v="1"/>
    <x v="6"/>
    <x v="0"/>
    <x v="19"/>
    <x v="4"/>
    <x v="34"/>
    <x v="0"/>
    <x v="9"/>
    <x v="1"/>
    <x v="18"/>
  </r>
  <r>
    <x v="5"/>
    <x v="1"/>
    <x v="6"/>
    <x v="5"/>
    <x v="1"/>
    <x v="14"/>
    <x v="0"/>
    <x v="85"/>
    <x v="4"/>
    <x v="34"/>
    <x v="5"/>
    <x v="9"/>
    <x v="6"/>
    <x v="92"/>
  </r>
  <r>
    <x v="2"/>
    <x v="0"/>
    <x v="6"/>
    <x v="5"/>
    <x v="0"/>
    <x v="10"/>
    <x v="0"/>
    <x v="62"/>
    <x v="2"/>
    <x v="35"/>
    <x v="2"/>
    <x v="9"/>
    <x v="3"/>
    <x v="66"/>
  </r>
  <r>
    <x v="3"/>
    <x v="1"/>
    <x v="6"/>
    <x v="4"/>
    <x v="1"/>
    <x v="5"/>
    <x v="0"/>
    <x v="10"/>
    <x v="4"/>
    <x v="34"/>
    <x v="0"/>
    <x v="9"/>
    <x v="1"/>
    <x v="11"/>
  </r>
  <r>
    <x v="0"/>
    <x v="1"/>
    <x v="7"/>
    <x v="4"/>
    <x v="1"/>
    <x v="0"/>
    <x v="0"/>
    <x v="0"/>
    <x v="4"/>
    <x v="45"/>
    <x v="0"/>
    <x v="0"/>
    <x v="0"/>
    <x v="0"/>
  </r>
  <r>
    <x v="1"/>
    <x v="1"/>
    <x v="7"/>
    <x v="4"/>
    <x v="1"/>
    <x v="5"/>
    <x v="0"/>
    <x v="11"/>
    <x v="4"/>
    <x v="45"/>
    <x v="0"/>
    <x v="9"/>
    <x v="1"/>
    <x v="12"/>
  </r>
  <r>
    <x v="34"/>
    <x v="0"/>
    <x v="7"/>
    <x v="5"/>
    <x v="0"/>
    <x v="6"/>
    <x v="0"/>
    <x v="21"/>
    <x v="2"/>
    <x v="46"/>
    <x v="6"/>
    <x v="5"/>
    <x v="1"/>
    <x v="20"/>
  </r>
  <r>
    <x v="2"/>
    <x v="0"/>
    <x v="7"/>
    <x v="5"/>
    <x v="0"/>
    <x v="12"/>
    <x v="0"/>
    <x v="75"/>
    <x v="2"/>
    <x v="35"/>
    <x v="4"/>
    <x v="0"/>
    <x v="4"/>
    <x v="81"/>
  </r>
  <r>
    <x v="0"/>
    <x v="0"/>
    <x v="7"/>
    <x v="5"/>
    <x v="0"/>
    <x v="0"/>
    <x v="0"/>
    <x v="0"/>
    <x v="2"/>
    <x v="35"/>
    <x v="1"/>
    <x v="1"/>
    <x v="0"/>
    <x v="0"/>
  </r>
  <r>
    <x v="1"/>
    <x v="0"/>
    <x v="7"/>
    <x v="3"/>
    <x v="0"/>
    <x v="4"/>
    <x v="0"/>
    <x v="5"/>
    <x v="2"/>
    <x v="35"/>
    <x v="0"/>
    <x v="9"/>
    <x v="1"/>
    <x v="5"/>
  </r>
  <r>
    <x v="0"/>
    <x v="1"/>
    <x v="7"/>
    <x v="4"/>
    <x v="1"/>
    <x v="8"/>
    <x v="0"/>
    <x v="50"/>
    <x v="4"/>
    <x v="41"/>
    <x v="2"/>
    <x v="9"/>
    <x v="3"/>
    <x v="53"/>
  </r>
  <r>
    <x v="2"/>
    <x v="1"/>
    <x v="7"/>
    <x v="4"/>
    <x v="1"/>
    <x v="8"/>
    <x v="0"/>
    <x v="50"/>
    <x v="4"/>
    <x v="41"/>
    <x v="2"/>
    <x v="9"/>
    <x v="3"/>
    <x v="53"/>
  </r>
  <r>
    <x v="17"/>
    <x v="1"/>
    <x v="8"/>
    <x v="5"/>
    <x v="1"/>
    <x v="6"/>
    <x v="0"/>
    <x v="23"/>
    <x v="4"/>
    <x v="31"/>
    <x v="1"/>
    <x v="0"/>
    <x v="1"/>
    <x v="23"/>
  </r>
  <r>
    <x v="9"/>
    <x v="0"/>
    <x v="8"/>
    <x v="5"/>
    <x v="0"/>
    <x v="8"/>
    <x v="0"/>
    <x v="52"/>
    <x v="2"/>
    <x v="35"/>
    <x v="2"/>
    <x v="0"/>
    <x v="2"/>
    <x v="56"/>
  </r>
  <r>
    <x v="12"/>
    <x v="0"/>
    <x v="8"/>
    <x v="5"/>
    <x v="0"/>
    <x v="6"/>
    <x v="0"/>
    <x v="23"/>
    <x v="2"/>
    <x v="35"/>
    <x v="0"/>
    <x v="9"/>
    <x v="1"/>
    <x v="23"/>
  </r>
  <r>
    <x v="14"/>
    <x v="0"/>
    <x v="8"/>
    <x v="5"/>
    <x v="0"/>
    <x v="6"/>
    <x v="0"/>
    <x v="23"/>
    <x v="2"/>
    <x v="35"/>
    <x v="0"/>
    <x v="9"/>
    <x v="1"/>
    <x v="23"/>
  </r>
  <r>
    <x v="4"/>
    <x v="1"/>
    <x v="8"/>
    <x v="4"/>
    <x v="1"/>
    <x v="0"/>
    <x v="0"/>
    <x v="0"/>
    <x v="4"/>
    <x v="41"/>
    <x v="0"/>
    <x v="0"/>
    <x v="0"/>
    <x v="0"/>
  </r>
  <r>
    <x v="17"/>
    <x v="1"/>
    <x v="8"/>
    <x v="5"/>
    <x v="1"/>
    <x v="6"/>
    <x v="0"/>
    <x v="23"/>
    <x v="4"/>
    <x v="31"/>
    <x v="0"/>
    <x v="9"/>
    <x v="1"/>
    <x v="23"/>
  </r>
  <r>
    <x v="12"/>
    <x v="1"/>
    <x v="9"/>
    <x v="5"/>
    <x v="1"/>
    <x v="6"/>
    <x v="0"/>
    <x v="25"/>
    <x v="4"/>
    <x v="35"/>
    <x v="0"/>
    <x v="9"/>
    <x v="1"/>
    <x v="26"/>
  </r>
  <r>
    <x v="1"/>
    <x v="1"/>
    <x v="9"/>
    <x v="4"/>
    <x v="1"/>
    <x v="0"/>
    <x v="0"/>
    <x v="0"/>
    <x v="4"/>
    <x v="3"/>
    <x v="0"/>
    <x v="0"/>
    <x v="0"/>
    <x v="0"/>
  </r>
  <r>
    <x v="26"/>
    <x v="3"/>
    <x v="9"/>
    <x v="4"/>
    <x v="2"/>
    <x v="0"/>
    <x v="1"/>
    <x v="0"/>
    <x v="0"/>
    <x v="21"/>
    <x v="0"/>
    <x v="0"/>
    <x v="0"/>
    <x v="0"/>
  </r>
  <r>
    <x v="23"/>
    <x v="2"/>
    <x v="9"/>
    <x v="4"/>
    <x v="3"/>
    <x v="5"/>
    <x v="0"/>
    <x v="99"/>
    <x v="3"/>
    <x v="23"/>
    <x v="0"/>
    <x v="9"/>
    <x v="1"/>
    <x v="106"/>
  </r>
  <r>
    <x v="3"/>
    <x v="2"/>
    <x v="9"/>
    <x v="4"/>
    <x v="3"/>
    <x v="5"/>
    <x v="0"/>
    <x v="99"/>
    <x v="3"/>
    <x v="23"/>
    <x v="0"/>
    <x v="9"/>
    <x v="1"/>
    <x v="106"/>
  </r>
  <r>
    <x v="7"/>
    <x v="1"/>
    <x v="9"/>
    <x v="5"/>
    <x v="1"/>
    <x v="12"/>
    <x v="0"/>
    <x v="80"/>
    <x v="4"/>
    <x v="30"/>
    <x v="3"/>
    <x v="9"/>
    <x v="4"/>
    <x v="86"/>
  </r>
  <r>
    <x v="17"/>
    <x v="1"/>
    <x v="9"/>
    <x v="5"/>
    <x v="1"/>
    <x v="10"/>
    <x v="0"/>
    <x v="68"/>
    <x v="4"/>
    <x v="31"/>
    <x v="2"/>
    <x v="9"/>
    <x v="3"/>
    <x v="74"/>
  </r>
  <r>
    <x v="10"/>
    <x v="0"/>
    <x v="9"/>
    <x v="5"/>
    <x v="0"/>
    <x v="10"/>
    <x v="0"/>
    <x v="68"/>
    <x v="2"/>
    <x v="35"/>
    <x v="2"/>
    <x v="9"/>
    <x v="3"/>
    <x v="74"/>
  </r>
  <r>
    <x v="5"/>
    <x v="1"/>
    <x v="10"/>
    <x v="4"/>
    <x v="1"/>
    <x v="5"/>
    <x v="0"/>
    <x v="13"/>
    <x v="4"/>
    <x v="4"/>
    <x v="0"/>
    <x v="9"/>
    <x v="1"/>
    <x v="13"/>
  </r>
  <r>
    <x v="1"/>
    <x v="1"/>
    <x v="10"/>
    <x v="4"/>
    <x v="1"/>
    <x v="5"/>
    <x v="0"/>
    <x v="13"/>
    <x v="4"/>
    <x v="5"/>
    <x v="0"/>
    <x v="9"/>
    <x v="1"/>
    <x v="13"/>
  </r>
  <r>
    <x v="4"/>
    <x v="1"/>
    <x v="10"/>
    <x v="4"/>
    <x v="1"/>
    <x v="0"/>
    <x v="0"/>
    <x v="0"/>
    <x v="4"/>
    <x v="4"/>
    <x v="0"/>
    <x v="0"/>
    <x v="0"/>
    <x v="0"/>
  </r>
  <r>
    <x v="24"/>
    <x v="1"/>
    <x v="10"/>
    <x v="4"/>
    <x v="1"/>
    <x v="8"/>
    <x v="0"/>
    <x v="55"/>
    <x v="4"/>
    <x v="41"/>
    <x v="2"/>
    <x v="9"/>
    <x v="3"/>
    <x v="59"/>
  </r>
  <r>
    <x v="14"/>
    <x v="1"/>
    <x v="11"/>
    <x v="5"/>
    <x v="1"/>
    <x v="10"/>
    <x v="0"/>
    <x v="70"/>
    <x v="4"/>
    <x v="31"/>
    <x v="2"/>
    <x v="9"/>
    <x v="3"/>
    <x v="76"/>
  </r>
  <r>
    <x v="7"/>
    <x v="0"/>
    <x v="11"/>
    <x v="5"/>
    <x v="0"/>
    <x v="10"/>
    <x v="0"/>
    <x v="70"/>
    <x v="2"/>
    <x v="35"/>
    <x v="3"/>
    <x v="0"/>
    <x v="3"/>
    <x v="76"/>
  </r>
  <r>
    <x v="3"/>
    <x v="1"/>
    <x v="11"/>
    <x v="4"/>
    <x v="1"/>
    <x v="8"/>
    <x v="0"/>
    <x v="57"/>
    <x v="4"/>
    <x v="39"/>
    <x v="5"/>
    <x v="2"/>
    <x v="3"/>
    <x v="61"/>
  </r>
  <r>
    <x v="4"/>
    <x v="1"/>
    <x v="11"/>
    <x v="4"/>
    <x v="1"/>
    <x v="9"/>
    <x v="0"/>
    <x v="65"/>
    <x v="4"/>
    <x v="39"/>
    <x v="3"/>
    <x v="9"/>
    <x v="4"/>
    <x v="70"/>
  </r>
  <r>
    <x v="5"/>
    <x v="1"/>
    <x v="11"/>
    <x v="4"/>
    <x v="1"/>
    <x v="11"/>
    <x v="0"/>
    <x v="74"/>
    <x v="4"/>
    <x v="39"/>
    <x v="4"/>
    <x v="9"/>
    <x v="5"/>
    <x v="80"/>
  </r>
  <r>
    <x v="8"/>
    <x v="1"/>
    <x v="12"/>
    <x v="4"/>
    <x v="1"/>
    <x v="8"/>
    <x v="0"/>
    <x v="58"/>
    <x v="4"/>
    <x v="27"/>
    <x v="4"/>
    <x v="1"/>
    <x v="3"/>
    <x v="62"/>
  </r>
  <r>
    <x v="6"/>
    <x v="1"/>
    <x v="12"/>
    <x v="4"/>
    <x v="1"/>
    <x v="11"/>
    <x v="0"/>
    <x v="76"/>
    <x v="4"/>
    <x v="28"/>
    <x v="4"/>
    <x v="9"/>
    <x v="5"/>
    <x v="82"/>
  </r>
  <r>
    <x v="13"/>
    <x v="1"/>
    <x v="13"/>
    <x v="5"/>
    <x v="1"/>
    <x v="6"/>
    <x v="0"/>
    <x v="30"/>
    <x v="4"/>
    <x v="31"/>
    <x v="0"/>
    <x v="9"/>
    <x v="1"/>
    <x v="32"/>
  </r>
  <r>
    <x v="26"/>
    <x v="3"/>
    <x v="13"/>
    <x v="4"/>
    <x v="2"/>
    <x v="0"/>
    <x v="1"/>
    <x v="0"/>
    <x v="1"/>
    <x v="9"/>
    <x v="1"/>
    <x v="1"/>
    <x v="0"/>
    <x v="0"/>
  </r>
  <r>
    <x v="27"/>
    <x v="3"/>
    <x v="13"/>
    <x v="4"/>
    <x v="2"/>
    <x v="5"/>
    <x v="1"/>
    <x v="15"/>
    <x v="0"/>
    <x v="9"/>
    <x v="0"/>
    <x v="9"/>
    <x v="1"/>
    <x v="21"/>
  </r>
  <r>
    <x v="28"/>
    <x v="3"/>
    <x v="13"/>
    <x v="4"/>
    <x v="2"/>
    <x v="11"/>
    <x v="1"/>
    <x v="78"/>
    <x v="0"/>
    <x v="9"/>
    <x v="4"/>
    <x v="9"/>
    <x v="5"/>
    <x v="91"/>
  </r>
  <r>
    <x v="24"/>
    <x v="3"/>
    <x v="13"/>
    <x v="4"/>
    <x v="2"/>
    <x v="9"/>
    <x v="1"/>
    <x v="67"/>
    <x v="0"/>
    <x v="9"/>
    <x v="3"/>
    <x v="9"/>
    <x v="4"/>
    <x v="84"/>
  </r>
  <r>
    <x v="29"/>
    <x v="3"/>
    <x v="13"/>
    <x v="4"/>
    <x v="2"/>
    <x v="8"/>
    <x v="1"/>
    <x v="59"/>
    <x v="0"/>
    <x v="21"/>
    <x v="2"/>
    <x v="9"/>
    <x v="3"/>
    <x v="68"/>
  </r>
  <r>
    <x v="12"/>
    <x v="1"/>
    <x v="13"/>
    <x v="5"/>
    <x v="1"/>
    <x v="12"/>
    <x v="0"/>
    <x v="83"/>
    <x v="4"/>
    <x v="31"/>
    <x v="3"/>
    <x v="9"/>
    <x v="4"/>
    <x v="89"/>
  </r>
  <r>
    <x v="23"/>
    <x v="1"/>
    <x v="13"/>
    <x v="5"/>
    <x v="1"/>
    <x v="0"/>
    <x v="0"/>
    <x v="0"/>
    <x v="4"/>
    <x v="31"/>
    <x v="0"/>
    <x v="0"/>
    <x v="0"/>
    <x v="0"/>
  </r>
  <r>
    <x v="14"/>
    <x v="1"/>
    <x v="13"/>
    <x v="5"/>
    <x v="1"/>
    <x v="0"/>
    <x v="0"/>
    <x v="0"/>
    <x v="4"/>
    <x v="32"/>
    <x v="0"/>
    <x v="0"/>
    <x v="0"/>
    <x v="0"/>
  </r>
  <r>
    <x v="18"/>
    <x v="0"/>
    <x v="13"/>
    <x v="5"/>
    <x v="0"/>
    <x v="8"/>
    <x v="0"/>
    <x v="59"/>
    <x v="2"/>
    <x v="35"/>
    <x v="1"/>
    <x v="9"/>
    <x v="2"/>
    <x v="63"/>
  </r>
  <r>
    <x v="18"/>
    <x v="0"/>
    <x v="13"/>
    <x v="5"/>
    <x v="0"/>
    <x v="6"/>
    <x v="0"/>
    <x v="30"/>
    <x v="2"/>
    <x v="35"/>
    <x v="0"/>
    <x v="9"/>
    <x v="1"/>
    <x v="32"/>
  </r>
  <r>
    <x v="18"/>
    <x v="0"/>
    <x v="13"/>
    <x v="5"/>
    <x v="0"/>
    <x v="8"/>
    <x v="0"/>
    <x v="59"/>
    <x v="2"/>
    <x v="35"/>
    <x v="1"/>
    <x v="9"/>
    <x v="2"/>
    <x v="63"/>
  </r>
  <r>
    <x v="17"/>
    <x v="0"/>
    <x v="13"/>
    <x v="4"/>
    <x v="0"/>
    <x v="0"/>
    <x v="0"/>
    <x v="0"/>
    <x v="2"/>
    <x v="35"/>
    <x v="2"/>
    <x v="2"/>
    <x v="0"/>
    <x v="0"/>
  </r>
  <r>
    <x v="28"/>
    <x v="0"/>
    <x v="13"/>
    <x v="5"/>
    <x v="0"/>
    <x v="6"/>
    <x v="0"/>
    <x v="30"/>
    <x v="2"/>
    <x v="35"/>
    <x v="0"/>
    <x v="9"/>
    <x v="1"/>
    <x v="32"/>
  </r>
  <r>
    <x v="27"/>
    <x v="0"/>
    <x v="13"/>
    <x v="5"/>
    <x v="0"/>
    <x v="6"/>
    <x v="0"/>
    <x v="30"/>
    <x v="2"/>
    <x v="35"/>
    <x v="0"/>
    <x v="9"/>
    <x v="1"/>
    <x v="32"/>
  </r>
  <r>
    <x v="14"/>
    <x v="0"/>
    <x v="13"/>
    <x v="5"/>
    <x v="0"/>
    <x v="6"/>
    <x v="0"/>
    <x v="30"/>
    <x v="2"/>
    <x v="37"/>
    <x v="0"/>
    <x v="9"/>
    <x v="1"/>
    <x v="32"/>
  </r>
  <r>
    <x v="26"/>
    <x v="1"/>
    <x v="13"/>
    <x v="4"/>
    <x v="1"/>
    <x v="14"/>
    <x v="0"/>
    <x v="90"/>
    <x v="4"/>
    <x v="41"/>
    <x v="8"/>
    <x v="0"/>
    <x v="8"/>
    <x v="97"/>
  </r>
  <r>
    <x v="31"/>
    <x v="3"/>
    <x v="14"/>
    <x v="4"/>
    <x v="2"/>
    <x v="0"/>
    <x v="1"/>
    <x v="0"/>
    <x v="0"/>
    <x v="21"/>
    <x v="0"/>
    <x v="0"/>
    <x v="0"/>
    <x v="0"/>
  </r>
  <r>
    <x v="29"/>
    <x v="3"/>
    <x v="14"/>
    <x v="4"/>
    <x v="2"/>
    <x v="8"/>
    <x v="1"/>
    <x v="60"/>
    <x v="0"/>
    <x v="24"/>
    <x v="2"/>
    <x v="9"/>
    <x v="3"/>
    <x v="72"/>
  </r>
  <r>
    <x v="28"/>
    <x v="3"/>
    <x v="14"/>
    <x v="5"/>
    <x v="2"/>
    <x v="6"/>
    <x v="1"/>
    <x v="33"/>
    <x v="0"/>
    <x v="25"/>
    <x v="0"/>
    <x v="9"/>
    <x v="1"/>
    <x v="43"/>
  </r>
  <r>
    <x v="28"/>
    <x v="3"/>
    <x v="14"/>
    <x v="4"/>
    <x v="2"/>
    <x v="5"/>
    <x v="1"/>
    <x v="16"/>
    <x v="0"/>
    <x v="29"/>
    <x v="0"/>
    <x v="9"/>
    <x v="1"/>
    <x v="24"/>
  </r>
  <r>
    <x v="9"/>
    <x v="1"/>
    <x v="14"/>
    <x v="4"/>
    <x v="1"/>
    <x v="0"/>
    <x v="0"/>
    <x v="0"/>
    <x v="4"/>
    <x v="39"/>
    <x v="0"/>
    <x v="0"/>
    <x v="0"/>
    <x v="0"/>
  </r>
  <r>
    <x v="18"/>
    <x v="1"/>
    <x v="15"/>
    <x v="0"/>
    <x v="1"/>
    <x v="1"/>
    <x v="0"/>
    <x v="1"/>
    <x v="4"/>
    <x v="33"/>
    <x v="0"/>
    <x v="9"/>
    <x v="1"/>
    <x v="1"/>
  </r>
  <r>
    <x v="30"/>
    <x v="1"/>
    <x v="15"/>
    <x v="4"/>
    <x v="1"/>
    <x v="5"/>
    <x v="0"/>
    <x v="17"/>
    <x v="4"/>
    <x v="28"/>
    <x v="0"/>
    <x v="9"/>
    <x v="1"/>
    <x v="16"/>
  </r>
  <r>
    <x v="19"/>
    <x v="1"/>
    <x v="15"/>
    <x v="4"/>
    <x v="1"/>
    <x v="0"/>
    <x v="0"/>
    <x v="0"/>
    <x v="4"/>
    <x v="28"/>
    <x v="0"/>
    <x v="0"/>
    <x v="0"/>
    <x v="0"/>
  </r>
  <r>
    <x v="23"/>
    <x v="1"/>
    <x v="15"/>
    <x v="4"/>
    <x v="1"/>
    <x v="5"/>
    <x v="0"/>
    <x v="17"/>
    <x v="4"/>
    <x v="28"/>
    <x v="0"/>
    <x v="9"/>
    <x v="1"/>
    <x v="16"/>
  </r>
  <r>
    <x v="17"/>
    <x v="1"/>
    <x v="15"/>
    <x v="5"/>
    <x v="1"/>
    <x v="10"/>
    <x v="0"/>
    <x v="77"/>
    <x v="4"/>
    <x v="31"/>
    <x v="2"/>
    <x v="9"/>
    <x v="3"/>
    <x v="83"/>
  </r>
  <r>
    <x v="16"/>
    <x v="1"/>
    <x v="15"/>
    <x v="5"/>
    <x v="1"/>
    <x v="13"/>
    <x v="0"/>
    <x v="88"/>
    <x v="4"/>
    <x v="31"/>
    <x v="4"/>
    <x v="9"/>
    <x v="5"/>
    <x v="95"/>
  </r>
  <r>
    <x v="19"/>
    <x v="1"/>
    <x v="15"/>
    <x v="5"/>
    <x v="1"/>
    <x v="6"/>
    <x v="0"/>
    <x v="34"/>
    <x v="4"/>
    <x v="31"/>
    <x v="0"/>
    <x v="9"/>
    <x v="1"/>
    <x v="36"/>
  </r>
  <r>
    <x v="15"/>
    <x v="1"/>
    <x v="15"/>
    <x v="5"/>
    <x v="1"/>
    <x v="6"/>
    <x v="0"/>
    <x v="34"/>
    <x v="4"/>
    <x v="33"/>
    <x v="0"/>
    <x v="9"/>
    <x v="1"/>
    <x v="36"/>
  </r>
  <r>
    <x v="19"/>
    <x v="1"/>
    <x v="15"/>
    <x v="4"/>
    <x v="1"/>
    <x v="5"/>
    <x v="0"/>
    <x v="17"/>
    <x v="4"/>
    <x v="46"/>
    <x v="0"/>
    <x v="9"/>
    <x v="1"/>
    <x v="16"/>
  </r>
  <r>
    <x v="18"/>
    <x v="1"/>
    <x v="16"/>
    <x v="0"/>
    <x v="1"/>
    <x v="1"/>
    <x v="0"/>
    <x v="2"/>
    <x v="4"/>
    <x v="46"/>
    <x v="0"/>
    <x v="9"/>
    <x v="1"/>
    <x v="2"/>
  </r>
  <r>
    <x v="15"/>
    <x v="2"/>
    <x v="16"/>
    <x v="4"/>
    <x v="3"/>
    <x v="0"/>
    <x v="0"/>
    <x v="99"/>
    <x v="3"/>
    <x v="1"/>
    <x v="0"/>
    <x v="0"/>
    <x v="0"/>
    <x v="106"/>
  </r>
  <r>
    <x v="9"/>
    <x v="1"/>
    <x v="16"/>
    <x v="5"/>
    <x v="1"/>
    <x v="0"/>
    <x v="0"/>
    <x v="0"/>
    <x v="4"/>
    <x v="8"/>
    <x v="0"/>
    <x v="0"/>
    <x v="0"/>
    <x v="0"/>
  </r>
  <r>
    <x v="1"/>
    <x v="1"/>
    <x v="16"/>
    <x v="4"/>
    <x v="1"/>
    <x v="7"/>
    <x v="0"/>
    <x v="47"/>
    <x v="4"/>
    <x v="13"/>
    <x v="1"/>
    <x v="9"/>
    <x v="2"/>
    <x v="50"/>
  </r>
  <r>
    <x v="8"/>
    <x v="1"/>
    <x v="16"/>
    <x v="4"/>
    <x v="1"/>
    <x v="11"/>
    <x v="0"/>
    <x v="82"/>
    <x v="4"/>
    <x v="15"/>
    <x v="4"/>
    <x v="9"/>
    <x v="5"/>
    <x v="88"/>
  </r>
  <r>
    <x v="7"/>
    <x v="1"/>
    <x v="16"/>
    <x v="4"/>
    <x v="1"/>
    <x v="5"/>
    <x v="0"/>
    <x v="18"/>
    <x v="4"/>
    <x v="16"/>
    <x v="0"/>
    <x v="9"/>
    <x v="1"/>
    <x v="17"/>
  </r>
  <r>
    <x v="15"/>
    <x v="2"/>
    <x v="16"/>
    <x v="4"/>
    <x v="3"/>
    <x v="5"/>
    <x v="0"/>
    <x v="99"/>
    <x v="3"/>
    <x v="17"/>
    <x v="0"/>
    <x v="9"/>
    <x v="1"/>
    <x v="106"/>
  </r>
  <r>
    <x v="24"/>
    <x v="3"/>
    <x v="16"/>
    <x v="4"/>
    <x v="2"/>
    <x v="5"/>
    <x v="1"/>
    <x v="18"/>
    <x v="0"/>
    <x v="20"/>
    <x v="0"/>
    <x v="9"/>
    <x v="1"/>
    <x v="28"/>
  </r>
  <r>
    <x v="6"/>
    <x v="1"/>
    <x v="16"/>
    <x v="4"/>
    <x v="1"/>
    <x v="5"/>
    <x v="0"/>
    <x v="18"/>
    <x v="4"/>
    <x v="26"/>
    <x v="0"/>
    <x v="9"/>
    <x v="1"/>
    <x v="17"/>
  </r>
  <r>
    <x v="8"/>
    <x v="1"/>
    <x v="16"/>
    <x v="4"/>
    <x v="1"/>
    <x v="5"/>
    <x v="0"/>
    <x v="18"/>
    <x v="4"/>
    <x v="26"/>
    <x v="0"/>
    <x v="9"/>
    <x v="1"/>
    <x v="17"/>
  </r>
  <r>
    <x v="11"/>
    <x v="1"/>
    <x v="16"/>
    <x v="5"/>
    <x v="1"/>
    <x v="8"/>
    <x v="0"/>
    <x v="61"/>
    <x v="5"/>
    <x v="42"/>
    <x v="1"/>
    <x v="9"/>
    <x v="2"/>
    <x v="65"/>
  </r>
  <r>
    <x v="18"/>
    <x v="1"/>
    <x v="17"/>
    <x v="5"/>
    <x v="1"/>
    <x v="6"/>
    <x v="0"/>
    <x v="36"/>
    <x v="4"/>
    <x v="35"/>
    <x v="0"/>
    <x v="9"/>
    <x v="1"/>
    <x v="37"/>
  </r>
  <r>
    <x v="18"/>
    <x v="0"/>
    <x v="17"/>
    <x v="0"/>
    <x v="0"/>
    <x v="1"/>
    <x v="0"/>
    <x v="3"/>
    <x v="2"/>
    <x v="35"/>
    <x v="0"/>
    <x v="9"/>
    <x v="1"/>
    <x v="3"/>
  </r>
  <r>
    <x v="15"/>
    <x v="1"/>
    <x v="17"/>
    <x v="4"/>
    <x v="1"/>
    <x v="7"/>
    <x v="0"/>
    <x v="49"/>
    <x v="4"/>
    <x v="41"/>
    <x v="1"/>
    <x v="9"/>
    <x v="2"/>
    <x v="52"/>
  </r>
  <r>
    <x v="6"/>
    <x v="1"/>
    <x v="17"/>
    <x v="4"/>
    <x v="1"/>
    <x v="0"/>
    <x v="0"/>
    <x v="0"/>
    <x v="4"/>
    <x v="46"/>
    <x v="0"/>
    <x v="0"/>
    <x v="0"/>
    <x v="0"/>
  </r>
  <r>
    <x v="23"/>
    <x v="1"/>
    <x v="17"/>
    <x v="4"/>
    <x v="1"/>
    <x v="5"/>
    <x v="0"/>
    <x v="20"/>
    <x v="4"/>
    <x v="46"/>
    <x v="0"/>
    <x v="9"/>
    <x v="1"/>
    <x v="19"/>
  </r>
  <r>
    <x v="34"/>
    <x v="0"/>
    <x v="17"/>
    <x v="5"/>
    <x v="0"/>
    <x v="8"/>
    <x v="0"/>
    <x v="63"/>
    <x v="2"/>
    <x v="46"/>
    <x v="6"/>
    <x v="4"/>
    <x v="2"/>
    <x v="67"/>
  </r>
  <r>
    <x v="18"/>
    <x v="0"/>
    <x v="17"/>
    <x v="5"/>
    <x v="0"/>
    <x v="0"/>
    <x v="0"/>
    <x v="0"/>
    <x v="2"/>
    <x v="35"/>
    <x v="3"/>
    <x v="3"/>
    <x v="0"/>
    <x v="0"/>
  </r>
  <r>
    <x v="21"/>
    <x v="1"/>
    <x v="17"/>
    <x v="4"/>
    <x v="1"/>
    <x v="8"/>
    <x v="0"/>
    <x v="63"/>
    <x v="4"/>
    <x v="41"/>
    <x v="2"/>
    <x v="9"/>
    <x v="3"/>
    <x v="67"/>
  </r>
  <r>
    <x v="13"/>
    <x v="0"/>
    <x v="18"/>
    <x v="5"/>
    <x v="0"/>
    <x v="6"/>
    <x v="0"/>
    <x v="38"/>
    <x v="2"/>
    <x v="35"/>
    <x v="0"/>
    <x v="9"/>
    <x v="1"/>
    <x v="39"/>
  </r>
  <r>
    <x v="10"/>
    <x v="0"/>
    <x v="18"/>
    <x v="5"/>
    <x v="0"/>
    <x v="6"/>
    <x v="0"/>
    <x v="38"/>
    <x v="2"/>
    <x v="35"/>
    <x v="0"/>
    <x v="9"/>
    <x v="1"/>
    <x v="39"/>
  </r>
  <r>
    <x v="11"/>
    <x v="0"/>
    <x v="18"/>
    <x v="5"/>
    <x v="0"/>
    <x v="6"/>
    <x v="0"/>
    <x v="38"/>
    <x v="2"/>
    <x v="35"/>
    <x v="0"/>
    <x v="9"/>
    <x v="1"/>
    <x v="39"/>
  </r>
  <r>
    <x v="14"/>
    <x v="0"/>
    <x v="18"/>
    <x v="5"/>
    <x v="0"/>
    <x v="8"/>
    <x v="0"/>
    <x v="64"/>
    <x v="2"/>
    <x v="35"/>
    <x v="2"/>
    <x v="0"/>
    <x v="2"/>
    <x v="69"/>
  </r>
  <r>
    <x v="17"/>
    <x v="0"/>
    <x v="18"/>
    <x v="4"/>
    <x v="0"/>
    <x v="0"/>
    <x v="0"/>
    <x v="0"/>
    <x v="2"/>
    <x v="35"/>
    <x v="1"/>
    <x v="1"/>
    <x v="0"/>
    <x v="0"/>
  </r>
  <r>
    <x v="20"/>
    <x v="0"/>
    <x v="18"/>
    <x v="5"/>
    <x v="0"/>
    <x v="10"/>
    <x v="0"/>
    <x v="81"/>
    <x v="2"/>
    <x v="37"/>
    <x v="2"/>
    <x v="9"/>
    <x v="3"/>
    <x v="87"/>
  </r>
  <r>
    <x v="6"/>
    <x v="0"/>
    <x v="18"/>
    <x v="5"/>
    <x v="0"/>
    <x v="12"/>
    <x v="0"/>
    <x v="86"/>
    <x v="2"/>
    <x v="36"/>
    <x v="3"/>
    <x v="9"/>
    <x v="4"/>
    <x v="93"/>
  </r>
  <r>
    <x v="18"/>
    <x v="0"/>
    <x v="18"/>
    <x v="5"/>
    <x v="0"/>
    <x v="6"/>
    <x v="0"/>
    <x v="38"/>
    <x v="2"/>
    <x v="35"/>
    <x v="1"/>
    <x v="0"/>
    <x v="1"/>
    <x v="39"/>
  </r>
  <r>
    <x v="25"/>
    <x v="1"/>
    <x v="18"/>
    <x v="4"/>
    <x v="1"/>
    <x v="7"/>
    <x v="0"/>
    <x v="51"/>
    <x v="4"/>
    <x v="41"/>
    <x v="3"/>
    <x v="1"/>
    <x v="2"/>
    <x v="55"/>
  </r>
  <r>
    <x v="27"/>
    <x v="1"/>
    <x v="18"/>
    <x v="4"/>
    <x v="1"/>
    <x v="12"/>
    <x v="0"/>
    <x v="86"/>
    <x v="4"/>
    <x v="41"/>
    <x v="5"/>
    <x v="9"/>
    <x v="6"/>
    <x v="93"/>
  </r>
  <r>
    <x v="12"/>
    <x v="1"/>
    <x v="19"/>
    <x v="4"/>
    <x v="1"/>
    <x v="5"/>
    <x v="0"/>
    <x v="23"/>
    <x v="4"/>
    <x v="34"/>
    <x v="0"/>
    <x v="9"/>
    <x v="1"/>
    <x v="23"/>
  </r>
  <r>
    <x v="13"/>
    <x v="1"/>
    <x v="19"/>
    <x v="4"/>
    <x v="1"/>
    <x v="0"/>
    <x v="0"/>
    <x v="0"/>
    <x v="4"/>
    <x v="34"/>
    <x v="0"/>
    <x v="0"/>
    <x v="0"/>
    <x v="0"/>
  </r>
  <r>
    <x v="18"/>
    <x v="1"/>
    <x v="19"/>
    <x v="1"/>
    <x v="1"/>
    <x v="2"/>
    <x v="0"/>
    <x v="9"/>
    <x v="4"/>
    <x v="26"/>
    <x v="0"/>
    <x v="9"/>
    <x v="1"/>
    <x v="10"/>
  </r>
  <r>
    <x v="9"/>
    <x v="1"/>
    <x v="19"/>
    <x v="4"/>
    <x v="1"/>
    <x v="5"/>
    <x v="0"/>
    <x v="23"/>
    <x v="4"/>
    <x v="16"/>
    <x v="0"/>
    <x v="9"/>
    <x v="1"/>
    <x v="23"/>
  </r>
  <r>
    <x v="7"/>
    <x v="1"/>
    <x v="19"/>
    <x v="4"/>
    <x v="1"/>
    <x v="7"/>
    <x v="0"/>
    <x v="52"/>
    <x v="4"/>
    <x v="16"/>
    <x v="1"/>
    <x v="9"/>
    <x v="2"/>
    <x v="56"/>
  </r>
  <r>
    <x v="12"/>
    <x v="1"/>
    <x v="19"/>
    <x v="4"/>
    <x v="1"/>
    <x v="5"/>
    <x v="0"/>
    <x v="23"/>
    <x v="4"/>
    <x v="18"/>
    <x v="0"/>
    <x v="9"/>
    <x v="1"/>
    <x v="23"/>
  </r>
  <r>
    <x v="33"/>
    <x v="1"/>
    <x v="19"/>
    <x v="5"/>
    <x v="1"/>
    <x v="6"/>
    <x v="0"/>
    <x v="41"/>
    <x v="4"/>
    <x v="34"/>
    <x v="1"/>
    <x v="0"/>
    <x v="1"/>
    <x v="42"/>
  </r>
  <r>
    <x v="20"/>
    <x v="1"/>
    <x v="19"/>
    <x v="5"/>
    <x v="1"/>
    <x v="6"/>
    <x v="0"/>
    <x v="41"/>
    <x v="4"/>
    <x v="34"/>
    <x v="0"/>
    <x v="9"/>
    <x v="1"/>
    <x v="42"/>
  </r>
  <r>
    <x v="21"/>
    <x v="1"/>
    <x v="19"/>
    <x v="5"/>
    <x v="1"/>
    <x v="8"/>
    <x v="0"/>
    <x v="66"/>
    <x v="4"/>
    <x v="34"/>
    <x v="1"/>
    <x v="9"/>
    <x v="2"/>
    <x v="71"/>
  </r>
  <r>
    <x v="25"/>
    <x v="1"/>
    <x v="19"/>
    <x v="4"/>
    <x v="1"/>
    <x v="5"/>
    <x v="0"/>
    <x v="23"/>
    <x v="5"/>
    <x v="41"/>
    <x v="0"/>
    <x v="9"/>
    <x v="1"/>
    <x v="23"/>
  </r>
  <r>
    <x v="28"/>
    <x v="1"/>
    <x v="19"/>
    <x v="4"/>
    <x v="1"/>
    <x v="8"/>
    <x v="0"/>
    <x v="66"/>
    <x v="4"/>
    <x v="41"/>
    <x v="2"/>
    <x v="9"/>
    <x v="3"/>
    <x v="71"/>
  </r>
  <r>
    <x v="13"/>
    <x v="1"/>
    <x v="20"/>
    <x v="0"/>
    <x v="1"/>
    <x v="0"/>
    <x v="0"/>
    <x v="0"/>
    <x v="6"/>
    <x v="46"/>
    <x v="0"/>
    <x v="0"/>
    <x v="0"/>
    <x v="0"/>
  </r>
  <r>
    <x v="18"/>
    <x v="1"/>
    <x v="21"/>
    <x v="5"/>
    <x v="1"/>
    <x v="6"/>
    <x v="0"/>
    <x v="42"/>
    <x v="4"/>
    <x v="30"/>
    <x v="0"/>
    <x v="9"/>
    <x v="1"/>
    <x v="44"/>
  </r>
  <r>
    <x v="18"/>
    <x v="1"/>
    <x v="21"/>
    <x v="4"/>
    <x v="1"/>
    <x v="5"/>
    <x v="0"/>
    <x v="24"/>
    <x v="4"/>
    <x v="30"/>
    <x v="0"/>
    <x v="9"/>
    <x v="1"/>
    <x v="25"/>
  </r>
  <r>
    <x v="23"/>
    <x v="1"/>
    <x v="21"/>
    <x v="5"/>
    <x v="1"/>
    <x v="8"/>
    <x v="0"/>
    <x v="67"/>
    <x v="4"/>
    <x v="30"/>
    <x v="1"/>
    <x v="9"/>
    <x v="2"/>
    <x v="73"/>
  </r>
  <r>
    <x v="13"/>
    <x v="1"/>
    <x v="21"/>
    <x v="5"/>
    <x v="1"/>
    <x v="8"/>
    <x v="0"/>
    <x v="67"/>
    <x v="4"/>
    <x v="34"/>
    <x v="1"/>
    <x v="9"/>
    <x v="2"/>
    <x v="73"/>
  </r>
  <r>
    <x v="15"/>
    <x v="1"/>
    <x v="21"/>
    <x v="5"/>
    <x v="1"/>
    <x v="8"/>
    <x v="0"/>
    <x v="67"/>
    <x v="4"/>
    <x v="34"/>
    <x v="1"/>
    <x v="9"/>
    <x v="2"/>
    <x v="73"/>
  </r>
  <r>
    <x v="17"/>
    <x v="1"/>
    <x v="21"/>
    <x v="4"/>
    <x v="1"/>
    <x v="5"/>
    <x v="0"/>
    <x v="24"/>
    <x v="4"/>
    <x v="41"/>
    <x v="0"/>
    <x v="9"/>
    <x v="1"/>
    <x v="25"/>
  </r>
  <r>
    <x v="19"/>
    <x v="1"/>
    <x v="21"/>
    <x v="4"/>
    <x v="1"/>
    <x v="0"/>
    <x v="0"/>
    <x v="0"/>
    <x v="4"/>
    <x v="41"/>
    <x v="0"/>
    <x v="0"/>
    <x v="0"/>
    <x v="0"/>
  </r>
  <r>
    <x v="20"/>
    <x v="1"/>
    <x v="21"/>
    <x v="4"/>
    <x v="1"/>
    <x v="5"/>
    <x v="0"/>
    <x v="24"/>
    <x v="4"/>
    <x v="41"/>
    <x v="0"/>
    <x v="9"/>
    <x v="1"/>
    <x v="25"/>
  </r>
  <r>
    <x v="13"/>
    <x v="1"/>
    <x v="22"/>
    <x v="4"/>
    <x v="1"/>
    <x v="5"/>
    <x v="0"/>
    <x v="26"/>
    <x v="4"/>
    <x v="2"/>
    <x v="0"/>
    <x v="9"/>
    <x v="1"/>
    <x v="27"/>
  </r>
  <r>
    <x v="22"/>
    <x v="1"/>
    <x v="22"/>
    <x v="5"/>
    <x v="1"/>
    <x v="6"/>
    <x v="0"/>
    <x v="44"/>
    <x v="4"/>
    <x v="8"/>
    <x v="0"/>
    <x v="9"/>
    <x v="1"/>
    <x v="46"/>
  </r>
  <r>
    <x v="14"/>
    <x v="1"/>
    <x v="22"/>
    <x v="5"/>
    <x v="1"/>
    <x v="6"/>
    <x v="0"/>
    <x v="44"/>
    <x v="4"/>
    <x v="10"/>
    <x v="0"/>
    <x v="9"/>
    <x v="1"/>
    <x v="46"/>
  </r>
  <r>
    <x v="14"/>
    <x v="1"/>
    <x v="22"/>
    <x v="4"/>
    <x v="1"/>
    <x v="7"/>
    <x v="0"/>
    <x v="54"/>
    <x v="4"/>
    <x v="18"/>
    <x v="1"/>
    <x v="9"/>
    <x v="2"/>
    <x v="58"/>
  </r>
  <r>
    <x v="10"/>
    <x v="1"/>
    <x v="22"/>
    <x v="4"/>
    <x v="1"/>
    <x v="8"/>
    <x v="0"/>
    <x v="69"/>
    <x v="4"/>
    <x v="26"/>
    <x v="2"/>
    <x v="9"/>
    <x v="3"/>
    <x v="75"/>
  </r>
  <r>
    <x v="21"/>
    <x v="1"/>
    <x v="22"/>
    <x v="4"/>
    <x v="1"/>
    <x v="5"/>
    <x v="0"/>
    <x v="26"/>
    <x v="4"/>
    <x v="26"/>
    <x v="1"/>
    <x v="0"/>
    <x v="1"/>
    <x v="27"/>
  </r>
  <r>
    <x v="11"/>
    <x v="0"/>
    <x v="22"/>
    <x v="5"/>
    <x v="0"/>
    <x v="12"/>
    <x v="0"/>
    <x v="89"/>
    <x v="2"/>
    <x v="35"/>
    <x v="3"/>
    <x v="9"/>
    <x v="4"/>
    <x v="96"/>
  </r>
  <r>
    <x v="9"/>
    <x v="1"/>
    <x v="22"/>
    <x v="3"/>
    <x v="1"/>
    <x v="0"/>
    <x v="0"/>
    <x v="0"/>
    <x v="4"/>
    <x v="46"/>
    <x v="0"/>
    <x v="0"/>
    <x v="0"/>
    <x v="0"/>
  </r>
  <r>
    <x v="23"/>
    <x v="1"/>
    <x v="23"/>
    <x v="4"/>
    <x v="1"/>
    <x v="7"/>
    <x v="0"/>
    <x v="57"/>
    <x v="5"/>
    <x v="31"/>
    <x v="1"/>
    <x v="9"/>
    <x v="2"/>
    <x v="61"/>
  </r>
  <r>
    <x v="14"/>
    <x v="1"/>
    <x v="23"/>
    <x v="5"/>
    <x v="1"/>
    <x v="6"/>
    <x v="0"/>
    <x v="45"/>
    <x v="4"/>
    <x v="32"/>
    <x v="0"/>
    <x v="9"/>
    <x v="1"/>
    <x v="48"/>
  </r>
  <r>
    <x v="12"/>
    <x v="1"/>
    <x v="24"/>
    <x v="4"/>
    <x v="1"/>
    <x v="5"/>
    <x v="0"/>
    <x v="28"/>
    <x v="4"/>
    <x v="21"/>
    <x v="2"/>
    <x v="1"/>
    <x v="1"/>
    <x v="30"/>
  </r>
  <r>
    <x v="10"/>
    <x v="1"/>
    <x v="24"/>
    <x v="4"/>
    <x v="1"/>
    <x v="0"/>
    <x v="0"/>
    <x v="0"/>
    <x v="4"/>
    <x v="22"/>
    <x v="0"/>
    <x v="0"/>
    <x v="0"/>
    <x v="0"/>
  </r>
  <r>
    <x v="15"/>
    <x v="1"/>
    <x v="24"/>
    <x v="4"/>
    <x v="1"/>
    <x v="5"/>
    <x v="0"/>
    <x v="28"/>
    <x v="4"/>
    <x v="26"/>
    <x v="0"/>
    <x v="9"/>
    <x v="1"/>
    <x v="30"/>
  </r>
  <r>
    <x v="19"/>
    <x v="1"/>
    <x v="24"/>
    <x v="4"/>
    <x v="1"/>
    <x v="8"/>
    <x v="0"/>
    <x v="71"/>
    <x v="4"/>
    <x v="26"/>
    <x v="2"/>
    <x v="9"/>
    <x v="3"/>
    <x v="77"/>
  </r>
  <r>
    <x v="20"/>
    <x v="1"/>
    <x v="24"/>
    <x v="4"/>
    <x v="1"/>
    <x v="8"/>
    <x v="0"/>
    <x v="71"/>
    <x v="4"/>
    <x v="26"/>
    <x v="2"/>
    <x v="9"/>
    <x v="3"/>
    <x v="77"/>
  </r>
  <r>
    <x v="22"/>
    <x v="1"/>
    <x v="24"/>
    <x v="0"/>
    <x v="1"/>
    <x v="1"/>
    <x v="0"/>
    <x v="6"/>
    <x v="4"/>
    <x v="46"/>
    <x v="0"/>
    <x v="9"/>
    <x v="1"/>
    <x v="6"/>
  </r>
  <r>
    <x v="13"/>
    <x v="1"/>
    <x v="25"/>
    <x v="4"/>
    <x v="1"/>
    <x v="5"/>
    <x v="0"/>
    <x v="31"/>
    <x v="4"/>
    <x v="41"/>
    <x v="0"/>
    <x v="9"/>
    <x v="1"/>
    <x v="33"/>
  </r>
  <r>
    <x v="14"/>
    <x v="1"/>
    <x v="25"/>
    <x v="4"/>
    <x v="1"/>
    <x v="9"/>
    <x v="0"/>
    <x v="84"/>
    <x v="4"/>
    <x v="41"/>
    <x v="3"/>
    <x v="9"/>
    <x v="4"/>
    <x v="90"/>
  </r>
  <r>
    <x v="17"/>
    <x v="1"/>
    <x v="25"/>
    <x v="4"/>
    <x v="1"/>
    <x v="8"/>
    <x v="0"/>
    <x v="72"/>
    <x v="4"/>
    <x v="41"/>
    <x v="2"/>
    <x v="9"/>
    <x v="3"/>
    <x v="78"/>
  </r>
  <r>
    <x v="22"/>
    <x v="1"/>
    <x v="25"/>
    <x v="0"/>
    <x v="1"/>
    <x v="1"/>
    <x v="0"/>
    <x v="8"/>
    <x v="4"/>
    <x v="6"/>
    <x v="0"/>
    <x v="9"/>
    <x v="1"/>
    <x v="8"/>
  </r>
  <r>
    <x v="21"/>
    <x v="1"/>
    <x v="25"/>
    <x v="4"/>
    <x v="1"/>
    <x v="5"/>
    <x v="0"/>
    <x v="31"/>
    <x v="4"/>
    <x v="39"/>
    <x v="0"/>
    <x v="9"/>
    <x v="1"/>
    <x v="33"/>
  </r>
  <r>
    <x v="33"/>
    <x v="1"/>
    <x v="25"/>
    <x v="4"/>
    <x v="1"/>
    <x v="8"/>
    <x v="0"/>
    <x v="72"/>
    <x v="4"/>
    <x v="39"/>
    <x v="2"/>
    <x v="9"/>
    <x v="3"/>
    <x v="78"/>
  </r>
  <r>
    <x v="31"/>
    <x v="1"/>
    <x v="25"/>
    <x v="4"/>
    <x v="1"/>
    <x v="8"/>
    <x v="0"/>
    <x v="72"/>
    <x v="4"/>
    <x v="41"/>
    <x v="2"/>
    <x v="9"/>
    <x v="3"/>
    <x v="78"/>
  </r>
  <r>
    <x v="30"/>
    <x v="1"/>
    <x v="26"/>
    <x v="4"/>
    <x v="1"/>
    <x v="5"/>
    <x v="0"/>
    <x v="32"/>
    <x v="4"/>
    <x v="41"/>
    <x v="0"/>
    <x v="9"/>
    <x v="1"/>
    <x v="34"/>
  </r>
  <r>
    <x v="31"/>
    <x v="1"/>
    <x v="26"/>
    <x v="4"/>
    <x v="1"/>
    <x v="8"/>
    <x v="0"/>
    <x v="73"/>
    <x v="4"/>
    <x v="41"/>
    <x v="2"/>
    <x v="9"/>
    <x v="3"/>
    <x v="79"/>
  </r>
  <r>
    <x v="11"/>
    <x v="1"/>
    <x v="27"/>
    <x v="5"/>
    <x v="1"/>
    <x v="6"/>
    <x v="0"/>
    <x v="48"/>
    <x v="4"/>
    <x v="30"/>
    <x v="0"/>
    <x v="9"/>
    <x v="1"/>
    <x v="51"/>
  </r>
  <r>
    <x v="30"/>
    <x v="1"/>
    <x v="27"/>
    <x v="4"/>
    <x v="1"/>
    <x v="7"/>
    <x v="0"/>
    <x v="60"/>
    <x v="4"/>
    <x v="41"/>
    <x v="1"/>
    <x v="9"/>
    <x v="2"/>
    <x v="64"/>
  </r>
  <r>
    <x v="0"/>
    <x v="0"/>
    <x v="28"/>
    <x v="5"/>
    <x v="0"/>
    <x v="0"/>
    <x v="0"/>
    <x v="0"/>
    <x v="2"/>
    <x v="46"/>
    <x v="0"/>
    <x v="0"/>
    <x v="0"/>
    <x v="0"/>
  </r>
  <r>
    <x v="9"/>
    <x v="1"/>
    <x v="28"/>
    <x v="4"/>
    <x v="1"/>
    <x v="7"/>
    <x v="0"/>
    <x v="61"/>
    <x v="4"/>
    <x v="8"/>
    <x v="1"/>
    <x v="9"/>
    <x v="2"/>
    <x v="65"/>
  </r>
  <r>
    <x v="31"/>
    <x v="3"/>
    <x v="28"/>
    <x v="0"/>
    <x v="2"/>
    <x v="1"/>
    <x v="1"/>
    <x v="12"/>
    <x v="0"/>
    <x v="24"/>
    <x v="0"/>
    <x v="9"/>
    <x v="1"/>
    <x v="15"/>
  </r>
  <r>
    <x v="31"/>
    <x v="3"/>
    <x v="28"/>
    <x v="4"/>
    <x v="2"/>
    <x v="5"/>
    <x v="1"/>
    <x v="35"/>
    <x v="0"/>
    <x v="24"/>
    <x v="0"/>
    <x v="9"/>
    <x v="1"/>
    <x v="47"/>
  </r>
  <r>
    <x v="31"/>
    <x v="3"/>
    <x v="28"/>
    <x v="4"/>
    <x v="2"/>
    <x v="5"/>
    <x v="1"/>
    <x v="35"/>
    <x v="0"/>
    <x v="24"/>
    <x v="0"/>
    <x v="9"/>
    <x v="1"/>
    <x v="47"/>
  </r>
  <r>
    <x v="34"/>
    <x v="1"/>
    <x v="28"/>
    <x v="5"/>
    <x v="1"/>
    <x v="10"/>
    <x v="0"/>
    <x v="87"/>
    <x v="4"/>
    <x v="46"/>
    <x v="2"/>
    <x v="9"/>
    <x v="3"/>
    <x v="94"/>
  </r>
  <r>
    <x v="32"/>
    <x v="1"/>
    <x v="28"/>
    <x v="5"/>
    <x v="1"/>
    <x v="12"/>
    <x v="0"/>
    <x v="93"/>
    <x v="4"/>
    <x v="7"/>
    <x v="3"/>
    <x v="9"/>
    <x v="4"/>
    <x v="100"/>
  </r>
  <r>
    <x v="32"/>
    <x v="1"/>
    <x v="29"/>
    <x v="5"/>
    <x v="1"/>
    <x v="15"/>
    <x v="0"/>
    <x v="94"/>
    <x v="4"/>
    <x v="38"/>
    <x v="7"/>
    <x v="0"/>
    <x v="7"/>
    <x v="101"/>
  </r>
  <r>
    <x v="19"/>
    <x v="1"/>
    <x v="29"/>
    <x v="5"/>
    <x v="1"/>
    <x v="6"/>
    <x v="0"/>
    <x v="53"/>
    <x v="4"/>
    <x v="38"/>
    <x v="0"/>
    <x v="9"/>
    <x v="1"/>
    <x v="57"/>
  </r>
  <r>
    <x v="32"/>
    <x v="1"/>
    <x v="29"/>
    <x v="5"/>
    <x v="1"/>
    <x v="8"/>
    <x v="0"/>
    <x v="79"/>
    <x v="4"/>
    <x v="7"/>
    <x v="1"/>
    <x v="9"/>
    <x v="2"/>
    <x v="85"/>
  </r>
  <r>
    <x v="20"/>
    <x v="1"/>
    <x v="30"/>
    <x v="4"/>
    <x v="1"/>
    <x v="5"/>
    <x v="0"/>
    <x v="37"/>
    <x v="4"/>
    <x v="26"/>
    <x v="0"/>
    <x v="9"/>
    <x v="1"/>
    <x v="38"/>
  </r>
  <r>
    <x v="34"/>
    <x v="1"/>
    <x v="30"/>
    <x v="5"/>
    <x v="1"/>
    <x v="8"/>
    <x v="0"/>
    <x v="80"/>
    <x v="4"/>
    <x v="46"/>
    <x v="2"/>
    <x v="0"/>
    <x v="2"/>
    <x v="86"/>
  </r>
  <r>
    <x v="32"/>
    <x v="1"/>
    <x v="30"/>
    <x v="5"/>
    <x v="1"/>
    <x v="0"/>
    <x v="0"/>
    <x v="0"/>
    <x v="4"/>
    <x v="7"/>
    <x v="2"/>
    <x v="2"/>
    <x v="0"/>
    <x v="0"/>
  </r>
  <r>
    <x v="34"/>
    <x v="1"/>
    <x v="30"/>
    <x v="4"/>
    <x v="1"/>
    <x v="8"/>
    <x v="0"/>
    <x v="80"/>
    <x v="4"/>
    <x v="40"/>
    <x v="2"/>
    <x v="9"/>
    <x v="3"/>
    <x v="86"/>
  </r>
  <r>
    <x v="22"/>
    <x v="1"/>
    <x v="31"/>
    <x v="5"/>
    <x v="1"/>
    <x v="8"/>
    <x v="0"/>
    <x v="81"/>
    <x v="4"/>
    <x v="46"/>
    <x v="1"/>
    <x v="9"/>
    <x v="2"/>
    <x v="87"/>
  </r>
  <r>
    <x v="34"/>
    <x v="1"/>
    <x v="31"/>
    <x v="4"/>
    <x v="1"/>
    <x v="5"/>
    <x v="0"/>
    <x v="38"/>
    <x v="4"/>
    <x v="46"/>
    <x v="1"/>
    <x v="0"/>
    <x v="1"/>
    <x v="39"/>
  </r>
  <r>
    <x v="19"/>
    <x v="0"/>
    <x v="31"/>
    <x v="5"/>
    <x v="0"/>
    <x v="6"/>
    <x v="0"/>
    <x v="56"/>
    <x v="2"/>
    <x v="35"/>
    <x v="0"/>
    <x v="9"/>
    <x v="1"/>
    <x v="60"/>
  </r>
  <r>
    <x v="34"/>
    <x v="1"/>
    <x v="32"/>
    <x v="4"/>
    <x v="1"/>
    <x v="5"/>
    <x v="0"/>
    <x v="39"/>
    <x v="4"/>
    <x v="46"/>
    <x v="0"/>
    <x v="9"/>
    <x v="1"/>
    <x v="40"/>
  </r>
  <r>
    <x v="16"/>
    <x v="1"/>
    <x v="33"/>
    <x v="4"/>
    <x v="1"/>
    <x v="5"/>
    <x v="0"/>
    <x v="40"/>
    <x v="4"/>
    <x v="12"/>
    <x v="0"/>
    <x v="9"/>
    <x v="1"/>
    <x v="41"/>
  </r>
  <r>
    <x v="34"/>
    <x v="1"/>
    <x v="33"/>
    <x v="4"/>
    <x v="1"/>
    <x v="5"/>
    <x v="0"/>
    <x v="40"/>
    <x v="4"/>
    <x v="46"/>
    <x v="0"/>
    <x v="9"/>
    <x v="1"/>
    <x v="41"/>
  </r>
  <r>
    <x v="34"/>
    <x v="1"/>
    <x v="33"/>
    <x v="4"/>
    <x v="1"/>
    <x v="5"/>
    <x v="0"/>
    <x v="40"/>
    <x v="4"/>
    <x v="46"/>
    <x v="0"/>
    <x v="9"/>
    <x v="1"/>
    <x v="41"/>
  </r>
  <r>
    <x v="25"/>
    <x v="3"/>
    <x v="34"/>
    <x v="4"/>
    <x v="2"/>
    <x v="5"/>
    <x v="1"/>
    <x v="42"/>
    <x v="0"/>
    <x v="21"/>
    <x v="0"/>
    <x v="9"/>
    <x v="1"/>
    <x v="54"/>
  </r>
  <r>
    <x v="31"/>
    <x v="3"/>
    <x v="34"/>
    <x v="4"/>
    <x v="2"/>
    <x v="5"/>
    <x v="1"/>
    <x v="42"/>
    <x v="0"/>
    <x v="29"/>
    <x v="1"/>
    <x v="0"/>
    <x v="1"/>
    <x v="54"/>
  </r>
  <r>
    <x v="25"/>
    <x v="3"/>
    <x v="34"/>
    <x v="4"/>
    <x v="2"/>
    <x v="7"/>
    <x v="1"/>
    <x v="67"/>
    <x v="0"/>
    <x v="29"/>
    <x v="1"/>
    <x v="9"/>
    <x v="2"/>
    <x v="84"/>
  </r>
  <r>
    <x v="24"/>
    <x v="3"/>
    <x v="34"/>
    <x v="4"/>
    <x v="2"/>
    <x v="5"/>
    <x v="1"/>
    <x v="42"/>
    <x v="0"/>
    <x v="29"/>
    <x v="0"/>
    <x v="9"/>
    <x v="1"/>
    <x v="54"/>
  </r>
  <r>
    <x v="34"/>
    <x v="1"/>
    <x v="34"/>
    <x v="4"/>
    <x v="1"/>
    <x v="0"/>
    <x v="0"/>
    <x v="0"/>
    <x v="4"/>
    <x v="46"/>
    <x v="8"/>
    <x v="7"/>
    <x v="0"/>
    <x v="0"/>
  </r>
  <r>
    <x v="34"/>
    <x v="0"/>
    <x v="34"/>
    <x v="4"/>
    <x v="0"/>
    <x v="0"/>
    <x v="0"/>
    <x v="0"/>
    <x v="2"/>
    <x v="46"/>
    <x v="1"/>
    <x v="1"/>
    <x v="0"/>
    <x v="0"/>
  </r>
  <r>
    <x v="34"/>
    <x v="0"/>
    <x v="34"/>
    <x v="4"/>
    <x v="0"/>
    <x v="20"/>
    <x v="0"/>
    <x v="98"/>
    <x v="2"/>
    <x v="46"/>
    <x v="12"/>
    <x v="8"/>
    <x v="12"/>
    <x v="105"/>
  </r>
  <r>
    <x v="32"/>
    <x v="1"/>
    <x v="34"/>
    <x v="4"/>
    <x v="1"/>
    <x v="18"/>
    <x v="0"/>
    <x v="95"/>
    <x v="4"/>
    <x v="39"/>
    <x v="11"/>
    <x v="5"/>
    <x v="10"/>
    <x v="102"/>
  </r>
  <r>
    <x v="34"/>
    <x v="1"/>
    <x v="34"/>
    <x v="4"/>
    <x v="1"/>
    <x v="19"/>
    <x v="0"/>
    <x v="96"/>
    <x v="4"/>
    <x v="41"/>
    <x v="10"/>
    <x v="9"/>
    <x v="11"/>
    <x v="103"/>
  </r>
  <r>
    <x v="32"/>
    <x v="1"/>
    <x v="35"/>
    <x v="4"/>
    <x v="1"/>
    <x v="5"/>
    <x v="0"/>
    <x v="43"/>
    <x v="4"/>
    <x v="39"/>
    <x v="4"/>
    <x v="3"/>
    <x v="1"/>
    <x v="45"/>
  </r>
  <r>
    <x v="32"/>
    <x v="1"/>
    <x v="36"/>
    <x v="4"/>
    <x v="1"/>
    <x v="0"/>
    <x v="0"/>
    <x v="0"/>
    <x v="4"/>
    <x v="39"/>
    <x v="7"/>
    <x v="6"/>
    <x v="0"/>
    <x v="0"/>
  </r>
  <r>
    <x v="29"/>
    <x v="1"/>
    <x v="37"/>
    <x v="4"/>
    <x v="1"/>
    <x v="0"/>
    <x v="0"/>
    <x v="0"/>
    <x v="4"/>
    <x v="0"/>
    <x v="0"/>
    <x v="0"/>
    <x v="0"/>
    <x v="0"/>
  </r>
  <r>
    <x v="26"/>
    <x v="1"/>
    <x v="37"/>
    <x v="2"/>
    <x v="1"/>
    <x v="3"/>
    <x v="0"/>
    <x v="30"/>
    <x v="4"/>
    <x v="0"/>
    <x v="0"/>
    <x v="9"/>
    <x v="1"/>
    <x v="32"/>
  </r>
  <r>
    <x v="33"/>
    <x v="1"/>
    <x v="38"/>
    <x v="4"/>
    <x v="1"/>
    <x v="5"/>
    <x v="0"/>
    <x v="49"/>
    <x v="4"/>
    <x v="8"/>
    <x v="2"/>
    <x v="1"/>
    <x v="1"/>
    <x v="52"/>
  </r>
  <r>
    <x v="33"/>
    <x v="1"/>
    <x v="38"/>
    <x v="4"/>
    <x v="1"/>
    <x v="9"/>
    <x v="0"/>
    <x v="91"/>
    <x v="4"/>
    <x v="43"/>
    <x v="5"/>
    <x v="1"/>
    <x v="4"/>
    <x v="98"/>
  </r>
  <r>
    <x v="34"/>
    <x v="1"/>
    <x v="38"/>
    <x v="4"/>
    <x v="1"/>
    <x v="16"/>
    <x v="0"/>
    <x v="97"/>
    <x v="4"/>
    <x v="46"/>
    <x v="9"/>
    <x v="9"/>
    <x v="9"/>
    <x v="10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8">
  <r>
    <x v="2"/>
    <x v="1"/>
    <x v="0"/>
    <x v="2"/>
    <x v="1"/>
    <x v="0"/>
    <x v="0"/>
    <x v="0"/>
    <x v="0"/>
    <x v="7"/>
    <x v="4"/>
    <x v="5"/>
    <x v="0"/>
    <x v="0"/>
    <x v="1"/>
  </r>
  <r>
    <x v="0"/>
    <x v="0"/>
    <x v="0"/>
    <x v="2"/>
    <x v="1"/>
    <x v="6"/>
    <x v="0"/>
    <x v="15"/>
    <x v="1"/>
    <x v="11"/>
    <x v="3"/>
    <x v="8"/>
    <x v="4"/>
    <x v="15"/>
    <x v="0"/>
  </r>
  <r>
    <x v="1"/>
    <x v="1"/>
    <x v="0"/>
    <x v="2"/>
    <x v="1"/>
    <x v="9"/>
    <x v="0"/>
    <x v="19"/>
    <x v="0"/>
    <x v="11"/>
    <x v="8"/>
    <x v="8"/>
    <x v="7"/>
    <x v="19"/>
    <x v="1"/>
  </r>
  <r>
    <x v="1"/>
    <x v="1"/>
    <x v="1"/>
    <x v="1"/>
    <x v="1"/>
    <x v="2"/>
    <x v="0"/>
    <x v="2"/>
    <x v="0"/>
    <x v="15"/>
    <x v="0"/>
    <x v="8"/>
    <x v="1"/>
    <x v="2"/>
    <x v="1"/>
  </r>
  <r>
    <x v="0"/>
    <x v="0"/>
    <x v="2"/>
    <x v="2"/>
    <x v="1"/>
    <x v="3"/>
    <x v="0"/>
    <x v="3"/>
    <x v="1"/>
    <x v="8"/>
    <x v="0"/>
    <x v="8"/>
    <x v="1"/>
    <x v="3"/>
    <x v="1"/>
  </r>
  <r>
    <x v="0"/>
    <x v="1"/>
    <x v="2"/>
    <x v="2"/>
    <x v="1"/>
    <x v="3"/>
    <x v="0"/>
    <x v="3"/>
    <x v="0"/>
    <x v="15"/>
    <x v="0"/>
    <x v="8"/>
    <x v="1"/>
    <x v="3"/>
    <x v="1"/>
  </r>
  <r>
    <x v="0"/>
    <x v="1"/>
    <x v="3"/>
    <x v="2"/>
    <x v="1"/>
    <x v="5"/>
    <x v="0"/>
    <x v="14"/>
    <x v="0"/>
    <x v="1"/>
    <x v="2"/>
    <x v="8"/>
    <x v="3"/>
    <x v="14"/>
    <x v="1"/>
  </r>
  <r>
    <x v="0"/>
    <x v="1"/>
    <x v="3"/>
    <x v="2"/>
    <x v="1"/>
    <x v="3"/>
    <x v="0"/>
    <x v="4"/>
    <x v="0"/>
    <x v="3"/>
    <x v="0"/>
    <x v="8"/>
    <x v="1"/>
    <x v="4"/>
    <x v="1"/>
  </r>
  <r>
    <x v="0"/>
    <x v="1"/>
    <x v="3"/>
    <x v="2"/>
    <x v="1"/>
    <x v="3"/>
    <x v="0"/>
    <x v="4"/>
    <x v="0"/>
    <x v="5"/>
    <x v="0"/>
    <x v="8"/>
    <x v="1"/>
    <x v="4"/>
    <x v="1"/>
  </r>
  <r>
    <x v="0"/>
    <x v="1"/>
    <x v="3"/>
    <x v="2"/>
    <x v="1"/>
    <x v="3"/>
    <x v="0"/>
    <x v="4"/>
    <x v="0"/>
    <x v="5"/>
    <x v="0"/>
    <x v="8"/>
    <x v="1"/>
    <x v="4"/>
    <x v="1"/>
  </r>
  <r>
    <x v="0"/>
    <x v="1"/>
    <x v="3"/>
    <x v="0"/>
    <x v="1"/>
    <x v="1"/>
    <x v="0"/>
    <x v="1"/>
    <x v="0"/>
    <x v="5"/>
    <x v="0"/>
    <x v="8"/>
    <x v="1"/>
    <x v="1"/>
    <x v="1"/>
  </r>
  <r>
    <x v="0"/>
    <x v="0"/>
    <x v="3"/>
    <x v="2"/>
    <x v="1"/>
    <x v="3"/>
    <x v="0"/>
    <x v="4"/>
    <x v="1"/>
    <x v="8"/>
    <x v="0"/>
    <x v="0"/>
    <x v="1"/>
    <x v="4"/>
    <x v="1"/>
  </r>
  <r>
    <x v="6"/>
    <x v="0"/>
    <x v="3"/>
    <x v="2"/>
    <x v="1"/>
    <x v="6"/>
    <x v="0"/>
    <x v="16"/>
    <x v="1"/>
    <x v="10"/>
    <x v="3"/>
    <x v="8"/>
    <x v="4"/>
    <x v="16"/>
    <x v="1"/>
  </r>
  <r>
    <x v="2"/>
    <x v="1"/>
    <x v="3"/>
    <x v="0"/>
    <x v="1"/>
    <x v="1"/>
    <x v="0"/>
    <x v="1"/>
    <x v="0"/>
    <x v="15"/>
    <x v="0"/>
    <x v="8"/>
    <x v="1"/>
    <x v="1"/>
    <x v="1"/>
  </r>
  <r>
    <x v="7"/>
    <x v="1"/>
    <x v="4"/>
    <x v="2"/>
    <x v="1"/>
    <x v="4"/>
    <x v="0"/>
    <x v="10"/>
    <x v="0"/>
    <x v="0"/>
    <x v="1"/>
    <x v="8"/>
    <x v="2"/>
    <x v="10"/>
    <x v="1"/>
  </r>
  <r>
    <x v="11"/>
    <x v="0"/>
    <x v="5"/>
    <x v="2"/>
    <x v="1"/>
    <x v="3"/>
    <x v="0"/>
    <x v="5"/>
    <x v="1"/>
    <x v="2"/>
    <x v="0"/>
    <x v="8"/>
    <x v="1"/>
    <x v="5"/>
    <x v="1"/>
  </r>
  <r>
    <x v="6"/>
    <x v="0"/>
    <x v="5"/>
    <x v="2"/>
    <x v="1"/>
    <x v="3"/>
    <x v="0"/>
    <x v="5"/>
    <x v="1"/>
    <x v="6"/>
    <x v="0"/>
    <x v="8"/>
    <x v="1"/>
    <x v="5"/>
    <x v="1"/>
  </r>
  <r>
    <x v="6"/>
    <x v="0"/>
    <x v="6"/>
    <x v="2"/>
    <x v="1"/>
    <x v="0"/>
    <x v="0"/>
    <x v="0"/>
    <x v="1"/>
    <x v="5"/>
    <x v="0"/>
    <x v="1"/>
    <x v="0"/>
    <x v="0"/>
    <x v="1"/>
  </r>
  <r>
    <x v="0"/>
    <x v="1"/>
    <x v="7"/>
    <x v="2"/>
    <x v="1"/>
    <x v="3"/>
    <x v="0"/>
    <x v="7"/>
    <x v="0"/>
    <x v="4"/>
    <x v="2"/>
    <x v="2"/>
    <x v="1"/>
    <x v="7"/>
    <x v="1"/>
  </r>
  <r>
    <x v="7"/>
    <x v="1"/>
    <x v="7"/>
    <x v="0"/>
    <x v="1"/>
    <x v="0"/>
    <x v="0"/>
    <x v="0"/>
    <x v="0"/>
    <x v="15"/>
    <x v="0"/>
    <x v="1"/>
    <x v="0"/>
    <x v="0"/>
    <x v="1"/>
  </r>
  <r>
    <x v="7"/>
    <x v="1"/>
    <x v="8"/>
    <x v="2"/>
    <x v="1"/>
    <x v="3"/>
    <x v="0"/>
    <x v="8"/>
    <x v="0"/>
    <x v="5"/>
    <x v="0"/>
    <x v="8"/>
    <x v="1"/>
    <x v="8"/>
    <x v="1"/>
  </r>
  <r>
    <x v="6"/>
    <x v="0"/>
    <x v="8"/>
    <x v="1"/>
    <x v="1"/>
    <x v="0"/>
    <x v="0"/>
    <x v="0"/>
    <x v="1"/>
    <x v="5"/>
    <x v="0"/>
    <x v="1"/>
    <x v="0"/>
    <x v="0"/>
    <x v="1"/>
  </r>
  <r>
    <x v="9"/>
    <x v="0"/>
    <x v="9"/>
    <x v="2"/>
    <x v="1"/>
    <x v="5"/>
    <x v="0"/>
    <x v="17"/>
    <x v="1"/>
    <x v="9"/>
    <x v="3"/>
    <x v="1"/>
    <x v="3"/>
    <x v="17"/>
    <x v="1"/>
  </r>
  <r>
    <x v="6"/>
    <x v="0"/>
    <x v="10"/>
    <x v="2"/>
    <x v="1"/>
    <x v="3"/>
    <x v="0"/>
    <x v="9"/>
    <x v="1"/>
    <x v="9"/>
    <x v="0"/>
    <x v="8"/>
    <x v="1"/>
    <x v="9"/>
    <x v="1"/>
  </r>
  <r>
    <x v="6"/>
    <x v="0"/>
    <x v="10"/>
    <x v="2"/>
    <x v="1"/>
    <x v="3"/>
    <x v="0"/>
    <x v="9"/>
    <x v="1"/>
    <x v="9"/>
    <x v="0"/>
    <x v="8"/>
    <x v="1"/>
    <x v="9"/>
    <x v="1"/>
  </r>
  <r>
    <x v="0"/>
    <x v="0"/>
    <x v="11"/>
    <x v="2"/>
    <x v="0"/>
    <x v="3"/>
    <x v="0"/>
    <x v="11"/>
    <x v="1"/>
    <x v="15"/>
    <x v="0"/>
    <x v="8"/>
    <x v="1"/>
    <x v="11"/>
    <x v="1"/>
  </r>
  <r>
    <x v="0"/>
    <x v="0"/>
    <x v="12"/>
    <x v="0"/>
    <x v="0"/>
    <x v="1"/>
    <x v="0"/>
    <x v="6"/>
    <x v="1"/>
    <x v="8"/>
    <x v="0"/>
    <x v="8"/>
    <x v="1"/>
    <x v="6"/>
    <x v="1"/>
  </r>
  <r>
    <x v="5"/>
    <x v="0"/>
    <x v="13"/>
    <x v="2"/>
    <x v="1"/>
    <x v="0"/>
    <x v="0"/>
    <x v="0"/>
    <x v="1"/>
    <x v="11"/>
    <x v="0"/>
    <x v="1"/>
    <x v="0"/>
    <x v="0"/>
    <x v="1"/>
  </r>
  <r>
    <x v="13"/>
    <x v="0"/>
    <x v="13"/>
    <x v="2"/>
    <x v="1"/>
    <x v="3"/>
    <x v="0"/>
    <x v="12"/>
    <x v="1"/>
    <x v="11"/>
    <x v="0"/>
    <x v="8"/>
    <x v="1"/>
    <x v="12"/>
    <x v="1"/>
  </r>
  <r>
    <x v="6"/>
    <x v="1"/>
    <x v="13"/>
    <x v="2"/>
    <x v="1"/>
    <x v="3"/>
    <x v="0"/>
    <x v="12"/>
    <x v="0"/>
    <x v="14"/>
    <x v="0"/>
    <x v="8"/>
    <x v="1"/>
    <x v="12"/>
    <x v="1"/>
  </r>
  <r>
    <x v="8"/>
    <x v="1"/>
    <x v="13"/>
    <x v="2"/>
    <x v="1"/>
    <x v="3"/>
    <x v="0"/>
    <x v="12"/>
    <x v="0"/>
    <x v="14"/>
    <x v="0"/>
    <x v="8"/>
    <x v="1"/>
    <x v="12"/>
    <x v="1"/>
  </r>
  <r>
    <x v="7"/>
    <x v="1"/>
    <x v="14"/>
    <x v="2"/>
    <x v="1"/>
    <x v="0"/>
    <x v="0"/>
    <x v="0"/>
    <x v="0"/>
    <x v="7"/>
    <x v="0"/>
    <x v="1"/>
    <x v="0"/>
    <x v="0"/>
    <x v="1"/>
  </r>
  <r>
    <x v="7"/>
    <x v="1"/>
    <x v="14"/>
    <x v="2"/>
    <x v="1"/>
    <x v="5"/>
    <x v="0"/>
    <x v="18"/>
    <x v="0"/>
    <x v="7"/>
    <x v="3"/>
    <x v="1"/>
    <x v="3"/>
    <x v="18"/>
    <x v="1"/>
  </r>
  <r>
    <x v="14"/>
    <x v="1"/>
    <x v="14"/>
    <x v="2"/>
    <x v="1"/>
    <x v="8"/>
    <x v="0"/>
    <x v="21"/>
    <x v="0"/>
    <x v="14"/>
    <x v="7"/>
    <x v="8"/>
    <x v="6"/>
    <x v="21"/>
    <x v="1"/>
  </r>
  <r>
    <x v="14"/>
    <x v="1"/>
    <x v="14"/>
    <x v="2"/>
    <x v="1"/>
    <x v="8"/>
    <x v="0"/>
    <x v="21"/>
    <x v="0"/>
    <x v="14"/>
    <x v="7"/>
    <x v="8"/>
    <x v="6"/>
    <x v="21"/>
    <x v="1"/>
  </r>
  <r>
    <x v="1"/>
    <x v="1"/>
    <x v="15"/>
    <x v="2"/>
    <x v="1"/>
    <x v="0"/>
    <x v="0"/>
    <x v="0"/>
    <x v="0"/>
    <x v="7"/>
    <x v="0"/>
    <x v="1"/>
    <x v="0"/>
    <x v="0"/>
    <x v="1"/>
  </r>
  <r>
    <x v="3"/>
    <x v="0"/>
    <x v="15"/>
    <x v="2"/>
    <x v="1"/>
    <x v="0"/>
    <x v="0"/>
    <x v="0"/>
    <x v="1"/>
    <x v="7"/>
    <x v="2"/>
    <x v="3"/>
    <x v="0"/>
    <x v="0"/>
    <x v="1"/>
  </r>
  <r>
    <x v="4"/>
    <x v="0"/>
    <x v="15"/>
    <x v="0"/>
    <x v="1"/>
    <x v="0"/>
    <x v="0"/>
    <x v="0"/>
    <x v="1"/>
    <x v="7"/>
    <x v="0"/>
    <x v="1"/>
    <x v="0"/>
    <x v="0"/>
    <x v="1"/>
  </r>
  <r>
    <x v="8"/>
    <x v="0"/>
    <x v="15"/>
    <x v="2"/>
    <x v="0"/>
    <x v="0"/>
    <x v="0"/>
    <x v="0"/>
    <x v="1"/>
    <x v="11"/>
    <x v="0"/>
    <x v="1"/>
    <x v="0"/>
    <x v="0"/>
    <x v="1"/>
  </r>
  <r>
    <x v="8"/>
    <x v="1"/>
    <x v="15"/>
    <x v="2"/>
    <x v="1"/>
    <x v="0"/>
    <x v="0"/>
    <x v="0"/>
    <x v="0"/>
    <x v="11"/>
    <x v="0"/>
    <x v="1"/>
    <x v="0"/>
    <x v="0"/>
    <x v="1"/>
  </r>
  <r>
    <x v="5"/>
    <x v="1"/>
    <x v="15"/>
    <x v="2"/>
    <x v="1"/>
    <x v="3"/>
    <x v="0"/>
    <x v="13"/>
    <x v="0"/>
    <x v="13"/>
    <x v="1"/>
    <x v="1"/>
    <x v="1"/>
    <x v="13"/>
    <x v="1"/>
  </r>
  <r>
    <x v="14"/>
    <x v="1"/>
    <x v="15"/>
    <x v="2"/>
    <x v="1"/>
    <x v="0"/>
    <x v="0"/>
    <x v="0"/>
    <x v="0"/>
    <x v="14"/>
    <x v="5"/>
    <x v="6"/>
    <x v="0"/>
    <x v="0"/>
    <x v="1"/>
  </r>
  <r>
    <x v="14"/>
    <x v="1"/>
    <x v="15"/>
    <x v="2"/>
    <x v="1"/>
    <x v="7"/>
    <x v="0"/>
    <x v="20"/>
    <x v="0"/>
    <x v="14"/>
    <x v="6"/>
    <x v="8"/>
    <x v="5"/>
    <x v="20"/>
    <x v="1"/>
  </r>
  <r>
    <x v="13"/>
    <x v="1"/>
    <x v="16"/>
    <x v="2"/>
    <x v="1"/>
    <x v="3"/>
    <x v="0"/>
    <x v="15"/>
    <x v="0"/>
    <x v="5"/>
    <x v="0"/>
    <x v="8"/>
    <x v="1"/>
    <x v="15"/>
    <x v="1"/>
  </r>
  <r>
    <x v="8"/>
    <x v="0"/>
    <x v="17"/>
    <x v="2"/>
    <x v="1"/>
    <x v="0"/>
    <x v="0"/>
    <x v="0"/>
    <x v="1"/>
    <x v="11"/>
    <x v="0"/>
    <x v="1"/>
    <x v="0"/>
    <x v="0"/>
    <x v="1"/>
  </r>
  <r>
    <x v="13"/>
    <x v="0"/>
    <x v="17"/>
    <x v="2"/>
    <x v="0"/>
    <x v="0"/>
    <x v="0"/>
    <x v="0"/>
    <x v="1"/>
    <x v="11"/>
    <x v="3"/>
    <x v="4"/>
    <x v="0"/>
    <x v="0"/>
    <x v="1"/>
  </r>
  <r>
    <x v="8"/>
    <x v="1"/>
    <x v="17"/>
    <x v="2"/>
    <x v="1"/>
    <x v="0"/>
    <x v="0"/>
    <x v="0"/>
    <x v="0"/>
    <x v="12"/>
    <x v="0"/>
    <x v="1"/>
    <x v="0"/>
    <x v="0"/>
    <x v="1"/>
  </r>
  <r>
    <x v="12"/>
    <x v="1"/>
    <x v="17"/>
    <x v="2"/>
    <x v="1"/>
    <x v="0"/>
    <x v="0"/>
    <x v="0"/>
    <x v="0"/>
    <x v="13"/>
    <x v="1"/>
    <x v="2"/>
    <x v="0"/>
    <x v="0"/>
    <x v="1"/>
  </r>
  <r>
    <x v="3"/>
    <x v="1"/>
    <x v="17"/>
    <x v="2"/>
    <x v="1"/>
    <x v="0"/>
    <x v="0"/>
    <x v="0"/>
    <x v="0"/>
    <x v="13"/>
    <x v="3"/>
    <x v="4"/>
    <x v="0"/>
    <x v="0"/>
    <x v="1"/>
  </r>
  <r>
    <x v="7"/>
    <x v="1"/>
    <x v="17"/>
    <x v="2"/>
    <x v="1"/>
    <x v="0"/>
    <x v="0"/>
    <x v="0"/>
    <x v="0"/>
    <x v="13"/>
    <x v="3"/>
    <x v="4"/>
    <x v="0"/>
    <x v="0"/>
    <x v="1"/>
  </r>
  <r>
    <x v="6"/>
    <x v="1"/>
    <x v="17"/>
    <x v="2"/>
    <x v="1"/>
    <x v="0"/>
    <x v="0"/>
    <x v="0"/>
    <x v="0"/>
    <x v="14"/>
    <x v="0"/>
    <x v="1"/>
    <x v="0"/>
    <x v="0"/>
    <x v="1"/>
  </r>
  <r>
    <x v="7"/>
    <x v="1"/>
    <x v="17"/>
    <x v="2"/>
    <x v="1"/>
    <x v="0"/>
    <x v="0"/>
    <x v="0"/>
    <x v="0"/>
    <x v="14"/>
    <x v="1"/>
    <x v="2"/>
    <x v="0"/>
    <x v="0"/>
    <x v="1"/>
  </r>
  <r>
    <x v="8"/>
    <x v="1"/>
    <x v="17"/>
    <x v="2"/>
    <x v="1"/>
    <x v="0"/>
    <x v="0"/>
    <x v="0"/>
    <x v="0"/>
    <x v="14"/>
    <x v="1"/>
    <x v="2"/>
    <x v="0"/>
    <x v="0"/>
    <x v="1"/>
  </r>
  <r>
    <x v="10"/>
    <x v="1"/>
    <x v="17"/>
    <x v="2"/>
    <x v="1"/>
    <x v="0"/>
    <x v="0"/>
    <x v="0"/>
    <x v="0"/>
    <x v="14"/>
    <x v="1"/>
    <x v="2"/>
    <x v="0"/>
    <x v="0"/>
    <x v="1"/>
  </r>
  <r>
    <x v="5"/>
    <x v="1"/>
    <x v="17"/>
    <x v="2"/>
    <x v="1"/>
    <x v="0"/>
    <x v="0"/>
    <x v="0"/>
    <x v="0"/>
    <x v="14"/>
    <x v="3"/>
    <x v="4"/>
    <x v="0"/>
    <x v="0"/>
    <x v="1"/>
  </r>
  <r>
    <x v="9"/>
    <x v="1"/>
    <x v="17"/>
    <x v="2"/>
    <x v="1"/>
    <x v="0"/>
    <x v="0"/>
    <x v="0"/>
    <x v="0"/>
    <x v="14"/>
    <x v="3"/>
    <x v="4"/>
    <x v="0"/>
    <x v="0"/>
    <x v="1"/>
  </r>
  <r>
    <x v="11"/>
    <x v="1"/>
    <x v="17"/>
    <x v="2"/>
    <x v="1"/>
    <x v="0"/>
    <x v="0"/>
    <x v="0"/>
    <x v="0"/>
    <x v="14"/>
    <x v="3"/>
    <x v="4"/>
    <x v="0"/>
    <x v="0"/>
    <x v="1"/>
  </r>
  <r>
    <x v="14"/>
    <x v="1"/>
    <x v="17"/>
    <x v="2"/>
    <x v="1"/>
    <x v="0"/>
    <x v="0"/>
    <x v="0"/>
    <x v="0"/>
    <x v="14"/>
    <x v="6"/>
    <x v="7"/>
    <x v="0"/>
    <x v="0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01">
  <r>
    <x v="3"/>
    <x v="0"/>
    <x v="0"/>
    <x v="4"/>
    <x v="3"/>
    <x v="0"/>
    <x v="0"/>
    <x v="0"/>
    <x v="4"/>
    <x v="45"/>
    <x v="1"/>
    <x v="0"/>
    <x v="0"/>
    <x v="0"/>
  </r>
  <r>
    <x v="15"/>
    <x v="0"/>
    <x v="1"/>
    <x v="4"/>
    <x v="1"/>
    <x v="4"/>
    <x v="0"/>
    <x v="1"/>
    <x v="2"/>
    <x v="67"/>
    <x v="1"/>
    <x v="5"/>
    <x v="1"/>
    <x v="1"/>
  </r>
  <r>
    <x v="14"/>
    <x v="0"/>
    <x v="2"/>
    <x v="4"/>
    <x v="1"/>
    <x v="0"/>
    <x v="0"/>
    <x v="0"/>
    <x v="2"/>
    <x v="67"/>
    <x v="1"/>
    <x v="0"/>
    <x v="0"/>
    <x v="0"/>
  </r>
  <r>
    <x v="3"/>
    <x v="0"/>
    <x v="2"/>
    <x v="7"/>
    <x v="3"/>
    <x v="0"/>
    <x v="0"/>
    <x v="0"/>
    <x v="4"/>
    <x v="55"/>
    <x v="1"/>
    <x v="0"/>
    <x v="0"/>
    <x v="0"/>
  </r>
  <r>
    <x v="4"/>
    <x v="0"/>
    <x v="2"/>
    <x v="7"/>
    <x v="3"/>
    <x v="6"/>
    <x v="0"/>
    <x v="21"/>
    <x v="4"/>
    <x v="67"/>
    <x v="1"/>
    <x v="5"/>
    <x v="1"/>
    <x v="36"/>
  </r>
  <r>
    <x v="4"/>
    <x v="0"/>
    <x v="2"/>
    <x v="4"/>
    <x v="3"/>
    <x v="4"/>
    <x v="0"/>
    <x v="4"/>
    <x v="4"/>
    <x v="4"/>
    <x v="1"/>
    <x v="5"/>
    <x v="1"/>
    <x v="7"/>
  </r>
  <r>
    <x v="2"/>
    <x v="1"/>
    <x v="2"/>
    <x v="4"/>
    <x v="4"/>
    <x v="7"/>
    <x v="0"/>
    <x v="39"/>
    <x v="10"/>
    <x v="6"/>
    <x v="3"/>
    <x v="5"/>
    <x v="3"/>
    <x v="51"/>
  </r>
  <r>
    <x v="0"/>
    <x v="2"/>
    <x v="2"/>
    <x v="4"/>
    <x v="6"/>
    <x v="4"/>
    <x v="0"/>
    <x v="4"/>
    <x v="13"/>
    <x v="5"/>
    <x v="1"/>
    <x v="5"/>
    <x v="1"/>
    <x v="3"/>
  </r>
  <r>
    <x v="4"/>
    <x v="0"/>
    <x v="3"/>
    <x v="4"/>
    <x v="3"/>
    <x v="6"/>
    <x v="0"/>
    <x v="22"/>
    <x v="4"/>
    <x v="41"/>
    <x v="2"/>
    <x v="5"/>
    <x v="2"/>
    <x v="38"/>
  </r>
  <r>
    <x v="8"/>
    <x v="0"/>
    <x v="4"/>
    <x v="4"/>
    <x v="3"/>
    <x v="0"/>
    <x v="0"/>
    <x v="0"/>
    <x v="4"/>
    <x v="67"/>
    <x v="0"/>
    <x v="5"/>
    <x v="0"/>
    <x v="0"/>
  </r>
  <r>
    <x v="2"/>
    <x v="1"/>
    <x v="4"/>
    <x v="6"/>
    <x v="4"/>
    <x v="5"/>
    <x v="0"/>
    <x v="14"/>
    <x v="10"/>
    <x v="24"/>
    <x v="1"/>
    <x v="5"/>
    <x v="1"/>
    <x v="18"/>
  </r>
  <r>
    <x v="2"/>
    <x v="1"/>
    <x v="4"/>
    <x v="4"/>
    <x v="4"/>
    <x v="6"/>
    <x v="0"/>
    <x v="26"/>
    <x v="10"/>
    <x v="19"/>
    <x v="2"/>
    <x v="5"/>
    <x v="2"/>
    <x v="32"/>
  </r>
  <r>
    <x v="2"/>
    <x v="1"/>
    <x v="4"/>
    <x v="4"/>
    <x v="4"/>
    <x v="6"/>
    <x v="0"/>
    <x v="26"/>
    <x v="10"/>
    <x v="32"/>
    <x v="2"/>
    <x v="5"/>
    <x v="2"/>
    <x v="32"/>
  </r>
  <r>
    <x v="14"/>
    <x v="0"/>
    <x v="5"/>
    <x v="4"/>
    <x v="1"/>
    <x v="0"/>
    <x v="0"/>
    <x v="0"/>
    <x v="2"/>
    <x v="44"/>
    <x v="1"/>
    <x v="0"/>
    <x v="0"/>
    <x v="0"/>
  </r>
  <r>
    <x v="2"/>
    <x v="1"/>
    <x v="5"/>
    <x v="4"/>
    <x v="4"/>
    <x v="6"/>
    <x v="0"/>
    <x v="28"/>
    <x v="10"/>
    <x v="32"/>
    <x v="2"/>
    <x v="5"/>
    <x v="2"/>
    <x v="37"/>
  </r>
  <r>
    <x v="13"/>
    <x v="2"/>
    <x v="6"/>
    <x v="4"/>
    <x v="2"/>
    <x v="0"/>
    <x v="0"/>
    <x v="0"/>
    <x v="0"/>
    <x v="59"/>
    <x v="1"/>
    <x v="0"/>
    <x v="0"/>
    <x v="0"/>
  </r>
  <r>
    <x v="3"/>
    <x v="0"/>
    <x v="6"/>
    <x v="4"/>
    <x v="3"/>
    <x v="0"/>
    <x v="0"/>
    <x v="0"/>
    <x v="4"/>
    <x v="60"/>
    <x v="2"/>
    <x v="1"/>
    <x v="0"/>
    <x v="0"/>
  </r>
  <r>
    <x v="6"/>
    <x v="1"/>
    <x v="6"/>
    <x v="4"/>
    <x v="4"/>
    <x v="0"/>
    <x v="0"/>
    <x v="0"/>
    <x v="10"/>
    <x v="11"/>
    <x v="1"/>
    <x v="0"/>
    <x v="0"/>
    <x v="0"/>
  </r>
  <r>
    <x v="11"/>
    <x v="0"/>
    <x v="6"/>
    <x v="4"/>
    <x v="10"/>
    <x v="4"/>
    <x v="2"/>
    <x v="6"/>
    <x v="9"/>
    <x v="43"/>
    <x v="1"/>
    <x v="5"/>
    <x v="1"/>
    <x v="11"/>
  </r>
  <r>
    <x v="10"/>
    <x v="0"/>
    <x v="7"/>
    <x v="4"/>
    <x v="8"/>
    <x v="4"/>
    <x v="2"/>
    <x v="7"/>
    <x v="7"/>
    <x v="43"/>
    <x v="1"/>
    <x v="5"/>
    <x v="1"/>
    <x v="12"/>
  </r>
  <r>
    <x v="16"/>
    <x v="0"/>
    <x v="8"/>
    <x v="4"/>
    <x v="0"/>
    <x v="4"/>
    <x v="0"/>
    <x v="8"/>
    <x v="3"/>
    <x v="65"/>
    <x v="4"/>
    <x v="2"/>
    <x v="1"/>
    <x v="14"/>
  </r>
  <r>
    <x v="9"/>
    <x v="0"/>
    <x v="8"/>
    <x v="4"/>
    <x v="1"/>
    <x v="0"/>
    <x v="0"/>
    <x v="0"/>
    <x v="2"/>
    <x v="37"/>
    <x v="1"/>
    <x v="0"/>
    <x v="0"/>
    <x v="0"/>
  </r>
  <r>
    <x v="12"/>
    <x v="2"/>
    <x v="8"/>
    <x v="4"/>
    <x v="2"/>
    <x v="6"/>
    <x v="0"/>
    <x v="33"/>
    <x v="0"/>
    <x v="58"/>
    <x v="2"/>
    <x v="5"/>
    <x v="2"/>
    <x v="35"/>
  </r>
  <r>
    <x v="15"/>
    <x v="2"/>
    <x v="8"/>
    <x v="4"/>
    <x v="2"/>
    <x v="6"/>
    <x v="0"/>
    <x v="33"/>
    <x v="0"/>
    <x v="59"/>
    <x v="2"/>
    <x v="5"/>
    <x v="2"/>
    <x v="35"/>
  </r>
  <r>
    <x v="4"/>
    <x v="0"/>
    <x v="8"/>
    <x v="4"/>
    <x v="3"/>
    <x v="7"/>
    <x v="0"/>
    <x v="49"/>
    <x v="4"/>
    <x v="29"/>
    <x v="3"/>
    <x v="5"/>
    <x v="3"/>
    <x v="71"/>
  </r>
  <r>
    <x v="4"/>
    <x v="0"/>
    <x v="8"/>
    <x v="4"/>
    <x v="3"/>
    <x v="7"/>
    <x v="0"/>
    <x v="49"/>
    <x v="4"/>
    <x v="20"/>
    <x v="3"/>
    <x v="5"/>
    <x v="3"/>
    <x v="71"/>
  </r>
  <r>
    <x v="2"/>
    <x v="1"/>
    <x v="8"/>
    <x v="6"/>
    <x v="4"/>
    <x v="5"/>
    <x v="0"/>
    <x v="21"/>
    <x v="10"/>
    <x v="22"/>
    <x v="1"/>
    <x v="5"/>
    <x v="1"/>
    <x v="28"/>
  </r>
  <r>
    <x v="2"/>
    <x v="1"/>
    <x v="8"/>
    <x v="6"/>
    <x v="4"/>
    <x v="5"/>
    <x v="0"/>
    <x v="21"/>
    <x v="10"/>
    <x v="35"/>
    <x v="1"/>
    <x v="5"/>
    <x v="1"/>
    <x v="28"/>
  </r>
  <r>
    <x v="2"/>
    <x v="1"/>
    <x v="8"/>
    <x v="4"/>
    <x v="4"/>
    <x v="4"/>
    <x v="0"/>
    <x v="8"/>
    <x v="10"/>
    <x v="27"/>
    <x v="1"/>
    <x v="5"/>
    <x v="1"/>
    <x v="8"/>
  </r>
  <r>
    <x v="6"/>
    <x v="1"/>
    <x v="8"/>
    <x v="6"/>
    <x v="4"/>
    <x v="5"/>
    <x v="0"/>
    <x v="21"/>
    <x v="10"/>
    <x v="49"/>
    <x v="1"/>
    <x v="5"/>
    <x v="1"/>
    <x v="28"/>
  </r>
  <r>
    <x v="4"/>
    <x v="2"/>
    <x v="8"/>
    <x v="4"/>
    <x v="7"/>
    <x v="11"/>
    <x v="0"/>
    <x v="69"/>
    <x v="1"/>
    <x v="62"/>
    <x v="6"/>
    <x v="0"/>
    <x v="5"/>
    <x v="82"/>
  </r>
  <r>
    <x v="10"/>
    <x v="0"/>
    <x v="8"/>
    <x v="4"/>
    <x v="8"/>
    <x v="6"/>
    <x v="2"/>
    <x v="33"/>
    <x v="7"/>
    <x v="43"/>
    <x v="2"/>
    <x v="5"/>
    <x v="2"/>
    <x v="52"/>
  </r>
  <r>
    <x v="10"/>
    <x v="0"/>
    <x v="8"/>
    <x v="0"/>
    <x v="9"/>
    <x v="1"/>
    <x v="2"/>
    <x v="1"/>
    <x v="7"/>
    <x v="43"/>
    <x v="1"/>
    <x v="5"/>
    <x v="1"/>
    <x v="1"/>
  </r>
  <r>
    <x v="11"/>
    <x v="0"/>
    <x v="8"/>
    <x v="4"/>
    <x v="10"/>
    <x v="0"/>
    <x v="2"/>
    <x v="0"/>
    <x v="9"/>
    <x v="43"/>
    <x v="2"/>
    <x v="1"/>
    <x v="0"/>
    <x v="0"/>
  </r>
  <r>
    <x v="14"/>
    <x v="0"/>
    <x v="8"/>
    <x v="4"/>
    <x v="1"/>
    <x v="4"/>
    <x v="0"/>
    <x v="8"/>
    <x v="2"/>
    <x v="37"/>
    <x v="1"/>
    <x v="5"/>
    <x v="1"/>
    <x v="14"/>
  </r>
  <r>
    <x v="3"/>
    <x v="0"/>
    <x v="9"/>
    <x v="6"/>
    <x v="0"/>
    <x v="5"/>
    <x v="0"/>
    <x v="23"/>
    <x v="3"/>
    <x v="54"/>
    <x v="1"/>
    <x v="5"/>
    <x v="1"/>
    <x v="40"/>
  </r>
  <r>
    <x v="14"/>
    <x v="0"/>
    <x v="9"/>
    <x v="4"/>
    <x v="1"/>
    <x v="6"/>
    <x v="0"/>
    <x v="35"/>
    <x v="2"/>
    <x v="43"/>
    <x v="2"/>
    <x v="5"/>
    <x v="2"/>
    <x v="55"/>
  </r>
  <r>
    <x v="4"/>
    <x v="0"/>
    <x v="9"/>
    <x v="6"/>
    <x v="3"/>
    <x v="5"/>
    <x v="0"/>
    <x v="23"/>
    <x v="4"/>
    <x v="67"/>
    <x v="1"/>
    <x v="5"/>
    <x v="1"/>
    <x v="40"/>
  </r>
  <r>
    <x v="17"/>
    <x v="0"/>
    <x v="10"/>
    <x v="4"/>
    <x v="10"/>
    <x v="6"/>
    <x v="2"/>
    <x v="37"/>
    <x v="9"/>
    <x v="43"/>
    <x v="2"/>
    <x v="5"/>
    <x v="2"/>
    <x v="56"/>
  </r>
  <r>
    <x v="16"/>
    <x v="0"/>
    <x v="11"/>
    <x v="4"/>
    <x v="0"/>
    <x v="4"/>
    <x v="0"/>
    <x v="11"/>
    <x v="3"/>
    <x v="33"/>
    <x v="1"/>
    <x v="5"/>
    <x v="1"/>
    <x v="19"/>
  </r>
  <r>
    <x v="14"/>
    <x v="0"/>
    <x v="11"/>
    <x v="4"/>
    <x v="1"/>
    <x v="4"/>
    <x v="0"/>
    <x v="11"/>
    <x v="2"/>
    <x v="43"/>
    <x v="2"/>
    <x v="0"/>
    <x v="1"/>
    <x v="19"/>
  </r>
  <r>
    <x v="9"/>
    <x v="0"/>
    <x v="11"/>
    <x v="4"/>
    <x v="1"/>
    <x v="4"/>
    <x v="0"/>
    <x v="11"/>
    <x v="2"/>
    <x v="37"/>
    <x v="1"/>
    <x v="5"/>
    <x v="1"/>
    <x v="19"/>
  </r>
  <r>
    <x v="4"/>
    <x v="0"/>
    <x v="11"/>
    <x v="7"/>
    <x v="3"/>
    <x v="0"/>
    <x v="0"/>
    <x v="0"/>
    <x v="4"/>
    <x v="67"/>
    <x v="1"/>
    <x v="0"/>
    <x v="0"/>
    <x v="0"/>
  </r>
  <r>
    <x v="2"/>
    <x v="1"/>
    <x v="11"/>
    <x v="6"/>
    <x v="4"/>
    <x v="7"/>
    <x v="0"/>
    <x v="52"/>
    <x v="10"/>
    <x v="22"/>
    <x v="2"/>
    <x v="5"/>
    <x v="2"/>
    <x v="68"/>
  </r>
  <r>
    <x v="6"/>
    <x v="1"/>
    <x v="11"/>
    <x v="6"/>
    <x v="4"/>
    <x v="5"/>
    <x v="0"/>
    <x v="25"/>
    <x v="10"/>
    <x v="50"/>
    <x v="1"/>
    <x v="5"/>
    <x v="1"/>
    <x v="31"/>
  </r>
  <r>
    <x v="0"/>
    <x v="2"/>
    <x v="12"/>
    <x v="2"/>
    <x v="6"/>
    <x v="2"/>
    <x v="0"/>
    <x v="5"/>
    <x v="13"/>
    <x v="67"/>
    <x v="1"/>
    <x v="5"/>
    <x v="1"/>
    <x v="4"/>
  </r>
  <r>
    <x v="3"/>
    <x v="0"/>
    <x v="13"/>
    <x v="0"/>
    <x v="3"/>
    <x v="0"/>
    <x v="0"/>
    <x v="0"/>
    <x v="4"/>
    <x v="55"/>
    <x v="1"/>
    <x v="0"/>
    <x v="0"/>
    <x v="0"/>
  </r>
  <r>
    <x v="2"/>
    <x v="1"/>
    <x v="13"/>
    <x v="6"/>
    <x v="4"/>
    <x v="5"/>
    <x v="0"/>
    <x v="27"/>
    <x v="10"/>
    <x v="53"/>
    <x v="1"/>
    <x v="5"/>
    <x v="1"/>
    <x v="34"/>
  </r>
  <r>
    <x v="2"/>
    <x v="1"/>
    <x v="13"/>
    <x v="4"/>
    <x v="4"/>
    <x v="4"/>
    <x v="0"/>
    <x v="12"/>
    <x v="10"/>
    <x v="22"/>
    <x v="1"/>
    <x v="5"/>
    <x v="1"/>
    <x v="13"/>
  </r>
  <r>
    <x v="2"/>
    <x v="1"/>
    <x v="13"/>
    <x v="4"/>
    <x v="5"/>
    <x v="4"/>
    <x v="1"/>
    <x v="12"/>
    <x v="11"/>
    <x v="2"/>
    <x v="1"/>
    <x v="5"/>
    <x v="1"/>
    <x v="25"/>
  </r>
  <r>
    <x v="4"/>
    <x v="2"/>
    <x v="13"/>
    <x v="4"/>
    <x v="7"/>
    <x v="0"/>
    <x v="0"/>
    <x v="0"/>
    <x v="1"/>
    <x v="62"/>
    <x v="1"/>
    <x v="0"/>
    <x v="0"/>
    <x v="0"/>
  </r>
  <r>
    <x v="11"/>
    <x v="0"/>
    <x v="13"/>
    <x v="4"/>
    <x v="10"/>
    <x v="4"/>
    <x v="2"/>
    <x v="12"/>
    <x v="9"/>
    <x v="43"/>
    <x v="1"/>
    <x v="5"/>
    <x v="1"/>
    <x v="20"/>
  </r>
  <r>
    <x v="4"/>
    <x v="0"/>
    <x v="14"/>
    <x v="6"/>
    <x v="1"/>
    <x v="5"/>
    <x v="0"/>
    <x v="29"/>
    <x v="2"/>
    <x v="66"/>
    <x v="1"/>
    <x v="5"/>
    <x v="1"/>
    <x v="45"/>
  </r>
  <r>
    <x v="16"/>
    <x v="0"/>
    <x v="14"/>
    <x v="4"/>
    <x v="1"/>
    <x v="7"/>
    <x v="0"/>
    <x v="57"/>
    <x v="2"/>
    <x v="3"/>
    <x v="3"/>
    <x v="5"/>
    <x v="3"/>
    <x v="80"/>
  </r>
  <r>
    <x v="4"/>
    <x v="0"/>
    <x v="14"/>
    <x v="7"/>
    <x v="3"/>
    <x v="0"/>
    <x v="0"/>
    <x v="0"/>
    <x v="4"/>
    <x v="55"/>
    <x v="3"/>
    <x v="2"/>
    <x v="0"/>
    <x v="0"/>
  </r>
  <r>
    <x v="6"/>
    <x v="1"/>
    <x v="14"/>
    <x v="4"/>
    <x v="4"/>
    <x v="4"/>
    <x v="0"/>
    <x v="13"/>
    <x v="10"/>
    <x v="13"/>
    <x v="1"/>
    <x v="5"/>
    <x v="1"/>
    <x v="16"/>
  </r>
  <r>
    <x v="2"/>
    <x v="1"/>
    <x v="14"/>
    <x v="6"/>
    <x v="4"/>
    <x v="7"/>
    <x v="0"/>
    <x v="57"/>
    <x v="10"/>
    <x v="32"/>
    <x v="2"/>
    <x v="5"/>
    <x v="2"/>
    <x v="74"/>
  </r>
  <r>
    <x v="2"/>
    <x v="1"/>
    <x v="14"/>
    <x v="4"/>
    <x v="4"/>
    <x v="6"/>
    <x v="0"/>
    <x v="40"/>
    <x v="10"/>
    <x v="8"/>
    <x v="3"/>
    <x v="0"/>
    <x v="2"/>
    <x v="54"/>
  </r>
  <r>
    <x v="14"/>
    <x v="0"/>
    <x v="15"/>
    <x v="4"/>
    <x v="3"/>
    <x v="0"/>
    <x v="0"/>
    <x v="0"/>
    <x v="4"/>
    <x v="44"/>
    <x v="1"/>
    <x v="0"/>
    <x v="0"/>
    <x v="0"/>
  </r>
  <r>
    <x v="14"/>
    <x v="0"/>
    <x v="15"/>
    <x v="4"/>
    <x v="1"/>
    <x v="0"/>
    <x v="0"/>
    <x v="0"/>
    <x v="2"/>
    <x v="44"/>
    <x v="1"/>
    <x v="0"/>
    <x v="0"/>
    <x v="0"/>
  </r>
  <r>
    <x v="14"/>
    <x v="0"/>
    <x v="15"/>
    <x v="0"/>
    <x v="1"/>
    <x v="1"/>
    <x v="0"/>
    <x v="2"/>
    <x v="2"/>
    <x v="44"/>
    <x v="1"/>
    <x v="5"/>
    <x v="1"/>
    <x v="5"/>
  </r>
  <r>
    <x v="9"/>
    <x v="0"/>
    <x v="15"/>
    <x v="4"/>
    <x v="1"/>
    <x v="4"/>
    <x v="0"/>
    <x v="15"/>
    <x v="2"/>
    <x v="37"/>
    <x v="1"/>
    <x v="5"/>
    <x v="1"/>
    <x v="23"/>
  </r>
  <r>
    <x v="12"/>
    <x v="2"/>
    <x v="15"/>
    <x v="6"/>
    <x v="2"/>
    <x v="10"/>
    <x v="0"/>
    <x v="71"/>
    <x v="0"/>
    <x v="58"/>
    <x v="3"/>
    <x v="5"/>
    <x v="3"/>
    <x v="87"/>
  </r>
  <r>
    <x v="15"/>
    <x v="2"/>
    <x v="15"/>
    <x v="7"/>
    <x v="2"/>
    <x v="8"/>
    <x v="0"/>
    <x v="69"/>
    <x v="14"/>
    <x v="35"/>
    <x v="2"/>
    <x v="5"/>
    <x v="2"/>
    <x v="82"/>
  </r>
  <r>
    <x v="15"/>
    <x v="2"/>
    <x v="15"/>
    <x v="4"/>
    <x v="2"/>
    <x v="4"/>
    <x v="0"/>
    <x v="15"/>
    <x v="14"/>
    <x v="35"/>
    <x v="1"/>
    <x v="5"/>
    <x v="1"/>
    <x v="10"/>
  </r>
  <r>
    <x v="10"/>
    <x v="2"/>
    <x v="15"/>
    <x v="6"/>
    <x v="2"/>
    <x v="5"/>
    <x v="0"/>
    <x v="31"/>
    <x v="0"/>
    <x v="47"/>
    <x v="1"/>
    <x v="5"/>
    <x v="1"/>
    <x v="30"/>
  </r>
  <r>
    <x v="3"/>
    <x v="0"/>
    <x v="15"/>
    <x v="4"/>
    <x v="3"/>
    <x v="0"/>
    <x v="0"/>
    <x v="0"/>
    <x v="4"/>
    <x v="67"/>
    <x v="2"/>
    <x v="1"/>
    <x v="0"/>
    <x v="0"/>
  </r>
  <r>
    <x v="5"/>
    <x v="1"/>
    <x v="15"/>
    <x v="6"/>
    <x v="4"/>
    <x v="10"/>
    <x v="0"/>
    <x v="71"/>
    <x v="10"/>
    <x v="56"/>
    <x v="3"/>
    <x v="5"/>
    <x v="3"/>
    <x v="93"/>
  </r>
  <r>
    <x v="2"/>
    <x v="1"/>
    <x v="15"/>
    <x v="6"/>
    <x v="4"/>
    <x v="5"/>
    <x v="0"/>
    <x v="31"/>
    <x v="10"/>
    <x v="36"/>
    <x v="1"/>
    <x v="5"/>
    <x v="1"/>
    <x v="42"/>
  </r>
  <r>
    <x v="2"/>
    <x v="1"/>
    <x v="15"/>
    <x v="4"/>
    <x v="5"/>
    <x v="4"/>
    <x v="1"/>
    <x v="15"/>
    <x v="11"/>
    <x v="67"/>
    <x v="1"/>
    <x v="5"/>
    <x v="1"/>
    <x v="33"/>
  </r>
  <r>
    <x v="0"/>
    <x v="2"/>
    <x v="15"/>
    <x v="4"/>
    <x v="6"/>
    <x v="4"/>
    <x v="0"/>
    <x v="15"/>
    <x v="13"/>
    <x v="47"/>
    <x v="1"/>
    <x v="5"/>
    <x v="1"/>
    <x v="10"/>
  </r>
  <r>
    <x v="0"/>
    <x v="2"/>
    <x v="15"/>
    <x v="4"/>
    <x v="6"/>
    <x v="4"/>
    <x v="0"/>
    <x v="15"/>
    <x v="13"/>
    <x v="7"/>
    <x v="1"/>
    <x v="5"/>
    <x v="1"/>
    <x v="10"/>
  </r>
  <r>
    <x v="10"/>
    <x v="0"/>
    <x v="15"/>
    <x v="4"/>
    <x v="9"/>
    <x v="6"/>
    <x v="2"/>
    <x v="41"/>
    <x v="7"/>
    <x v="43"/>
    <x v="4"/>
    <x v="1"/>
    <x v="2"/>
    <x v="61"/>
  </r>
  <r>
    <x v="11"/>
    <x v="2"/>
    <x v="15"/>
    <x v="4"/>
    <x v="13"/>
    <x v="4"/>
    <x v="2"/>
    <x v="15"/>
    <x v="6"/>
    <x v="57"/>
    <x v="1"/>
    <x v="5"/>
    <x v="1"/>
    <x v="23"/>
  </r>
  <r>
    <x v="6"/>
    <x v="1"/>
    <x v="16"/>
    <x v="4"/>
    <x v="4"/>
    <x v="0"/>
    <x v="0"/>
    <x v="0"/>
    <x v="10"/>
    <x v="11"/>
    <x v="1"/>
    <x v="0"/>
    <x v="0"/>
    <x v="0"/>
  </r>
  <r>
    <x v="12"/>
    <x v="2"/>
    <x v="17"/>
    <x v="7"/>
    <x v="2"/>
    <x v="6"/>
    <x v="0"/>
    <x v="43"/>
    <x v="0"/>
    <x v="58"/>
    <x v="1"/>
    <x v="5"/>
    <x v="1"/>
    <x v="49"/>
  </r>
  <r>
    <x v="12"/>
    <x v="2"/>
    <x v="17"/>
    <x v="7"/>
    <x v="2"/>
    <x v="6"/>
    <x v="0"/>
    <x v="43"/>
    <x v="0"/>
    <x v="58"/>
    <x v="1"/>
    <x v="5"/>
    <x v="1"/>
    <x v="49"/>
  </r>
  <r>
    <x v="12"/>
    <x v="2"/>
    <x v="17"/>
    <x v="7"/>
    <x v="2"/>
    <x v="6"/>
    <x v="0"/>
    <x v="43"/>
    <x v="0"/>
    <x v="58"/>
    <x v="1"/>
    <x v="5"/>
    <x v="1"/>
    <x v="49"/>
  </r>
  <r>
    <x v="6"/>
    <x v="1"/>
    <x v="17"/>
    <x v="4"/>
    <x v="4"/>
    <x v="4"/>
    <x v="0"/>
    <x v="17"/>
    <x v="10"/>
    <x v="42"/>
    <x v="1"/>
    <x v="5"/>
    <x v="1"/>
    <x v="21"/>
  </r>
  <r>
    <x v="10"/>
    <x v="0"/>
    <x v="17"/>
    <x v="4"/>
    <x v="9"/>
    <x v="4"/>
    <x v="2"/>
    <x v="17"/>
    <x v="7"/>
    <x v="34"/>
    <x v="1"/>
    <x v="5"/>
    <x v="1"/>
    <x v="29"/>
  </r>
  <r>
    <x v="10"/>
    <x v="0"/>
    <x v="17"/>
    <x v="4"/>
    <x v="9"/>
    <x v="4"/>
    <x v="2"/>
    <x v="17"/>
    <x v="7"/>
    <x v="30"/>
    <x v="1"/>
    <x v="5"/>
    <x v="1"/>
    <x v="29"/>
  </r>
  <r>
    <x v="11"/>
    <x v="0"/>
    <x v="17"/>
    <x v="4"/>
    <x v="10"/>
    <x v="6"/>
    <x v="2"/>
    <x v="43"/>
    <x v="9"/>
    <x v="43"/>
    <x v="2"/>
    <x v="5"/>
    <x v="2"/>
    <x v="65"/>
  </r>
  <r>
    <x v="11"/>
    <x v="2"/>
    <x v="17"/>
    <x v="4"/>
    <x v="13"/>
    <x v="6"/>
    <x v="2"/>
    <x v="43"/>
    <x v="6"/>
    <x v="43"/>
    <x v="2"/>
    <x v="5"/>
    <x v="2"/>
    <x v="65"/>
  </r>
  <r>
    <x v="9"/>
    <x v="0"/>
    <x v="18"/>
    <x v="4"/>
    <x v="0"/>
    <x v="0"/>
    <x v="0"/>
    <x v="0"/>
    <x v="3"/>
    <x v="60"/>
    <x v="3"/>
    <x v="2"/>
    <x v="0"/>
    <x v="0"/>
  </r>
  <r>
    <x v="9"/>
    <x v="0"/>
    <x v="18"/>
    <x v="4"/>
    <x v="1"/>
    <x v="7"/>
    <x v="0"/>
    <x v="62"/>
    <x v="2"/>
    <x v="45"/>
    <x v="4"/>
    <x v="0"/>
    <x v="3"/>
    <x v="87"/>
  </r>
  <r>
    <x v="3"/>
    <x v="0"/>
    <x v="18"/>
    <x v="7"/>
    <x v="3"/>
    <x v="0"/>
    <x v="0"/>
    <x v="0"/>
    <x v="4"/>
    <x v="60"/>
    <x v="7"/>
    <x v="4"/>
    <x v="0"/>
    <x v="0"/>
  </r>
  <r>
    <x v="6"/>
    <x v="1"/>
    <x v="18"/>
    <x v="4"/>
    <x v="4"/>
    <x v="0"/>
    <x v="0"/>
    <x v="0"/>
    <x v="10"/>
    <x v="42"/>
    <x v="3"/>
    <x v="2"/>
    <x v="0"/>
    <x v="0"/>
  </r>
  <r>
    <x v="6"/>
    <x v="1"/>
    <x v="18"/>
    <x v="4"/>
    <x v="4"/>
    <x v="0"/>
    <x v="0"/>
    <x v="0"/>
    <x v="10"/>
    <x v="9"/>
    <x v="1"/>
    <x v="0"/>
    <x v="0"/>
    <x v="0"/>
  </r>
  <r>
    <x v="6"/>
    <x v="1"/>
    <x v="18"/>
    <x v="4"/>
    <x v="4"/>
    <x v="4"/>
    <x v="0"/>
    <x v="18"/>
    <x v="10"/>
    <x v="48"/>
    <x v="1"/>
    <x v="5"/>
    <x v="1"/>
    <x v="22"/>
  </r>
  <r>
    <x v="7"/>
    <x v="1"/>
    <x v="18"/>
    <x v="6"/>
    <x v="4"/>
    <x v="5"/>
    <x v="0"/>
    <x v="34"/>
    <x v="10"/>
    <x v="56"/>
    <x v="1"/>
    <x v="5"/>
    <x v="1"/>
    <x v="46"/>
  </r>
  <r>
    <x v="0"/>
    <x v="2"/>
    <x v="18"/>
    <x v="4"/>
    <x v="6"/>
    <x v="6"/>
    <x v="0"/>
    <x v="45"/>
    <x v="13"/>
    <x v="47"/>
    <x v="2"/>
    <x v="5"/>
    <x v="2"/>
    <x v="53"/>
  </r>
  <r>
    <x v="1"/>
    <x v="2"/>
    <x v="18"/>
    <x v="4"/>
    <x v="7"/>
    <x v="8"/>
    <x v="0"/>
    <x v="70"/>
    <x v="1"/>
    <x v="67"/>
    <x v="8"/>
    <x v="3"/>
    <x v="4"/>
    <x v="86"/>
  </r>
  <r>
    <x v="10"/>
    <x v="0"/>
    <x v="18"/>
    <x v="4"/>
    <x v="9"/>
    <x v="7"/>
    <x v="2"/>
    <x v="62"/>
    <x v="7"/>
    <x v="43"/>
    <x v="3"/>
    <x v="5"/>
    <x v="3"/>
    <x v="87"/>
  </r>
  <r>
    <x v="10"/>
    <x v="0"/>
    <x v="18"/>
    <x v="4"/>
    <x v="9"/>
    <x v="6"/>
    <x v="2"/>
    <x v="45"/>
    <x v="7"/>
    <x v="12"/>
    <x v="2"/>
    <x v="5"/>
    <x v="2"/>
    <x v="67"/>
  </r>
  <r>
    <x v="11"/>
    <x v="2"/>
    <x v="18"/>
    <x v="0"/>
    <x v="13"/>
    <x v="0"/>
    <x v="2"/>
    <x v="0"/>
    <x v="6"/>
    <x v="57"/>
    <x v="1"/>
    <x v="0"/>
    <x v="0"/>
    <x v="0"/>
  </r>
  <r>
    <x v="13"/>
    <x v="2"/>
    <x v="19"/>
    <x v="0"/>
    <x v="2"/>
    <x v="1"/>
    <x v="0"/>
    <x v="3"/>
    <x v="0"/>
    <x v="67"/>
    <x v="1"/>
    <x v="5"/>
    <x v="1"/>
    <x v="2"/>
  </r>
  <r>
    <x v="6"/>
    <x v="1"/>
    <x v="20"/>
    <x v="6"/>
    <x v="4"/>
    <x v="10"/>
    <x v="0"/>
    <x v="74"/>
    <x v="10"/>
    <x v="56"/>
    <x v="3"/>
    <x v="5"/>
    <x v="3"/>
    <x v="97"/>
  </r>
  <r>
    <x v="12"/>
    <x v="2"/>
    <x v="21"/>
    <x v="7"/>
    <x v="2"/>
    <x v="6"/>
    <x v="0"/>
    <x v="47"/>
    <x v="0"/>
    <x v="58"/>
    <x v="1"/>
    <x v="5"/>
    <x v="1"/>
    <x v="57"/>
  </r>
  <r>
    <x v="12"/>
    <x v="2"/>
    <x v="21"/>
    <x v="6"/>
    <x v="2"/>
    <x v="7"/>
    <x v="0"/>
    <x v="65"/>
    <x v="0"/>
    <x v="58"/>
    <x v="2"/>
    <x v="5"/>
    <x v="2"/>
    <x v="76"/>
  </r>
  <r>
    <x v="15"/>
    <x v="2"/>
    <x v="21"/>
    <x v="1"/>
    <x v="2"/>
    <x v="0"/>
    <x v="0"/>
    <x v="0"/>
    <x v="0"/>
    <x v="21"/>
    <x v="1"/>
    <x v="0"/>
    <x v="0"/>
    <x v="0"/>
  </r>
  <r>
    <x v="13"/>
    <x v="2"/>
    <x v="21"/>
    <x v="4"/>
    <x v="2"/>
    <x v="4"/>
    <x v="0"/>
    <x v="19"/>
    <x v="0"/>
    <x v="47"/>
    <x v="1"/>
    <x v="5"/>
    <x v="1"/>
    <x v="17"/>
  </r>
  <r>
    <x v="15"/>
    <x v="2"/>
    <x v="21"/>
    <x v="4"/>
    <x v="2"/>
    <x v="4"/>
    <x v="0"/>
    <x v="19"/>
    <x v="0"/>
    <x v="47"/>
    <x v="1"/>
    <x v="5"/>
    <x v="1"/>
    <x v="17"/>
  </r>
  <r>
    <x v="5"/>
    <x v="1"/>
    <x v="21"/>
    <x v="4"/>
    <x v="4"/>
    <x v="6"/>
    <x v="0"/>
    <x v="47"/>
    <x v="10"/>
    <x v="17"/>
    <x v="2"/>
    <x v="5"/>
    <x v="2"/>
    <x v="60"/>
  </r>
  <r>
    <x v="5"/>
    <x v="1"/>
    <x v="21"/>
    <x v="2"/>
    <x v="4"/>
    <x v="2"/>
    <x v="0"/>
    <x v="9"/>
    <x v="10"/>
    <x v="67"/>
    <x v="1"/>
    <x v="5"/>
    <x v="1"/>
    <x v="9"/>
  </r>
  <r>
    <x v="8"/>
    <x v="0"/>
    <x v="22"/>
    <x v="4"/>
    <x v="3"/>
    <x v="0"/>
    <x v="0"/>
    <x v="0"/>
    <x v="4"/>
    <x v="39"/>
    <x v="1"/>
    <x v="0"/>
    <x v="0"/>
    <x v="0"/>
  </r>
  <r>
    <x v="3"/>
    <x v="0"/>
    <x v="22"/>
    <x v="4"/>
    <x v="3"/>
    <x v="11"/>
    <x v="0"/>
    <x v="77"/>
    <x v="4"/>
    <x v="67"/>
    <x v="6"/>
    <x v="0"/>
    <x v="5"/>
    <x v="106"/>
  </r>
  <r>
    <x v="3"/>
    <x v="0"/>
    <x v="22"/>
    <x v="7"/>
    <x v="3"/>
    <x v="0"/>
    <x v="0"/>
    <x v="0"/>
    <x v="4"/>
    <x v="67"/>
    <x v="1"/>
    <x v="0"/>
    <x v="0"/>
    <x v="0"/>
  </r>
  <r>
    <x v="3"/>
    <x v="0"/>
    <x v="22"/>
    <x v="7"/>
    <x v="3"/>
    <x v="0"/>
    <x v="0"/>
    <x v="0"/>
    <x v="4"/>
    <x v="0"/>
    <x v="1"/>
    <x v="0"/>
    <x v="0"/>
    <x v="0"/>
  </r>
  <r>
    <x v="5"/>
    <x v="1"/>
    <x v="22"/>
    <x v="4"/>
    <x v="4"/>
    <x v="6"/>
    <x v="0"/>
    <x v="49"/>
    <x v="10"/>
    <x v="18"/>
    <x v="2"/>
    <x v="5"/>
    <x v="2"/>
    <x v="64"/>
  </r>
  <r>
    <x v="5"/>
    <x v="1"/>
    <x v="22"/>
    <x v="4"/>
    <x v="4"/>
    <x v="6"/>
    <x v="0"/>
    <x v="49"/>
    <x v="10"/>
    <x v="15"/>
    <x v="2"/>
    <x v="5"/>
    <x v="2"/>
    <x v="64"/>
  </r>
  <r>
    <x v="6"/>
    <x v="1"/>
    <x v="22"/>
    <x v="0"/>
    <x v="4"/>
    <x v="1"/>
    <x v="0"/>
    <x v="4"/>
    <x v="10"/>
    <x v="10"/>
    <x v="1"/>
    <x v="5"/>
    <x v="1"/>
    <x v="6"/>
  </r>
  <r>
    <x v="6"/>
    <x v="1"/>
    <x v="22"/>
    <x v="4"/>
    <x v="4"/>
    <x v="4"/>
    <x v="0"/>
    <x v="21"/>
    <x v="10"/>
    <x v="10"/>
    <x v="1"/>
    <x v="5"/>
    <x v="1"/>
    <x v="28"/>
  </r>
  <r>
    <x v="2"/>
    <x v="1"/>
    <x v="22"/>
    <x v="6"/>
    <x v="5"/>
    <x v="5"/>
    <x v="1"/>
    <x v="39"/>
    <x v="11"/>
    <x v="18"/>
    <x v="1"/>
    <x v="5"/>
    <x v="1"/>
    <x v="62"/>
  </r>
  <r>
    <x v="10"/>
    <x v="0"/>
    <x v="22"/>
    <x v="4"/>
    <x v="9"/>
    <x v="8"/>
    <x v="2"/>
    <x v="73"/>
    <x v="7"/>
    <x v="43"/>
    <x v="4"/>
    <x v="5"/>
    <x v="4"/>
    <x v="99"/>
  </r>
  <r>
    <x v="11"/>
    <x v="2"/>
    <x v="22"/>
    <x v="4"/>
    <x v="13"/>
    <x v="4"/>
    <x v="2"/>
    <x v="21"/>
    <x v="6"/>
    <x v="57"/>
    <x v="4"/>
    <x v="2"/>
    <x v="1"/>
    <x v="36"/>
  </r>
  <r>
    <x v="6"/>
    <x v="0"/>
    <x v="23"/>
    <x v="4"/>
    <x v="0"/>
    <x v="4"/>
    <x v="0"/>
    <x v="24"/>
    <x v="3"/>
    <x v="65"/>
    <x v="1"/>
    <x v="5"/>
    <x v="1"/>
    <x v="41"/>
  </r>
  <r>
    <x v="10"/>
    <x v="0"/>
    <x v="23"/>
    <x v="4"/>
    <x v="9"/>
    <x v="6"/>
    <x v="2"/>
    <x v="51"/>
    <x v="7"/>
    <x v="43"/>
    <x v="3"/>
    <x v="0"/>
    <x v="2"/>
    <x v="75"/>
  </r>
  <r>
    <x v="11"/>
    <x v="1"/>
    <x v="24"/>
    <x v="3"/>
    <x v="11"/>
    <x v="3"/>
    <x v="0"/>
    <x v="16"/>
    <x v="12"/>
    <x v="28"/>
    <x v="1"/>
    <x v="5"/>
    <x v="1"/>
    <x v="26"/>
  </r>
  <r>
    <x v="16"/>
    <x v="0"/>
    <x v="25"/>
    <x v="4"/>
    <x v="1"/>
    <x v="6"/>
    <x v="0"/>
    <x v="53"/>
    <x v="2"/>
    <x v="65"/>
    <x v="2"/>
    <x v="5"/>
    <x v="2"/>
    <x v="77"/>
  </r>
  <r>
    <x v="12"/>
    <x v="2"/>
    <x v="25"/>
    <x v="7"/>
    <x v="2"/>
    <x v="8"/>
    <x v="0"/>
    <x v="75"/>
    <x v="0"/>
    <x v="58"/>
    <x v="2"/>
    <x v="5"/>
    <x v="2"/>
    <x v="92"/>
  </r>
  <r>
    <x v="4"/>
    <x v="0"/>
    <x v="25"/>
    <x v="4"/>
    <x v="3"/>
    <x v="0"/>
    <x v="0"/>
    <x v="0"/>
    <x v="4"/>
    <x v="60"/>
    <x v="1"/>
    <x v="0"/>
    <x v="0"/>
    <x v="0"/>
  </r>
  <r>
    <x v="4"/>
    <x v="0"/>
    <x v="25"/>
    <x v="4"/>
    <x v="3"/>
    <x v="0"/>
    <x v="0"/>
    <x v="0"/>
    <x v="4"/>
    <x v="39"/>
    <x v="1"/>
    <x v="0"/>
    <x v="0"/>
    <x v="0"/>
  </r>
  <r>
    <x v="5"/>
    <x v="1"/>
    <x v="25"/>
    <x v="4"/>
    <x v="4"/>
    <x v="4"/>
    <x v="0"/>
    <x v="26"/>
    <x v="10"/>
    <x v="36"/>
    <x v="1"/>
    <x v="5"/>
    <x v="1"/>
    <x v="32"/>
  </r>
  <r>
    <x v="6"/>
    <x v="1"/>
    <x v="25"/>
    <x v="4"/>
    <x v="4"/>
    <x v="4"/>
    <x v="0"/>
    <x v="26"/>
    <x v="10"/>
    <x v="38"/>
    <x v="1"/>
    <x v="5"/>
    <x v="1"/>
    <x v="32"/>
  </r>
  <r>
    <x v="6"/>
    <x v="1"/>
    <x v="25"/>
    <x v="4"/>
    <x v="4"/>
    <x v="4"/>
    <x v="0"/>
    <x v="26"/>
    <x v="10"/>
    <x v="16"/>
    <x v="1"/>
    <x v="5"/>
    <x v="1"/>
    <x v="32"/>
  </r>
  <r>
    <x v="6"/>
    <x v="1"/>
    <x v="25"/>
    <x v="4"/>
    <x v="4"/>
    <x v="4"/>
    <x v="0"/>
    <x v="26"/>
    <x v="10"/>
    <x v="42"/>
    <x v="1"/>
    <x v="5"/>
    <x v="1"/>
    <x v="32"/>
  </r>
  <r>
    <x v="6"/>
    <x v="1"/>
    <x v="25"/>
    <x v="4"/>
    <x v="4"/>
    <x v="4"/>
    <x v="0"/>
    <x v="26"/>
    <x v="10"/>
    <x v="26"/>
    <x v="1"/>
    <x v="5"/>
    <x v="1"/>
    <x v="32"/>
  </r>
  <r>
    <x v="0"/>
    <x v="2"/>
    <x v="25"/>
    <x v="4"/>
    <x v="6"/>
    <x v="4"/>
    <x v="0"/>
    <x v="26"/>
    <x v="13"/>
    <x v="47"/>
    <x v="1"/>
    <x v="5"/>
    <x v="1"/>
    <x v="22"/>
  </r>
  <r>
    <x v="4"/>
    <x v="2"/>
    <x v="25"/>
    <x v="4"/>
    <x v="7"/>
    <x v="4"/>
    <x v="0"/>
    <x v="26"/>
    <x v="1"/>
    <x v="57"/>
    <x v="2"/>
    <x v="0"/>
    <x v="1"/>
    <x v="22"/>
  </r>
  <r>
    <x v="9"/>
    <x v="0"/>
    <x v="26"/>
    <x v="4"/>
    <x v="1"/>
    <x v="7"/>
    <x v="0"/>
    <x v="67"/>
    <x v="2"/>
    <x v="44"/>
    <x v="3"/>
    <x v="5"/>
    <x v="3"/>
    <x v="94"/>
  </r>
  <r>
    <x v="4"/>
    <x v="0"/>
    <x v="27"/>
    <x v="4"/>
    <x v="3"/>
    <x v="7"/>
    <x v="0"/>
    <x v="68"/>
    <x v="4"/>
    <x v="60"/>
    <x v="3"/>
    <x v="5"/>
    <x v="3"/>
    <x v="95"/>
  </r>
  <r>
    <x v="14"/>
    <x v="0"/>
    <x v="28"/>
    <x v="4"/>
    <x v="1"/>
    <x v="0"/>
    <x v="0"/>
    <x v="0"/>
    <x v="2"/>
    <x v="44"/>
    <x v="1"/>
    <x v="0"/>
    <x v="0"/>
    <x v="0"/>
  </r>
  <r>
    <x v="15"/>
    <x v="2"/>
    <x v="28"/>
    <x v="4"/>
    <x v="2"/>
    <x v="0"/>
    <x v="0"/>
    <x v="0"/>
    <x v="14"/>
    <x v="59"/>
    <x v="1"/>
    <x v="0"/>
    <x v="0"/>
    <x v="0"/>
  </r>
  <r>
    <x v="5"/>
    <x v="1"/>
    <x v="28"/>
    <x v="4"/>
    <x v="4"/>
    <x v="6"/>
    <x v="0"/>
    <x v="54"/>
    <x v="10"/>
    <x v="31"/>
    <x v="2"/>
    <x v="5"/>
    <x v="2"/>
    <x v="69"/>
  </r>
  <r>
    <x v="6"/>
    <x v="1"/>
    <x v="29"/>
    <x v="4"/>
    <x v="4"/>
    <x v="6"/>
    <x v="0"/>
    <x v="56"/>
    <x v="10"/>
    <x v="40"/>
    <x v="2"/>
    <x v="5"/>
    <x v="2"/>
    <x v="72"/>
  </r>
  <r>
    <x v="6"/>
    <x v="1"/>
    <x v="29"/>
    <x v="4"/>
    <x v="4"/>
    <x v="4"/>
    <x v="0"/>
    <x v="28"/>
    <x v="10"/>
    <x v="40"/>
    <x v="1"/>
    <x v="5"/>
    <x v="1"/>
    <x v="37"/>
  </r>
  <r>
    <x v="4"/>
    <x v="2"/>
    <x v="29"/>
    <x v="4"/>
    <x v="7"/>
    <x v="4"/>
    <x v="0"/>
    <x v="28"/>
    <x v="1"/>
    <x v="1"/>
    <x v="1"/>
    <x v="5"/>
    <x v="1"/>
    <x v="27"/>
  </r>
  <r>
    <x v="14"/>
    <x v="0"/>
    <x v="30"/>
    <x v="4"/>
    <x v="1"/>
    <x v="6"/>
    <x v="0"/>
    <x v="58"/>
    <x v="2"/>
    <x v="44"/>
    <x v="2"/>
    <x v="5"/>
    <x v="2"/>
    <x v="81"/>
  </r>
  <r>
    <x v="8"/>
    <x v="0"/>
    <x v="30"/>
    <x v="7"/>
    <x v="3"/>
    <x v="8"/>
    <x v="0"/>
    <x v="76"/>
    <x v="4"/>
    <x v="39"/>
    <x v="3"/>
    <x v="0"/>
    <x v="2"/>
    <x v="105"/>
  </r>
  <r>
    <x v="5"/>
    <x v="1"/>
    <x v="30"/>
    <x v="4"/>
    <x v="4"/>
    <x v="8"/>
    <x v="0"/>
    <x v="76"/>
    <x v="10"/>
    <x v="17"/>
    <x v="4"/>
    <x v="5"/>
    <x v="4"/>
    <x v="101"/>
  </r>
  <r>
    <x v="2"/>
    <x v="1"/>
    <x v="30"/>
    <x v="6"/>
    <x v="5"/>
    <x v="5"/>
    <x v="1"/>
    <x v="44"/>
    <x v="11"/>
    <x v="67"/>
    <x v="1"/>
    <x v="5"/>
    <x v="1"/>
    <x v="73"/>
  </r>
  <r>
    <x v="4"/>
    <x v="0"/>
    <x v="31"/>
    <x v="7"/>
    <x v="3"/>
    <x v="0"/>
    <x v="0"/>
    <x v="0"/>
    <x v="4"/>
    <x v="67"/>
    <x v="2"/>
    <x v="1"/>
    <x v="0"/>
    <x v="0"/>
  </r>
  <r>
    <x v="5"/>
    <x v="1"/>
    <x v="31"/>
    <x v="6"/>
    <x v="4"/>
    <x v="5"/>
    <x v="0"/>
    <x v="46"/>
    <x v="10"/>
    <x v="23"/>
    <x v="1"/>
    <x v="5"/>
    <x v="1"/>
    <x v="59"/>
  </r>
  <r>
    <x v="6"/>
    <x v="0"/>
    <x v="32"/>
    <x v="4"/>
    <x v="0"/>
    <x v="6"/>
    <x v="0"/>
    <x v="60"/>
    <x v="3"/>
    <x v="65"/>
    <x v="3"/>
    <x v="0"/>
    <x v="2"/>
    <x v="84"/>
  </r>
  <r>
    <x v="16"/>
    <x v="0"/>
    <x v="32"/>
    <x v="4"/>
    <x v="1"/>
    <x v="4"/>
    <x v="0"/>
    <x v="32"/>
    <x v="2"/>
    <x v="65"/>
    <x v="1"/>
    <x v="5"/>
    <x v="1"/>
    <x v="50"/>
  </r>
  <r>
    <x v="12"/>
    <x v="2"/>
    <x v="32"/>
    <x v="7"/>
    <x v="2"/>
    <x v="8"/>
    <x v="0"/>
    <x v="78"/>
    <x v="0"/>
    <x v="58"/>
    <x v="2"/>
    <x v="5"/>
    <x v="2"/>
    <x v="98"/>
  </r>
  <r>
    <x v="7"/>
    <x v="1"/>
    <x v="32"/>
    <x v="4"/>
    <x v="4"/>
    <x v="8"/>
    <x v="0"/>
    <x v="78"/>
    <x v="10"/>
    <x v="42"/>
    <x v="4"/>
    <x v="5"/>
    <x v="4"/>
    <x v="102"/>
  </r>
  <r>
    <x v="2"/>
    <x v="1"/>
    <x v="32"/>
    <x v="4"/>
    <x v="4"/>
    <x v="4"/>
    <x v="0"/>
    <x v="32"/>
    <x v="10"/>
    <x v="51"/>
    <x v="1"/>
    <x v="5"/>
    <x v="1"/>
    <x v="43"/>
  </r>
  <r>
    <x v="7"/>
    <x v="1"/>
    <x v="32"/>
    <x v="4"/>
    <x v="4"/>
    <x v="7"/>
    <x v="0"/>
    <x v="72"/>
    <x v="10"/>
    <x v="42"/>
    <x v="3"/>
    <x v="5"/>
    <x v="3"/>
    <x v="96"/>
  </r>
  <r>
    <x v="5"/>
    <x v="1"/>
    <x v="32"/>
    <x v="4"/>
    <x v="4"/>
    <x v="4"/>
    <x v="0"/>
    <x v="32"/>
    <x v="10"/>
    <x v="51"/>
    <x v="1"/>
    <x v="5"/>
    <x v="1"/>
    <x v="43"/>
  </r>
  <r>
    <x v="3"/>
    <x v="0"/>
    <x v="33"/>
    <x v="4"/>
    <x v="3"/>
    <x v="4"/>
    <x v="0"/>
    <x v="33"/>
    <x v="4"/>
    <x v="60"/>
    <x v="1"/>
    <x v="5"/>
    <x v="1"/>
    <x v="52"/>
  </r>
  <r>
    <x v="8"/>
    <x v="0"/>
    <x v="33"/>
    <x v="6"/>
    <x v="3"/>
    <x v="7"/>
    <x v="0"/>
    <x v="73"/>
    <x v="4"/>
    <x v="63"/>
    <x v="2"/>
    <x v="5"/>
    <x v="2"/>
    <x v="99"/>
  </r>
  <r>
    <x v="6"/>
    <x v="1"/>
    <x v="33"/>
    <x v="6"/>
    <x v="4"/>
    <x v="5"/>
    <x v="0"/>
    <x v="49"/>
    <x v="10"/>
    <x v="40"/>
    <x v="1"/>
    <x v="5"/>
    <x v="1"/>
    <x v="64"/>
  </r>
  <r>
    <x v="6"/>
    <x v="1"/>
    <x v="33"/>
    <x v="4"/>
    <x v="4"/>
    <x v="4"/>
    <x v="0"/>
    <x v="33"/>
    <x v="10"/>
    <x v="40"/>
    <x v="1"/>
    <x v="5"/>
    <x v="1"/>
    <x v="44"/>
  </r>
  <r>
    <x v="11"/>
    <x v="2"/>
    <x v="34"/>
    <x v="0"/>
    <x v="12"/>
    <x v="1"/>
    <x v="2"/>
    <x v="10"/>
    <x v="5"/>
    <x v="67"/>
    <x v="1"/>
    <x v="5"/>
    <x v="1"/>
    <x v="15"/>
  </r>
  <r>
    <x v="6"/>
    <x v="1"/>
    <x v="35"/>
    <x v="6"/>
    <x v="4"/>
    <x v="5"/>
    <x v="0"/>
    <x v="50"/>
    <x v="10"/>
    <x v="31"/>
    <x v="1"/>
    <x v="5"/>
    <x v="1"/>
    <x v="66"/>
  </r>
  <r>
    <x v="6"/>
    <x v="1"/>
    <x v="35"/>
    <x v="6"/>
    <x v="4"/>
    <x v="5"/>
    <x v="0"/>
    <x v="50"/>
    <x v="10"/>
    <x v="31"/>
    <x v="1"/>
    <x v="5"/>
    <x v="1"/>
    <x v="66"/>
  </r>
  <r>
    <x v="6"/>
    <x v="1"/>
    <x v="36"/>
    <x v="4"/>
    <x v="4"/>
    <x v="4"/>
    <x v="0"/>
    <x v="39"/>
    <x v="10"/>
    <x v="11"/>
    <x v="1"/>
    <x v="5"/>
    <x v="1"/>
    <x v="51"/>
  </r>
  <r>
    <x v="15"/>
    <x v="0"/>
    <x v="37"/>
    <x v="4"/>
    <x v="1"/>
    <x v="4"/>
    <x v="0"/>
    <x v="42"/>
    <x v="2"/>
    <x v="37"/>
    <x v="1"/>
    <x v="5"/>
    <x v="1"/>
    <x v="63"/>
  </r>
  <r>
    <x v="10"/>
    <x v="0"/>
    <x v="37"/>
    <x v="6"/>
    <x v="3"/>
    <x v="5"/>
    <x v="0"/>
    <x v="59"/>
    <x v="4"/>
    <x v="37"/>
    <x v="1"/>
    <x v="5"/>
    <x v="1"/>
    <x v="83"/>
  </r>
  <r>
    <x v="15"/>
    <x v="0"/>
    <x v="38"/>
    <x v="4"/>
    <x v="1"/>
    <x v="7"/>
    <x v="0"/>
    <x v="79"/>
    <x v="2"/>
    <x v="37"/>
    <x v="3"/>
    <x v="5"/>
    <x v="3"/>
    <x v="107"/>
  </r>
  <r>
    <x v="8"/>
    <x v="0"/>
    <x v="38"/>
    <x v="7"/>
    <x v="3"/>
    <x v="8"/>
    <x v="0"/>
    <x v="83"/>
    <x v="4"/>
    <x v="39"/>
    <x v="5"/>
    <x v="2"/>
    <x v="2"/>
    <x v="110"/>
  </r>
  <r>
    <x v="7"/>
    <x v="0"/>
    <x v="38"/>
    <x v="6"/>
    <x v="3"/>
    <x v="12"/>
    <x v="0"/>
    <x v="87"/>
    <x v="4"/>
    <x v="63"/>
    <x v="4"/>
    <x v="5"/>
    <x v="4"/>
    <x v="115"/>
  </r>
  <r>
    <x v="8"/>
    <x v="0"/>
    <x v="38"/>
    <x v="6"/>
    <x v="3"/>
    <x v="10"/>
    <x v="0"/>
    <x v="85"/>
    <x v="4"/>
    <x v="63"/>
    <x v="3"/>
    <x v="5"/>
    <x v="3"/>
    <x v="112"/>
  </r>
  <r>
    <x v="8"/>
    <x v="0"/>
    <x v="38"/>
    <x v="6"/>
    <x v="3"/>
    <x v="5"/>
    <x v="0"/>
    <x v="61"/>
    <x v="4"/>
    <x v="63"/>
    <x v="1"/>
    <x v="5"/>
    <x v="1"/>
    <x v="85"/>
  </r>
  <r>
    <x v="8"/>
    <x v="0"/>
    <x v="38"/>
    <x v="4"/>
    <x v="3"/>
    <x v="4"/>
    <x v="0"/>
    <x v="43"/>
    <x v="4"/>
    <x v="63"/>
    <x v="1"/>
    <x v="5"/>
    <x v="1"/>
    <x v="65"/>
  </r>
  <r>
    <x v="8"/>
    <x v="0"/>
    <x v="38"/>
    <x v="2"/>
    <x v="3"/>
    <x v="2"/>
    <x v="0"/>
    <x v="30"/>
    <x v="4"/>
    <x v="63"/>
    <x v="1"/>
    <x v="5"/>
    <x v="1"/>
    <x v="47"/>
  </r>
  <r>
    <x v="7"/>
    <x v="1"/>
    <x v="38"/>
    <x v="6"/>
    <x v="4"/>
    <x v="5"/>
    <x v="0"/>
    <x v="61"/>
    <x v="10"/>
    <x v="51"/>
    <x v="1"/>
    <x v="5"/>
    <x v="1"/>
    <x v="78"/>
  </r>
  <r>
    <x v="7"/>
    <x v="1"/>
    <x v="38"/>
    <x v="0"/>
    <x v="4"/>
    <x v="1"/>
    <x v="0"/>
    <x v="17"/>
    <x v="10"/>
    <x v="67"/>
    <x v="2"/>
    <x v="0"/>
    <x v="1"/>
    <x v="21"/>
  </r>
  <r>
    <x v="7"/>
    <x v="1"/>
    <x v="38"/>
    <x v="6"/>
    <x v="4"/>
    <x v="7"/>
    <x v="0"/>
    <x v="79"/>
    <x v="10"/>
    <x v="61"/>
    <x v="2"/>
    <x v="5"/>
    <x v="2"/>
    <x v="103"/>
  </r>
  <r>
    <x v="6"/>
    <x v="1"/>
    <x v="38"/>
    <x v="6"/>
    <x v="4"/>
    <x v="7"/>
    <x v="0"/>
    <x v="79"/>
    <x v="10"/>
    <x v="61"/>
    <x v="2"/>
    <x v="5"/>
    <x v="2"/>
    <x v="103"/>
  </r>
  <r>
    <x v="8"/>
    <x v="1"/>
    <x v="38"/>
    <x v="6"/>
    <x v="4"/>
    <x v="5"/>
    <x v="0"/>
    <x v="61"/>
    <x v="10"/>
    <x v="49"/>
    <x v="1"/>
    <x v="5"/>
    <x v="1"/>
    <x v="78"/>
  </r>
  <r>
    <x v="0"/>
    <x v="2"/>
    <x v="38"/>
    <x v="4"/>
    <x v="6"/>
    <x v="4"/>
    <x v="0"/>
    <x v="43"/>
    <x v="13"/>
    <x v="46"/>
    <x v="1"/>
    <x v="5"/>
    <x v="1"/>
    <x v="49"/>
  </r>
  <r>
    <x v="0"/>
    <x v="2"/>
    <x v="38"/>
    <x v="4"/>
    <x v="7"/>
    <x v="12"/>
    <x v="0"/>
    <x v="87"/>
    <x v="1"/>
    <x v="62"/>
    <x v="6"/>
    <x v="5"/>
    <x v="6"/>
    <x v="111"/>
  </r>
  <r>
    <x v="1"/>
    <x v="2"/>
    <x v="38"/>
    <x v="4"/>
    <x v="7"/>
    <x v="13"/>
    <x v="0"/>
    <x v="88"/>
    <x v="1"/>
    <x v="62"/>
    <x v="7"/>
    <x v="5"/>
    <x v="7"/>
    <x v="114"/>
  </r>
  <r>
    <x v="6"/>
    <x v="0"/>
    <x v="39"/>
    <x v="4"/>
    <x v="0"/>
    <x v="4"/>
    <x v="0"/>
    <x v="45"/>
    <x v="3"/>
    <x v="65"/>
    <x v="1"/>
    <x v="5"/>
    <x v="1"/>
    <x v="67"/>
  </r>
  <r>
    <x v="15"/>
    <x v="0"/>
    <x v="39"/>
    <x v="4"/>
    <x v="1"/>
    <x v="4"/>
    <x v="0"/>
    <x v="45"/>
    <x v="2"/>
    <x v="37"/>
    <x v="1"/>
    <x v="5"/>
    <x v="1"/>
    <x v="67"/>
  </r>
  <r>
    <x v="8"/>
    <x v="0"/>
    <x v="39"/>
    <x v="6"/>
    <x v="3"/>
    <x v="5"/>
    <x v="0"/>
    <x v="62"/>
    <x v="4"/>
    <x v="37"/>
    <x v="1"/>
    <x v="5"/>
    <x v="1"/>
    <x v="87"/>
  </r>
  <r>
    <x v="10"/>
    <x v="0"/>
    <x v="39"/>
    <x v="6"/>
    <x v="3"/>
    <x v="5"/>
    <x v="0"/>
    <x v="62"/>
    <x v="4"/>
    <x v="37"/>
    <x v="1"/>
    <x v="5"/>
    <x v="1"/>
    <x v="87"/>
  </r>
  <r>
    <x v="8"/>
    <x v="1"/>
    <x v="39"/>
    <x v="3"/>
    <x v="4"/>
    <x v="3"/>
    <x v="0"/>
    <x v="38"/>
    <x v="10"/>
    <x v="52"/>
    <x v="1"/>
    <x v="5"/>
    <x v="1"/>
    <x v="48"/>
  </r>
  <r>
    <x v="6"/>
    <x v="1"/>
    <x v="39"/>
    <x v="4"/>
    <x v="4"/>
    <x v="4"/>
    <x v="0"/>
    <x v="45"/>
    <x v="10"/>
    <x v="40"/>
    <x v="1"/>
    <x v="5"/>
    <x v="1"/>
    <x v="58"/>
  </r>
  <r>
    <x v="7"/>
    <x v="1"/>
    <x v="39"/>
    <x v="6"/>
    <x v="4"/>
    <x v="7"/>
    <x v="0"/>
    <x v="80"/>
    <x v="10"/>
    <x v="64"/>
    <x v="2"/>
    <x v="5"/>
    <x v="2"/>
    <x v="104"/>
  </r>
  <r>
    <x v="2"/>
    <x v="1"/>
    <x v="39"/>
    <x v="6"/>
    <x v="5"/>
    <x v="5"/>
    <x v="1"/>
    <x v="62"/>
    <x v="11"/>
    <x v="18"/>
    <x v="1"/>
    <x v="5"/>
    <x v="1"/>
    <x v="90"/>
  </r>
  <r>
    <x v="6"/>
    <x v="0"/>
    <x v="40"/>
    <x v="4"/>
    <x v="0"/>
    <x v="4"/>
    <x v="0"/>
    <x v="48"/>
    <x v="3"/>
    <x v="60"/>
    <x v="1"/>
    <x v="5"/>
    <x v="1"/>
    <x v="70"/>
  </r>
  <r>
    <x v="6"/>
    <x v="0"/>
    <x v="40"/>
    <x v="4"/>
    <x v="0"/>
    <x v="4"/>
    <x v="0"/>
    <x v="48"/>
    <x v="3"/>
    <x v="65"/>
    <x v="2"/>
    <x v="0"/>
    <x v="1"/>
    <x v="70"/>
  </r>
  <r>
    <x v="1"/>
    <x v="1"/>
    <x v="40"/>
    <x v="4"/>
    <x v="4"/>
    <x v="8"/>
    <x v="0"/>
    <x v="84"/>
    <x v="10"/>
    <x v="25"/>
    <x v="4"/>
    <x v="5"/>
    <x v="4"/>
    <x v="109"/>
  </r>
  <r>
    <x v="1"/>
    <x v="1"/>
    <x v="40"/>
    <x v="0"/>
    <x v="4"/>
    <x v="1"/>
    <x v="0"/>
    <x v="20"/>
    <x v="10"/>
    <x v="67"/>
    <x v="1"/>
    <x v="5"/>
    <x v="1"/>
    <x v="24"/>
  </r>
  <r>
    <x v="11"/>
    <x v="1"/>
    <x v="41"/>
    <x v="5"/>
    <x v="11"/>
    <x v="9"/>
    <x v="0"/>
    <x v="86"/>
    <x v="12"/>
    <x v="28"/>
    <x v="4"/>
    <x v="5"/>
    <x v="4"/>
    <x v="113"/>
  </r>
  <r>
    <x v="1"/>
    <x v="1"/>
    <x v="42"/>
    <x v="0"/>
    <x v="4"/>
    <x v="0"/>
    <x v="0"/>
    <x v="0"/>
    <x v="10"/>
    <x v="67"/>
    <x v="1"/>
    <x v="0"/>
    <x v="0"/>
    <x v="0"/>
  </r>
  <r>
    <x v="14"/>
    <x v="0"/>
    <x v="42"/>
    <x v="4"/>
    <x v="1"/>
    <x v="4"/>
    <x v="0"/>
    <x v="51"/>
    <x v="2"/>
    <x v="44"/>
    <x v="1"/>
    <x v="5"/>
    <x v="1"/>
    <x v="75"/>
  </r>
  <r>
    <x v="10"/>
    <x v="0"/>
    <x v="42"/>
    <x v="6"/>
    <x v="3"/>
    <x v="5"/>
    <x v="0"/>
    <x v="66"/>
    <x v="4"/>
    <x v="37"/>
    <x v="1"/>
    <x v="5"/>
    <x v="1"/>
    <x v="91"/>
  </r>
  <r>
    <x v="1"/>
    <x v="1"/>
    <x v="42"/>
    <x v="1"/>
    <x v="4"/>
    <x v="0"/>
    <x v="0"/>
    <x v="0"/>
    <x v="10"/>
    <x v="14"/>
    <x v="2"/>
    <x v="1"/>
    <x v="0"/>
    <x v="0"/>
  </r>
  <r>
    <x v="11"/>
    <x v="2"/>
    <x v="42"/>
    <x v="4"/>
    <x v="13"/>
    <x v="0"/>
    <x v="2"/>
    <x v="0"/>
    <x v="6"/>
    <x v="57"/>
    <x v="2"/>
    <x v="1"/>
    <x v="0"/>
    <x v="0"/>
  </r>
  <r>
    <x v="11"/>
    <x v="2"/>
    <x v="43"/>
    <x v="4"/>
    <x v="13"/>
    <x v="4"/>
    <x v="2"/>
    <x v="55"/>
    <x v="6"/>
    <x v="57"/>
    <x v="1"/>
    <x v="5"/>
    <x v="1"/>
    <x v="79"/>
  </r>
  <r>
    <x v="15"/>
    <x v="0"/>
    <x v="44"/>
    <x v="4"/>
    <x v="1"/>
    <x v="0"/>
    <x v="0"/>
    <x v="0"/>
    <x v="2"/>
    <x v="44"/>
    <x v="2"/>
    <x v="1"/>
    <x v="0"/>
    <x v="0"/>
  </r>
  <r>
    <x v="13"/>
    <x v="2"/>
    <x v="44"/>
    <x v="0"/>
    <x v="2"/>
    <x v="1"/>
    <x v="0"/>
    <x v="36"/>
    <x v="0"/>
    <x v="59"/>
    <x v="1"/>
    <x v="5"/>
    <x v="1"/>
    <x v="39"/>
  </r>
  <r>
    <x v="10"/>
    <x v="0"/>
    <x v="44"/>
    <x v="4"/>
    <x v="8"/>
    <x v="4"/>
    <x v="2"/>
    <x v="63"/>
    <x v="8"/>
    <x v="57"/>
    <x v="1"/>
    <x v="5"/>
    <x v="1"/>
    <x v="88"/>
  </r>
  <r>
    <x v="11"/>
    <x v="2"/>
    <x v="44"/>
    <x v="4"/>
    <x v="13"/>
    <x v="6"/>
    <x v="2"/>
    <x v="81"/>
    <x v="6"/>
    <x v="57"/>
    <x v="2"/>
    <x v="5"/>
    <x v="2"/>
    <x v="108"/>
  </r>
  <r>
    <x v="15"/>
    <x v="2"/>
    <x v="45"/>
    <x v="4"/>
    <x v="2"/>
    <x v="6"/>
    <x v="0"/>
    <x v="82"/>
    <x v="14"/>
    <x v="59"/>
    <x v="2"/>
    <x v="5"/>
    <x v="2"/>
    <x v="100"/>
  </r>
  <r>
    <x v="10"/>
    <x v="0"/>
    <x v="45"/>
    <x v="4"/>
    <x v="8"/>
    <x v="4"/>
    <x v="2"/>
    <x v="64"/>
    <x v="8"/>
    <x v="57"/>
    <x v="1"/>
    <x v="5"/>
    <x v="1"/>
    <x v="89"/>
  </r>
  <r>
    <x v="11"/>
    <x v="2"/>
    <x v="45"/>
    <x v="4"/>
    <x v="13"/>
    <x v="4"/>
    <x v="2"/>
    <x v="64"/>
    <x v="6"/>
    <x v="57"/>
    <x v="1"/>
    <x v="5"/>
    <x v="1"/>
    <x v="8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70">
  <r>
    <x v="3"/>
    <x v="0"/>
    <x v="0"/>
    <x v="4"/>
    <x v="3"/>
    <x v="0"/>
    <x v="0"/>
    <x v="0"/>
    <x v="4"/>
    <x v="43"/>
    <x v="1"/>
    <x v="0"/>
    <x v="0"/>
    <x v="0"/>
  </r>
  <r>
    <x v="15"/>
    <x v="0"/>
    <x v="1"/>
    <x v="4"/>
    <x v="1"/>
    <x v="4"/>
    <x v="0"/>
    <x v="1"/>
    <x v="2"/>
    <x v="62"/>
    <x v="1"/>
    <x v="5"/>
    <x v="1"/>
    <x v="1"/>
  </r>
  <r>
    <x v="14"/>
    <x v="0"/>
    <x v="2"/>
    <x v="4"/>
    <x v="1"/>
    <x v="0"/>
    <x v="0"/>
    <x v="0"/>
    <x v="2"/>
    <x v="62"/>
    <x v="1"/>
    <x v="0"/>
    <x v="0"/>
    <x v="0"/>
  </r>
  <r>
    <x v="3"/>
    <x v="0"/>
    <x v="2"/>
    <x v="6"/>
    <x v="3"/>
    <x v="0"/>
    <x v="0"/>
    <x v="0"/>
    <x v="4"/>
    <x v="51"/>
    <x v="1"/>
    <x v="0"/>
    <x v="0"/>
    <x v="0"/>
  </r>
  <r>
    <x v="4"/>
    <x v="0"/>
    <x v="2"/>
    <x v="6"/>
    <x v="3"/>
    <x v="6"/>
    <x v="0"/>
    <x v="20"/>
    <x v="4"/>
    <x v="62"/>
    <x v="1"/>
    <x v="5"/>
    <x v="1"/>
    <x v="35"/>
  </r>
  <r>
    <x v="4"/>
    <x v="0"/>
    <x v="2"/>
    <x v="4"/>
    <x v="3"/>
    <x v="4"/>
    <x v="0"/>
    <x v="4"/>
    <x v="4"/>
    <x v="4"/>
    <x v="1"/>
    <x v="5"/>
    <x v="1"/>
    <x v="7"/>
  </r>
  <r>
    <x v="2"/>
    <x v="1"/>
    <x v="2"/>
    <x v="4"/>
    <x v="4"/>
    <x v="7"/>
    <x v="0"/>
    <x v="36"/>
    <x v="9"/>
    <x v="6"/>
    <x v="3"/>
    <x v="5"/>
    <x v="3"/>
    <x v="48"/>
  </r>
  <r>
    <x v="0"/>
    <x v="2"/>
    <x v="2"/>
    <x v="4"/>
    <x v="6"/>
    <x v="4"/>
    <x v="0"/>
    <x v="4"/>
    <x v="12"/>
    <x v="5"/>
    <x v="1"/>
    <x v="5"/>
    <x v="1"/>
    <x v="3"/>
  </r>
  <r>
    <x v="4"/>
    <x v="0"/>
    <x v="3"/>
    <x v="4"/>
    <x v="3"/>
    <x v="6"/>
    <x v="0"/>
    <x v="21"/>
    <x v="4"/>
    <x v="39"/>
    <x v="2"/>
    <x v="5"/>
    <x v="2"/>
    <x v="37"/>
  </r>
  <r>
    <x v="8"/>
    <x v="0"/>
    <x v="4"/>
    <x v="4"/>
    <x v="3"/>
    <x v="0"/>
    <x v="0"/>
    <x v="0"/>
    <x v="4"/>
    <x v="62"/>
    <x v="0"/>
    <x v="5"/>
    <x v="0"/>
    <x v="0"/>
  </r>
  <r>
    <x v="2"/>
    <x v="1"/>
    <x v="4"/>
    <x v="5"/>
    <x v="4"/>
    <x v="5"/>
    <x v="0"/>
    <x v="14"/>
    <x v="9"/>
    <x v="23"/>
    <x v="1"/>
    <x v="5"/>
    <x v="1"/>
    <x v="18"/>
  </r>
  <r>
    <x v="2"/>
    <x v="1"/>
    <x v="4"/>
    <x v="4"/>
    <x v="4"/>
    <x v="6"/>
    <x v="0"/>
    <x v="25"/>
    <x v="9"/>
    <x v="18"/>
    <x v="2"/>
    <x v="5"/>
    <x v="2"/>
    <x v="31"/>
  </r>
  <r>
    <x v="2"/>
    <x v="1"/>
    <x v="4"/>
    <x v="4"/>
    <x v="4"/>
    <x v="6"/>
    <x v="0"/>
    <x v="25"/>
    <x v="9"/>
    <x v="30"/>
    <x v="2"/>
    <x v="5"/>
    <x v="2"/>
    <x v="31"/>
  </r>
  <r>
    <x v="14"/>
    <x v="0"/>
    <x v="5"/>
    <x v="4"/>
    <x v="1"/>
    <x v="0"/>
    <x v="0"/>
    <x v="0"/>
    <x v="2"/>
    <x v="42"/>
    <x v="1"/>
    <x v="0"/>
    <x v="0"/>
    <x v="0"/>
  </r>
  <r>
    <x v="2"/>
    <x v="1"/>
    <x v="5"/>
    <x v="4"/>
    <x v="4"/>
    <x v="6"/>
    <x v="0"/>
    <x v="27"/>
    <x v="9"/>
    <x v="30"/>
    <x v="2"/>
    <x v="5"/>
    <x v="2"/>
    <x v="36"/>
  </r>
  <r>
    <x v="13"/>
    <x v="2"/>
    <x v="6"/>
    <x v="4"/>
    <x v="2"/>
    <x v="0"/>
    <x v="0"/>
    <x v="0"/>
    <x v="0"/>
    <x v="55"/>
    <x v="1"/>
    <x v="0"/>
    <x v="0"/>
    <x v="0"/>
  </r>
  <r>
    <x v="3"/>
    <x v="0"/>
    <x v="6"/>
    <x v="4"/>
    <x v="3"/>
    <x v="0"/>
    <x v="0"/>
    <x v="0"/>
    <x v="4"/>
    <x v="56"/>
    <x v="2"/>
    <x v="1"/>
    <x v="0"/>
    <x v="0"/>
  </r>
  <r>
    <x v="6"/>
    <x v="1"/>
    <x v="6"/>
    <x v="4"/>
    <x v="4"/>
    <x v="0"/>
    <x v="0"/>
    <x v="0"/>
    <x v="9"/>
    <x v="11"/>
    <x v="1"/>
    <x v="0"/>
    <x v="0"/>
    <x v="0"/>
  </r>
  <r>
    <x v="11"/>
    <x v="0"/>
    <x v="6"/>
    <x v="4"/>
    <x v="10"/>
    <x v="4"/>
    <x v="2"/>
    <x v="6"/>
    <x v="8"/>
    <x v="41"/>
    <x v="1"/>
    <x v="5"/>
    <x v="1"/>
    <x v="11"/>
  </r>
  <r>
    <x v="10"/>
    <x v="0"/>
    <x v="7"/>
    <x v="4"/>
    <x v="8"/>
    <x v="4"/>
    <x v="2"/>
    <x v="7"/>
    <x v="7"/>
    <x v="41"/>
    <x v="1"/>
    <x v="5"/>
    <x v="1"/>
    <x v="12"/>
  </r>
  <r>
    <x v="16"/>
    <x v="0"/>
    <x v="8"/>
    <x v="4"/>
    <x v="0"/>
    <x v="4"/>
    <x v="0"/>
    <x v="8"/>
    <x v="3"/>
    <x v="60"/>
    <x v="4"/>
    <x v="2"/>
    <x v="1"/>
    <x v="14"/>
  </r>
  <r>
    <x v="9"/>
    <x v="0"/>
    <x v="8"/>
    <x v="4"/>
    <x v="1"/>
    <x v="0"/>
    <x v="0"/>
    <x v="0"/>
    <x v="2"/>
    <x v="35"/>
    <x v="1"/>
    <x v="0"/>
    <x v="0"/>
    <x v="0"/>
  </r>
  <r>
    <x v="12"/>
    <x v="2"/>
    <x v="8"/>
    <x v="4"/>
    <x v="2"/>
    <x v="6"/>
    <x v="0"/>
    <x v="32"/>
    <x v="0"/>
    <x v="54"/>
    <x v="2"/>
    <x v="5"/>
    <x v="2"/>
    <x v="34"/>
  </r>
  <r>
    <x v="15"/>
    <x v="2"/>
    <x v="8"/>
    <x v="4"/>
    <x v="2"/>
    <x v="6"/>
    <x v="0"/>
    <x v="32"/>
    <x v="0"/>
    <x v="55"/>
    <x v="2"/>
    <x v="5"/>
    <x v="2"/>
    <x v="34"/>
  </r>
  <r>
    <x v="4"/>
    <x v="0"/>
    <x v="8"/>
    <x v="4"/>
    <x v="3"/>
    <x v="7"/>
    <x v="0"/>
    <x v="45"/>
    <x v="4"/>
    <x v="27"/>
    <x v="3"/>
    <x v="5"/>
    <x v="3"/>
    <x v="66"/>
  </r>
  <r>
    <x v="4"/>
    <x v="0"/>
    <x v="8"/>
    <x v="4"/>
    <x v="3"/>
    <x v="7"/>
    <x v="0"/>
    <x v="45"/>
    <x v="4"/>
    <x v="19"/>
    <x v="3"/>
    <x v="5"/>
    <x v="3"/>
    <x v="66"/>
  </r>
  <r>
    <x v="2"/>
    <x v="1"/>
    <x v="8"/>
    <x v="5"/>
    <x v="4"/>
    <x v="5"/>
    <x v="0"/>
    <x v="20"/>
    <x v="9"/>
    <x v="21"/>
    <x v="1"/>
    <x v="5"/>
    <x v="1"/>
    <x v="27"/>
  </r>
  <r>
    <x v="2"/>
    <x v="1"/>
    <x v="8"/>
    <x v="5"/>
    <x v="4"/>
    <x v="5"/>
    <x v="0"/>
    <x v="20"/>
    <x v="9"/>
    <x v="33"/>
    <x v="1"/>
    <x v="5"/>
    <x v="1"/>
    <x v="27"/>
  </r>
  <r>
    <x v="2"/>
    <x v="1"/>
    <x v="8"/>
    <x v="4"/>
    <x v="4"/>
    <x v="4"/>
    <x v="0"/>
    <x v="8"/>
    <x v="9"/>
    <x v="25"/>
    <x v="1"/>
    <x v="5"/>
    <x v="1"/>
    <x v="8"/>
  </r>
  <r>
    <x v="6"/>
    <x v="1"/>
    <x v="8"/>
    <x v="5"/>
    <x v="4"/>
    <x v="5"/>
    <x v="0"/>
    <x v="20"/>
    <x v="9"/>
    <x v="46"/>
    <x v="1"/>
    <x v="5"/>
    <x v="1"/>
    <x v="27"/>
  </r>
  <r>
    <x v="4"/>
    <x v="2"/>
    <x v="8"/>
    <x v="4"/>
    <x v="7"/>
    <x v="10"/>
    <x v="0"/>
    <x v="61"/>
    <x v="1"/>
    <x v="58"/>
    <x v="6"/>
    <x v="0"/>
    <x v="5"/>
    <x v="76"/>
  </r>
  <r>
    <x v="10"/>
    <x v="0"/>
    <x v="8"/>
    <x v="4"/>
    <x v="8"/>
    <x v="6"/>
    <x v="2"/>
    <x v="32"/>
    <x v="7"/>
    <x v="41"/>
    <x v="2"/>
    <x v="5"/>
    <x v="2"/>
    <x v="49"/>
  </r>
  <r>
    <x v="10"/>
    <x v="0"/>
    <x v="8"/>
    <x v="0"/>
    <x v="9"/>
    <x v="1"/>
    <x v="2"/>
    <x v="1"/>
    <x v="7"/>
    <x v="41"/>
    <x v="1"/>
    <x v="5"/>
    <x v="1"/>
    <x v="1"/>
  </r>
  <r>
    <x v="11"/>
    <x v="0"/>
    <x v="8"/>
    <x v="4"/>
    <x v="10"/>
    <x v="0"/>
    <x v="2"/>
    <x v="0"/>
    <x v="8"/>
    <x v="41"/>
    <x v="2"/>
    <x v="1"/>
    <x v="0"/>
    <x v="0"/>
  </r>
  <r>
    <x v="14"/>
    <x v="0"/>
    <x v="8"/>
    <x v="4"/>
    <x v="1"/>
    <x v="4"/>
    <x v="0"/>
    <x v="8"/>
    <x v="2"/>
    <x v="35"/>
    <x v="1"/>
    <x v="5"/>
    <x v="1"/>
    <x v="14"/>
  </r>
  <r>
    <x v="3"/>
    <x v="0"/>
    <x v="9"/>
    <x v="5"/>
    <x v="0"/>
    <x v="5"/>
    <x v="0"/>
    <x v="22"/>
    <x v="3"/>
    <x v="50"/>
    <x v="1"/>
    <x v="5"/>
    <x v="1"/>
    <x v="38"/>
  </r>
  <r>
    <x v="14"/>
    <x v="0"/>
    <x v="9"/>
    <x v="4"/>
    <x v="1"/>
    <x v="6"/>
    <x v="0"/>
    <x v="34"/>
    <x v="2"/>
    <x v="41"/>
    <x v="2"/>
    <x v="5"/>
    <x v="2"/>
    <x v="52"/>
  </r>
  <r>
    <x v="4"/>
    <x v="0"/>
    <x v="9"/>
    <x v="5"/>
    <x v="3"/>
    <x v="5"/>
    <x v="0"/>
    <x v="22"/>
    <x v="4"/>
    <x v="62"/>
    <x v="1"/>
    <x v="5"/>
    <x v="1"/>
    <x v="38"/>
  </r>
  <r>
    <x v="17"/>
    <x v="0"/>
    <x v="10"/>
    <x v="4"/>
    <x v="10"/>
    <x v="6"/>
    <x v="2"/>
    <x v="35"/>
    <x v="8"/>
    <x v="41"/>
    <x v="2"/>
    <x v="5"/>
    <x v="2"/>
    <x v="53"/>
  </r>
  <r>
    <x v="16"/>
    <x v="0"/>
    <x v="11"/>
    <x v="4"/>
    <x v="0"/>
    <x v="4"/>
    <x v="0"/>
    <x v="11"/>
    <x v="3"/>
    <x v="31"/>
    <x v="1"/>
    <x v="5"/>
    <x v="1"/>
    <x v="19"/>
  </r>
  <r>
    <x v="14"/>
    <x v="0"/>
    <x v="11"/>
    <x v="4"/>
    <x v="1"/>
    <x v="4"/>
    <x v="0"/>
    <x v="11"/>
    <x v="2"/>
    <x v="41"/>
    <x v="2"/>
    <x v="0"/>
    <x v="1"/>
    <x v="19"/>
  </r>
  <r>
    <x v="9"/>
    <x v="0"/>
    <x v="11"/>
    <x v="4"/>
    <x v="1"/>
    <x v="4"/>
    <x v="0"/>
    <x v="11"/>
    <x v="2"/>
    <x v="35"/>
    <x v="1"/>
    <x v="5"/>
    <x v="1"/>
    <x v="19"/>
  </r>
  <r>
    <x v="4"/>
    <x v="0"/>
    <x v="11"/>
    <x v="6"/>
    <x v="3"/>
    <x v="0"/>
    <x v="0"/>
    <x v="0"/>
    <x v="4"/>
    <x v="62"/>
    <x v="1"/>
    <x v="0"/>
    <x v="0"/>
    <x v="0"/>
  </r>
  <r>
    <x v="2"/>
    <x v="1"/>
    <x v="11"/>
    <x v="5"/>
    <x v="4"/>
    <x v="7"/>
    <x v="0"/>
    <x v="48"/>
    <x v="9"/>
    <x v="21"/>
    <x v="2"/>
    <x v="5"/>
    <x v="2"/>
    <x v="64"/>
  </r>
  <r>
    <x v="6"/>
    <x v="1"/>
    <x v="11"/>
    <x v="5"/>
    <x v="4"/>
    <x v="5"/>
    <x v="0"/>
    <x v="24"/>
    <x v="9"/>
    <x v="47"/>
    <x v="1"/>
    <x v="5"/>
    <x v="1"/>
    <x v="30"/>
  </r>
  <r>
    <x v="0"/>
    <x v="2"/>
    <x v="12"/>
    <x v="2"/>
    <x v="6"/>
    <x v="2"/>
    <x v="0"/>
    <x v="5"/>
    <x v="12"/>
    <x v="62"/>
    <x v="1"/>
    <x v="5"/>
    <x v="1"/>
    <x v="4"/>
  </r>
  <r>
    <x v="3"/>
    <x v="0"/>
    <x v="13"/>
    <x v="0"/>
    <x v="3"/>
    <x v="0"/>
    <x v="0"/>
    <x v="0"/>
    <x v="4"/>
    <x v="51"/>
    <x v="1"/>
    <x v="0"/>
    <x v="0"/>
    <x v="0"/>
  </r>
  <r>
    <x v="2"/>
    <x v="1"/>
    <x v="13"/>
    <x v="5"/>
    <x v="4"/>
    <x v="5"/>
    <x v="0"/>
    <x v="26"/>
    <x v="9"/>
    <x v="49"/>
    <x v="1"/>
    <x v="5"/>
    <x v="1"/>
    <x v="33"/>
  </r>
  <r>
    <x v="2"/>
    <x v="1"/>
    <x v="13"/>
    <x v="4"/>
    <x v="4"/>
    <x v="4"/>
    <x v="0"/>
    <x v="12"/>
    <x v="9"/>
    <x v="21"/>
    <x v="1"/>
    <x v="5"/>
    <x v="1"/>
    <x v="13"/>
  </r>
  <r>
    <x v="2"/>
    <x v="1"/>
    <x v="13"/>
    <x v="4"/>
    <x v="5"/>
    <x v="4"/>
    <x v="1"/>
    <x v="12"/>
    <x v="10"/>
    <x v="2"/>
    <x v="1"/>
    <x v="5"/>
    <x v="1"/>
    <x v="24"/>
  </r>
  <r>
    <x v="4"/>
    <x v="2"/>
    <x v="13"/>
    <x v="4"/>
    <x v="7"/>
    <x v="0"/>
    <x v="0"/>
    <x v="0"/>
    <x v="1"/>
    <x v="58"/>
    <x v="1"/>
    <x v="0"/>
    <x v="0"/>
    <x v="0"/>
  </r>
  <r>
    <x v="11"/>
    <x v="0"/>
    <x v="13"/>
    <x v="4"/>
    <x v="10"/>
    <x v="4"/>
    <x v="2"/>
    <x v="12"/>
    <x v="8"/>
    <x v="41"/>
    <x v="1"/>
    <x v="5"/>
    <x v="1"/>
    <x v="20"/>
  </r>
  <r>
    <x v="4"/>
    <x v="0"/>
    <x v="14"/>
    <x v="5"/>
    <x v="1"/>
    <x v="5"/>
    <x v="0"/>
    <x v="28"/>
    <x v="2"/>
    <x v="61"/>
    <x v="1"/>
    <x v="5"/>
    <x v="1"/>
    <x v="43"/>
  </r>
  <r>
    <x v="16"/>
    <x v="0"/>
    <x v="14"/>
    <x v="4"/>
    <x v="1"/>
    <x v="7"/>
    <x v="0"/>
    <x v="52"/>
    <x v="2"/>
    <x v="3"/>
    <x v="3"/>
    <x v="5"/>
    <x v="3"/>
    <x v="74"/>
  </r>
  <r>
    <x v="4"/>
    <x v="0"/>
    <x v="14"/>
    <x v="6"/>
    <x v="3"/>
    <x v="0"/>
    <x v="0"/>
    <x v="0"/>
    <x v="4"/>
    <x v="51"/>
    <x v="3"/>
    <x v="2"/>
    <x v="0"/>
    <x v="0"/>
  </r>
  <r>
    <x v="6"/>
    <x v="1"/>
    <x v="14"/>
    <x v="4"/>
    <x v="4"/>
    <x v="4"/>
    <x v="0"/>
    <x v="13"/>
    <x v="9"/>
    <x v="13"/>
    <x v="1"/>
    <x v="5"/>
    <x v="1"/>
    <x v="16"/>
  </r>
  <r>
    <x v="2"/>
    <x v="1"/>
    <x v="14"/>
    <x v="5"/>
    <x v="4"/>
    <x v="7"/>
    <x v="0"/>
    <x v="52"/>
    <x v="9"/>
    <x v="30"/>
    <x v="2"/>
    <x v="5"/>
    <x v="2"/>
    <x v="69"/>
  </r>
  <r>
    <x v="2"/>
    <x v="1"/>
    <x v="14"/>
    <x v="4"/>
    <x v="4"/>
    <x v="6"/>
    <x v="0"/>
    <x v="37"/>
    <x v="9"/>
    <x v="8"/>
    <x v="3"/>
    <x v="0"/>
    <x v="2"/>
    <x v="51"/>
  </r>
  <r>
    <x v="14"/>
    <x v="0"/>
    <x v="15"/>
    <x v="4"/>
    <x v="3"/>
    <x v="0"/>
    <x v="0"/>
    <x v="0"/>
    <x v="4"/>
    <x v="42"/>
    <x v="1"/>
    <x v="0"/>
    <x v="0"/>
    <x v="0"/>
  </r>
  <r>
    <x v="14"/>
    <x v="0"/>
    <x v="15"/>
    <x v="4"/>
    <x v="1"/>
    <x v="0"/>
    <x v="0"/>
    <x v="0"/>
    <x v="2"/>
    <x v="42"/>
    <x v="1"/>
    <x v="0"/>
    <x v="0"/>
    <x v="0"/>
  </r>
  <r>
    <x v="14"/>
    <x v="0"/>
    <x v="15"/>
    <x v="0"/>
    <x v="1"/>
    <x v="1"/>
    <x v="0"/>
    <x v="2"/>
    <x v="2"/>
    <x v="42"/>
    <x v="1"/>
    <x v="5"/>
    <x v="1"/>
    <x v="5"/>
  </r>
  <r>
    <x v="9"/>
    <x v="0"/>
    <x v="15"/>
    <x v="4"/>
    <x v="1"/>
    <x v="4"/>
    <x v="0"/>
    <x v="15"/>
    <x v="2"/>
    <x v="35"/>
    <x v="1"/>
    <x v="5"/>
    <x v="1"/>
    <x v="23"/>
  </r>
  <r>
    <x v="12"/>
    <x v="2"/>
    <x v="15"/>
    <x v="5"/>
    <x v="2"/>
    <x v="9"/>
    <x v="0"/>
    <x v="63"/>
    <x v="0"/>
    <x v="54"/>
    <x v="3"/>
    <x v="5"/>
    <x v="3"/>
    <x v="81"/>
  </r>
  <r>
    <x v="15"/>
    <x v="2"/>
    <x v="15"/>
    <x v="6"/>
    <x v="2"/>
    <x v="8"/>
    <x v="0"/>
    <x v="61"/>
    <x v="13"/>
    <x v="33"/>
    <x v="2"/>
    <x v="5"/>
    <x v="2"/>
    <x v="76"/>
  </r>
  <r>
    <x v="15"/>
    <x v="2"/>
    <x v="15"/>
    <x v="4"/>
    <x v="2"/>
    <x v="4"/>
    <x v="0"/>
    <x v="15"/>
    <x v="13"/>
    <x v="33"/>
    <x v="1"/>
    <x v="5"/>
    <x v="1"/>
    <x v="10"/>
  </r>
  <r>
    <x v="10"/>
    <x v="2"/>
    <x v="15"/>
    <x v="5"/>
    <x v="2"/>
    <x v="5"/>
    <x v="0"/>
    <x v="30"/>
    <x v="0"/>
    <x v="44"/>
    <x v="1"/>
    <x v="5"/>
    <x v="1"/>
    <x v="29"/>
  </r>
  <r>
    <x v="3"/>
    <x v="0"/>
    <x v="15"/>
    <x v="4"/>
    <x v="3"/>
    <x v="0"/>
    <x v="0"/>
    <x v="0"/>
    <x v="4"/>
    <x v="62"/>
    <x v="2"/>
    <x v="1"/>
    <x v="0"/>
    <x v="0"/>
  </r>
  <r>
    <x v="5"/>
    <x v="1"/>
    <x v="15"/>
    <x v="5"/>
    <x v="4"/>
    <x v="9"/>
    <x v="0"/>
    <x v="63"/>
    <x v="9"/>
    <x v="52"/>
    <x v="3"/>
    <x v="5"/>
    <x v="3"/>
    <x v="83"/>
  </r>
  <r>
    <x v="2"/>
    <x v="1"/>
    <x v="15"/>
    <x v="5"/>
    <x v="4"/>
    <x v="5"/>
    <x v="0"/>
    <x v="30"/>
    <x v="9"/>
    <x v="34"/>
    <x v="1"/>
    <x v="5"/>
    <x v="1"/>
    <x v="40"/>
  </r>
  <r>
    <x v="2"/>
    <x v="1"/>
    <x v="15"/>
    <x v="4"/>
    <x v="5"/>
    <x v="4"/>
    <x v="1"/>
    <x v="15"/>
    <x v="10"/>
    <x v="62"/>
    <x v="1"/>
    <x v="5"/>
    <x v="1"/>
    <x v="32"/>
  </r>
  <r>
    <x v="0"/>
    <x v="2"/>
    <x v="15"/>
    <x v="4"/>
    <x v="6"/>
    <x v="4"/>
    <x v="0"/>
    <x v="15"/>
    <x v="12"/>
    <x v="44"/>
    <x v="1"/>
    <x v="5"/>
    <x v="1"/>
    <x v="10"/>
  </r>
  <r>
    <x v="0"/>
    <x v="2"/>
    <x v="15"/>
    <x v="4"/>
    <x v="6"/>
    <x v="4"/>
    <x v="0"/>
    <x v="15"/>
    <x v="12"/>
    <x v="7"/>
    <x v="1"/>
    <x v="5"/>
    <x v="1"/>
    <x v="10"/>
  </r>
  <r>
    <x v="10"/>
    <x v="0"/>
    <x v="15"/>
    <x v="4"/>
    <x v="9"/>
    <x v="6"/>
    <x v="2"/>
    <x v="38"/>
    <x v="7"/>
    <x v="41"/>
    <x v="4"/>
    <x v="1"/>
    <x v="2"/>
    <x v="57"/>
  </r>
  <r>
    <x v="11"/>
    <x v="2"/>
    <x v="15"/>
    <x v="4"/>
    <x v="13"/>
    <x v="4"/>
    <x v="2"/>
    <x v="15"/>
    <x v="6"/>
    <x v="53"/>
    <x v="1"/>
    <x v="5"/>
    <x v="1"/>
    <x v="23"/>
  </r>
  <r>
    <x v="6"/>
    <x v="1"/>
    <x v="16"/>
    <x v="4"/>
    <x v="4"/>
    <x v="0"/>
    <x v="0"/>
    <x v="0"/>
    <x v="9"/>
    <x v="11"/>
    <x v="1"/>
    <x v="0"/>
    <x v="0"/>
    <x v="0"/>
  </r>
  <r>
    <x v="12"/>
    <x v="2"/>
    <x v="17"/>
    <x v="6"/>
    <x v="2"/>
    <x v="6"/>
    <x v="0"/>
    <x v="40"/>
    <x v="0"/>
    <x v="54"/>
    <x v="1"/>
    <x v="5"/>
    <x v="1"/>
    <x v="46"/>
  </r>
  <r>
    <x v="12"/>
    <x v="2"/>
    <x v="17"/>
    <x v="6"/>
    <x v="2"/>
    <x v="6"/>
    <x v="0"/>
    <x v="40"/>
    <x v="0"/>
    <x v="54"/>
    <x v="1"/>
    <x v="5"/>
    <x v="1"/>
    <x v="46"/>
  </r>
  <r>
    <x v="12"/>
    <x v="2"/>
    <x v="17"/>
    <x v="6"/>
    <x v="2"/>
    <x v="6"/>
    <x v="0"/>
    <x v="40"/>
    <x v="0"/>
    <x v="54"/>
    <x v="1"/>
    <x v="5"/>
    <x v="1"/>
    <x v="46"/>
  </r>
  <r>
    <x v="6"/>
    <x v="1"/>
    <x v="17"/>
    <x v="4"/>
    <x v="4"/>
    <x v="4"/>
    <x v="0"/>
    <x v="17"/>
    <x v="9"/>
    <x v="40"/>
    <x v="1"/>
    <x v="5"/>
    <x v="1"/>
    <x v="21"/>
  </r>
  <r>
    <x v="10"/>
    <x v="0"/>
    <x v="17"/>
    <x v="4"/>
    <x v="9"/>
    <x v="4"/>
    <x v="2"/>
    <x v="17"/>
    <x v="7"/>
    <x v="32"/>
    <x v="1"/>
    <x v="5"/>
    <x v="1"/>
    <x v="28"/>
  </r>
  <r>
    <x v="10"/>
    <x v="0"/>
    <x v="17"/>
    <x v="4"/>
    <x v="9"/>
    <x v="4"/>
    <x v="2"/>
    <x v="17"/>
    <x v="7"/>
    <x v="28"/>
    <x v="1"/>
    <x v="5"/>
    <x v="1"/>
    <x v="28"/>
  </r>
  <r>
    <x v="11"/>
    <x v="0"/>
    <x v="17"/>
    <x v="4"/>
    <x v="10"/>
    <x v="6"/>
    <x v="2"/>
    <x v="40"/>
    <x v="8"/>
    <x v="41"/>
    <x v="2"/>
    <x v="5"/>
    <x v="2"/>
    <x v="61"/>
  </r>
  <r>
    <x v="11"/>
    <x v="2"/>
    <x v="17"/>
    <x v="4"/>
    <x v="13"/>
    <x v="6"/>
    <x v="2"/>
    <x v="40"/>
    <x v="6"/>
    <x v="41"/>
    <x v="2"/>
    <x v="5"/>
    <x v="2"/>
    <x v="61"/>
  </r>
  <r>
    <x v="9"/>
    <x v="0"/>
    <x v="18"/>
    <x v="4"/>
    <x v="0"/>
    <x v="0"/>
    <x v="0"/>
    <x v="0"/>
    <x v="3"/>
    <x v="56"/>
    <x v="3"/>
    <x v="2"/>
    <x v="0"/>
    <x v="0"/>
  </r>
  <r>
    <x v="9"/>
    <x v="0"/>
    <x v="18"/>
    <x v="4"/>
    <x v="1"/>
    <x v="7"/>
    <x v="0"/>
    <x v="57"/>
    <x v="2"/>
    <x v="43"/>
    <x v="4"/>
    <x v="0"/>
    <x v="3"/>
    <x v="81"/>
  </r>
  <r>
    <x v="3"/>
    <x v="0"/>
    <x v="18"/>
    <x v="6"/>
    <x v="3"/>
    <x v="0"/>
    <x v="0"/>
    <x v="0"/>
    <x v="4"/>
    <x v="56"/>
    <x v="7"/>
    <x v="4"/>
    <x v="0"/>
    <x v="0"/>
  </r>
  <r>
    <x v="6"/>
    <x v="1"/>
    <x v="18"/>
    <x v="4"/>
    <x v="4"/>
    <x v="0"/>
    <x v="0"/>
    <x v="0"/>
    <x v="9"/>
    <x v="40"/>
    <x v="3"/>
    <x v="2"/>
    <x v="0"/>
    <x v="0"/>
  </r>
  <r>
    <x v="6"/>
    <x v="1"/>
    <x v="18"/>
    <x v="4"/>
    <x v="4"/>
    <x v="0"/>
    <x v="0"/>
    <x v="0"/>
    <x v="9"/>
    <x v="9"/>
    <x v="1"/>
    <x v="0"/>
    <x v="0"/>
    <x v="0"/>
  </r>
  <r>
    <x v="6"/>
    <x v="1"/>
    <x v="18"/>
    <x v="4"/>
    <x v="4"/>
    <x v="4"/>
    <x v="0"/>
    <x v="18"/>
    <x v="9"/>
    <x v="45"/>
    <x v="1"/>
    <x v="5"/>
    <x v="1"/>
    <x v="22"/>
  </r>
  <r>
    <x v="7"/>
    <x v="1"/>
    <x v="18"/>
    <x v="5"/>
    <x v="4"/>
    <x v="5"/>
    <x v="0"/>
    <x v="33"/>
    <x v="9"/>
    <x v="52"/>
    <x v="1"/>
    <x v="5"/>
    <x v="1"/>
    <x v="44"/>
  </r>
  <r>
    <x v="0"/>
    <x v="2"/>
    <x v="18"/>
    <x v="4"/>
    <x v="6"/>
    <x v="6"/>
    <x v="0"/>
    <x v="42"/>
    <x v="12"/>
    <x v="44"/>
    <x v="2"/>
    <x v="5"/>
    <x v="2"/>
    <x v="50"/>
  </r>
  <r>
    <x v="1"/>
    <x v="2"/>
    <x v="18"/>
    <x v="4"/>
    <x v="7"/>
    <x v="8"/>
    <x v="0"/>
    <x v="62"/>
    <x v="1"/>
    <x v="62"/>
    <x v="8"/>
    <x v="3"/>
    <x v="4"/>
    <x v="80"/>
  </r>
  <r>
    <x v="10"/>
    <x v="0"/>
    <x v="18"/>
    <x v="4"/>
    <x v="9"/>
    <x v="7"/>
    <x v="2"/>
    <x v="57"/>
    <x v="7"/>
    <x v="41"/>
    <x v="3"/>
    <x v="5"/>
    <x v="3"/>
    <x v="81"/>
  </r>
  <r>
    <x v="10"/>
    <x v="0"/>
    <x v="18"/>
    <x v="4"/>
    <x v="9"/>
    <x v="6"/>
    <x v="2"/>
    <x v="42"/>
    <x v="7"/>
    <x v="12"/>
    <x v="2"/>
    <x v="5"/>
    <x v="2"/>
    <x v="63"/>
  </r>
  <r>
    <x v="11"/>
    <x v="2"/>
    <x v="18"/>
    <x v="0"/>
    <x v="13"/>
    <x v="0"/>
    <x v="2"/>
    <x v="0"/>
    <x v="6"/>
    <x v="53"/>
    <x v="1"/>
    <x v="0"/>
    <x v="0"/>
    <x v="0"/>
  </r>
  <r>
    <x v="13"/>
    <x v="2"/>
    <x v="19"/>
    <x v="0"/>
    <x v="2"/>
    <x v="1"/>
    <x v="0"/>
    <x v="3"/>
    <x v="0"/>
    <x v="62"/>
    <x v="1"/>
    <x v="5"/>
    <x v="1"/>
    <x v="2"/>
  </r>
  <r>
    <x v="6"/>
    <x v="1"/>
    <x v="20"/>
    <x v="5"/>
    <x v="4"/>
    <x v="9"/>
    <x v="0"/>
    <x v="66"/>
    <x v="9"/>
    <x v="52"/>
    <x v="3"/>
    <x v="5"/>
    <x v="3"/>
    <x v="87"/>
  </r>
  <r>
    <x v="12"/>
    <x v="2"/>
    <x v="21"/>
    <x v="6"/>
    <x v="2"/>
    <x v="6"/>
    <x v="0"/>
    <x v="44"/>
    <x v="0"/>
    <x v="54"/>
    <x v="1"/>
    <x v="5"/>
    <x v="1"/>
    <x v="54"/>
  </r>
  <r>
    <x v="12"/>
    <x v="2"/>
    <x v="21"/>
    <x v="5"/>
    <x v="2"/>
    <x v="7"/>
    <x v="0"/>
    <x v="58"/>
    <x v="0"/>
    <x v="54"/>
    <x v="2"/>
    <x v="5"/>
    <x v="2"/>
    <x v="71"/>
  </r>
  <r>
    <x v="15"/>
    <x v="2"/>
    <x v="21"/>
    <x v="1"/>
    <x v="2"/>
    <x v="0"/>
    <x v="0"/>
    <x v="0"/>
    <x v="0"/>
    <x v="20"/>
    <x v="1"/>
    <x v="0"/>
    <x v="0"/>
    <x v="0"/>
  </r>
  <r>
    <x v="13"/>
    <x v="2"/>
    <x v="21"/>
    <x v="4"/>
    <x v="2"/>
    <x v="4"/>
    <x v="0"/>
    <x v="19"/>
    <x v="0"/>
    <x v="44"/>
    <x v="1"/>
    <x v="5"/>
    <x v="1"/>
    <x v="17"/>
  </r>
  <r>
    <x v="15"/>
    <x v="2"/>
    <x v="21"/>
    <x v="4"/>
    <x v="2"/>
    <x v="4"/>
    <x v="0"/>
    <x v="19"/>
    <x v="0"/>
    <x v="44"/>
    <x v="1"/>
    <x v="5"/>
    <x v="1"/>
    <x v="17"/>
  </r>
  <r>
    <x v="5"/>
    <x v="1"/>
    <x v="21"/>
    <x v="4"/>
    <x v="4"/>
    <x v="6"/>
    <x v="0"/>
    <x v="44"/>
    <x v="9"/>
    <x v="16"/>
    <x v="2"/>
    <x v="5"/>
    <x v="2"/>
    <x v="56"/>
  </r>
  <r>
    <x v="5"/>
    <x v="1"/>
    <x v="21"/>
    <x v="2"/>
    <x v="4"/>
    <x v="2"/>
    <x v="0"/>
    <x v="9"/>
    <x v="9"/>
    <x v="62"/>
    <x v="1"/>
    <x v="5"/>
    <x v="1"/>
    <x v="9"/>
  </r>
  <r>
    <x v="8"/>
    <x v="0"/>
    <x v="22"/>
    <x v="4"/>
    <x v="3"/>
    <x v="0"/>
    <x v="0"/>
    <x v="0"/>
    <x v="4"/>
    <x v="37"/>
    <x v="1"/>
    <x v="0"/>
    <x v="0"/>
    <x v="0"/>
  </r>
  <r>
    <x v="3"/>
    <x v="0"/>
    <x v="22"/>
    <x v="4"/>
    <x v="3"/>
    <x v="10"/>
    <x v="0"/>
    <x v="69"/>
    <x v="4"/>
    <x v="62"/>
    <x v="6"/>
    <x v="0"/>
    <x v="5"/>
    <x v="94"/>
  </r>
  <r>
    <x v="3"/>
    <x v="0"/>
    <x v="22"/>
    <x v="6"/>
    <x v="3"/>
    <x v="0"/>
    <x v="0"/>
    <x v="0"/>
    <x v="4"/>
    <x v="62"/>
    <x v="1"/>
    <x v="0"/>
    <x v="0"/>
    <x v="0"/>
  </r>
  <r>
    <x v="3"/>
    <x v="0"/>
    <x v="22"/>
    <x v="6"/>
    <x v="3"/>
    <x v="0"/>
    <x v="0"/>
    <x v="0"/>
    <x v="4"/>
    <x v="0"/>
    <x v="1"/>
    <x v="0"/>
    <x v="0"/>
    <x v="0"/>
  </r>
  <r>
    <x v="5"/>
    <x v="1"/>
    <x v="22"/>
    <x v="4"/>
    <x v="4"/>
    <x v="6"/>
    <x v="0"/>
    <x v="45"/>
    <x v="9"/>
    <x v="17"/>
    <x v="2"/>
    <x v="5"/>
    <x v="2"/>
    <x v="60"/>
  </r>
  <r>
    <x v="5"/>
    <x v="1"/>
    <x v="22"/>
    <x v="4"/>
    <x v="4"/>
    <x v="6"/>
    <x v="0"/>
    <x v="45"/>
    <x v="9"/>
    <x v="14"/>
    <x v="2"/>
    <x v="5"/>
    <x v="2"/>
    <x v="60"/>
  </r>
  <r>
    <x v="6"/>
    <x v="1"/>
    <x v="22"/>
    <x v="0"/>
    <x v="4"/>
    <x v="1"/>
    <x v="0"/>
    <x v="4"/>
    <x v="9"/>
    <x v="10"/>
    <x v="1"/>
    <x v="5"/>
    <x v="1"/>
    <x v="6"/>
  </r>
  <r>
    <x v="6"/>
    <x v="1"/>
    <x v="22"/>
    <x v="4"/>
    <x v="4"/>
    <x v="4"/>
    <x v="0"/>
    <x v="20"/>
    <x v="9"/>
    <x v="10"/>
    <x v="1"/>
    <x v="5"/>
    <x v="1"/>
    <x v="27"/>
  </r>
  <r>
    <x v="2"/>
    <x v="1"/>
    <x v="22"/>
    <x v="5"/>
    <x v="5"/>
    <x v="5"/>
    <x v="1"/>
    <x v="36"/>
    <x v="10"/>
    <x v="17"/>
    <x v="1"/>
    <x v="5"/>
    <x v="1"/>
    <x v="58"/>
  </r>
  <r>
    <x v="10"/>
    <x v="0"/>
    <x v="22"/>
    <x v="4"/>
    <x v="9"/>
    <x v="8"/>
    <x v="2"/>
    <x v="65"/>
    <x v="7"/>
    <x v="41"/>
    <x v="4"/>
    <x v="5"/>
    <x v="4"/>
    <x v="89"/>
  </r>
  <r>
    <x v="11"/>
    <x v="2"/>
    <x v="22"/>
    <x v="4"/>
    <x v="13"/>
    <x v="4"/>
    <x v="2"/>
    <x v="20"/>
    <x v="6"/>
    <x v="53"/>
    <x v="4"/>
    <x v="2"/>
    <x v="1"/>
    <x v="35"/>
  </r>
  <r>
    <x v="6"/>
    <x v="0"/>
    <x v="23"/>
    <x v="4"/>
    <x v="0"/>
    <x v="4"/>
    <x v="0"/>
    <x v="23"/>
    <x v="3"/>
    <x v="60"/>
    <x v="1"/>
    <x v="5"/>
    <x v="1"/>
    <x v="39"/>
  </r>
  <r>
    <x v="10"/>
    <x v="0"/>
    <x v="23"/>
    <x v="4"/>
    <x v="9"/>
    <x v="6"/>
    <x v="2"/>
    <x v="47"/>
    <x v="7"/>
    <x v="41"/>
    <x v="3"/>
    <x v="0"/>
    <x v="2"/>
    <x v="70"/>
  </r>
  <r>
    <x v="11"/>
    <x v="1"/>
    <x v="24"/>
    <x v="3"/>
    <x v="11"/>
    <x v="3"/>
    <x v="0"/>
    <x v="16"/>
    <x v="11"/>
    <x v="26"/>
    <x v="1"/>
    <x v="5"/>
    <x v="1"/>
    <x v="25"/>
  </r>
  <r>
    <x v="16"/>
    <x v="0"/>
    <x v="25"/>
    <x v="4"/>
    <x v="1"/>
    <x v="6"/>
    <x v="0"/>
    <x v="49"/>
    <x v="2"/>
    <x v="60"/>
    <x v="2"/>
    <x v="5"/>
    <x v="2"/>
    <x v="72"/>
  </r>
  <r>
    <x v="12"/>
    <x v="2"/>
    <x v="25"/>
    <x v="6"/>
    <x v="2"/>
    <x v="8"/>
    <x v="0"/>
    <x v="67"/>
    <x v="0"/>
    <x v="54"/>
    <x v="2"/>
    <x v="5"/>
    <x v="2"/>
    <x v="82"/>
  </r>
  <r>
    <x v="4"/>
    <x v="0"/>
    <x v="25"/>
    <x v="4"/>
    <x v="3"/>
    <x v="0"/>
    <x v="0"/>
    <x v="0"/>
    <x v="4"/>
    <x v="56"/>
    <x v="1"/>
    <x v="0"/>
    <x v="0"/>
    <x v="0"/>
  </r>
  <r>
    <x v="4"/>
    <x v="0"/>
    <x v="25"/>
    <x v="4"/>
    <x v="3"/>
    <x v="0"/>
    <x v="0"/>
    <x v="0"/>
    <x v="4"/>
    <x v="37"/>
    <x v="1"/>
    <x v="0"/>
    <x v="0"/>
    <x v="0"/>
  </r>
  <r>
    <x v="5"/>
    <x v="1"/>
    <x v="25"/>
    <x v="4"/>
    <x v="4"/>
    <x v="4"/>
    <x v="0"/>
    <x v="25"/>
    <x v="9"/>
    <x v="34"/>
    <x v="1"/>
    <x v="5"/>
    <x v="1"/>
    <x v="31"/>
  </r>
  <r>
    <x v="6"/>
    <x v="1"/>
    <x v="25"/>
    <x v="4"/>
    <x v="4"/>
    <x v="4"/>
    <x v="0"/>
    <x v="25"/>
    <x v="9"/>
    <x v="36"/>
    <x v="1"/>
    <x v="5"/>
    <x v="1"/>
    <x v="31"/>
  </r>
  <r>
    <x v="6"/>
    <x v="1"/>
    <x v="25"/>
    <x v="4"/>
    <x v="4"/>
    <x v="4"/>
    <x v="0"/>
    <x v="25"/>
    <x v="9"/>
    <x v="15"/>
    <x v="1"/>
    <x v="5"/>
    <x v="1"/>
    <x v="31"/>
  </r>
  <r>
    <x v="6"/>
    <x v="1"/>
    <x v="25"/>
    <x v="4"/>
    <x v="4"/>
    <x v="4"/>
    <x v="0"/>
    <x v="25"/>
    <x v="9"/>
    <x v="40"/>
    <x v="1"/>
    <x v="5"/>
    <x v="1"/>
    <x v="31"/>
  </r>
  <r>
    <x v="6"/>
    <x v="1"/>
    <x v="25"/>
    <x v="4"/>
    <x v="4"/>
    <x v="4"/>
    <x v="0"/>
    <x v="25"/>
    <x v="9"/>
    <x v="24"/>
    <x v="1"/>
    <x v="5"/>
    <x v="1"/>
    <x v="31"/>
  </r>
  <r>
    <x v="0"/>
    <x v="2"/>
    <x v="25"/>
    <x v="4"/>
    <x v="6"/>
    <x v="4"/>
    <x v="0"/>
    <x v="25"/>
    <x v="12"/>
    <x v="44"/>
    <x v="1"/>
    <x v="5"/>
    <x v="1"/>
    <x v="22"/>
  </r>
  <r>
    <x v="4"/>
    <x v="2"/>
    <x v="25"/>
    <x v="4"/>
    <x v="7"/>
    <x v="4"/>
    <x v="0"/>
    <x v="25"/>
    <x v="1"/>
    <x v="53"/>
    <x v="2"/>
    <x v="0"/>
    <x v="1"/>
    <x v="22"/>
  </r>
  <r>
    <x v="9"/>
    <x v="0"/>
    <x v="26"/>
    <x v="4"/>
    <x v="1"/>
    <x v="7"/>
    <x v="0"/>
    <x v="59"/>
    <x v="2"/>
    <x v="42"/>
    <x v="3"/>
    <x v="5"/>
    <x v="3"/>
    <x v="84"/>
  </r>
  <r>
    <x v="4"/>
    <x v="0"/>
    <x v="27"/>
    <x v="4"/>
    <x v="3"/>
    <x v="7"/>
    <x v="0"/>
    <x v="60"/>
    <x v="4"/>
    <x v="56"/>
    <x v="3"/>
    <x v="5"/>
    <x v="3"/>
    <x v="85"/>
  </r>
  <r>
    <x v="14"/>
    <x v="0"/>
    <x v="28"/>
    <x v="4"/>
    <x v="1"/>
    <x v="0"/>
    <x v="0"/>
    <x v="0"/>
    <x v="2"/>
    <x v="42"/>
    <x v="1"/>
    <x v="0"/>
    <x v="0"/>
    <x v="0"/>
  </r>
  <r>
    <x v="15"/>
    <x v="2"/>
    <x v="28"/>
    <x v="4"/>
    <x v="2"/>
    <x v="0"/>
    <x v="0"/>
    <x v="0"/>
    <x v="13"/>
    <x v="55"/>
    <x v="1"/>
    <x v="0"/>
    <x v="0"/>
    <x v="0"/>
  </r>
  <r>
    <x v="5"/>
    <x v="1"/>
    <x v="28"/>
    <x v="4"/>
    <x v="4"/>
    <x v="6"/>
    <x v="0"/>
    <x v="50"/>
    <x v="9"/>
    <x v="29"/>
    <x v="2"/>
    <x v="5"/>
    <x v="2"/>
    <x v="65"/>
  </r>
  <r>
    <x v="6"/>
    <x v="1"/>
    <x v="29"/>
    <x v="4"/>
    <x v="4"/>
    <x v="6"/>
    <x v="0"/>
    <x v="51"/>
    <x v="9"/>
    <x v="38"/>
    <x v="2"/>
    <x v="5"/>
    <x v="2"/>
    <x v="67"/>
  </r>
  <r>
    <x v="6"/>
    <x v="1"/>
    <x v="29"/>
    <x v="4"/>
    <x v="4"/>
    <x v="4"/>
    <x v="0"/>
    <x v="27"/>
    <x v="9"/>
    <x v="38"/>
    <x v="1"/>
    <x v="5"/>
    <x v="1"/>
    <x v="36"/>
  </r>
  <r>
    <x v="4"/>
    <x v="2"/>
    <x v="29"/>
    <x v="4"/>
    <x v="7"/>
    <x v="4"/>
    <x v="0"/>
    <x v="27"/>
    <x v="1"/>
    <x v="1"/>
    <x v="1"/>
    <x v="5"/>
    <x v="1"/>
    <x v="26"/>
  </r>
  <r>
    <x v="14"/>
    <x v="0"/>
    <x v="30"/>
    <x v="4"/>
    <x v="1"/>
    <x v="6"/>
    <x v="0"/>
    <x v="53"/>
    <x v="2"/>
    <x v="42"/>
    <x v="2"/>
    <x v="5"/>
    <x v="2"/>
    <x v="75"/>
  </r>
  <r>
    <x v="8"/>
    <x v="0"/>
    <x v="30"/>
    <x v="6"/>
    <x v="3"/>
    <x v="8"/>
    <x v="0"/>
    <x v="68"/>
    <x v="4"/>
    <x v="37"/>
    <x v="3"/>
    <x v="0"/>
    <x v="2"/>
    <x v="93"/>
  </r>
  <r>
    <x v="5"/>
    <x v="1"/>
    <x v="30"/>
    <x v="4"/>
    <x v="4"/>
    <x v="8"/>
    <x v="0"/>
    <x v="68"/>
    <x v="9"/>
    <x v="16"/>
    <x v="4"/>
    <x v="5"/>
    <x v="4"/>
    <x v="90"/>
  </r>
  <r>
    <x v="2"/>
    <x v="1"/>
    <x v="30"/>
    <x v="5"/>
    <x v="5"/>
    <x v="5"/>
    <x v="1"/>
    <x v="41"/>
    <x v="10"/>
    <x v="62"/>
    <x v="1"/>
    <x v="5"/>
    <x v="1"/>
    <x v="68"/>
  </r>
  <r>
    <x v="4"/>
    <x v="0"/>
    <x v="31"/>
    <x v="6"/>
    <x v="3"/>
    <x v="0"/>
    <x v="0"/>
    <x v="0"/>
    <x v="4"/>
    <x v="62"/>
    <x v="2"/>
    <x v="1"/>
    <x v="0"/>
    <x v="0"/>
  </r>
  <r>
    <x v="5"/>
    <x v="1"/>
    <x v="31"/>
    <x v="5"/>
    <x v="4"/>
    <x v="5"/>
    <x v="0"/>
    <x v="43"/>
    <x v="9"/>
    <x v="22"/>
    <x v="1"/>
    <x v="5"/>
    <x v="1"/>
    <x v="55"/>
  </r>
  <r>
    <x v="6"/>
    <x v="0"/>
    <x v="32"/>
    <x v="4"/>
    <x v="0"/>
    <x v="6"/>
    <x v="0"/>
    <x v="55"/>
    <x v="3"/>
    <x v="60"/>
    <x v="3"/>
    <x v="0"/>
    <x v="2"/>
    <x v="78"/>
  </r>
  <r>
    <x v="16"/>
    <x v="0"/>
    <x v="32"/>
    <x v="4"/>
    <x v="1"/>
    <x v="4"/>
    <x v="0"/>
    <x v="31"/>
    <x v="2"/>
    <x v="60"/>
    <x v="1"/>
    <x v="5"/>
    <x v="1"/>
    <x v="47"/>
  </r>
  <r>
    <x v="12"/>
    <x v="2"/>
    <x v="32"/>
    <x v="6"/>
    <x v="2"/>
    <x v="8"/>
    <x v="0"/>
    <x v="70"/>
    <x v="0"/>
    <x v="54"/>
    <x v="2"/>
    <x v="5"/>
    <x v="2"/>
    <x v="88"/>
  </r>
  <r>
    <x v="7"/>
    <x v="1"/>
    <x v="32"/>
    <x v="4"/>
    <x v="4"/>
    <x v="8"/>
    <x v="0"/>
    <x v="70"/>
    <x v="9"/>
    <x v="40"/>
    <x v="4"/>
    <x v="5"/>
    <x v="4"/>
    <x v="91"/>
  </r>
  <r>
    <x v="2"/>
    <x v="1"/>
    <x v="32"/>
    <x v="4"/>
    <x v="4"/>
    <x v="4"/>
    <x v="0"/>
    <x v="31"/>
    <x v="9"/>
    <x v="48"/>
    <x v="1"/>
    <x v="5"/>
    <x v="1"/>
    <x v="41"/>
  </r>
  <r>
    <x v="7"/>
    <x v="1"/>
    <x v="32"/>
    <x v="4"/>
    <x v="4"/>
    <x v="7"/>
    <x v="0"/>
    <x v="64"/>
    <x v="9"/>
    <x v="40"/>
    <x v="3"/>
    <x v="5"/>
    <x v="3"/>
    <x v="86"/>
  </r>
  <r>
    <x v="5"/>
    <x v="1"/>
    <x v="32"/>
    <x v="4"/>
    <x v="4"/>
    <x v="4"/>
    <x v="0"/>
    <x v="31"/>
    <x v="9"/>
    <x v="48"/>
    <x v="1"/>
    <x v="5"/>
    <x v="1"/>
    <x v="41"/>
  </r>
  <r>
    <x v="3"/>
    <x v="0"/>
    <x v="33"/>
    <x v="4"/>
    <x v="3"/>
    <x v="4"/>
    <x v="0"/>
    <x v="32"/>
    <x v="4"/>
    <x v="56"/>
    <x v="1"/>
    <x v="5"/>
    <x v="1"/>
    <x v="49"/>
  </r>
  <r>
    <x v="8"/>
    <x v="0"/>
    <x v="33"/>
    <x v="5"/>
    <x v="3"/>
    <x v="7"/>
    <x v="0"/>
    <x v="65"/>
    <x v="4"/>
    <x v="59"/>
    <x v="2"/>
    <x v="5"/>
    <x v="2"/>
    <x v="89"/>
  </r>
  <r>
    <x v="6"/>
    <x v="1"/>
    <x v="33"/>
    <x v="5"/>
    <x v="4"/>
    <x v="5"/>
    <x v="0"/>
    <x v="45"/>
    <x v="9"/>
    <x v="38"/>
    <x v="1"/>
    <x v="5"/>
    <x v="1"/>
    <x v="60"/>
  </r>
  <r>
    <x v="6"/>
    <x v="1"/>
    <x v="33"/>
    <x v="4"/>
    <x v="4"/>
    <x v="4"/>
    <x v="0"/>
    <x v="32"/>
    <x v="9"/>
    <x v="38"/>
    <x v="1"/>
    <x v="5"/>
    <x v="1"/>
    <x v="42"/>
  </r>
  <r>
    <x v="11"/>
    <x v="2"/>
    <x v="34"/>
    <x v="0"/>
    <x v="12"/>
    <x v="1"/>
    <x v="2"/>
    <x v="10"/>
    <x v="5"/>
    <x v="62"/>
    <x v="1"/>
    <x v="5"/>
    <x v="1"/>
    <x v="15"/>
  </r>
  <r>
    <x v="6"/>
    <x v="1"/>
    <x v="35"/>
    <x v="5"/>
    <x v="4"/>
    <x v="5"/>
    <x v="0"/>
    <x v="46"/>
    <x v="9"/>
    <x v="29"/>
    <x v="1"/>
    <x v="5"/>
    <x v="1"/>
    <x v="62"/>
  </r>
  <r>
    <x v="6"/>
    <x v="1"/>
    <x v="35"/>
    <x v="5"/>
    <x v="4"/>
    <x v="5"/>
    <x v="0"/>
    <x v="46"/>
    <x v="9"/>
    <x v="29"/>
    <x v="1"/>
    <x v="5"/>
    <x v="1"/>
    <x v="62"/>
  </r>
  <r>
    <x v="6"/>
    <x v="1"/>
    <x v="36"/>
    <x v="4"/>
    <x v="4"/>
    <x v="4"/>
    <x v="0"/>
    <x v="36"/>
    <x v="9"/>
    <x v="11"/>
    <x v="1"/>
    <x v="5"/>
    <x v="1"/>
    <x v="48"/>
  </r>
  <r>
    <x v="15"/>
    <x v="0"/>
    <x v="37"/>
    <x v="4"/>
    <x v="1"/>
    <x v="4"/>
    <x v="0"/>
    <x v="39"/>
    <x v="2"/>
    <x v="35"/>
    <x v="1"/>
    <x v="5"/>
    <x v="1"/>
    <x v="59"/>
  </r>
  <r>
    <x v="10"/>
    <x v="0"/>
    <x v="37"/>
    <x v="5"/>
    <x v="3"/>
    <x v="5"/>
    <x v="0"/>
    <x v="54"/>
    <x v="4"/>
    <x v="35"/>
    <x v="1"/>
    <x v="5"/>
    <x v="1"/>
    <x v="77"/>
  </r>
  <r>
    <x v="15"/>
    <x v="0"/>
    <x v="38"/>
    <x v="4"/>
    <x v="1"/>
    <x v="7"/>
    <x v="0"/>
    <x v="71"/>
    <x v="2"/>
    <x v="35"/>
    <x v="3"/>
    <x v="5"/>
    <x v="3"/>
    <x v="95"/>
  </r>
  <r>
    <x v="8"/>
    <x v="0"/>
    <x v="38"/>
    <x v="6"/>
    <x v="3"/>
    <x v="8"/>
    <x v="0"/>
    <x v="72"/>
    <x v="4"/>
    <x v="37"/>
    <x v="5"/>
    <x v="2"/>
    <x v="2"/>
    <x v="96"/>
  </r>
  <r>
    <x v="7"/>
    <x v="0"/>
    <x v="38"/>
    <x v="5"/>
    <x v="3"/>
    <x v="11"/>
    <x v="0"/>
    <x v="74"/>
    <x v="4"/>
    <x v="59"/>
    <x v="4"/>
    <x v="5"/>
    <x v="4"/>
    <x v="98"/>
  </r>
  <r>
    <x v="8"/>
    <x v="0"/>
    <x v="38"/>
    <x v="5"/>
    <x v="3"/>
    <x v="9"/>
    <x v="0"/>
    <x v="73"/>
    <x v="4"/>
    <x v="59"/>
    <x v="3"/>
    <x v="5"/>
    <x v="3"/>
    <x v="97"/>
  </r>
  <r>
    <x v="8"/>
    <x v="0"/>
    <x v="38"/>
    <x v="5"/>
    <x v="3"/>
    <x v="5"/>
    <x v="0"/>
    <x v="56"/>
    <x v="4"/>
    <x v="59"/>
    <x v="1"/>
    <x v="5"/>
    <x v="1"/>
    <x v="79"/>
  </r>
  <r>
    <x v="8"/>
    <x v="0"/>
    <x v="38"/>
    <x v="4"/>
    <x v="3"/>
    <x v="4"/>
    <x v="0"/>
    <x v="40"/>
    <x v="4"/>
    <x v="59"/>
    <x v="1"/>
    <x v="5"/>
    <x v="1"/>
    <x v="61"/>
  </r>
  <r>
    <x v="8"/>
    <x v="0"/>
    <x v="38"/>
    <x v="2"/>
    <x v="3"/>
    <x v="2"/>
    <x v="0"/>
    <x v="29"/>
    <x v="4"/>
    <x v="59"/>
    <x v="1"/>
    <x v="5"/>
    <x v="1"/>
    <x v="45"/>
  </r>
  <r>
    <x v="7"/>
    <x v="1"/>
    <x v="38"/>
    <x v="5"/>
    <x v="4"/>
    <x v="5"/>
    <x v="0"/>
    <x v="56"/>
    <x v="9"/>
    <x v="48"/>
    <x v="1"/>
    <x v="5"/>
    <x v="1"/>
    <x v="73"/>
  </r>
  <r>
    <x v="7"/>
    <x v="1"/>
    <x v="38"/>
    <x v="0"/>
    <x v="4"/>
    <x v="1"/>
    <x v="0"/>
    <x v="17"/>
    <x v="9"/>
    <x v="62"/>
    <x v="2"/>
    <x v="0"/>
    <x v="1"/>
    <x v="21"/>
  </r>
  <r>
    <x v="7"/>
    <x v="1"/>
    <x v="38"/>
    <x v="5"/>
    <x v="4"/>
    <x v="7"/>
    <x v="0"/>
    <x v="71"/>
    <x v="9"/>
    <x v="57"/>
    <x v="2"/>
    <x v="5"/>
    <x v="2"/>
    <x v="9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957">
  <r>
    <x v="448"/>
    <x v="591"/>
    <x v="0"/>
    <x v="71"/>
    <x v="362"/>
    <x v="8"/>
  </r>
  <r>
    <x v="5"/>
    <x v="304"/>
    <x v="1"/>
    <x v="34"/>
    <x v="110"/>
    <x v="4"/>
  </r>
  <r>
    <x v="7"/>
    <x v="359"/>
    <x v="1"/>
    <x v="71"/>
    <x v="195"/>
    <x v="2"/>
  </r>
  <r>
    <x v="6"/>
    <x v="362"/>
    <x v="1"/>
    <x v="72"/>
    <x v="116"/>
    <x v="2"/>
  </r>
  <r>
    <x v="1205"/>
    <x v="162"/>
    <x v="1"/>
    <x v="37"/>
    <x v="144"/>
    <x v="8"/>
  </r>
  <r>
    <x v="1200"/>
    <x v="292"/>
    <x v="1"/>
    <x v="38"/>
    <x v="315"/>
    <x v="8"/>
  </r>
  <r>
    <x v="8"/>
    <x v="295"/>
    <x v="1"/>
    <x v="48"/>
    <x v="349"/>
    <x v="8"/>
  </r>
  <r>
    <x v="4"/>
    <x v="452"/>
    <x v="1"/>
    <x v="76"/>
    <x v="484"/>
    <x v="18"/>
  </r>
  <r>
    <x v="9"/>
    <x v="488"/>
    <x v="2"/>
    <x v="35"/>
    <x v="110"/>
    <x v="10"/>
  </r>
  <r>
    <x v="12"/>
    <x v="328"/>
    <x v="2"/>
    <x v="42"/>
    <x v="222"/>
    <x v="4"/>
  </r>
  <r>
    <x v="1206"/>
    <x v="230"/>
    <x v="2"/>
    <x v="71"/>
    <x v="62"/>
    <x v="2"/>
  </r>
  <r>
    <x v="1207"/>
    <x v="171"/>
    <x v="2"/>
    <x v="48"/>
    <x v="210"/>
    <x v="4"/>
  </r>
  <r>
    <x v="15"/>
    <x v="294"/>
    <x v="2"/>
    <x v="30"/>
    <x v="351"/>
    <x v="2"/>
  </r>
  <r>
    <x v="14"/>
    <x v="574"/>
    <x v="2"/>
    <x v="44"/>
    <x v="158"/>
    <x v="8"/>
  </r>
  <r>
    <x v="1208"/>
    <x v="433"/>
    <x v="2"/>
    <x v="44"/>
    <x v="168"/>
    <x v="8"/>
  </r>
  <r>
    <x v="11"/>
    <x v="558"/>
    <x v="2"/>
    <x v="48"/>
    <x v="271"/>
    <x v="8"/>
  </r>
  <r>
    <x v="798"/>
    <x v="16"/>
    <x v="2"/>
    <x v="48"/>
    <x v="280"/>
    <x v="8"/>
  </r>
  <r>
    <x v="10"/>
    <x v="161"/>
    <x v="2"/>
    <x v="70"/>
    <x v="282"/>
    <x v="8"/>
  </r>
  <r>
    <x v="13"/>
    <x v="565"/>
    <x v="2"/>
    <x v="71"/>
    <x v="196"/>
    <x v="8"/>
  </r>
  <r>
    <x v="798"/>
    <x v="16"/>
    <x v="2"/>
    <x v="71"/>
    <x v="380"/>
    <x v="8"/>
  </r>
  <r>
    <x v="30"/>
    <x v="574"/>
    <x v="3"/>
    <x v="14"/>
    <x v="187"/>
    <x v="9"/>
  </r>
  <r>
    <x v="1214"/>
    <x v="417"/>
    <x v="3"/>
    <x v="14"/>
    <x v="110"/>
    <x v="4"/>
  </r>
  <r>
    <x v="1214"/>
    <x v="417"/>
    <x v="3"/>
    <x v="23"/>
    <x v="95"/>
    <x v="4"/>
  </r>
  <r>
    <x v="37"/>
    <x v="593"/>
    <x v="3"/>
    <x v="48"/>
    <x v="360"/>
    <x v="4"/>
  </r>
  <r>
    <x v="36"/>
    <x v="475"/>
    <x v="3"/>
    <x v="72"/>
    <x v="167"/>
    <x v="2"/>
  </r>
  <r>
    <x v="1217"/>
    <x v="71"/>
    <x v="3"/>
    <x v="11"/>
    <x v="127"/>
    <x v="8"/>
  </r>
  <r>
    <x v="1216"/>
    <x v="349"/>
    <x v="3"/>
    <x v="14"/>
    <x v="308"/>
    <x v="8"/>
  </r>
  <r>
    <x v="1216"/>
    <x v="349"/>
    <x v="3"/>
    <x v="24"/>
    <x v="355"/>
    <x v="8"/>
  </r>
  <r>
    <x v="1218"/>
    <x v="402"/>
    <x v="3"/>
    <x v="24"/>
    <x v="62"/>
    <x v="8"/>
  </r>
  <r>
    <x v="29"/>
    <x v="574"/>
    <x v="3"/>
    <x v="26"/>
    <x v="155"/>
    <x v="8"/>
  </r>
  <r>
    <x v="32"/>
    <x v="151"/>
    <x v="3"/>
    <x v="44"/>
    <x v="251"/>
    <x v="8"/>
  </r>
  <r>
    <x v="1215"/>
    <x v="575"/>
    <x v="3"/>
    <x v="44"/>
    <x v="111"/>
    <x v="8"/>
  </r>
  <r>
    <x v="877"/>
    <x v="56"/>
    <x v="3"/>
    <x v="55"/>
    <x v="251"/>
    <x v="8"/>
  </r>
  <r>
    <x v="34"/>
    <x v="196"/>
    <x v="3"/>
    <x v="55"/>
    <x v="315"/>
    <x v="8"/>
  </r>
  <r>
    <x v="33"/>
    <x v="196"/>
    <x v="3"/>
    <x v="55"/>
    <x v="263"/>
    <x v="8"/>
  </r>
  <r>
    <x v="1213"/>
    <x v="363"/>
    <x v="3"/>
    <x v="55"/>
    <x v="430"/>
    <x v="8"/>
  </r>
  <r>
    <x v="21"/>
    <x v="158"/>
    <x v="3"/>
    <x v="71"/>
    <x v="198"/>
    <x v="8"/>
  </r>
  <r>
    <x v="1229"/>
    <x v="419"/>
    <x v="4"/>
    <x v="48"/>
    <x v="187"/>
    <x v="6"/>
  </r>
  <r>
    <x v="1231"/>
    <x v="293"/>
    <x v="4"/>
    <x v="51"/>
    <x v="343"/>
    <x v="4"/>
  </r>
  <r>
    <x v="1230"/>
    <x v="29"/>
    <x v="4"/>
    <x v="61"/>
    <x v="106"/>
    <x v="4"/>
  </r>
  <r>
    <x v="45"/>
    <x v="510"/>
    <x v="4"/>
    <x v="26"/>
    <x v="168"/>
    <x v="8"/>
  </r>
  <r>
    <x v="1228"/>
    <x v="57"/>
    <x v="4"/>
    <x v="44"/>
    <x v="46"/>
    <x v="8"/>
  </r>
  <r>
    <x v="1232"/>
    <x v="72"/>
    <x v="4"/>
    <x v="48"/>
    <x v="347"/>
    <x v="8"/>
  </r>
  <r>
    <x v="44"/>
    <x v="119"/>
    <x v="4"/>
    <x v="71"/>
    <x v="78"/>
    <x v="8"/>
  </r>
  <r>
    <x v="50"/>
    <x v="552"/>
    <x v="5"/>
    <x v="6"/>
    <x v="287"/>
    <x v="8"/>
  </r>
  <r>
    <x v="57"/>
    <x v="189"/>
    <x v="5"/>
    <x v="55"/>
    <x v="200"/>
    <x v="6"/>
  </r>
  <r>
    <x v="1234"/>
    <x v="468"/>
    <x v="5"/>
    <x v="47"/>
    <x v="285"/>
    <x v="10"/>
  </r>
  <r>
    <x v="51"/>
    <x v="270"/>
    <x v="5"/>
    <x v="48"/>
    <x v="405"/>
    <x v="4"/>
  </r>
  <r>
    <x v="56"/>
    <x v="307"/>
    <x v="5"/>
    <x v="76"/>
    <x v="108"/>
    <x v="2"/>
  </r>
  <r>
    <x v="1235"/>
    <x v="323"/>
    <x v="5"/>
    <x v="55"/>
    <x v="251"/>
    <x v="4"/>
  </r>
  <r>
    <x v="54"/>
    <x v="508"/>
    <x v="5"/>
    <x v="23"/>
    <x v="398"/>
    <x v="8"/>
  </r>
  <r>
    <x v="1236"/>
    <x v="162"/>
    <x v="5"/>
    <x v="34"/>
    <x v="315"/>
    <x v="8"/>
  </r>
  <r>
    <x v="54"/>
    <x v="508"/>
    <x v="5"/>
    <x v="42"/>
    <x v="301"/>
    <x v="8"/>
  </r>
  <r>
    <x v="55"/>
    <x v="15"/>
    <x v="5"/>
    <x v="71"/>
    <x v="256"/>
    <x v="8"/>
  </r>
  <r>
    <x v="53"/>
    <x v="252"/>
    <x v="5"/>
    <x v="71"/>
    <x v="263"/>
    <x v="8"/>
  </r>
  <r>
    <x v="68"/>
    <x v="574"/>
    <x v="6"/>
    <x v="33"/>
    <x v="242"/>
    <x v="9"/>
  </r>
  <r>
    <x v="67"/>
    <x v="574"/>
    <x v="6"/>
    <x v="14"/>
    <x v="171"/>
    <x v="9"/>
  </r>
  <r>
    <x v="71"/>
    <x v="147"/>
    <x v="6"/>
    <x v="18"/>
    <x v="39"/>
    <x v="8"/>
  </r>
  <r>
    <x v="71"/>
    <x v="147"/>
    <x v="6"/>
    <x v="24"/>
    <x v="55"/>
    <x v="8"/>
  </r>
  <r>
    <x v="69"/>
    <x v="459"/>
    <x v="6"/>
    <x v="30"/>
    <x v="351"/>
    <x v="8"/>
  </r>
  <r>
    <x v="71"/>
    <x v="147"/>
    <x v="6"/>
    <x v="30"/>
    <x v="144"/>
    <x v="8"/>
  </r>
  <r>
    <x v="1238"/>
    <x v="319"/>
    <x v="6"/>
    <x v="35"/>
    <x v="169"/>
    <x v="8"/>
  </r>
  <r>
    <x v="70"/>
    <x v="321"/>
    <x v="6"/>
    <x v="47"/>
    <x v="259"/>
    <x v="8"/>
  </r>
  <r>
    <x v="72"/>
    <x v="274"/>
    <x v="6"/>
    <x v="47"/>
    <x v="99"/>
    <x v="8"/>
  </r>
  <r>
    <x v="64"/>
    <x v="197"/>
    <x v="6"/>
    <x v="48"/>
    <x v="333"/>
    <x v="8"/>
  </r>
  <r>
    <x v="46"/>
    <x v="291"/>
    <x v="6"/>
    <x v="48"/>
    <x v="375"/>
    <x v="8"/>
  </r>
  <r>
    <x v="65"/>
    <x v="448"/>
    <x v="6"/>
    <x v="52"/>
    <x v="239"/>
    <x v="8"/>
  </r>
  <r>
    <x v="58"/>
    <x v="197"/>
    <x v="6"/>
    <x v="52"/>
    <x v="412"/>
    <x v="8"/>
  </r>
  <r>
    <x v="66"/>
    <x v="370"/>
    <x v="6"/>
    <x v="71"/>
    <x v="215"/>
    <x v="18"/>
  </r>
  <r>
    <x v="1405"/>
    <x v="591"/>
    <x v="7"/>
    <x v="24"/>
    <x v="307"/>
    <x v="8"/>
  </r>
  <r>
    <x v="1405"/>
    <x v="591"/>
    <x v="7"/>
    <x v="47"/>
    <x v="448"/>
    <x v="8"/>
  </r>
  <r>
    <x v="1405"/>
    <x v="591"/>
    <x v="7"/>
    <x v="71"/>
    <x v="388"/>
    <x v="8"/>
  </r>
  <r>
    <x v="1405"/>
    <x v="405"/>
    <x v="7"/>
    <x v="72"/>
    <x v="323"/>
    <x v="8"/>
  </r>
  <r>
    <x v="1405"/>
    <x v="6"/>
    <x v="8"/>
    <x v="48"/>
    <x v="315"/>
    <x v="2"/>
  </r>
  <r>
    <x v="1405"/>
    <x v="91"/>
    <x v="8"/>
    <x v="48"/>
    <x v="168"/>
    <x v="1"/>
  </r>
  <r>
    <x v="1405"/>
    <x v="224"/>
    <x v="8"/>
    <x v="44"/>
    <x v="158"/>
    <x v="4"/>
  </r>
  <r>
    <x v="1405"/>
    <x v="321"/>
    <x v="8"/>
    <x v="47"/>
    <x v="259"/>
    <x v="8"/>
  </r>
  <r>
    <x v="1405"/>
    <x v="264"/>
    <x v="8"/>
    <x v="72"/>
    <x v="116"/>
    <x v="8"/>
  </r>
  <r>
    <x v="1405"/>
    <x v="500"/>
    <x v="8"/>
    <x v="72"/>
    <x v="322"/>
    <x v="8"/>
  </r>
  <r>
    <x v="1405"/>
    <x v="546"/>
    <x v="9"/>
    <x v="44"/>
    <x v="257"/>
    <x v="8"/>
  </r>
  <r>
    <x v="1405"/>
    <x v="437"/>
    <x v="9"/>
    <x v="55"/>
    <x v="382"/>
    <x v="8"/>
  </r>
  <r>
    <x v="1405"/>
    <x v="253"/>
    <x v="10"/>
    <x v="60"/>
    <x v="123"/>
    <x v="13"/>
  </r>
  <r>
    <x v="1405"/>
    <x v="460"/>
    <x v="10"/>
    <x v="22"/>
    <x v="158"/>
    <x v="6"/>
  </r>
  <r>
    <x v="1405"/>
    <x v="365"/>
    <x v="10"/>
    <x v="35"/>
    <x v="144"/>
    <x v="4"/>
  </r>
  <r>
    <x v="1405"/>
    <x v="230"/>
    <x v="10"/>
    <x v="71"/>
    <x v="62"/>
    <x v="2"/>
  </r>
  <r>
    <x v="1405"/>
    <x v="171"/>
    <x v="10"/>
    <x v="48"/>
    <x v="239"/>
    <x v="4"/>
  </r>
  <r>
    <x v="1405"/>
    <x v="253"/>
    <x v="10"/>
    <x v="14"/>
    <x v="263"/>
    <x v="8"/>
  </r>
  <r>
    <x v="1405"/>
    <x v="228"/>
    <x v="10"/>
    <x v="30"/>
    <x v="210"/>
    <x v="8"/>
  </r>
  <r>
    <x v="1405"/>
    <x v="79"/>
    <x v="10"/>
    <x v="30"/>
    <x v="305"/>
    <x v="8"/>
  </r>
  <r>
    <x v="1405"/>
    <x v="365"/>
    <x v="10"/>
    <x v="35"/>
    <x v="237"/>
    <x v="8"/>
  </r>
  <r>
    <x v="1405"/>
    <x v="189"/>
    <x v="10"/>
    <x v="38"/>
    <x v="424"/>
    <x v="8"/>
  </r>
  <r>
    <x v="1405"/>
    <x v="338"/>
    <x v="10"/>
    <x v="44"/>
    <x v="210"/>
    <x v="8"/>
  </r>
  <r>
    <x v="1405"/>
    <x v="392"/>
    <x v="10"/>
    <x v="47"/>
    <x v="324"/>
    <x v="8"/>
  </r>
  <r>
    <x v="1405"/>
    <x v="372"/>
    <x v="10"/>
    <x v="47"/>
    <x v="263"/>
    <x v="8"/>
  </r>
  <r>
    <x v="1405"/>
    <x v="172"/>
    <x v="10"/>
    <x v="50"/>
    <x v="137"/>
    <x v="8"/>
  </r>
  <r>
    <x v="1405"/>
    <x v="189"/>
    <x v="10"/>
    <x v="64"/>
    <x v="315"/>
    <x v="8"/>
  </r>
  <r>
    <x v="1405"/>
    <x v="253"/>
    <x v="10"/>
    <x v="71"/>
    <x v="256"/>
    <x v="8"/>
  </r>
  <r>
    <x v="1405"/>
    <x v="16"/>
    <x v="11"/>
    <x v="71"/>
    <x v="438"/>
    <x v="8"/>
  </r>
  <r>
    <x v="1405"/>
    <x v="308"/>
    <x v="11"/>
    <x v="76"/>
    <x v="223"/>
    <x v="18"/>
  </r>
  <r>
    <x v="1405"/>
    <x v="526"/>
    <x v="12"/>
    <x v="26"/>
    <x v="395"/>
    <x v="18"/>
  </r>
  <r>
    <x v="1405"/>
    <x v="395"/>
    <x v="12"/>
    <x v="35"/>
    <x v="287"/>
    <x v="4"/>
  </r>
  <r>
    <x v="1405"/>
    <x v="574"/>
    <x v="12"/>
    <x v="26"/>
    <x v="110"/>
    <x v="8"/>
  </r>
  <r>
    <x v="1405"/>
    <x v="149"/>
    <x v="12"/>
    <x v="30"/>
    <x v="176"/>
    <x v="8"/>
  </r>
  <r>
    <x v="1405"/>
    <x v="88"/>
    <x v="12"/>
    <x v="43"/>
    <x v="162"/>
    <x v="8"/>
  </r>
  <r>
    <x v="1405"/>
    <x v="149"/>
    <x v="12"/>
    <x v="44"/>
    <x v="110"/>
    <x v="8"/>
  </r>
  <r>
    <x v="1405"/>
    <x v="149"/>
    <x v="12"/>
    <x v="47"/>
    <x v="168"/>
    <x v="8"/>
  </r>
  <r>
    <x v="1405"/>
    <x v="356"/>
    <x v="13"/>
    <x v="8"/>
    <x v="210"/>
    <x v="8"/>
  </r>
  <r>
    <x v="1405"/>
    <x v="442"/>
    <x v="13"/>
    <x v="13"/>
    <x v="197"/>
    <x v="8"/>
  </r>
  <r>
    <x v="1405"/>
    <x v="542"/>
    <x v="13"/>
    <x v="35"/>
    <x v="110"/>
    <x v="13"/>
  </r>
  <r>
    <x v="1405"/>
    <x v="270"/>
    <x v="13"/>
    <x v="48"/>
    <x v="408"/>
    <x v="4"/>
  </r>
  <r>
    <x v="1405"/>
    <x v="524"/>
    <x v="13"/>
    <x v="29"/>
    <x v="300"/>
    <x v="2"/>
  </r>
  <r>
    <x v="1405"/>
    <x v="442"/>
    <x v="13"/>
    <x v="23"/>
    <x v="169"/>
    <x v="8"/>
  </r>
  <r>
    <x v="1405"/>
    <x v="554"/>
    <x v="13"/>
    <x v="24"/>
    <x v="133"/>
    <x v="8"/>
  </r>
  <r>
    <x v="1405"/>
    <x v="524"/>
    <x v="13"/>
    <x v="29"/>
    <x v="200"/>
    <x v="8"/>
  </r>
  <r>
    <x v="1405"/>
    <x v="442"/>
    <x v="13"/>
    <x v="38"/>
    <x v="315"/>
    <x v="8"/>
  </r>
  <r>
    <x v="1405"/>
    <x v="363"/>
    <x v="13"/>
    <x v="42"/>
    <x v="315"/>
    <x v="8"/>
  </r>
  <r>
    <x v="1405"/>
    <x v="205"/>
    <x v="13"/>
    <x v="44"/>
    <x v="16"/>
    <x v="8"/>
  </r>
  <r>
    <x v="1405"/>
    <x v="533"/>
    <x v="13"/>
    <x v="44"/>
    <x v="247"/>
    <x v="8"/>
  </r>
  <r>
    <x v="1405"/>
    <x v="223"/>
    <x v="13"/>
    <x v="47"/>
    <x v="117"/>
    <x v="8"/>
  </r>
  <r>
    <x v="1405"/>
    <x v="524"/>
    <x v="13"/>
    <x v="47"/>
    <x v="469"/>
    <x v="8"/>
  </r>
  <r>
    <x v="1405"/>
    <x v="524"/>
    <x v="13"/>
    <x v="48"/>
    <x v="257"/>
    <x v="8"/>
  </r>
  <r>
    <x v="1405"/>
    <x v="130"/>
    <x v="13"/>
    <x v="55"/>
    <x v="199"/>
    <x v="8"/>
  </r>
  <r>
    <x v="1405"/>
    <x v="22"/>
    <x v="13"/>
    <x v="58"/>
    <x v="144"/>
    <x v="8"/>
  </r>
  <r>
    <x v="1405"/>
    <x v="367"/>
    <x v="13"/>
    <x v="71"/>
    <x v="98"/>
    <x v="8"/>
  </r>
  <r>
    <x v="1405"/>
    <x v="126"/>
    <x v="13"/>
    <x v="72"/>
    <x v="323"/>
    <x v="18"/>
  </r>
  <r>
    <x v="1405"/>
    <x v="161"/>
    <x v="14"/>
    <x v="8"/>
    <x v="369"/>
    <x v="8"/>
  </r>
  <r>
    <x v="1405"/>
    <x v="364"/>
    <x v="14"/>
    <x v="14"/>
    <x v="226"/>
    <x v="4"/>
  </r>
  <r>
    <x v="1405"/>
    <x v="68"/>
    <x v="14"/>
    <x v="48"/>
    <x v="281"/>
    <x v="4"/>
  </r>
  <r>
    <x v="1405"/>
    <x v="381"/>
    <x v="14"/>
    <x v="72"/>
    <x v="399"/>
    <x v="4"/>
  </r>
  <r>
    <x v="1405"/>
    <x v="291"/>
    <x v="14"/>
    <x v="22"/>
    <x v="366"/>
    <x v="8"/>
  </r>
  <r>
    <x v="1405"/>
    <x v="573"/>
    <x v="14"/>
    <x v="26"/>
    <x v="351"/>
    <x v="8"/>
  </r>
  <r>
    <x v="1405"/>
    <x v="459"/>
    <x v="14"/>
    <x v="30"/>
    <x v="351"/>
    <x v="8"/>
  </r>
  <r>
    <x v="1405"/>
    <x v="161"/>
    <x v="14"/>
    <x v="33"/>
    <x v="315"/>
    <x v="8"/>
  </r>
  <r>
    <x v="1405"/>
    <x v="338"/>
    <x v="14"/>
    <x v="33"/>
    <x v="208"/>
    <x v="8"/>
  </r>
  <r>
    <x v="1405"/>
    <x v="408"/>
    <x v="14"/>
    <x v="40"/>
    <x v="89"/>
    <x v="8"/>
  </r>
  <r>
    <x v="1405"/>
    <x v="7"/>
    <x v="14"/>
    <x v="40"/>
    <x v="187"/>
    <x v="8"/>
  </r>
  <r>
    <x v="1405"/>
    <x v="409"/>
    <x v="14"/>
    <x v="44"/>
    <x v="30"/>
    <x v="8"/>
  </r>
  <r>
    <x v="1405"/>
    <x v="342"/>
    <x v="14"/>
    <x v="47"/>
    <x v="271"/>
    <x v="8"/>
  </r>
  <r>
    <x v="1405"/>
    <x v="194"/>
    <x v="14"/>
    <x v="48"/>
    <x v="226"/>
    <x v="8"/>
  </r>
  <r>
    <x v="1405"/>
    <x v="548"/>
    <x v="14"/>
    <x v="48"/>
    <x v="456"/>
    <x v="8"/>
  </r>
  <r>
    <x v="1405"/>
    <x v="430"/>
    <x v="14"/>
    <x v="58"/>
    <x v="330"/>
    <x v="8"/>
  </r>
  <r>
    <x v="1405"/>
    <x v="161"/>
    <x v="14"/>
    <x v="70"/>
    <x v="310"/>
    <x v="8"/>
  </r>
  <r>
    <x v="1405"/>
    <x v="113"/>
    <x v="14"/>
    <x v="29"/>
    <x v="28"/>
    <x v="18"/>
  </r>
  <r>
    <x v="1405"/>
    <x v="161"/>
    <x v="14"/>
    <x v="76"/>
    <x v="455"/>
    <x v="18"/>
  </r>
  <r>
    <x v="1405"/>
    <x v="4"/>
    <x v="15"/>
    <x v="71"/>
    <x v="195"/>
    <x v="2"/>
  </r>
  <r>
    <x v="1405"/>
    <x v="53"/>
    <x v="15"/>
    <x v="64"/>
    <x v="142"/>
    <x v="2"/>
  </r>
  <r>
    <x v="1405"/>
    <x v="486"/>
    <x v="15"/>
    <x v="71"/>
    <x v="273"/>
    <x v="2"/>
  </r>
  <r>
    <x v="1405"/>
    <x v="152"/>
    <x v="15"/>
    <x v="30"/>
    <x v="210"/>
    <x v="8"/>
  </r>
  <r>
    <x v="1405"/>
    <x v="396"/>
    <x v="15"/>
    <x v="36"/>
    <x v="326"/>
    <x v="8"/>
  </r>
  <r>
    <x v="1405"/>
    <x v="556"/>
    <x v="15"/>
    <x v="44"/>
    <x v="345"/>
    <x v="8"/>
  </r>
  <r>
    <x v="1405"/>
    <x v="410"/>
    <x v="15"/>
    <x v="44"/>
    <x v="424"/>
    <x v="8"/>
  </r>
  <r>
    <x v="1405"/>
    <x v="483"/>
    <x v="15"/>
    <x v="47"/>
    <x v="59"/>
    <x v="8"/>
  </r>
  <r>
    <x v="1405"/>
    <x v="448"/>
    <x v="15"/>
    <x v="52"/>
    <x v="424"/>
    <x v="8"/>
  </r>
  <r>
    <x v="1405"/>
    <x v="139"/>
    <x v="15"/>
    <x v="76"/>
    <x v="134"/>
    <x v="18"/>
  </r>
  <r>
    <x v="1405"/>
    <x v="148"/>
    <x v="15"/>
    <x v="76"/>
    <x v="134"/>
    <x v="18"/>
  </r>
  <r>
    <x v="1405"/>
    <x v="8"/>
    <x v="16"/>
    <x v="11"/>
    <x v="187"/>
    <x v="13"/>
  </r>
  <r>
    <x v="1405"/>
    <x v="186"/>
    <x v="16"/>
    <x v="47"/>
    <x v="69"/>
    <x v="2"/>
  </r>
  <r>
    <x v="1405"/>
    <x v="354"/>
    <x v="16"/>
    <x v="8"/>
    <x v="305"/>
    <x v="1"/>
  </r>
  <r>
    <x v="1405"/>
    <x v="371"/>
    <x v="16"/>
    <x v="22"/>
    <x v="82"/>
    <x v="8"/>
  </r>
  <r>
    <x v="1405"/>
    <x v="294"/>
    <x v="16"/>
    <x v="29"/>
    <x v="332"/>
    <x v="8"/>
  </r>
  <r>
    <x v="1405"/>
    <x v="21"/>
    <x v="16"/>
    <x v="29"/>
    <x v="278"/>
    <x v="8"/>
  </r>
  <r>
    <x v="1405"/>
    <x v="294"/>
    <x v="16"/>
    <x v="33"/>
    <x v="85"/>
    <x v="8"/>
  </r>
  <r>
    <x v="1405"/>
    <x v="21"/>
    <x v="16"/>
    <x v="38"/>
    <x v="301"/>
    <x v="8"/>
  </r>
  <r>
    <x v="1405"/>
    <x v="552"/>
    <x v="16"/>
    <x v="44"/>
    <x v="281"/>
    <x v="8"/>
  </r>
  <r>
    <x v="1405"/>
    <x v="436"/>
    <x v="16"/>
    <x v="44"/>
    <x v="75"/>
    <x v="8"/>
  </r>
  <r>
    <x v="1405"/>
    <x v="436"/>
    <x v="16"/>
    <x v="48"/>
    <x v="336"/>
    <x v="8"/>
  </r>
  <r>
    <x v="1405"/>
    <x v="145"/>
    <x v="16"/>
    <x v="52"/>
    <x v="265"/>
    <x v="8"/>
  </r>
  <r>
    <x v="1405"/>
    <x v="131"/>
    <x v="16"/>
    <x v="55"/>
    <x v="299"/>
    <x v="8"/>
  </r>
  <r>
    <x v="1405"/>
    <x v="196"/>
    <x v="16"/>
    <x v="55"/>
    <x v="278"/>
    <x v="8"/>
  </r>
  <r>
    <x v="1405"/>
    <x v="315"/>
    <x v="16"/>
    <x v="71"/>
    <x v="195"/>
    <x v="8"/>
  </r>
  <r>
    <x v="1405"/>
    <x v="591"/>
    <x v="16"/>
    <x v="71"/>
    <x v="397"/>
    <x v="8"/>
  </r>
  <r>
    <x v="1405"/>
    <x v="162"/>
    <x v="16"/>
    <x v="71"/>
    <x v="93"/>
    <x v="8"/>
  </r>
  <r>
    <x v="143"/>
    <x v="483"/>
    <x v="17"/>
    <x v="11"/>
    <x v="214"/>
    <x v="8"/>
  </r>
  <r>
    <x v="133"/>
    <x v="189"/>
    <x v="17"/>
    <x v="55"/>
    <x v="294"/>
    <x v="2"/>
  </r>
  <r>
    <x v="134"/>
    <x v="189"/>
    <x v="17"/>
    <x v="33"/>
    <x v="337"/>
    <x v="2"/>
  </r>
  <r>
    <x v="1405"/>
    <x v="593"/>
    <x v="17"/>
    <x v="48"/>
    <x v="351"/>
    <x v="4"/>
  </r>
  <r>
    <x v="1405"/>
    <x v="588"/>
    <x v="17"/>
    <x v="48"/>
    <x v="220"/>
    <x v="4"/>
  </r>
  <r>
    <x v="1405"/>
    <x v="118"/>
    <x v="17"/>
    <x v="55"/>
    <x v="251"/>
    <x v="4"/>
  </r>
  <r>
    <x v="1405"/>
    <x v="117"/>
    <x v="17"/>
    <x v="23"/>
    <x v="55"/>
    <x v="8"/>
  </r>
  <r>
    <x v="1405"/>
    <x v="372"/>
    <x v="17"/>
    <x v="44"/>
    <x v="315"/>
    <x v="8"/>
  </r>
  <r>
    <x v="1405"/>
    <x v="426"/>
    <x v="17"/>
    <x v="44"/>
    <x v="110"/>
    <x v="8"/>
  </r>
  <r>
    <x v="1405"/>
    <x v="251"/>
    <x v="17"/>
    <x v="47"/>
    <x v="12"/>
    <x v="8"/>
  </r>
  <r>
    <x v="135"/>
    <x v="189"/>
    <x v="17"/>
    <x v="52"/>
    <x v="222"/>
    <x v="8"/>
  </r>
  <r>
    <x v="1405"/>
    <x v="517"/>
    <x v="17"/>
    <x v="69"/>
    <x v="418"/>
    <x v="8"/>
  </r>
  <r>
    <x v="878"/>
    <x v="515"/>
    <x v="18"/>
    <x v="2"/>
    <x v="301"/>
    <x v="4"/>
  </r>
  <r>
    <x v="146"/>
    <x v="4"/>
    <x v="18"/>
    <x v="64"/>
    <x v="346"/>
    <x v="2"/>
  </r>
  <r>
    <x v="882"/>
    <x v="232"/>
    <x v="18"/>
    <x v="60"/>
    <x v="65"/>
    <x v="5"/>
  </r>
  <r>
    <x v="141"/>
    <x v="450"/>
    <x v="18"/>
    <x v="33"/>
    <x v="251"/>
    <x v="4"/>
  </r>
  <r>
    <x v="145"/>
    <x v="574"/>
    <x v="18"/>
    <x v="26"/>
    <x v="110"/>
    <x v="8"/>
  </r>
  <r>
    <x v="883"/>
    <x v="439"/>
    <x v="18"/>
    <x v="38"/>
    <x v="287"/>
    <x v="8"/>
  </r>
  <r>
    <x v="881"/>
    <x v="590"/>
    <x v="18"/>
    <x v="44"/>
    <x v="237"/>
    <x v="8"/>
  </r>
  <r>
    <x v="142"/>
    <x v="463"/>
    <x v="18"/>
    <x v="48"/>
    <x v="226"/>
    <x v="8"/>
  </r>
  <r>
    <x v="879"/>
    <x v="303"/>
    <x v="18"/>
    <x v="48"/>
    <x v="214"/>
    <x v="8"/>
  </r>
  <r>
    <x v="144"/>
    <x v="551"/>
    <x v="18"/>
    <x v="71"/>
    <x v="274"/>
    <x v="8"/>
  </r>
  <r>
    <x v="140"/>
    <x v="123"/>
    <x v="18"/>
    <x v="71"/>
    <x v="461"/>
    <x v="8"/>
  </r>
  <r>
    <x v="880"/>
    <x v="348"/>
    <x v="18"/>
    <x v="72"/>
    <x v="140"/>
    <x v="8"/>
  </r>
  <r>
    <x v="148"/>
    <x v="129"/>
    <x v="19"/>
    <x v="0"/>
    <x v="187"/>
    <x v="15"/>
  </r>
  <r>
    <x v="149"/>
    <x v="524"/>
    <x v="19"/>
    <x v="29"/>
    <x v="352"/>
    <x v="8"/>
  </r>
  <r>
    <x v="885"/>
    <x v="82"/>
    <x v="19"/>
    <x v="30"/>
    <x v="93"/>
    <x v="8"/>
  </r>
  <r>
    <x v="154"/>
    <x v="296"/>
    <x v="19"/>
    <x v="35"/>
    <x v="228"/>
    <x v="8"/>
  </r>
  <r>
    <x v="884"/>
    <x v="505"/>
    <x v="19"/>
    <x v="36"/>
    <x v="145"/>
    <x v="8"/>
  </r>
  <r>
    <x v="149"/>
    <x v="524"/>
    <x v="19"/>
    <x v="40"/>
    <x v="382"/>
    <x v="8"/>
  </r>
  <r>
    <x v="149"/>
    <x v="524"/>
    <x v="19"/>
    <x v="47"/>
    <x v="479"/>
    <x v="8"/>
  </r>
  <r>
    <x v="151"/>
    <x v="367"/>
    <x v="19"/>
    <x v="47"/>
    <x v="173"/>
    <x v="8"/>
  </r>
  <r>
    <x v="149"/>
    <x v="524"/>
    <x v="19"/>
    <x v="48"/>
    <x v="344"/>
    <x v="8"/>
  </r>
  <r>
    <x v="884"/>
    <x v="505"/>
    <x v="19"/>
    <x v="61"/>
    <x v="165"/>
    <x v="8"/>
  </r>
  <r>
    <x v="149"/>
    <x v="524"/>
    <x v="19"/>
    <x v="71"/>
    <x v="342"/>
    <x v="8"/>
  </r>
  <r>
    <x v="152"/>
    <x v="169"/>
    <x v="19"/>
    <x v="76"/>
    <x v="223"/>
    <x v="8"/>
  </r>
  <r>
    <x v="156"/>
    <x v="477"/>
    <x v="20"/>
    <x v="60"/>
    <x v="97"/>
    <x v="5"/>
  </r>
  <r>
    <x v="153"/>
    <x v="175"/>
    <x v="20"/>
    <x v="48"/>
    <x v="398"/>
    <x v="5"/>
  </r>
  <r>
    <x v="888"/>
    <x v="234"/>
    <x v="20"/>
    <x v="44"/>
    <x v="30"/>
    <x v="10"/>
  </r>
  <r>
    <x v="159"/>
    <x v="266"/>
    <x v="20"/>
    <x v="48"/>
    <x v="187"/>
    <x v="2"/>
  </r>
  <r>
    <x v="889"/>
    <x v="435"/>
    <x v="20"/>
    <x v="47"/>
    <x v="110"/>
    <x v="2"/>
  </r>
  <r>
    <x v="157"/>
    <x v="331"/>
    <x v="20"/>
    <x v="29"/>
    <x v="266"/>
    <x v="8"/>
  </r>
  <r>
    <x v="158"/>
    <x v="459"/>
    <x v="20"/>
    <x v="29"/>
    <x v="354"/>
    <x v="8"/>
  </r>
  <r>
    <x v="887"/>
    <x v="234"/>
    <x v="20"/>
    <x v="36"/>
    <x v="93"/>
    <x v="8"/>
  </r>
  <r>
    <x v="155"/>
    <x v="516"/>
    <x v="20"/>
    <x v="40"/>
    <x v="195"/>
    <x v="8"/>
  </r>
  <r>
    <x v="160"/>
    <x v="197"/>
    <x v="20"/>
    <x v="47"/>
    <x v="213"/>
    <x v="8"/>
  </r>
  <r>
    <x v="160"/>
    <x v="197"/>
    <x v="20"/>
    <x v="47"/>
    <x v="213"/>
    <x v="8"/>
  </r>
  <r>
    <x v="891"/>
    <x v="128"/>
    <x v="20"/>
    <x v="72"/>
    <x v="198"/>
    <x v="18"/>
  </r>
  <r>
    <x v="171"/>
    <x v="442"/>
    <x v="21"/>
    <x v="23"/>
    <x v="95"/>
    <x v="8"/>
  </r>
  <r>
    <x v="892"/>
    <x v="101"/>
    <x v="21"/>
    <x v="64"/>
    <x v="52"/>
    <x v="5"/>
  </r>
  <r>
    <x v="886"/>
    <x v="168"/>
    <x v="21"/>
    <x v="40"/>
    <x v="47"/>
    <x v="4"/>
  </r>
  <r>
    <x v="172"/>
    <x v="493"/>
    <x v="21"/>
    <x v="51"/>
    <x v="137"/>
    <x v="4"/>
  </r>
  <r>
    <x v="170"/>
    <x v="179"/>
    <x v="21"/>
    <x v="34"/>
    <x v="1"/>
    <x v="8"/>
  </r>
  <r>
    <x v="178"/>
    <x v="365"/>
    <x v="21"/>
    <x v="35"/>
    <x v="314"/>
    <x v="8"/>
  </r>
  <r>
    <x v="168"/>
    <x v="7"/>
    <x v="21"/>
    <x v="37"/>
    <x v="349"/>
    <x v="8"/>
  </r>
  <r>
    <x v="171"/>
    <x v="442"/>
    <x v="21"/>
    <x v="38"/>
    <x v="137"/>
    <x v="8"/>
  </r>
  <r>
    <x v="893"/>
    <x v="205"/>
    <x v="21"/>
    <x v="44"/>
    <x v="257"/>
    <x v="8"/>
  </r>
  <r>
    <x v="177"/>
    <x v="264"/>
    <x v="21"/>
    <x v="47"/>
    <x v="217"/>
    <x v="8"/>
  </r>
  <r>
    <x v="165"/>
    <x v="506"/>
    <x v="21"/>
    <x v="62"/>
    <x v="239"/>
    <x v="8"/>
  </r>
  <r>
    <x v="177"/>
    <x v="264"/>
    <x v="21"/>
    <x v="67"/>
    <x v="213"/>
    <x v="8"/>
  </r>
  <r>
    <x v="169"/>
    <x v="465"/>
    <x v="21"/>
    <x v="77"/>
    <x v="485"/>
    <x v="8"/>
  </r>
  <r>
    <x v="177"/>
    <x v="577"/>
    <x v="21"/>
    <x v="76"/>
    <x v="223"/>
    <x v="18"/>
  </r>
  <r>
    <x v="890"/>
    <x v="108"/>
    <x v="22"/>
    <x v="51"/>
    <x v="226"/>
    <x v="10"/>
  </r>
  <r>
    <x v="138"/>
    <x v="299"/>
    <x v="22"/>
    <x v="72"/>
    <x v="211"/>
    <x v="2"/>
  </r>
  <r>
    <x v="164"/>
    <x v="321"/>
    <x v="22"/>
    <x v="47"/>
    <x v="106"/>
    <x v="8"/>
  </r>
  <r>
    <x v="163"/>
    <x v="13"/>
    <x v="22"/>
    <x v="48"/>
    <x v="269"/>
    <x v="8"/>
  </r>
  <r>
    <x v="166"/>
    <x v="506"/>
    <x v="22"/>
    <x v="64"/>
    <x v="352"/>
    <x v="8"/>
  </r>
  <r>
    <x v="167"/>
    <x v="506"/>
    <x v="22"/>
    <x v="64"/>
    <x v="75"/>
    <x v="8"/>
  </r>
  <r>
    <x v="179"/>
    <x v="552"/>
    <x v="23"/>
    <x v="6"/>
    <x v="165"/>
    <x v="8"/>
  </r>
  <r>
    <x v="184"/>
    <x v="453"/>
    <x v="23"/>
    <x v="8"/>
    <x v="65"/>
    <x v="4"/>
  </r>
  <r>
    <x v="176"/>
    <x v="495"/>
    <x v="23"/>
    <x v="1"/>
    <x v="168"/>
    <x v="14"/>
  </r>
  <r>
    <x v="181"/>
    <x v="564"/>
    <x v="23"/>
    <x v="48"/>
    <x v="263"/>
    <x v="4"/>
  </r>
  <r>
    <x v="894"/>
    <x v="491"/>
    <x v="23"/>
    <x v="36"/>
    <x v="145"/>
    <x v="8"/>
  </r>
  <r>
    <x v="180"/>
    <x v="161"/>
    <x v="23"/>
    <x v="44"/>
    <x v="263"/>
    <x v="8"/>
  </r>
  <r>
    <x v="895"/>
    <x v="213"/>
    <x v="23"/>
    <x v="44"/>
    <x v="251"/>
    <x v="8"/>
  </r>
  <r>
    <x v="185"/>
    <x v="326"/>
    <x v="23"/>
    <x v="47"/>
    <x v="212"/>
    <x v="8"/>
  </r>
  <r>
    <x v="183"/>
    <x v="190"/>
    <x v="23"/>
    <x v="48"/>
    <x v="438"/>
    <x v="8"/>
  </r>
  <r>
    <x v="161"/>
    <x v="197"/>
    <x v="23"/>
    <x v="48"/>
    <x v="336"/>
    <x v="8"/>
  </r>
  <r>
    <x v="180"/>
    <x v="161"/>
    <x v="23"/>
    <x v="70"/>
    <x v="308"/>
    <x v="8"/>
  </r>
  <r>
    <x v="182"/>
    <x v="518"/>
    <x v="23"/>
    <x v="71"/>
    <x v="56"/>
    <x v="8"/>
  </r>
  <r>
    <x v="180"/>
    <x v="161"/>
    <x v="23"/>
    <x v="76"/>
    <x v="455"/>
    <x v="18"/>
  </r>
  <r>
    <x v="187"/>
    <x v="346"/>
    <x v="23"/>
    <x v="76"/>
    <x v="419"/>
    <x v="18"/>
  </r>
  <r>
    <x v="897"/>
    <x v="138"/>
    <x v="24"/>
    <x v="7"/>
    <x v="144"/>
    <x v="14"/>
  </r>
  <r>
    <x v="896"/>
    <x v="363"/>
    <x v="24"/>
    <x v="44"/>
    <x v="398"/>
    <x v="8"/>
  </r>
  <r>
    <x v="188"/>
    <x v="145"/>
    <x v="24"/>
    <x v="52"/>
    <x v="308"/>
    <x v="8"/>
  </r>
  <r>
    <x v="899"/>
    <x v="22"/>
    <x v="24"/>
    <x v="59"/>
    <x v="375"/>
    <x v="8"/>
  </r>
  <r>
    <x v="898"/>
    <x v="543"/>
    <x v="24"/>
    <x v="59"/>
    <x v="208"/>
    <x v="8"/>
  </r>
  <r>
    <x v="186"/>
    <x v="414"/>
    <x v="24"/>
    <x v="76"/>
    <x v="301"/>
    <x v="18"/>
  </r>
  <r>
    <x v="196"/>
    <x v="521"/>
    <x v="25"/>
    <x v="71"/>
    <x v="181"/>
    <x v="8"/>
  </r>
  <r>
    <x v="201"/>
    <x v="526"/>
    <x v="26"/>
    <x v="26"/>
    <x v="395"/>
    <x v="18"/>
  </r>
  <r>
    <x v="198"/>
    <x v="338"/>
    <x v="26"/>
    <x v="14"/>
    <x v="237"/>
    <x v="8"/>
  </r>
  <r>
    <x v="905"/>
    <x v="164"/>
    <x v="26"/>
    <x v="22"/>
    <x v="195"/>
    <x v="8"/>
  </r>
  <r>
    <x v="195"/>
    <x v="338"/>
    <x v="26"/>
    <x v="26"/>
    <x v="110"/>
    <x v="8"/>
  </r>
  <r>
    <x v="190"/>
    <x v="556"/>
    <x v="26"/>
    <x v="44"/>
    <x v="345"/>
    <x v="8"/>
  </r>
  <r>
    <x v="902"/>
    <x v="363"/>
    <x v="26"/>
    <x v="44"/>
    <x v="315"/>
    <x v="8"/>
  </r>
  <r>
    <x v="900"/>
    <x v="85"/>
    <x v="26"/>
    <x v="48"/>
    <x v="39"/>
    <x v="8"/>
  </r>
  <r>
    <x v="903"/>
    <x v="196"/>
    <x v="26"/>
    <x v="48"/>
    <x v="47"/>
    <x v="8"/>
  </r>
  <r>
    <x v="189"/>
    <x v="448"/>
    <x v="26"/>
    <x v="52"/>
    <x v="408"/>
    <x v="8"/>
  </r>
  <r>
    <x v="197"/>
    <x v="309"/>
    <x v="26"/>
    <x v="63"/>
    <x v="365"/>
    <x v="8"/>
  </r>
  <r>
    <x v="901"/>
    <x v="155"/>
    <x v="26"/>
    <x v="65"/>
    <x v="21"/>
    <x v="8"/>
  </r>
  <r>
    <x v="199"/>
    <x v="404"/>
    <x v="26"/>
    <x v="72"/>
    <x v="323"/>
    <x v="8"/>
  </r>
  <r>
    <x v="909"/>
    <x v="579"/>
    <x v="27"/>
    <x v="18"/>
    <x v="114"/>
    <x v="8"/>
  </r>
  <r>
    <x v="204"/>
    <x v="511"/>
    <x v="27"/>
    <x v="19"/>
    <x v="214"/>
    <x v="8"/>
  </r>
  <r>
    <x v="906"/>
    <x v="81"/>
    <x v="27"/>
    <x v="48"/>
    <x v="222"/>
    <x v="2"/>
  </r>
  <r>
    <x v="204"/>
    <x v="511"/>
    <x v="27"/>
    <x v="42"/>
    <x v="214"/>
    <x v="8"/>
  </r>
  <r>
    <x v="908"/>
    <x v="120"/>
    <x v="27"/>
    <x v="48"/>
    <x v="210"/>
    <x v="8"/>
  </r>
  <r>
    <x v="910"/>
    <x v="80"/>
    <x v="27"/>
    <x v="48"/>
    <x v="147"/>
    <x v="8"/>
  </r>
  <r>
    <x v="907"/>
    <x v="181"/>
    <x v="27"/>
    <x v="55"/>
    <x v="208"/>
    <x v="8"/>
  </r>
  <r>
    <x v="205"/>
    <x v="181"/>
    <x v="27"/>
    <x v="55"/>
    <x v="208"/>
    <x v="8"/>
  </r>
  <r>
    <x v="206"/>
    <x v="516"/>
    <x v="27"/>
    <x v="71"/>
    <x v="380"/>
    <x v="8"/>
  </r>
  <r>
    <x v="207"/>
    <x v="19"/>
    <x v="27"/>
    <x v="71"/>
    <x v="273"/>
    <x v="8"/>
  </r>
  <r>
    <x v="210"/>
    <x v="452"/>
    <x v="27"/>
    <x v="76"/>
    <x v="429"/>
    <x v="18"/>
  </r>
  <r>
    <x v="920"/>
    <x v="76"/>
    <x v="28"/>
    <x v="7"/>
    <x v="213"/>
    <x v="8"/>
  </r>
  <r>
    <x v="216"/>
    <x v="574"/>
    <x v="28"/>
    <x v="14"/>
    <x v="226"/>
    <x v="8"/>
  </r>
  <r>
    <x v="914"/>
    <x v="313"/>
    <x v="28"/>
    <x v="18"/>
    <x v="75"/>
    <x v="8"/>
  </r>
  <r>
    <x v="224"/>
    <x v="509"/>
    <x v="28"/>
    <x v="18"/>
    <x v="168"/>
    <x v="8"/>
  </r>
  <r>
    <x v="223"/>
    <x v="591"/>
    <x v="28"/>
    <x v="24"/>
    <x v="307"/>
    <x v="8"/>
  </r>
  <r>
    <x v="214"/>
    <x v="574"/>
    <x v="28"/>
    <x v="26"/>
    <x v="30"/>
    <x v="8"/>
  </r>
  <r>
    <x v="213"/>
    <x v="574"/>
    <x v="28"/>
    <x v="26"/>
    <x v="187"/>
    <x v="8"/>
  </r>
  <r>
    <x v="913"/>
    <x v="234"/>
    <x v="28"/>
    <x v="44"/>
    <x v="150"/>
    <x v="10"/>
  </r>
  <r>
    <x v="911"/>
    <x v="171"/>
    <x v="28"/>
    <x v="48"/>
    <x v="210"/>
    <x v="4"/>
  </r>
  <r>
    <x v="209"/>
    <x v="442"/>
    <x v="28"/>
    <x v="38"/>
    <x v="207"/>
    <x v="8"/>
  </r>
  <r>
    <x v="912"/>
    <x v="292"/>
    <x v="28"/>
    <x v="38"/>
    <x v="187"/>
    <x v="8"/>
  </r>
  <r>
    <x v="174"/>
    <x v="137"/>
    <x v="28"/>
    <x v="38"/>
    <x v="326"/>
    <x v="8"/>
  </r>
  <r>
    <x v="915"/>
    <x v="66"/>
    <x v="28"/>
    <x v="40"/>
    <x v="168"/>
    <x v="8"/>
  </r>
  <r>
    <x v="227"/>
    <x v="266"/>
    <x v="28"/>
    <x v="42"/>
    <x v="435"/>
    <x v="8"/>
  </r>
  <r>
    <x v="221"/>
    <x v="454"/>
    <x v="28"/>
    <x v="44"/>
    <x v="65"/>
    <x v="8"/>
  </r>
  <r>
    <x v="212"/>
    <x v="275"/>
    <x v="28"/>
    <x v="47"/>
    <x v="99"/>
    <x v="8"/>
  </r>
  <r>
    <x v="220"/>
    <x v="574"/>
    <x v="28"/>
    <x v="48"/>
    <x v="62"/>
    <x v="8"/>
  </r>
  <r>
    <x v="215"/>
    <x v="574"/>
    <x v="28"/>
    <x v="48"/>
    <x v="110"/>
    <x v="8"/>
  </r>
  <r>
    <x v="219"/>
    <x v="389"/>
    <x v="28"/>
    <x v="48"/>
    <x v="187"/>
    <x v="8"/>
  </r>
  <r>
    <x v="222"/>
    <x v="592"/>
    <x v="28"/>
    <x v="54"/>
    <x v="344"/>
    <x v="8"/>
  </r>
  <r>
    <x v="916"/>
    <x v="142"/>
    <x v="28"/>
    <x v="60"/>
    <x v="287"/>
    <x v="8"/>
  </r>
  <r>
    <x v="193"/>
    <x v="3"/>
    <x v="28"/>
    <x v="64"/>
    <x v="287"/>
    <x v="8"/>
  </r>
  <r>
    <x v="1404"/>
    <x v="591"/>
    <x v="28"/>
    <x v="71"/>
    <x v="398"/>
    <x v="8"/>
  </r>
  <r>
    <x v="228"/>
    <x v="367"/>
    <x v="28"/>
    <x v="71"/>
    <x v="92"/>
    <x v="8"/>
  </r>
  <r>
    <x v="229"/>
    <x v="501"/>
    <x v="28"/>
    <x v="71"/>
    <x v="156"/>
    <x v="8"/>
  </r>
  <r>
    <x v="918"/>
    <x v="20"/>
    <x v="28"/>
    <x v="76"/>
    <x v="92"/>
    <x v="8"/>
  </r>
  <r>
    <x v="917"/>
    <x v="311"/>
    <x v="28"/>
    <x v="76"/>
    <x v="134"/>
    <x v="18"/>
  </r>
  <r>
    <x v="919"/>
    <x v="229"/>
    <x v="29"/>
    <x v="24"/>
    <x v="98"/>
    <x v="8"/>
  </r>
  <r>
    <x v="922"/>
    <x v="22"/>
    <x v="29"/>
    <x v="29"/>
    <x v="188"/>
    <x v="8"/>
  </r>
  <r>
    <x v="235"/>
    <x v="524"/>
    <x v="29"/>
    <x v="29"/>
    <x v="381"/>
    <x v="4"/>
  </r>
  <r>
    <x v="232"/>
    <x v="224"/>
    <x v="29"/>
    <x v="44"/>
    <x v="226"/>
    <x v="4"/>
  </r>
  <r>
    <x v="923"/>
    <x v="230"/>
    <x v="29"/>
    <x v="71"/>
    <x v="144"/>
    <x v="2"/>
  </r>
  <r>
    <x v="233"/>
    <x v="485"/>
    <x v="29"/>
    <x v="52"/>
    <x v="367"/>
    <x v="2"/>
  </r>
  <r>
    <x v="235"/>
    <x v="524"/>
    <x v="29"/>
    <x v="44"/>
    <x v="159"/>
    <x v="2"/>
  </r>
  <r>
    <x v="904"/>
    <x v="457"/>
    <x v="29"/>
    <x v="33"/>
    <x v="137"/>
    <x v="8"/>
  </r>
  <r>
    <x v="235"/>
    <x v="524"/>
    <x v="29"/>
    <x v="47"/>
    <x v="458"/>
    <x v="8"/>
  </r>
  <r>
    <x v="237"/>
    <x v="197"/>
    <x v="29"/>
    <x v="47"/>
    <x v="123"/>
    <x v="8"/>
  </r>
  <r>
    <x v="230"/>
    <x v="73"/>
    <x v="29"/>
    <x v="71"/>
    <x v="125"/>
    <x v="8"/>
  </r>
  <r>
    <x v="235"/>
    <x v="524"/>
    <x v="29"/>
    <x v="71"/>
    <x v="415"/>
    <x v="8"/>
  </r>
  <r>
    <x v="921"/>
    <x v="553"/>
    <x v="29"/>
    <x v="71"/>
    <x v="9"/>
    <x v="8"/>
  </r>
  <r>
    <x v="231"/>
    <x v="378"/>
    <x v="29"/>
    <x v="72"/>
    <x v="298"/>
    <x v="8"/>
  </r>
  <r>
    <x v="238"/>
    <x v="264"/>
    <x v="29"/>
    <x v="72"/>
    <x v="198"/>
    <x v="8"/>
  </r>
  <r>
    <x v="234"/>
    <x v="75"/>
    <x v="29"/>
    <x v="71"/>
    <x v="161"/>
    <x v="18"/>
  </r>
  <r>
    <x v="924"/>
    <x v="350"/>
    <x v="30"/>
    <x v="9"/>
    <x v="308"/>
    <x v="8"/>
  </r>
  <r>
    <x v="240"/>
    <x v="338"/>
    <x v="30"/>
    <x v="14"/>
    <x v="237"/>
    <x v="8"/>
  </r>
  <r>
    <x v="925"/>
    <x v="350"/>
    <x v="30"/>
    <x v="22"/>
    <x v="273"/>
    <x v="8"/>
  </r>
  <r>
    <x v="239"/>
    <x v="576"/>
    <x v="30"/>
    <x v="38"/>
    <x v="117"/>
    <x v="8"/>
  </r>
  <r>
    <x v="925"/>
    <x v="447"/>
    <x v="30"/>
    <x v="40"/>
    <x v="237"/>
    <x v="8"/>
  </r>
  <r>
    <x v="926"/>
    <x v="110"/>
    <x v="30"/>
    <x v="55"/>
    <x v="212"/>
    <x v="8"/>
  </r>
  <r>
    <x v="241"/>
    <x v="254"/>
    <x v="30"/>
    <x v="76"/>
    <x v="223"/>
    <x v="18"/>
  </r>
  <r>
    <x v="929"/>
    <x v="424"/>
    <x v="31"/>
    <x v="11"/>
    <x v="291"/>
    <x v="8"/>
  </r>
  <r>
    <x v="928"/>
    <x v="171"/>
    <x v="31"/>
    <x v="48"/>
    <x v="308"/>
    <x v="4"/>
  </r>
  <r>
    <x v="244"/>
    <x v="270"/>
    <x v="31"/>
    <x v="48"/>
    <x v="405"/>
    <x v="4"/>
  </r>
  <r>
    <x v="245"/>
    <x v="392"/>
    <x v="31"/>
    <x v="47"/>
    <x v="315"/>
    <x v="8"/>
  </r>
  <r>
    <x v="243"/>
    <x v="561"/>
    <x v="31"/>
    <x v="48"/>
    <x v="219"/>
    <x v="8"/>
  </r>
  <r>
    <x v="930"/>
    <x v="176"/>
    <x v="31"/>
    <x v="53"/>
    <x v="25"/>
    <x v="8"/>
  </r>
  <r>
    <x v="927"/>
    <x v="155"/>
    <x v="31"/>
    <x v="65"/>
    <x v="85"/>
    <x v="8"/>
  </r>
  <r>
    <x v="934"/>
    <x v="337"/>
    <x v="32"/>
    <x v="21"/>
    <x v="98"/>
    <x v="6"/>
  </r>
  <r>
    <x v="248"/>
    <x v="340"/>
    <x v="32"/>
    <x v="7"/>
    <x v="349"/>
    <x v="15"/>
  </r>
  <r>
    <x v="246"/>
    <x v="189"/>
    <x v="32"/>
    <x v="33"/>
    <x v="386"/>
    <x v="2"/>
  </r>
  <r>
    <x v="250"/>
    <x v="201"/>
    <x v="32"/>
    <x v="71"/>
    <x v="446"/>
    <x v="2"/>
  </r>
  <r>
    <x v="257"/>
    <x v="151"/>
    <x v="32"/>
    <x v="44"/>
    <x v="237"/>
    <x v="8"/>
  </r>
  <r>
    <x v="931"/>
    <x v="456"/>
    <x v="32"/>
    <x v="47"/>
    <x v="226"/>
    <x v="8"/>
  </r>
  <r>
    <x v="255"/>
    <x v="558"/>
    <x v="32"/>
    <x v="48"/>
    <x v="336"/>
    <x v="8"/>
  </r>
  <r>
    <x v="247"/>
    <x v="189"/>
    <x v="32"/>
    <x v="52"/>
    <x v="294"/>
    <x v="8"/>
  </r>
  <r>
    <x v="932"/>
    <x v="56"/>
    <x v="32"/>
    <x v="55"/>
    <x v="158"/>
    <x v="8"/>
  </r>
  <r>
    <x v="872"/>
    <x v="452"/>
    <x v="32"/>
    <x v="48"/>
    <x v="445"/>
    <x v="18"/>
  </r>
  <r>
    <x v="256"/>
    <x v="557"/>
    <x v="32"/>
    <x v="71"/>
    <x v="405"/>
    <x v="18"/>
  </r>
  <r>
    <x v="933"/>
    <x v="171"/>
    <x v="33"/>
    <x v="48"/>
    <x v="210"/>
    <x v="4"/>
  </r>
  <r>
    <x v="258"/>
    <x v="523"/>
    <x v="33"/>
    <x v="45"/>
    <x v="263"/>
    <x v="2"/>
  </r>
  <r>
    <x v="935"/>
    <x v="69"/>
    <x v="33"/>
    <x v="44"/>
    <x v="89"/>
    <x v="8"/>
  </r>
  <r>
    <x v="936"/>
    <x v="317"/>
    <x v="33"/>
    <x v="76"/>
    <x v="6"/>
    <x v="18"/>
  </r>
  <r>
    <x v="267"/>
    <x v="483"/>
    <x v="34"/>
    <x v="11"/>
    <x v="257"/>
    <x v="8"/>
  </r>
  <r>
    <x v="264"/>
    <x v="65"/>
    <x v="34"/>
    <x v="7"/>
    <x v="263"/>
    <x v="2"/>
  </r>
  <r>
    <x v="260"/>
    <x v="364"/>
    <x v="34"/>
    <x v="30"/>
    <x v="76"/>
    <x v="8"/>
  </r>
  <r>
    <x v="260"/>
    <x v="364"/>
    <x v="34"/>
    <x v="30"/>
    <x v="315"/>
    <x v="8"/>
  </r>
  <r>
    <x v="260"/>
    <x v="364"/>
    <x v="34"/>
    <x v="44"/>
    <x v="382"/>
    <x v="8"/>
  </r>
  <r>
    <x v="266"/>
    <x v="130"/>
    <x v="34"/>
    <x v="44"/>
    <x v="123"/>
    <x v="8"/>
  </r>
  <r>
    <x v="259"/>
    <x v="506"/>
    <x v="34"/>
    <x v="64"/>
    <x v="100"/>
    <x v="8"/>
  </r>
  <r>
    <x v="259"/>
    <x v="506"/>
    <x v="34"/>
    <x v="64"/>
    <x v="100"/>
    <x v="8"/>
  </r>
  <r>
    <x v="262"/>
    <x v="16"/>
    <x v="34"/>
    <x v="71"/>
    <x v="380"/>
    <x v="8"/>
  </r>
  <r>
    <x v="265"/>
    <x v="9"/>
    <x v="34"/>
    <x v="71"/>
    <x v="114"/>
    <x v="8"/>
  </r>
  <r>
    <x v="930"/>
    <x v="176"/>
    <x v="34"/>
    <x v="53"/>
    <x v="25"/>
    <x v="18"/>
  </r>
  <r>
    <x v="261"/>
    <x v="161"/>
    <x v="34"/>
    <x v="76"/>
    <x v="459"/>
    <x v="18"/>
  </r>
  <r>
    <x v="937"/>
    <x v="92"/>
    <x v="35"/>
    <x v="11"/>
    <x v="170"/>
    <x v="8"/>
  </r>
  <r>
    <x v="270"/>
    <x v="593"/>
    <x v="35"/>
    <x v="48"/>
    <x v="351"/>
    <x v="4"/>
  </r>
  <r>
    <x v="269"/>
    <x v="516"/>
    <x v="35"/>
    <x v="42"/>
    <x v="121"/>
    <x v="8"/>
  </r>
  <r>
    <x v="263"/>
    <x v="506"/>
    <x v="35"/>
    <x v="45"/>
    <x v="110"/>
    <x v="8"/>
  </r>
  <r>
    <x v="268"/>
    <x v="331"/>
    <x v="35"/>
    <x v="52"/>
    <x v="251"/>
    <x v="8"/>
  </r>
  <r>
    <x v="271"/>
    <x v="423"/>
    <x v="35"/>
    <x v="55"/>
    <x v="96"/>
    <x v="8"/>
  </r>
  <r>
    <x v="938"/>
    <x v="152"/>
    <x v="36"/>
    <x v="29"/>
    <x v="287"/>
    <x v="8"/>
  </r>
  <r>
    <x v="939"/>
    <x v="566"/>
    <x v="36"/>
    <x v="8"/>
    <x v="168"/>
    <x v="15"/>
  </r>
  <r>
    <x v="940"/>
    <x v="466"/>
    <x v="36"/>
    <x v="6"/>
    <x v="110"/>
    <x v="7"/>
  </r>
  <r>
    <x v="203"/>
    <x v="537"/>
    <x v="36"/>
    <x v="48"/>
    <x v="168"/>
    <x v="2"/>
  </r>
  <r>
    <x v="203"/>
    <x v="537"/>
    <x v="36"/>
    <x v="44"/>
    <x v="226"/>
    <x v="8"/>
  </r>
  <r>
    <x v="272"/>
    <x v="380"/>
    <x v="36"/>
    <x v="71"/>
    <x v="149"/>
    <x v="18"/>
  </r>
  <r>
    <x v="276"/>
    <x v="148"/>
    <x v="37"/>
    <x v="18"/>
    <x v="165"/>
    <x v="8"/>
  </r>
  <r>
    <x v="276"/>
    <x v="148"/>
    <x v="37"/>
    <x v="24"/>
    <x v="190"/>
    <x v="8"/>
  </r>
  <r>
    <x v="274"/>
    <x v="6"/>
    <x v="37"/>
    <x v="48"/>
    <x v="168"/>
    <x v="2"/>
  </r>
  <r>
    <x v="925"/>
    <x v="447"/>
    <x v="37"/>
    <x v="40"/>
    <x v="237"/>
    <x v="8"/>
  </r>
  <r>
    <x v="944"/>
    <x v="5"/>
    <x v="37"/>
    <x v="44"/>
    <x v="76"/>
    <x v="8"/>
  </r>
  <r>
    <x v="943"/>
    <x v="418"/>
    <x v="37"/>
    <x v="48"/>
    <x v="383"/>
    <x v="8"/>
  </r>
  <r>
    <x v="277"/>
    <x v="437"/>
    <x v="37"/>
    <x v="55"/>
    <x v="379"/>
    <x v="8"/>
  </r>
  <r>
    <x v="941"/>
    <x v="55"/>
    <x v="37"/>
    <x v="64"/>
    <x v="144"/>
    <x v="8"/>
  </r>
  <r>
    <x v="279"/>
    <x v="300"/>
    <x v="38"/>
    <x v="7"/>
    <x v="64"/>
    <x v="8"/>
  </r>
  <r>
    <x v="945"/>
    <x v="163"/>
    <x v="38"/>
    <x v="22"/>
    <x v="474"/>
    <x v="8"/>
  </r>
  <r>
    <x v="290"/>
    <x v="552"/>
    <x v="38"/>
    <x v="26"/>
    <x v="350"/>
    <x v="8"/>
  </r>
  <r>
    <x v="289"/>
    <x v="180"/>
    <x v="38"/>
    <x v="24"/>
    <x v="283"/>
    <x v="6"/>
  </r>
  <r>
    <x v="292"/>
    <x v="44"/>
    <x v="38"/>
    <x v="8"/>
    <x v="110"/>
    <x v="15"/>
  </r>
  <r>
    <x v="947"/>
    <x v="339"/>
    <x v="38"/>
    <x v="7"/>
    <x v="257"/>
    <x v="15"/>
  </r>
  <r>
    <x v="948"/>
    <x v="171"/>
    <x v="38"/>
    <x v="48"/>
    <x v="210"/>
    <x v="4"/>
  </r>
  <r>
    <x v="278"/>
    <x v="392"/>
    <x v="38"/>
    <x v="47"/>
    <x v="59"/>
    <x v="8"/>
  </r>
  <r>
    <x v="288"/>
    <x v="264"/>
    <x v="38"/>
    <x v="47"/>
    <x v="278"/>
    <x v="8"/>
  </r>
  <r>
    <x v="280"/>
    <x v="574"/>
    <x v="38"/>
    <x v="48"/>
    <x v="168"/>
    <x v="8"/>
  </r>
  <r>
    <x v="942"/>
    <x v="150"/>
    <x v="38"/>
    <x v="48"/>
    <x v="386"/>
    <x v="8"/>
  </r>
  <r>
    <x v="280"/>
    <x v="574"/>
    <x v="38"/>
    <x v="48"/>
    <x v="168"/>
    <x v="8"/>
  </r>
  <r>
    <x v="946"/>
    <x v="427"/>
    <x v="38"/>
    <x v="59"/>
    <x v="146"/>
    <x v="8"/>
  </r>
  <r>
    <x v="286"/>
    <x v="146"/>
    <x v="38"/>
    <x v="60"/>
    <x v="287"/>
    <x v="8"/>
  </r>
  <r>
    <x v="285"/>
    <x v="473"/>
    <x v="38"/>
    <x v="61"/>
    <x v="263"/>
    <x v="8"/>
  </r>
  <r>
    <x v="288"/>
    <x v="264"/>
    <x v="38"/>
    <x v="67"/>
    <x v="253"/>
    <x v="8"/>
  </r>
  <r>
    <x v="282"/>
    <x v="75"/>
    <x v="38"/>
    <x v="71"/>
    <x v="57"/>
    <x v="8"/>
  </r>
  <r>
    <x v="284"/>
    <x v="516"/>
    <x v="38"/>
    <x v="71"/>
    <x v="401"/>
    <x v="8"/>
  </r>
  <r>
    <x v="283"/>
    <x v="126"/>
    <x v="38"/>
    <x v="72"/>
    <x v="323"/>
    <x v="18"/>
  </r>
  <r>
    <x v="291"/>
    <x v="507"/>
    <x v="39"/>
    <x v="30"/>
    <x v="447"/>
    <x v="8"/>
  </r>
  <r>
    <x v="949"/>
    <x v="272"/>
    <x v="40"/>
    <x v="7"/>
    <x v="375"/>
    <x v="8"/>
  </r>
  <r>
    <x v="213"/>
    <x v="338"/>
    <x v="40"/>
    <x v="26"/>
    <x v="168"/>
    <x v="8"/>
  </r>
  <r>
    <x v="296"/>
    <x v="406"/>
    <x v="40"/>
    <x v="38"/>
    <x v="237"/>
    <x v="8"/>
  </r>
  <r>
    <x v="297"/>
    <x v="533"/>
    <x v="40"/>
    <x v="44"/>
    <x v="247"/>
    <x v="8"/>
  </r>
  <r>
    <x v="296"/>
    <x v="406"/>
    <x v="40"/>
    <x v="55"/>
    <x v="216"/>
    <x v="8"/>
  </r>
  <r>
    <x v="302"/>
    <x v="574"/>
    <x v="41"/>
    <x v="7"/>
    <x v="176"/>
    <x v="8"/>
  </r>
  <r>
    <x v="312"/>
    <x v="305"/>
    <x v="41"/>
    <x v="18"/>
    <x v="296"/>
    <x v="8"/>
  </r>
  <r>
    <x v="951"/>
    <x v="214"/>
    <x v="41"/>
    <x v="29"/>
    <x v="210"/>
    <x v="8"/>
  </r>
  <r>
    <x v="310"/>
    <x v="189"/>
    <x v="41"/>
    <x v="55"/>
    <x v="343"/>
    <x v="2"/>
  </r>
  <r>
    <x v="307"/>
    <x v="224"/>
    <x v="41"/>
    <x v="33"/>
    <x v="85"/>
    <x v="8"/>
  </r>
  <r>
    <x v="301"/>
    <x v="574"/>
    <x v="41"/>
    <x v="33"/>
    <x v="321"/>
    <x v="8"/>
  </r>
  <r>
    <x v="300"/>
    <x v="189"/>
    <x v="41"/>
    <x v="38"/>
    <x v="385"/>
    <x v="8"/>
  </r>
  <r>
    <x v="304"/>
    <x v="231"/>
    <x v="41"/>
    <x v="40"/>
    <x v="27"/>
    <x v="8"/>
  </r>
  <r>
    <x v="308"/>
    <x v="266"/>
    <x v="41"/>
    <x v="42"/>
    <x v="331"/>
    <x v="8"/>
  </r>
  <r>
    <x v="314"/>
    <x v="367"/>
    <x v="41"/>
    <x v="42"/>
    <x v="171"/>
    <x v="8"/>
  </r>
  <r>
    <x v="307"/>
    <x v="224"/>
    <x v="41"/>
    <x v="44"/>
    <x v="171"/>
    <x v="8"/>
  </r>
  <r>
    <x v="953"/>
    <x v="342"/>
    <x v="41"/>
    <x v="47"/>
    <x v="271"/>
    <x v="8"/>
  </r>
  <r>
    <x v="950"/>
    <x v="302"/>
    <x v="41"/>
    <x v="47"/>
    <x v="251"/>
    <x v="8"/>
  </r>
  <r>
    <x v="314"/>
    <x v="367"/>
    <x v="41"/>
    <x v="47"/>
    <x v="173"/>
    <x v="8"/>
  </r>
  <r>
    <x v="952"/>
    <x v="422"/>
    <x v="41"/>
    <x v="52"/>
    <x v="199"/>
    <x v="8"/>
  </r>
  <r>
    <x v="954"/>
    <x v="363"/>
    <x v="41"/>
    <x v="52"/>
    <x v="239"/>
    <x v="8"/>
  </r>
  <r>
    <x v="306"/>
    <x v="448"/>
    <x v="41"/>
    <x v="52"/>
    <x v="165"/>
    <x v="8"/>
  </r>
  <r>
    <x v="955"/>
    <x v="50"/>
    <x v="41"/>
    <x v="55"/>
    <x v="158"/>
    <x v="8"/>
  </r>
  <r>
    <x v="316"/>
    <x v="315"/>
    <x v="41"/>
    <x v="63"/>
    <x v="363"/>
    <x v="8"/>
  </r>
  <r>
    <x v="300"/>
    <x v="189"/>
    <x v="41"/>
    <x v="64"/>
    <x v="259"/>
    <x v="8"/>
  </r>
  <r>
    <x v="304"/>
    <x v="231"/>
    <x v="41"/>
    <x v="71"/>
    <x v="229"/>
    <x v="8"/>
  </r>
  <r>
    <x v="311"/>
    <x v="122"/>
    <x v="41"/>
    <x v="71"/>
    <x v="271"/>
    <x v="8"/>
  </r>
  <r>
    <x v="314"/>
    <x v="367"/>
    <x v="41"/>
    <x v="71"/>
    <x v="165"/>
    <x v="8"/>
  </r>
  <r>
    <x v="960"/>
    <x v="460"/>
    <x v="42"/>
    <x v="3"/>
    <x v="158"/>
    <x v="6"/>
  </r>
  <r>
    <x v="314"/>
    <x v="250"/>
    <x v="42"/>
    <x v="42"/>
    <x v="171"/>
    <x v="8"/>
  </r>
  <r>
    <x v="958"/>
    <x v="428"/>
    <x v="42"/>
    <x v="44"/>
    <x v="110"/>
    <x v="8"/>
  </r>
  <r>
    <x v="959"/>
    <x v="133"/>
    <x v="42"/>
    <x v="44"/>
    <x v="187"/>
    <x v="8"/>
  </r>
  <r>
    <x v="318"/>
    <x v="443"/>
    <x v="42"/>
    <x v="44"/>
    <x v="37"/>
    <x v="8"/>
  </r>
  <r>
    <x v="314"/>
    <x v="250"/>
    <x v="42"/>
    <x v="47"/>
    <x v="173"/>
    <x v="8"/>
  </r>
  <r>
    <x v="961"/>
    <x v="204"/>
    <x v="42"/>
    <x v="47"/>
    <x v="199"/>
    <x v="8"/>
  </r>
  <r>
    <x v="962"/>
    <x v="223"/>
    <x v="42"/>
    <x v="47"/>
    <x v="121"/>
    <x v="8"/>
  </r>
  <r>
    <x v="321"/>
    <x v="493"/>
    <x v="42"/>
    <x v="48"/>
    <x v="239"/>
    <x v="8"/>
  </r>
  <r>
    <x v="321"/>
    <x v="493"/>
    <x v="42"/>
    <x v="51"/>
    <x v="137"/>
    <x v="8"/>
  </r>
  <r>
    <x v="956"/>
    <x v="448"/>
    <x v="42"/>
    <x v="52"/>
    <x v="239"/>
    <x v="8"/>
  </r>
  <r>
    <x v="317"/>
    <x v="517"/>
    <x v="42"/>
    <x v="69"/>
    <x v="418"/>
    <x v="8"/>
  </r>
  <r>
    <x v="314"/>
    <x v="250"/>
    <x v="42"/>
    <x v="71"/>
    <x v="155"/>
    <x v="8"/>
  </r>
  <r>
    <x v="320"/>
    <x v="196"/>
    <x v="43"/>
    <x v="47"/>
    <x v="369"/>
    <x v="8"/>
  </r>
  <r>
    <x v="326"/>
    <x v="256"/>
    <x v="44"/>
    <x v="18"/>
    <x v="18"/>
    <x v="8"/>
  </r>
  <r>
    <x v="330"/>
    <x v="389"/>
    <x v="44"/>
    <x v="30"/>
    <x v="312"/>
    <x v="8"/>
  </r>
  <r>
    <x v="331"/>
    <x v="276"/>
    <x v="44"/>
    <x v="71"/>
    <x v="127"/>
    <x v="2"/>
  </r>
  <r>
    <x v="333"/>
    <x v="299"/>
    <x v="44"/>
    <x v="72"/>
    <x v="211"/>
    <x v="2"/>
  </r>
  <r>
    <x v="966"/>
    <x v="375"/>
    <x v="44"/>
    <x v="72"/>
    <x v="211"/>
    <x v="4"/>
  </r>
  <r>
    <x v="323"/>
    <x v="196"/>
    <x v="44"/>
    <x v="38"/>
    <x v="207"/>
    <x v="8"/>
  </r>
  <r>
    <x v="965"/>
    <x v="289"/>
    <x v="44"/>
    <x v="38"/>
    <x v="239"/>
    <x v="8"/>
  </r>
  <r>
    <x v="967"/>
    <x v="469"/>
    <x v="44"/>
    <x v="42"/>
    <x v="101"/>
    <x v="8"/>
  </r>
  <r>
    <x v="963"/>
    <x v="590"/>
    <x v="44"/>
    <x v="44"/>
    <x v="207"/>
    <x v="8"/>
  </r>
  <r>
    <x v="957"/>
    <x v="290"/>
    <x v="44"/>
    <x v="45"/>
    <x v="187"/>
    <x v="8"/>
  </r>
  <r>
    <x v="325"/>
    <x v="516"/>
    <x v="44"/>
    <x v="48"/>
    <x v="213"/>
    <x v="8"/>
  </r>
  <r>
    <x v="328"/>
    <x v="470"/>
    <x v="44"/>
    <x v="48"/>
    <x v="167"/>
    <x v="8"/>
  </r>
  <r>
    <x v="327"/>
    <x v="389"/>
    <x v="44"/>
    <x v="48"/>
    <x v="187"/>
    <x v="8"/>
  </r>
  <r>
    <x v="968"/>
    <x v="105"/>
    <x v="44"/>
    <x v="48"/>
    <x v="110"/>
    <x v="8"/>
  </r>
  <r>
    <x v="325"/>
    <x v="516"/>
    <x v="44"/>
    <x v="49"/>
    <x v="87"/>
    <x v="8"/>
  </r>
  <r>
    <x v="964"/>
    <x v="401"/>
    <x v="44"/>
    <x v="56"/>
    <x v="210"/>
    <x v="8"/>
  </r>
  <r>
    <x v="332"/>
    <x v="473"/>
    <x v="44"/>
    <x v="61"/>
    <x v="251"/>
    <x v="8"/>
  </r>
  <r>
    <x v="329"/>
    <x v="405"/>
    <x v="44"/>
    <x v="71"/>
    <x v="276"/>
    <x v="8"/>
  </r>
  <r>
    <x v="335"/>
    <x v="287"/>
    <x v="44"/>
    <x v="71"/>
    <x v="193"/>
    <x v="18"/>
  </r>
  <r>
    <x v="336"/>
    <x v="6"/>
    <x v="45"/>
    <x v="48"/>
    <x v="168"/>
    <x v="2"/>
  </r>
  <r>
    <x v="970"/>
    <x v="181"/>
    <x v="45"/>
    <x v="44"/>
    <x v="110"/>
    <x v="6"/>
  </r>
  <r>
    <x v="337"/>
    <x v="270"/>
    <x v="45"/>
    <x v="48"/>
    <x v="405"/>
    <x v="4"/>
  </r>
  <r>
    <x v="969"/>
    <x v="289"/>
    <x v="45"/>
    <x v="35"/>
    <x v="65"/>
    <x v="8"/>
  </r>
  <r>
    <x v="971"/>
    <x v="432"/>
    <x v="45"/>
    <x v="38"/>
    <x v="145"/>
    <x v="8"/>
  </r>
  <r>
    <x v="967"/>
    <x v="469"/>
    <x v="45"/>
    <x v="42"/>
    <x v="101"/>
    <x v="8"/>
  </r>
  <r>
    <x v="338"/>
    <x v="49"/>
    <x v="45"/>
    <x v="71"/>
    <x v="402"/>
    <x v="8"/>
  </r>
  <r>
    <x v="343"/>
    <x v="145"/>
    <x v="46"/>
    <x v="52"/>
    <x v="207"/>
    <x v="8"/>
  </r>
  <r>
    <x v="976"/>
    <x v="162"/>
    <x v="47"/>
    <x v="11"/>
    <x v="438"/>
    <x v="8"/>
  </r>
  <r>
    <x v="347"/>
    <x v="524"/>
    <x v="47"/>
    <x v="29"/>
    <x v="278"/>
    <x v="8"/>
  </r>
  <r>
    <x v="973"/>
    <x v="228"/>
    <x v="47"/>
    <x v="30"/>
    <x v="335"/>
    <x v="8"/>
  </r>
  <r>
    <x v="347"/>
    <x v="524"/>
    <x v="47"/>
    <x v="29"/>
    <x v="381"/>
    <x v="4"/>
  </r>
  <r>
    <x v="977"/>
    <x v="118"/>
    <x v="47"/>
    <x v="40"/>
    <x v="251"/>
    <x v="4"/>
  </r>
  <r>
    <x v="345"/>
    <x v="271"/>
    <x v="47"/>
    <x v="72"/>
    <x v="372"/>
    <x v="2"/>
  </r>
  <r>
    <x v="978"/>
    <x v="283"/>
    <x v="47"/>
    <x v="35"/>
    <x v="349"/>
    <x v="8"/>
  </r>
  <r>
    <x v="344"/>
    <x v="516"/>
    <x v="47"/>
    <x v="35"/>
    <x v="227"/>
    <x v="8"/>
  </r>
  <r>
    <x v="347"/>
    <x v="524"/>
    <x v="47"/>
    <x v="40"/>
    <x v="344"/>
    <x v="8"/>
  </r>
  <r>
    <x v="972"/>
    <x v="58"/>
    <x v="47"/>
    <x v="44"/>
    <x v="122"/>
    <x v="8"/>
  </r>
  <r>
    <x v="347"/>
    <x v="524"/>
    <x v="47"/>
    <x v="44"/>
    <x v="159"/>
    <x v="8"/>
  </r>
  <r>
    <x v="1405"/>
    <x v="456"/>
    <x v="47"/>
    <x v="47"/>
    <x v="411"/>
    <x v="8"/>
  </r>
  <r>
    <x v="347"/>
    <x v="524"/>
    <x v="47"/>
    <x v="47"/>
    <x v="458"/>
    <x v="8"/>
  </r>
  <r>
    <x v="339"/>
    <x v="43"/>
    <x v="47"/>
    <x v="48"/>
    <x v="187"/>
    <x v="8"/>
  </r>
  <r>
    <x v="347"/>
    <x v="524"/>
    <x v="47"/>
    <x v="55"/>
    <x v="452"/>
    <x v="8"/>
  </r>
  <r>
    <x v="1405"/>
    <x v="181"/>
    <x v="47"/>
    <x v="61"/>
    <x v="294"/>
    <x v="8"/>
  </r>
  <r>
    <x v="975"/>
    <x v="441"/>
    <x v="47"/>
    <x v="72"/>
    <x v="4"/>
    <x v="8"/>
  </r>
  <r>
    <x v="349"/>
    <x v="524"/>
    <x v="47"/>
    <x v="76"/>
    <x v="475"/>
    <x v="18"/>
  </r>
  <r>
    <x v="356"/>
    <x v="102"/>
    <x v="48"/>
    <x v="14"/>
    <x v="127"/>
    <x v="8"/>
  </r>
  <r>
    <x v="974"/>
    <x v="247"/>
    <x v="48"/>
    <x v="30"/>
    <x v="123"/>
    <x v="8"/>
  </r>
  <r>
    <x v="980"/>
    <x v="233"/>
    <x v="48"/>
    <x v="30"/>
    <x v="251"/>
    <x v="13"/>
  </r>
  <r>
    <x v="358"/>
    <x v="31"/>
    <x v="48"/>
    <x v="14"/>
    <x v="18"/>
    <x v="6"/>
  </r>
  <r>
    <x v="981"/>
    <x v="162"/>
    <x v="48"/>
    <x v="31"/>
    <x v="267"/>
    <x v="2"/>
  </r>
  <r>
    <x v="1008"/>
    <x v="68"/>
    <x v="48"/>
    <x v="48"/>
    <x v="281"/>
    <x v="4"/>
  </r>
  <r>
    <x v="979"/>
    <x v="452"/>
    <x v="48"/>
    <x v="48"/>
    <x v="181"/>
    <x v="2"/>
  </r>
  <r>
    <x v="974"/>
    <x v="247"/>
    <x v="48"/>
    <x v="55"/>
    <x v="65"/>
    <x v="8"/>
  </r>
  <r>
    <x v="985"/>
    <x v="42"/>
    <x v="49"/>
    <x v="22"/>
    <x v="144"/>
    <x v="8"/>
  </r>
  <r>
    <x v="370"/>
    <x v="196"/>
    <x v="49"/>
    <x v="29"/>
    <x v="237"/>
    <x v="8"/>
  </r>
  <r>
    <x v="982"/>
    <x v="319"/>
    <x v="49"/>
    <x v="35"/>
    <x v="169"/>
    <x v="8"/>
  </r>
  <r>
    <x v="367"/>
    <x v="4"/>
    <x v="49"/>
    <x v="71"/>
    <x v="195"/>
    <x v="2"/>
  </r>
  <r>
    <x v="983"/>
    <x v="316"/>
    <x v="49"/>
    <x v="18"/>
    <x v="87"/>
    <x v="2"/>
  </r>
  <r>
    <x v="366"/>
    <x v="591"/>
    <x v="49"/>
    <x v="47"/>
    <x v="471"/>
    <x v="8"/>
  </r>
  <r>
    <x v="365"/>
    <x v="203"/>
    <x v="49"/>
    <x v="47"/>
    <x v="167"/>
    <x v="8"/>
  </r>
  <r>
    <x v="364"/>
    <x v="197"/>
    <x v="49"/>
    <x v="48"/>
    <x v="110"/>
    <x v="8"/>
  </r>
  <r>
    <x v="984"/>
    <x v="140"/>
    <x v="49"/>
    <x v="76"/>
    <x v="134"/>
    <x v="8"/>
  </r>
  <r>
    <x v="990"/>
    <x v="5"/>
    <x v="50"/>
    <x v="5"/>
    <x v="68"/>
    <x v="8"/>
  </r>
  <r>
    <x v="384"/>
    <x v="574"/>
    <x v="50"/>
    <x v="6"/>
    <x v="263"/>
    <x v="8"/>
  </r>
  <r>
    <x v="987"/>
    <x v="579"/>
    <x v="50"/>
    <x v="18"/>
    <x v="114"/>
    <x v="8"/>
  </r>
  <r>
    <x v="387"/>
    <x v="574"/>
    <x v="50"/>
    <x v="26"/>
    <x v="123"/>
    <x v="8"/>
  </r>
  <r>
    <x v="363"/>
    <x v="175"/>
    <x v="50"/>
    <x v="48"/>
    <x v="398"/>
    <x v="5"/>
  </r>
  <r>
    <x v="992"/>
    <x v="258"/>
    <x v="50"/>
    <x v="6"/>
    <x v="75"/>
    <x v="7"/>
  </r>
  <r>
    <x v="382"/>
    <x v="450"/>
    <x v="50"/>
    <x v="33"/>
    <x v="251"/>
    <x v="4"/>
  </r>
  <r>
    <x v="989"/>
    <x v="544"/>
    <x v="50"/>
    <x v="44"/>
    <x v="338"/>
    <x v="8"/>
  </r>
  <r>
    <x v="383"/>
    <x v="269"/>
    <x v="50"/>
    <x v="47"/>
    <x v="246"/>
    <x v="8"/>
  </r>
  <r>
    <x v="378"/>
    <x v="190"/>
    <x v="50"/>
    <x v="48"/>
    <x v="426"/>
    <x v="8"/>
  </r>
  <r>
    <x v="377"/>
    <x v="190"/>
    <x v="50"/>
    <x v="48"/>
    <x v="226"/>
    <x v="8"/>
  </r>
  <r>
    <x v="385"/>
    <x v="574"/>
    <x v="50"/>
    <x v="48"/>
    <x v="35"/>
    <x v="8"/>
  </r>
  <r>
    <x v="388"/>
    <x v="574"/>
    <x v="50"/>
    <x v="48"/>
    <x v="43"/>
    <x v="8"/>
  </r>
  <r>
    <x v="988"/>
    <x v="172"/>
    <x v="50"/>
    <x v="50"/>
    <x v="332"/>
    <x v="8"/>
  </r>
  <r>
    <x v="991"/>
    <x v="56"/>
    <x v="50"/>
    <x v="55"/>
    <x v="128"/>
    <x v="8"/>
  </r>
  <r>
    <x v="381"/>
    <x v="146"/>
    <x v="50"/>
    <x v="60"/>
    <x v="324"/>
    <x v="8"/>
  </r>
  <r>
    <x v="383"/>
    <x v="269"/>
    <x v="50"/>
    <x v="71"/>
    <x v="88"/>
    <x v="8"/>
  </r>
  <r>
    <x v="379"/>
    <x v="333"/>
    <x v="50"/>
    <x v="71"/>
    <x v="23"/>
    <x v="18"/>
  </r>
  <r>
    <x v="379"/>
    <x v="333"/>
    <x v="50"/>
    <x v="72"/>
    <x v="42"/>
    <x v="18"/>
  </r>
  <r>
    <x v="393"/>
    <x v="483"/>
    <x v="51"/>
    <x v="11"/>
    <x v="278"/>
    <x v="8"/>
  </r>
  <r>
    <x v="993"/>
    <x v="220"/>
    <x v="51"/>
    <x v="18"/>
    <x v="98"/>
    <x v="8"/>
  </r>
  <r>
    <x v="395"/>
    <x v="215"/>
    <x v="51"/>
    <x v="18"/>
    <x v="89"/>
    <x v="8"/>
  </r>
  <r>
    <x v="995"/>
    <x v="82"/>
    <x v="51"/>
    <x v="30"/>
    <x v="93"/>
    <x v="8"/>
  </r>
  <r>
    <x v="236"/>
    <x v="208"/>
    <x v="51"/>
    <x v="30"/>
    <x v="99"/>
    <x v="8"/>
  </r>
  <r>
    <x v="996"/>
    <x v="171"/>
    <x v="51"/>
    <x v="26"/>
    <x v="328"/>
    <x v="4"/>
  </r>
  <r>
    <x v="994"/>
    <x v="81"/>
    <x v="51"/>
    <x v="44"/>
    <x v="336"/>
    <x v="1"/>
  </r>
  <r>
    <x v="389"/>
    <x v="180"/>
    <x v="51"/>
    <x v="24"/>
    <x v="283"/>
    <x v="6"/>
  </r>
  <r>
    <x v="398"/>
    <x v="335"/>
    <x v="51"/>
    <x v="6"/>
    <x v="39"/>
    <x v="10"/>
  </r>
  <r>
    <x v="986"/>
    <x v="186"/>
    <x v="51"/>
    <x v="47"/>
    <x v="69"/>
    <x v="2"/>
  </r>
  <r>
    <x v="396"/>
    <x v="384"/>
    <x v="51"/>
    <x v="48"/>
    <x v="315"/>
    <x v="4"/>
  </r>
  <r>
    <x v="391"/>
    <x v="411"/>
    <x v="51"/>
    <x v="44"/>
    <x v="85"/>
    <x v="8"/>
  </r>
  <r>
    <x v="995"/>
    <x v="82"/>
    <x v="51"/>
    <x v="44"/>
    <x v="59"/>
    <x v="8"/>
  </r>
  <r>
    <x v="392"/>
    <x v="126"/>
    <x v="51"/>
    <x v="44"/>
    <x v="139"/>
    <x v="8"/>
  </r>
  <r>
    <x v="997"/>
    <x v="363"/>
    <x v="51"/>
    <x v="55"/>
    <x v="412"/>
    <x v="8"/>
  </r>
  <r>
    <x v="873"/>
    <x v="142"/>
    <x v="51"/>
    <x v="60"/>
    <x v="287"/>
    <x v="8"/>
  </r>
  <r>
    <x v="390"/>
    <x v="330"/>
    <x v="51"/>
    <x v="72"/>
    <x v="164"/>
    <x v="8"/>
  </r>
  <r>
    <x v="394"/>
    <x v="211"/>
    <x v="51"/>
    <x v="72"/>
    <x v="261"/>
    <x v="8"/>
  </r>
  <r>
    <x v="1004"/>
    <x v="494"/>
    <x v="52"/>
    <x v="30"/>
    <x v="263"/>
    <x v="10"/>
  </r>
  <r>
    <x v="401"/>
    <x v="593"/>
    <x v="52"/>
    <x v="48"/>
    <x v="351"/>
    <x v="4"/>
  </r>
  <r>
    <x v="999"/>
    <x v="578"/>
    <x v="52"/>
    <x v="44"/>
    <x v="30"/>
    <x v="2"/>
  </r>
  <r>
    <x v="998"/>
    <x v="281"/>
    <x v="52"/>
    <x v="40"/>
    <x v="263"/>
    <x v="8"/>
  </r>
  <r>
    <x v="386"/>
    <x v="574"/>
    <x v="53"/>
    <x v="14"/>
    <x v="187"/>
    <x v="8"/>
  </r>
  <r>
    <x v="1002"/>
    <x v="205"/>
    <x v="53"/>
    <x v="29"/>
    <x v="398"/>
    <x v="8"/>
  </r>
  <r>
    <x v="876"/>
    <x v="444"/>
    <x v="53"/>
    <x v="33"/>
    <x v="110"/>
    <x v="8"/>
  </r>
  <r>
    <x v="412"/>
    <x v="0"/>
    <x v="53"/>
    <x v="7"/>
    <x v="75"/>
    <x v="15"/>
  </r>
  <r>
    <x v="414"/>
    <x v="137"/>
    <x v="53"/>
    <x v="38"/>
    <x v="326"/>
    <x v="8"/>
  </r>
  <r>
    <x v="1000"/>
    <x v="547"/>
    <x v="53"/>
    <x v="44"/>
    <x v="210"/>
    <x v="8"/>
  </r>
  <r>
    <x v="1005"/>
    <x v="324"/>
    <x v="53"/>
    <x v="44"/>
    <x v="52"/>
    <x v="8"/>
  </r>
  <r>
    <x v="1001"/>
    <x v="5"/>
    <x v="53"/>
    <x v="44"/>
    <x v="76"/>
    <x v="8"/>
  </r>
  <r>
    <x v="1003"/>
    <x v="372"/>
    <x v="53"/>
    <x v="47"/>
    <x v="393"/>
    <x v="8"/>
  </r>
  <r>
    <x v="411"/>
    <x v="392"/>
    <x v="53"/>
    <x v="47"/>
    <x v="438"/>
    <x v="8"/>
  </r>
  <r>
    <x v="1006"/>
    <x v="197"/>
    <x v="53"/>
    <x v="47"/>
    <x v="52"/>
    <x v="8"/>
  </r>
  <r>
    <x v="1006"/>
    <x v="197"/>
    <x v="53"/>
    <x v="48"/>
    <x v="110"/>
    <x v="8"/>
  </r>
  <r>
    <x v="409"/>
    <x v="448"/>
    <x v="53"/>
    <x v="52"/>
    <x v="409"/>
    <x v="8"/>
  </r>
  <r>
    <x v="410"/>
    <x v="315"/>
    <x v="53"/>
    <x v="71"/>
    <x v="301"/>
    <x v="8"/>
  </r>
  <r>
    <x v="426"/>
    <x v="373"/>
    <x v="54"/>
    <x v="32"/>
    <x v="287"/>
    <x v="8"/>
  </r>
  <r>
    <x v="422"/>
    <x v="423"/>
    <x v="54"/>
    <x v="44"/>
    <x v="93"/>
    <x v="8"/>
  </r>
  <r>
    <x v="420"/>
    <x v="592"/>
    <x v="54"/>
    <x v="54"/>
    <x v="191"/>
    <x v="8"/>
  </r>
  <r>
    <x v="430"/>
    <x v="574"/>
    <x v="55"/>
    <x v="26"/>
    <x v="39"/>
    <x v="8"/>
  </r>
  <r>
    <x v="428"/>
    <x v="271"/>
    <x v="55"/>
    <x v="29"/>
    <x v="29"/>
    <x v="8"/>
  </r>
  <r>
    <x v="1010"/>
    <x v="228"/>
    <x v="55"/>
    <x v="29"/>
    <x v="138"/>
    <x v="8"/>
  </r>
  <r>
    <x v="1009"/>
    <x v="171"/>
    <x v="55"/>
    <x v="48"/>
    <x v="306"/>
    <x v="4"/>
  </r>
  <r>
    <x v="431"/>
    <x v="359"/>
    <x v="55"/>
    <x v="71"/>
    <x v="195"/>
    <x v="2"/>
  </r>
  <r>
    <x v="427"/>
    <x v="197"/>
    <x v="55"/>
    <x v="48"/>
    <x v="460"/>
    <x v="8"/>
  </r>
  <r>
    <x v="1007"/>
    <x v="452"/>
    <x v="55"/>
    <x v="51"/>
    <x v="442"/>
    <x v="8"/>
  </r>
  <r>
    <x v="1007"/>
    <x v="452"/>
    <x v="55"/>
    <x v="55"/>
    <x v="462"/>
    <x v="8"/>
  </r>
  <r>
    <x v="423"/>
    <x v="127"/>
    <x v="55"/>
    <x v="72"/>
    <x v="258"/>
    <x v="8"/>
  </r>
  <r>
    <x v="1007"/>
    <x v="452"/>
    <x v="55"/>
    <x v="73"/>
    <x v="383"/>
    <x v="8"/>
  </r>
  <r>
    <x v="425"/>
    <x v="197"/>
    <x v="55"/>
    <x v="77"/>
    <x v="209"/>
    <x v="8"/>
  </r>
  <r>
    <x v="424"/>
    <x v="231"/>
    <x v="55"/>
    <x v="71"/>
    <x v="74"/>
    <x v="18"/>
  </r>
  <r>
    <x v="424"/>
    <x v="231"/>
    <x v="55"/>
    <x v="71"/>
    <x v="74"/>
    <x v="18"/>
  </r>
  <r>
    <x v="1012"/>
    <x v="6"/>
    <x v="56"/>
    <x v="48"/>
    <x v="168"/>
    <x v="2"/>
  </r>
  <r>
    <x v="443"/>
    <x v="574"/>
    <x v="56"/>
    <x v="33"/>
    <x v="251"/>
    <x v="9"/>
  </r>
  <r>
    <x v="438"/>
    <x v="129"/>
    <x v="56"/>
    <x v="7"/>
    <x v="75"/>
    <x v="15"/>
  </r>
  <r>
    <x v="441"/>
    <x v="200"/>
    <x v="56"/>
    <x v="44"/>
    <x v="318"/>
    <x v="2"/>
  </r>
  <r>
    <x v="447"/>
    <x v="270"/>
    <x v="56"/>
    <x v="48"/>
    <x v="406"/>
    <x v="4"/>
  </r>
  <r>
    <x v="435"/>
    <x v="21"/>
    <x v="56"/>
    <x v="38"/>
    <x v="324"/>
    <x v="8"/>
  </r>
  <r>
    <x v="446"/>
    <x v="23"/>
    <x v="56"/>
    <x v="47"/>
    <x v="97"/>
    <x v="8"/>
  </r>
  <r>
    <x v="445"/>
    <x v="250"/>
    <x v="56"/>
    <x v="47"/>
    <x v="173"/>
    <x v="8"/>
  </r>
  <r>
    <x v="1011"/>
    <x v="56"/>
    <x v="56"/>
    <x v="55"/>
    <x v="98"/>
    <x v="8"/>
  </r>
  <r>
    <x v="439"/>
    <x v="378"/>
    <x v="56"/>
    <x v="71"/>
    <x v="202"/>
    <x v="8"/>
  </r>
  <r>
    <x v="444"/>
    <x v="367"/>
    <x v="56"/>
    <x v="71"/>
    <x v="92"/>
    <x v="8"/>
  </r>
  <r>
    <x v="432"/>
    <x v="563"/>
    <x v="56"/>
    <x v="71"/>
    <x v="292"/>
    <x v="18"/>
  </r>
  <r>
    <x v="450"/>
    <x v="22"/>
    <x v="57"/>
    <x v="28"/>
    <x v="301"/>
    <x v="8"/>
  </r>
  <r>
    <x v="1013"/>
    <x v="206"/>
    <x v="57"/>
    <x v="47"/>
    <x v="379"/>
    <x v="8"/>
  </r>
  <r>
    <x v="436"/>
    <x v="574"/>
    <x v="57"/>
    <x v="48"/>
    <x v="43"/>
    <x v="8"/>
  </r>
  <r>
    <x v="452"/>
    <x v="574"/>
    <x v="57"/>
    <x v="48"/>
    <x v="94"/>
    <x v="8"/>
  </r>
  <r>
    <x v="449"/>
    <x v="218"/>
    <x v="57"/>
    <x v="64"/>
    <x v="169"/>
    <x v="8"/>
  </r>
  <r>
    <x v="454"/>
    <x v="379"/>
    <x v="57"/>
    <x v="65"/>
    <x v="248"/>
    <x v="8"/>
  </r>
  <r>
    <x v="458"/>
    <x v="112"/>
    <x v="58"/>
    <x v="33"/>
    <x v="226"/>
    <x v="8"/>
  </r>
  <r>
    <x v="1014"/>
    <x v="81"/>
    <x v="58"/>
    <x v="48"/>
    <x v="75"/>
    <x v="2"/>
  </r>
  <r>
    <x v="460"/>
    <x v="255"/>
    <x v="58"/>
    <x v="38"/>
    <x v="117"/>
    <x v="8"/>
  </r>
  <r>
    <x v="1013"/>
    <x v="206"/>
    <x v="58"/>
    <x v="47"/>
    <x v="377"/>
    <x v="8"/>
  </r>
  <r>
    <x v="455"/>
    <x v="389"/>
    <x v="58"/>
    <x v="48"/>
    <x v="187"/>
    <x v="8"/>
  </r>
  <r>
    <x v="456"/>
    <x v="145"/>
    <x v="58"/>
    <x v="52"/>
    <x v="304"/>
    <x v="8"/>
  </r>
  <r>
    <x v="460"/>
    <x v="255"/>
    <x v="58"/>
    <x v="71"/>
    <x v="165"/>
    <x v="8"/>
  </r>
  <r>
    <x v="459"/>
    <x v="380"/>
    <x v="58"/>
    <x v="71"/>
    <x v="206"/>
    <x v="18"/>
  </r>
  <r>
    <x v="1015"/>
    <x v="93"/>
    <x v="58"/>
    <x v="71"/>
    <x v="72"/>
    <x v="18"/>
  </r>
  <r>
    <x v="1018"/>
    <x v="387"/>
    <x v="59"/>
    <x v="8"/>
    <x v="63"/>
    <x v="8"/>
  </r>
  <r>
    <x v="480"/>
    <x v="266"/>
    <x v="59"/>
    <x v="71"/>
    <x v="45"/>
    <x v="9"/>
  </r>
  <r>
    <x v="476"/>
    <x v="304"/>
    <x v="59"/>
    <x v="37"/>
    <x v="75"/>
    <x v="4"/>
  </r>
  <r>
    <x v="482"/>
    <x v="154"/>
    <x v="59"/>
    <x v="71"/>
    <x v="321"/>
    <x v="4"/>
  </r>
  <r>
    <x v="1017"/>
    <x v="278"/>
    <x v="59"/>
    <x v="44"/>
    <x v="65"/>
    <x v="8"/>
  </r>
  <r>
    <x v="478"/>
    <x v="203"/>
    <x v="59"/>
    <x v="44"/>
    <x v="226"/>
    <x v="8"/>
  </r>
  <r>
    <x v="1020"/>
    <x v="58"/>
    <x v="59"/>
    <x v="44"/>
    <x v="351"/>
    <x v="8"/>
  </r>
  <r>
    <x v="484"/>
    <x v="264"/>
    <x v="59"/>
    <x v="47"/>
    <x v="129"/>
    <x v="8"/>
  </r>
  <r>
    <x v="474"/>
    <x v="537"/>
    <x v="59"/>
    <x v="48"/>
    <x v="226"/>
    <x v="8"/>
  </r>
  <r>
    <x v="477"/>
    <x v="267"/>
    <x v="59"/>
    <x v="48"/>
    <x v="410"/>
    <x v="8"/>
  </r>
  <r>
    <x v="483"/>
    <x v="294"/>
    <x v="59"/>
    <x v="48"/>
    <x v="110"/>
    <x v="8"/>
  </r>
  <r>
    <x v="1016"/>
    <x v="150"/>
    <x v="59"/>
    <x v="59"/>
    <x v="308"/>
    <x v="8"/>
  </r>
  <r>
    <x v="484"/>
    <x v="264"/>
    <x v="59"/>
    <x v="67"/>
    <x v="159"/>
    <x v="8"/>
  </r>
  <r>
    <x v="479"/>
    <x v="405"/>
    <x v="59"/>
    <x v="71"/>
    <x v="358"/>
    <x v="8"/>
  </r>
  <r>
    <x v="475"/>
    <x v="348"/>
    <x v="59"/>
    <x v="72"/>
    <x v="376"/>
    <x v="8"/>
  </r>
  <r>
    <x v="479"/>
    <x v="405"/>
    <x v="59"/>
    <x v="72"/>
    <x v="404"/>
    <x v="8"/>
  </r>
  <r>
    <x v="1019"/>
    <x v="162"/>
    <x v="59"/>
    <x v="76"/>
    <x v="105"/>
    <x v="8"/>
  </r>
  <r>
    <x v="484"/>
    <x v="487"/>
    <x v="59"/>
    <x v="71"/>
    <x v="241"/>
    <x v="18"/>
  </r>
  <r>
    <x v="481"/>
    <x v="148"/>
    <x v="59"/>
    <x v="76"/>
    <x v="134"/>
    <x v="18"/>
  </r>
  <r>
    <x v="1024"/>
    <x v="223"/>
    <x v="60"/>
    <x v="11"/>
    <x v="170"/>
    <x v="8"/>
  </r>
  <r>
    <x v="472"/>
    <x v="459"/>
    <x v="60"/>
    <x v="30"/>
    <x v="351"/>
    <x v="8"/>
  </r>
  <r>
    <x v="1027"/>
    <x v="365"/>
    <x v="60"/>
    <x v="35"/>
    <x v="294"/>
    <x v="8"/>
  </r>
  <r>
    <x v="1021"/>
    <x v="162"/>
    <x v="60"/>
    <x v="59"/>
    <x v="146"/>
    <x v="2"/>
  </r>
  <r>
    <x v="1025"/>
    <x v="51"/>
    <x v="60"/>
    <x v="24"/>
    <x v="104"/>
    <x v="6"/>
  </r>
  <r>
    <x v="490"/>
    <x v="464"/>
    <x v="60"/>
    <x v="5"/>
    <x v="65"/>
    <x v="15"/>
  </r>
  <r>
    <x v="1026"/>
    <x v="422"/>
    <x v="60"/>
    <x v="40"/>
    <x v="128"/>
    <x v="8"/>
  </r>
  <r>
    <x v="500"/>
    <x v="524"/>
    <x v="60"/>
    <x v="40"/>
    <x v="301"/>
    <x v="8"/>
  </r>
  <r>
    <x v="1023"/>
    <x v="56"/>
    <x v="60"/>
    <x v="44"/>
    <x v="350"/>
    <x v="8"/>
  </r>
  <r>
    <x v="500"/>
    <x v="524"/>
    <x v="60"/>
    <x v="44"/>
    <x v="253"/>
    <x v="8"/>
  </r>
  <r>
    <x v="485"/>
    <x v="456"/>
    <x v="60"/>
    <x v="47"/>
    <x v="359"/>
    <x v="8"/>
  </r>
  <r>
    <x v="1024"/>
    <x v="223"/>
    <x v="60"/>
    <x v="47"/>
    <x v="79"/>
    <x v="8"/>
  </r>
  <r>
    <x v="1022"/>
    <x v="418"/>
    <x v="60"/>
    <x v="48"/>
    <x v="303"/>
    <x v="8"/>
  </r>
  <r>
    <x v="499"/>
    <x v="354"/>
    <x v="60"/>
    <x v="59"/>
    <x v="48"/>
    <x v="8"/>
  </r>
  <r>
    <x v="491"/>
    <x v="315"/>
    <x v="60"/>
    <x v="71"/>
    <x v="195"/>
    <x v="8"/>
  </r>
  <r>
    <x v="500"/>
    <x v="524"/>
    <x v="60"/>
    <x v="71"/>
    <x v="292"/>
    <x v="8"/>
  </r>
  <r>
    <x v="487"/>
    <x v="143"/>
    <x v="60"/>
    <x v="72"/>
    <x v="92"/>
    <x v="8"/>
  </r>
  <r>
    <x v="486"/>
    <x v="399"/>
    <x v="60"/>
    <x v="72"/>
    <x v="42"/>
    <x v="8"/>
  </r>
  <r>
    <x v="492"/>
    <x v="535"/>
    <x v="60"/>
    <x v="76"/>
    <x v="301"/>
    <x v="8"/>
  </r>
  <r>
    <x v="489"/>
    <x v="346"/>
    <x v="60"/>
    <x v="76"/>
    <x v="413"/>
    <x v="18"/>
  </r>
  <r>
    <x v="500"/>
    <x v="524"/>
    <x v="61"/>
    <x v="29"/>
    <x v="300"/>
    <x v="8"/>
  </r>
  <r>
    <x v="501"/>
    <x v="524"/>
    <x v="61"/>
    <x v="47"/>
    <x v="476"/>
    <x v="17"/>
  </r>
  <r>
    <x v="500"/>
    <x v="524"/>
    <x v="61"/>
    <x v="47"/>
    <x v="472"/>
    <x v="8"/>
  </r>
  <r>
    <x v="500"/>
    <x v="524"/>
    <x v="61"/>
    <x v="48"/>
    <x v="263"/>
    <x v="8"/>
  </r>
  <r>
    <x v="495"/>
    <x v="331"/>
    <x v="61"/>
    <x v="52"/>
    <x v="237"/>
    <x v="8"/>
  </r>
  <r>
    <x v="500"/>
    <x v="524"/>
    <x v="61"/>
    <x v="55"/>
    <x v="432"/>
    <x v="8"/>
  </r>
  <r>
    <x v="500"/>
    <x v="524"/>
    <x v="61"/>
    <x v="76"/>
    <x v="483"/>
    <x v="18"/>
  </r>
  <r>
    <x v="507"/>
    <x v="552"/>
    <x v="62"/>
    <x v="6"/>
    <x v="263"/>
    <x v="8"/>
  </r>
  <r>
    <x v="1032"/>
    <x v="490"/>
    <x v="62"/>
    <x v="35"/>
    <x v="226"/>
    <x v="8"/>
  </r>
  <r>
    <x v="509"/>
    <x v="30"/>
    <x v="62"/>
    <x v="37"/>
    <x v="349"/>
    <x v="8"/>
  </r>
  <r>
    <x v="1031"/>
    <x v="232"/>
    <x v="62"/>
    <x v="60"/>
    <x v="65"/>
    <x v="5"/>
  </r>
  <r>
    <x v="1029"/>
    <x v="233"/>
    <x v="62"/>
    <x v="44"/>
    <x v="226"/>
    <x v="10"/>
  </r>
  <r>
    <x v="1030"/>
    <x v="162"/>
    <x v="62"/>
    <x v="44"/>
    <x v="75"/>
    <x v="8"/>
  </r>
  <r>
    <x v="496"/>
    <x v="506"/>
    <x v="62"/>
    <x v="64"/>
    <x v="412"/>
    <x v="8"/>
  </r>
  <r>
    <x v="508"/>
    <x v="517"/>
    <x v="62"/>
    <x v="69"/>
    <x v="418"/>
    <x v="8"/>
  </r>
  <r>
    <x v="505"/>
    <x v="89"/>
    <x v="62"/>
    <x v="71"/>
    <x v="121"/>
    <x v="8"/>
  </r>
  <r>
    <x v="506"/>
    <x v="23"/>
    <x v="62"/>
    <x v="71"/>
    <x v="336"/>
    <x v="8"/>
  </r>
  <r>
    <x v="504"/>
    <x v="49"/>
    <x v="62"/>
    <x v="71"/>
    <x v="115"/>
    <x v="8"/>
  </r>
  <r>
    <x v="1033"/>
    <x v="39"/>
    <x v="63"/>
    <x v="35"/>
    <x v="75"/>
    <x v="8"/>
  </r>
  <r>
    <x v="524"/>
    <x v="44"/>
    <x v="63"/>
    <x v="8"/>
    <x v="349"/>
    <x v="15"/>
  </r>
  <r>
    <x v="516"/>
    <x v="37"/>
    <x v="63"/>
    <x v="48"/>
    <x v="478"/>
    <x v="4"/>
  </r>
  <r>
    <x v="515"/>
    <x v="534"/>
    <x v="63"/>
    <x v="44"/>
    <x v="168"/>
    <x v="8"/>
  </r>
  <r>
    <x v="1034"/>
    <x v="162"/>
    <x v="63"/>
    <x v="47"/>
    <x v="216"/>
    <x v="8"/>
  </r>
  <r>
    <x v="512"/>
    <x v="436"/>
    <x v="63"/>
    <x v="48"/>
    <x v="386"/>
    <x v="8"/>
  </r>
  <r>
    <x v="513"/>
    <x v="11"/>
    <x v="63"/>
    <x v="76"/>
    <x v="153"/>
    <x v="8"/>
  </r>
  <r>
    <x v="525"/>
    <x v="189"/>
    <x v="64"/>
    <x v="33"/>
    <x v="252"/>
    <x v="8"/>
  </r>
  <r>
    <x v="526"/>
    <x v="524"/>
    <x v="64"/>
    <x v="35"/>
    <x v="192"/>
    <x v="4"/>
  </r>
  <r>
    <x v="1028"/>
    <x v="58"/>
    <x v="64"/>
    <x v="44"/>
    <x v="210"/>
    <x v="8"/>
  </r>
  <r>
    <x v="519"/>
    <x v="327"/>
    <x v="64"/>
    <x v="47"/>
    <x v="295"/>
    <x v="8"/>
  </r>
  <r>
    <x v="1035"/>
    <x v="56"/>
    <x v="64"/>
    <x v="55"/>
    <x v="158"/>
    <x v="8"/>
  </r>
  <r>
    <x v="527"/>
    <x v="524"/>
    <x v="64"/>
    <x v="77"/>
    <x v="485"/>
    <x v="8"/>
  </r>
  <r>
    <x v="528"/>
    <x v="524"/>
    <x v="64"/>
    <x v="76"/>
    <x v="429"/>
    <x v="18"/>
  </r>
  <r>
    <x v="545"/>
    <x v="141"/>
    <x v="65"/>
    <x v="11"/>
    <x v="148"/>
    <x v="8"/>
  </r>
  <r>
    <x v="1036"/>
    <x v="313"/>
    <x v="65"/>
    <x v="18"/>
    <x v="117"/>
    <x v="8"/>
  </r>
  <r>
    <x v="543"/>
    <x v="442"/>
    <x v="65"/>
    <x v="23"/>
    <x v="169"/>
    <x v="8"/>
  </r>
  <r>
    <x v="518"/>
    <x v="11"/>
    <x v="65"/>
    <x v="34"/>
    <x v="239"/>
    <x v="8"/>
  </r>
  <r>
    <x v="1038"/>
    <x v="188"/>
    <x v="65"/>
    <x v="38"/>
    <x v="80"/>
    <x v="8"/>
  </r>
  <r>
    <x v="540"/>
    <x v="137"/>
    <x v="65"/>
    <x v="38"/>
    <x v="239"/>
    <x v="8"/>
  </r>
  <r>
    <x v="1037"/>
    <x v="416"/>
    <x v="65"/>
    <x v="23"/>
    <x v="95"/>
    <x v="4"/>
  </r>
  <r>
    <x v="532"/>
    <x v="276"/>
    <x v="65"/>
    <x v="71"/>
    <x v="114"/>
    <x v="2"/>
  </r>
  <r>
    <x v="530"/>
    <x v="276"/>
    <x v="65"/>
    <x v="71"/>
    <x v="127"/>
    <x v="2"/>
  </r>
  <r>
    <x v="542"/>
    <x v="174"/>
    <x v="65"/>
    <x v="48"/>
    <x v="357"/>
    <x v="4"/>
  </r>
  <r>
    <x v="1039"/>
    <x v="171"/>
    <x v="65"/>
    <x v="48"/>
    <x v="239"/>
    <x v="4"/>
  </r>
  <r>
    <x v="544"/>
    <x v="384"/>
    <x v="65"/>
    <x v="48"/>
    <x v="416"/>
    <x v="4"/>
  </r>
  <r>
    <x v="541"/>
    <x v="564"/>
    <x v="65"/>
    <x v="48"/>
    <x v="271"/>
    <x v="4"/>
  </r>
  <r>
    <x v="535"/>
    <x v="28"/>
    <x v="65"/>
    <x v="61"/>
    <x v="263"/>
    <x v="4"/>
  </r>
  <r>
    <x v="534"/>
    <x v="266"/>
    <x v="65"/>
    <x v="42"/>
    <x v="334"/>
    <x v="8"/>
  </r>
  <r>
    <x v="531"/>
    <x v="155"/>
    <x v="65"/>
    <x v="44"/>
    <x v="210"/>
    <x v="8"/>
  </r>
  <r>
    <x v="529"/>
    <x v="437"/>
    <x v="65"/>
    <x v="55"/>
    <x v="379"/>
    <x v="8"/>
  </r>
  <r>
    <x v="537"/>
    <x v="255"/>
    <x v="65"/>
    <x v="71"/>
    <x v="80"/>
    <x v="8"/>
  </r>
  <r>
    <x v="546"/>
    <x v="576"/>
    <x v="65"/>
    <x v="71"/>
    <x v="97"/>
    <x v="8"/>
  </r>
  <r>
    <x v="413"/>
    <x v="36"/>
    <x v="66"/>
    <x v="24"/>
    <x v="36"/>
    <x v="8"/>
  </r>
  <r>
    <x v="552"/>
    <x v="67"/>
    <x v="66"/>
    <x v="24"/>
    <x v="324"/>
    <x v="8"/>
  </r>
  <r>
    <x v="1040"/>
    <x v="550"/>
    <x v="66"/>
    <x v="31"/>
    <x v="55"/>
    <x v="8"/>
  </r>
  <r>
    <x v="554"/>
    <x v="524"/>
    <x v="66"/>
    <x v="35"/>
    <x v="192"/>
    <x v="4"/>
  </r>
  <r>
    <x v="1042"/>
    <x v="363"/>
    <x v="66"/>
    <x v="42"/>
    <x v="398"/>
    <x v="8"/>
  </r>
  <r>
    <x v="1043"/>
    <x v="363"/>
    <x v="66"/>
    <x v="44"/>
    <x v="226"/>
    <x v="8"/>
  </r>
  <r>
    <x v="549"/>
    <x v="558"/>
    <x v="66"/>
    <x v="48"/>
    <x v="271"/>
    <x v="8"/>
  </r>
  <r>
    <x v="553"/>
    <x v="448"/>
    <x v="66"/>
    <x v="52"/>
    <x v="438"/>
    <x v="8"/>
  </r>
  <r>
    <x v="551"/>
    <x v="122"/>
    <x v="66"/>
    <x v="71"/>
    <x v="287"/>
    <x v="8"/>
  </r>
  <r>
    <x v="555"/>
    <x v="75"/>
    <x v="66"/>
    <x v="71"/>
    <x v="161"/>
    <x v="8"/>
  </r>
  <r>
    <x v="1041"/>
    <x v="559"/>
    <x v="67"/>
    <x v="30"/>
    <x v="123"/>
    <x v="8"/>
  </r>
  <r>
    <x v="1045"/>
    <x v="149"/>
    <x v="67"/>
    <x v="30"/>
    <x v="275"/>
    <x v="8"/>
  </r>
  <r>
    <x v="1044"/>
    <x v="81"/>
    <x v="67"/>
    <x v="48"/>
    <x v="344"/>
    <x v="1"/>
  </r>
  <r>
    <x v="1046"/>
    <x v="175"/>
    <x v="67"/>
    <x v="48"/>
    <x v="398"/>
    <x v="4"/>
  </r>
  <r>
    <x v="547"/>
    <x v="592"/>
    <x v="67"/>
    <x v="54"/>
    <x v="191"/>
    <x v="8"/>
  </r>
  <r>
    <x v="558"/>
    <x v="196"/>
    <x v="67"/>
    <x v="55"/>
    <x v="308"/>
    <x v="8"/>
  </r>
  <r>
    <x v="556"/>
    <x v="537"/>
    <x v="67"/>
    <x v="60"/>
    <x v="158"/>
    <x v="8"/>
  </r>
  <r>
    <x v="560"/>
    <x v="423"/>
    <x v="67"/>
    <x v="60"/>
    <x v="49"/>
    <x v="8"/>
  </r>
  <r>
    <x v="559"/>
    <x v="48"/>
    <x v="67"/>
    <x v="60"/>
    <x v="49"/>
    <x v="8"/>
  </r>
  <r>
    <x v="513"/>
    <x v="11"/>
    <x v="67"/>
    <x v="76"/>
    <x v="158"/>
    <x v="8"/>
  </r>
  <r>
    <x v="1041"/>
    <x v="559"/>
    <x v="67"/>
    <x v="76"/>
    <x v="25"/>
    <x v="8"/>
  </r>
  <r>
    <x v="1047"/>
    <x v="314"/>
    <x v="67"/>
    <x v="76"/>
    <x v="19"/>
    <x v="18"/>
  </r>
  <r>
    <x v="1049"/>
    <x v="549"/>
    <x v="68"/>
    <x v="21"/>
    <x v="213"/>
    <x v="8"/>
  </r>
  <r>
    <x v="561"/>
    <x v="190"/>
    <x v="68"/>
    <x v="33"/>
    <x v="315"/>
    <x v="8"/>
  </r>
  <r>
    <x v="1050"/>
    <x v="365"/>
    <x v="68"/>
    <x v="35"/>
    <x v="314"/>
    <x v="8"/>
  </r>
  <r>
    <x v="574"/>
    <x v="253"/>
    <x v="68"/>
    <x v="71"/>
    <x v="153"/>
    <x v="2"/>
  </r>
  <r>
    <x v="576"/>
    <x v="376"/>
    <x v="68"/>
    <x v="48"/>
    <x v="423"/>
    <x v="4"/>
  </r>
  <r>
    <x v="575"/>
    <x v="345"/>
    <x v="68"/>
    <x v="48"/>
    <x v="136"/>
    <x v="2"/>
  </r>
  <r>
    <x v="581"/>
    <x v="270"/>
    <x v="68"/>
    <x v="48"/>
    <x v="405"/>
    <x v="4"/>
  </r>
  <r>
    <x v="582"/>
    <x v="151"/>
    <x v="68"/>
    <x v="44"/>
    <x v="251"/>
    <x v="8"/>
  </r>
  <r>
    <x v="1052"/>
    <x v="63"/>
    <x v="68"/>
    <x v="44"/>
    <x v="237"/>
    <x v="8"/>
  </r>
  <r>
    <x v="1030"/>
    <x v="342"/>
    <x v="68"/>
    <x v="47"/>
    <x v="271"/>
    <x v="8"/>
  </r>
  <r>
    <x v="571"/>
    <x v="269"/>
    <x v="68"/>
    <x v="47"/>
    <x v="263"/>
    <x v="8"/>
  </r>
  <r>
    <x v="564"/>
    <x v="295"/>
    <x v="68"/>
    <x v="48"/>
    <x v="332"/>
    <x v="8"/>
  </r>
  <r>
    <x v="569"/>
    <x v="190"/>
    <x v="68"/>
    <x v="48"/>
    <x v="447"/>
    <x v="8"/>
  </r>
  <r>
    <x v="570"/>
    <x v="145"/>
    <x v="68"/>
    <x v="52"/>
    <x v="304"/>
    <x v="8"/>
  </r>
  <r>
    <x v="558"/>
    <x v="196"/>
    <x v="68"/>
    <x v="55"/>
    <x v="324"/>
    <x v="8"/>
  </r>
  <r>
    <x v="564"/>
    <x v="295"/>
    <x v="68"/>
    <x v="72"/>
    <x v="310"/>
    <x v="8"/>
  </r>
  <r>
    <x v="1048"/>
    <x v="448"/>
    <x v="68"/>
    <x v="76"/>
    <x v="60"/>
    <x v="8"/>
  </r>
  <r>
    <x v="587"/>
    <x v="524"/>
    <x v="69"/>
    <x v="29"/>
    <x v="332"/>
    <x v="8"/>
  </r>
  <r>
    <x v="590"/>
    <x v="524"/>
    <x v="69"/>
    <x v="29"/>
    <x v="248"/>
    <x v="8"/>
  </r>
  <r>
    <x v="1053"/>
    <x v="439"/>
    <x v="69"/>
    <x v="38"/>
    <x v="287"/>
    <x v="8"/>
  </r>
  <r>
    <x v="589"/>
    <x v="94"/>
    <x v="69"/>
    <x v="44"/>
    <x v="359"/>
    <x v="8"/>
  </r>
  <r>
    <x v="590"/>
    <x v="524"/>
    <x v="69"/>
    <x v="44"/>
    <x v="253"/>
    <x v="8"/>
  </r>
  <r>
    <x v="588"/>
    <x v="192"/>
    <x v="69"/>
    <x v="48"/>
    <x v="263"/>
    <x v="8"/>
  </r>
  <r>
    <x v="577"/>
    <x v="49"/>
    <x v="69"/>
    <x v="71"/>
    <x v="84"/>
    <x v="8"/>
  </r>
  <r>
    <x v="585"/>
    <x v="158"/>
    <x v="69"/>
    <x v="72"/>
    <x v="298"/>
    <x v="8"/>
  </r>
  <r>
    <x v="586"/>
    <x v="415"/>
    <x v="69"/>
    <x v="71"/>
    <x v="92"/>
    <x v="18"/>
  </r>
  <r>
    <x v="595"/>
    <x v="526"/>
    <x v="70"/>
    <x v="26"/>
    <x v="449"/>
    <x v="18"/>
  </r>
  <r>
    <x v="592"/>
    <x v="25"/>
    <x v="70"/>
    <x v="29"/>
    <x v="409"/>
    <x v="8"/>
  </r>
  <r>
    <x v="1055"/>
    <x v="177"/>
    <x v="70"/>
    <x v="48"/>
    <x v="137"/>
    <x v="2"/>
  </r>
  <r>
    <x v="596"/>
    <x v="305"/>
    <x v="70"/>
    <x v="76"/>
    <x v="98"/>
    <x v="2"/>
  </r>
  <r>
    <x v="591"/>
    <x v="131"/>
    <x v="70"/>
    <x v="55"/>
    <x v="299"/>
    <x v="8"/>
  </r>
  <r>
    <x v="1054"/>
    <x v="181"/>
    <x v="70"/>
    <x v="61"/>
    <x v="237"/>
    <x v="8"/>
  </r>
  <r>
    <x v="593"/>
    <x v="488"/>
    <x v="70"/>
    <x v="71"/>
    <x v="98"/>
    <x v="8"/>
  </r>
  <r>
    <x v="594"/>
    <x v="252"/>
    <x v="70"/>
    <x v="71"/>
    <x v="98"/>
    <x v="8"/>
  </r>
  <r>
    <x v="600"/>
    <x v="27"/>
    <x v="71"/>
    <x v="26"/>
    <x v="351"/>
    <x v="8"/>
  </r>
  <r>
    <x v="1056"/>
    <x v="162"/>
    <x v="71"/>
    <x v="33"/>
    <x v="349"/>
    <x v="8"/>
  </r>
  <r>
    <x v="599"/>
    <x v="589"/>
    <x v="71"/>
    <x v="44"/>
    <x v="121"/>
    <x v="10"/>
  </r>
  <r>
    <x v="598"/>
    <x v="355"/>
    <x v="71"/>
    <x v="48"/>
    <x v="54"/>
    <x v="2"/>
  </r>
  <r>
    <x v="561"/>
    <x v="190"/>
    <x v="71"/>
    <x v="48"/>
    <x v="315"/>
    <x v="8"/>
  </r>
  <r>
    <x v="597"/>
    <x v="389"/>
    <x v="71"/>
    <x v="48"/>
    <x v="187"/>
    <x v="8"/>
  </r>
  <r>
    <x v="569"/>
    <x v="190"/>
    <x v="71"/>
    <x v="48"/>
    <x v="447"/>
    <x v="8"/>
  </r>
  <r>
    <x v="1057"/>
    <x v="59"/>
    <x v="71"/>
    <x v="76"/>
    <x v="361"/>
    <x v="18"/>
  </r>
  <r>
    <x v="601"/>
    <x v="150"/>
    <x v="72"/>
    <x v="35"/>
    <x v="349"/>
    <x v="8"/>
  </r>
  <r>
    <x v="1058"/>
    <x v="155"/>
    <x v="72"/>
    <x v="55"/>
    <x v="315"/>
    <x v="8"/>
  </r>
  <r>
    <x v="1065"/>
    <x v="61"/>
    <x v="73"/>
    <x v="33"/>
    <x v="359"/>
    <x v="8"/>
  </r>
  <r>
    <x v="1060"/>
    <x v="341"/>
    <x v="73"/>
    <x v="35"/>
    <x v="425"/>
    <x v="8"/>
  </r>
  <r>
    <x v="1061"/>
    <x v="365"/>
    <x v="73"/>
    <x v="35"/>
    <x v="336"/>
    <x v="8"/>
  </r>
  <r>
    <x v="1064"/>
    <x v="5"/>
    <x v="73"/>
    <x v="44"/>
    <x v="210"/>
    <x v="8"/>
  </r>
  <r>
    <x v="1059"/>
    <x v="56"/>
    <x v="73"/>
    <x v="55"/>
    <x v="158"/>
    <x v="8"/>
  </r>
  <r>
    <x v="1063"/>
    <x v="181"/>
    <x v="73"/>
    <x v="55"/>
    <x v="336"/>
    <x v="8"/>
  </r>
  <r>
    <x v="1068"/>
    <x v="344"/>
    <x v="74"/>
    <x v="17"/>
    <x v="110"/>
    <x v="4"/>
  </r>
  <r>
    <x v="1067"/>
    <x v="427"/>
    <x v="74"/>
    <x v="47"/>
    <x v="168"/>
    <x v="8"/>
  </r>
  <r>
    <x v="602"/>
    <x v="331"/>
    <x v="74"/>
    <x v="52"/>
    <x v="237"/>
    <x v="8"/>
  </r>
  <r>
    <x v="1200"/>
    <x v="427"/>
    <x v="74"/>
    <x v="59"/>
    <x v="146"/>
    <x v="8"/>
  </r>
  <r>
    <x v="1066"/>
    <x v="142"/>
    <x v="74"/>
    <x v="60"/>
    <x v="287"/>
    <x v="8"/>
  </r>
  <r>
    <x v="1072"/>
    <x v="45"/>
    <x v="75"/>
    <x v="40"/>
    <x v="153"/>
    <x v="18"/>
  </r>
  <r>
    <x v="610"/>
    <x v="569"/>
    <x v="75"/>
    <x v="7"/>
    <x v="165"/>
    <x v="8"/>
  </r>
  <r>
    <x v="1073"/>
    <x v="476"/>
    <x v="75"/>
    <x v="14"/>
    <x v="89"/>
    <x v="8"/>
  </r>
  <r>
    <x v="1062"/>
    <x v="438"/>
    <x v="75"/>
    <x v="36"/>
    <x v="90"/>
    <x v="8"/>
  </r>
  <r>
    <x v="613"/>
    <x v="7"/>
    <x v="75"/>
    <x v="40"/>
    <x v="187"/>
    <x v="8"/>
  </r>
  <r>
    <x v="1069"/>
    <x v="363"/>
    <x v="75"/>
    <x v="42"/>
    <x v="137"/>
    <x v="8"/>
  </r>
  <r>
    <x v="1074"/>
    <x v="90"/>
    <x v="75"/>
    <x v="48"/>
    <x v="187"/>
    <x v="1"/>
  </r>
  <r>
    <x v="1070"/>
    <x v="181"/>
    <x v="75"/>
    <x v="51"/>
    <x v="73"/>
    <x v="6"/>
  </r>
  <r>
    <x v="605"/>
    <x v="270"/>
    <x v="75"/>
    <x v="48"/>
    <x v="405"/>
    <x v="4"/>
  </r>
  <r>
    <x v="603"/>
    <x v="359"/>
    <x v="75"/>
    <x v="71"/>
    <x v="195"/>
    <x v="2"/>
  </r>
  <r>
    <x v="1071"/>
    <x v="437"/>
    <x v="75"/>
    <x v="44"/>
    <x v="187"/>
    <x v="8"/>
  </r>
  <r>
    <x v="614"/>
    <x v="131"/>
    <x v="75"/>
    <x v="45"/>
    <x v="398"/>
    <x v="8"/>
  </r>
  <r>
    <x v="611"/>
    <x v="22"/>
    <x v="75"/>
    <x v="47"/>
    <x v="308"/>
    <x v="8"/>
  </r>
  <r>
    <x v="615"/>
    <x v="264"/>
    <x v="75"/>
    <x v="47"/>
    <x v="129"/>
    <x v="8"/>
  </r>
  <r>
    <x v="611"/>
    <x v="22"/>
    <x v="75"/>
    <x v="60"/>
    <x v="419"/>
    <x v="8"/>
  </r>
  <r>
    <x v="615"/>
    <x v="264"/>
    <x v="75"/>
    <x v="67"/>
    <x v="213"/>
    <x v="8"/>
  </r>
  <r>
    <x v="612"/>
    <x v="517"/>
    <x v="75"/>
    <x v="69"/>
    <x v="418"/>
    <x v="8"/>
  </r>
  <r>
    <x v="609"/>
    <x v="126"/>
    <x v="75"/>
    <x v="71"/>
    <x v="154"/>
    <x v="8"/>
  </r>
  <r>
    <x v="606"/>
    <x v="158"/>
    <x v="75"/>
    <x v="71"/>
    <x v="153"/>
    <x v="8"/>
  </r>
  <r>
    <x v="604"/>
    <x v="156"/>
    <x v="75"/>
    <x v="71"/>
    <x v="302"/>
    <x v="8"/>
  </r>
  <r>
    <x v="607"/>
    <x v="500"/>
    <x v="75"/>
    <x v="72"/>
    <x v="92"/>
    <x v="8"/>
  </r>
  <r>
    <x v="608"/>
    <x v="414"/>
    <x v="75"/>
    <x v="76"/>
    <x v="301"/>
    <x v="18"/>
  </r>
  <r>
    <x v="616"/>
    <x v="367"/>
    <x v="76"/>
    <x v="22"/>
    <x v="168"/>
    <x v="8"/>
  </r>
  <r>
    <x v="618"/>
    <x v="391"/>
    <x v="76"/>
    <x v="38"/>
    <x v="170"/>
    <x v="8"/>
  </r>
  <r>
    <x v="617"/>
    <x v="588"/>
    <x v="76"/>
    <x v="48"/>
    <x v="176"/>
    <x v="4"/>
  </r>
  <r>
    <x v="1075"/>
    <x v="171"/>
    <x v="76"/>
    <x v="48"/>
    <x v="315"/>
    <x v="4"/>
  </r>
  <r>
    <x v="616"/>
    <x v="367"/>
    <x v="76"/>
    <x v="47"/>
    <x v="58"/>
    <x v="8"/>
  </r>
  <r>
    <x v="619"/>
    <x v="98"/>
    <x v="76"/>
    <x v="71"/>
    <x v="114"/>
    <x v="18"/>
  </r>
  <r>
    <x v="620"/>
    <x v="514"/>
    <x v="77"/>
    <x v="22"/>
    <x v="485"/>
    <x v="8"/>
  </r>
  <r>
    <x v="1078"/>
    <x v="320"/>
    <x v="77"/>
    <x v="24"/>
    <x v="81"/>
    <x v="8"/>
  </r>
  <r>
    <x v="622"/>
    <x v="4"/>
    <x v="77"/>
    <x v="64"/>
    <x v="346"/>
    <x v="2"/>
  </r>
  <r>
    <x v="1079"/>
    <x v="153"/>
    <x v="77"/>
    <x v="44"/>
    <x v="71"/>
    <x v="2"/>
  </r>
  <r>
    <x v="1076"/>
    <x v="324"/>
    <x v="77"/>
    <x v="44"/>
    <x v="52"/>
    <x v="8"/>
  </r>
  <r>
    <x v="1077"/>
    <x v="426"/>
    <x v="77"/>
    <x v="44"/>
    <x v="110"/>
    <x v="8"/>
  </r>
  <r>
    <x v="623"/>
    <x v="448"/>
    <x v="77"/>
    <x v="52"/>
    <x v="239"/>
    <x v="8"/>
  </r>
  <r>
    <x v="621"/>
    <x v="146"/>
    <x v="77"/>
    <x v="60"/>
    <x v="349"/>
    <x v="8"/>
  </r>
  <r>
    <x v="1082"/>
    <x v="76"/>
    <x v="78"/>
    <x v="7"/>
    <x v="253"/>
    <x v="8"/>
  </r>
  <r>
    <x v="624"/>
    <x v="268"/>
    <x v="78"/>
    <x v="24"/>
    <x v="50"/>
    <x v="8"/>
  </r>
  <r>
    <x v="1081"/>
    <x v="498"/>
    <x v="78"/>
    <x v="30"/>
    <x v="123"/>
    <x v="8"/>
  </r>
  <r>
    <x v="631"/>
    <x v="434"/>
    <x v="78"/>
    <x v="38"/>
    <x v="304"/>
    <x v="8"/>
  </r>
  <r>
    <x v="625"/>
    <x v="46"/>
    <x v="78"/>
    <x v="15"/>
    <x v="75"/>
    <x v="4"/>
  </r>
  <r>
    <x v="628"/>
    <x v="500"/>
    <x v="78"/>
    <x v="8"/>
    <x v="158"/>
    <x v="2"/>
  </r>
  <r>
    <x v="633"/>
    <x v="533"/>
    <x v="78"/>
    <x v="44"/>
    <x v="247"/>
    <x v="8"/>
  </r>
  <r>
    <x v="630"/>
    <x v="519"/>
    <x v="78"/>
    <x v="47"/>
    <x v="186"/>
    <x v="8"/>
  </r>
  <r>
    <x v="627"/>
    <x v="23"/>
    <x v="78"/>
    <x v="56"/>
    <x v="144"/>
    <x v="8"/>
  </r>
  <r>
    <x v="632"/>
    <x v="124"/>
    <x v="78"/>
    <x v="71"/>
    <x v="268"/>
    <x v="8"/>
  </r>
  <r>
    <x v="629"/>
    <x v="516"/>
    <x v="78"/>
    <x v="71"/>
    <x v="401"/>
    <x v="8"/>
  </r>
  <r>
    <x v="626"/>
    <x v="305"/>
    <x v="78"/>
    <x v="76"/>
    <x v="51"/>
    <x v="18"/>
  </r>
  <r>
    <x v="1083"/>
    <x v="42"/>
    <x v="79"/>
    <x v="22"/>
    <x v="110"/>
    <x v="8"/>
  </r>
  <r>
    <x v="642"/>
    <x v="31"/>
    <x v="79"/>
    <x v="23"/>
    <x v="95"/>
    <x v="8"/>
  </r>
  <r>
    <x v="638"/>
    <x v="512"/>
    <x v="79"/>
    <x v="33"/>
    <x v="168"/>
    <x v="8"/>
  </r>
  <r>
    <x v="642"/>
    <x v="31"/>
    <x v="79"/>
    <x v="42"/>
    <x v="257"/>
    <x v="8"/>
  </r>
  <r>
    <x v="634"/>
    <x v="102"/>
    <x v="79"/>
    <x v="11"/>
    <x v="295"/>
    <x v="1"/>
  </r>
  <r>
    <x v="637"/>
    <x v="161"/>
    <x v="79"/>
    <x v="44"/>
    <x v="213"/>
    <x v="2"/>
  </r>
  <r>
    <x v="1086"/>
    <x v="168"/>
    <x v="79"/>
    <x v="40"/>
    <x v="47"/>
    <x v="4"/>
  </r>
  <r>
    <x v="1087"/>
    <x v="224"/>
    <x v="79"/>
    <x v="44"/>
    <x v="110"/>
    <x v="4"/>
  </r>
  <r>
    <x v="641"/>
    <x v="276"/>
    <x v="79"/>
    <x v="71"/>
    <x v="195"/>
    <x v="2"/>
  </r>
  <r>
    <x v="1085"/>
    <x v="460"/>
    <x v="79"/>
    <x v="24"/>
    <x v="181"/>
    <x v="1"/>
  </r>
  <r>
    <x v="643"/>
    <x v="178"/>
    <x v="79"/>
    <x v="44"/>
    <x v="187"/>
    <x v="8"/>
  </r>
  <r>
    <x v="637"/>
    <x v="161"/>
    <x v="79"/>
    <x v="44"/>
    <x v="315"/>
    <x v="8"/>
  </r>
  <r>
    <x v="1084"/>
    <x v="193"/>
    <x v="79"/>
    <x v="48"/>
    <x v="226"/>
    <x v="8"/>
  </r>
  <r>
    <x v="639"/>
    <x v="145"/>
    <x v="79"/>
    <x v="52"/>
    <x v="207"/>
    <x v="8"/>
  </r>
  <r>
    <x v="1088"/>
    <x v="181"/>
    <x v="79"/>
    <x v="61"/>
    <x v="278"/>
    <x v="8"/>
  </r>
  <r>
    <x v="1089"/>
    <x v="319"/>
    <x v="80"/>
    <x v="35"/>
    <x v="169"/>
    <x v="8"/>
  </r>
  <r>
    <x v="644"/>
    <x v="190"/>
    <x v="80"/>
    <x v="48"/>
    <x v="336"/>
    <x v="8"/>
  </r>
  <r>
    <x v="645"/>
    <x v="190"/>
    <x v="80"/>
    <x v="48"/>
    <x v="424"/>
    <x v="8"/>
  </r>
  <r>
    <x v="640"/>
    <x v="389"/>
    <x v="80"/>
    <x v="48"/>
    <x v="251"/>
    <x v="8"/>
  </r>
  <r>
    <x v="636"/>
    <x v="448"/>
    <x v="80"/>
    <x v="52"/>
    <x v="430"/>
    <x v="8"/>
  </r>
  <r>
    <x v="647"/>
    <x v="131"/>
    <x v="80"/>
    <x v="55"/>
    <x v="199"/>
    <x v="8"/>
  </r>
  <r>
    <x v="652"/>
    <x v="373"/>
    <x v="81"/>
    <x v="32"/>
    <x v="144"/>
    <x v="8"/>
  </r>
  <r>
    <x v="651"/>
    <x v="112"/>
    <x v="81"/>
    <x v="33"/>
    <x v="237"/>
    <x v="8"/>
  </r>
  <r>
    <x v="1091"/>
    <x v="162"/>
    <x v="81"/>
    <x v="37"/>
    <x v="144"/>
    <x v="8"/>
  </r>
  <r>
    <x v="649"/>
    <x v="516"/>
    <x v="81"/>
    <x v="39"/>
    <x v="121"/>
    <x v="8"/>
  </r>
  <r>
    <x v="1092"/>
    <x v="6"/>
    <x v="81"/>
    <x v="48"/>
    <x v="168"/>
    <x v="2"/>
  </r>
  <r>
    <x v="1094"/>
    <x v="186"/>
    <x v="81"/>
    <x v="47"/>
    <x v="114"/>
    <x v="2"/>
  </r>
  <r>
    <x v="1094"/>
    <x v="186"/>
    <x v="81"/>
    <x v="47"/>
    <x v="114"/>
    <x v="2"/>
  </r>
  <r>
    <x v="646"/>
    <x v="299"/>
    <x v="81"/>
    <x v="72"/>
    <x v="211"/>
    <x v="2"/>
  </r>
  <r>
    <x v="655"/>
    <x v="351"/>
    <x v="81"/>
    <x v="47"/>
    <x v="359"/>
    <x v="8"/>
  </r>
  <r>
    <x v="1080"/>
    <x v="35"/>
    <x v="81"/>
    <x v="47"/>
    <x v="121"/>
    <x v="8"/>
  </r>
  <r>
    <x v="1093"/>
    <x v="162"/>
    <x v="81"/>
    <x v="47"/>
    <x v="152"/>
    <x v="8"/>
  </r>
  <r>
    <x v="648"/>
    <x v="192"/>
    <x v="81"/>
    <x v="48"/>
    <x v="263"/>
    <x v="8"/>
  </r>
  <r>
    <x v="650"/>
    <x v="516"/>
    <x v="81"/>
    <x v="64"/>
    <x v="440"/>
    <x v="8"/>
  </r>
  <r>
    <x v="660"/>
    <x v="504"/>
    <x v="81"/>
    <x v="67"/>
    <x v="103"/>
    <x v="8"/>
  </r>
  <r>
    <x v="1090"/>
    <x v="553"/>
    <x v="81"/>
    <x v="71"/>
    <x v="31"/>
    <x v="8"/>
  </r>
  <r>
    <x v="1095"/>
    <x v="66"/>
    <x v="82"/>
    <x v="40"/>
    <x v="168"/>
    <x v="8"/>
  </r>
  <r>
    <x v="664"/>
    <x v="540"/>
    <x v="82"/>
    <x v="35"/>
    <x v="75"/>
    <x v="4"/>
  </r>
  <r>
    <x v="1096"/>
    <x v="272"/>
    <x v="82"/>
    <x v="35"/>
    <x v="287"/>
    <x v="4"/>
  </r>
  <r>
    <x v="661"/>
    <x v="464"/>
    <x v="82"/>
    <x v="5"/>
    <x v="65"/>
    <x v="15"/>
  </r>
  <r>
    <x v="1097"/>
    <x v="68"/>
    <x v="82"/>
    <x v="48"/>
    <x v="281"/>
    <x v="4"/>
  </r>
  <r>
    <x v="662"/>
    <x v="588"/>
    <x v="82"/>
    <x v="48"/>
    <x v="103"/>
    <x v="4"/>
  </r>
  <r>
    <x v="665"/>
    <x v="11"/>
    <x v="82"/>
    <x v="47"/>
    <x v="195"/>
    <x v="8"/>
  </r>
  <r>
    <x v="1098"/>
    <x v="457"/>
    <x v="82"/>
    <x v="48"/>
    <x v="137"/>
    <x v="8"/>
  </r>
  <r>
    <x v="663"/>
    <x v="197"/>
    <x v="82"/>
    <x v="52"/>
    <x v="424"/>
    <x v="8"/>
  </r>
  <r>
    <x v="667"/>
    <x v="423"/>
    <x v="82"/>
    <x v="55"/>
    <x v="141"/>
    <x v="8"/>
  </r>
  <r>
    <x v="657"/>
    <x v="506"/>
    <x v="82"/>
    <x v="62"/>
    <x v="326"/>
    <x v="8"/>
  </r>
  <r>
    <x v="658"/>
    <x v="506"/>
    <x v="82"/>
    <x v="64"/>
    <x v="158"/>
    <x v="8"/>
  </r>
  <r>
    <x v="659"/>
    <x v="506"/>
    <x v="82"/>
    <x v="64"/>
    <x v="393"/>
    <x v="8"/>
  </r>
  <r>
    <x v="666"/>
    <x v="330"/>
    <x v="82"/>
    <x v="72"/>
    <x v="163"/>
    <x v="8"/>
  </r>
  <r>
    <x v="656"/>
    <x v="525"/>
    <x v="82"/>
    <x v="76"/>
    <x v="480"/>
    <x v="18"/>
  </r>
  <r>
    <x v="1103"/>
    <x v="152"/>
    <x v="83"/>
    <x v="29"/>
    <x v="287"/>
    <x v="8"/>
  </r>
  <r>
    <x v="1137"/>
    <x v="2"/>
    <x v="83"/>
    <x v="30"/>
    <x v="208"/>
    <x v="8"/>
  </r>
  <r>
    <x v="1101"/>
    <x v="56"/>
    <x v="83"/>
    <x v="40"/>
    <x v="165"/>
    <x v="8"/>
  </r>
  <r>
    <x v="1107"/>
    <x v="375"/>
    <x v="83"/>
    <x v="40"/>
    <x v="349"/>
    <x v="8"/>
  </r>
  <r>
    <x v="669"/>
    <x v="370"/>
    <x v="83"/>
    <x v="71"/>
    <x v="122"/>
    <x v="18"/>
  </r>
  <r>
    <x v="1106"/>
    <x v="388"/>
    <x v="83"/>
    <x v="44"/>
    <x v="63"/>
    <x v="4"/>
  </r>
  <r>
    <x v="670"/>
    <x v="384"/>
    <x v="83"/>
    <x v="48"/>
    <x v="416"/>
    <x v="4"/>
  </r>
  <r>
    <x v="672"/>
    <x v="593"/>
    <x v="83"/>
    <x v="48"/>
    <x v="357"/>
    <x v="4"/>
  </r>
  <r>
    <x v="1105"/>
    <x v="40"/>
    <x v="83"/>
    <x v="48"/>
    <x v="90"/>
    <x v="8"/>
  </r>
  <r>
    <x v="1105"/>
    <x v="40"/>
    <x v="83"/>
    <x v="51"/>
    <x v="36"/>
    <x v="8"/>
  </r>
  <r>
    <x v="1102"/>
    <x v="56"/>
    <x v="83"/>
    <x v="55"/>
    <x v="158"/>
    <x v="8"/>
  </r>
  <r>
    <x v="1105"/>
    <x v="40"/>
    <x v="83"/>
    <x v="55"/>
    <x v="17"/>
    <x v="8"/>
  </r>
  <r>
    <x v="1104"/>
    <x v="505"/>
    <x v="83"/>
    <x v="60"/>
    <x v="237"/>
    <x v="8"/>
  </r>
  <r>
    <x v="668"/>
    <x v="315"/>
    <x v="83"/>
    <x v="63"/>
    <x v="6"/>
    <x v="8"/>
  </r>
  <r>
    <x v="671"/>
    <x v="126"/>
    <x v="83"/>
    <x v="71"/>
    <x v="202"/>
    <x v="8"/>
  </r>
  <r>
    <x v="669"/>
    <x v="370"/>
    <x v="83"/>
    <x v="72"/>
    <x v="33"/>
    <x v="8"/>
  </r>
  <r>
    <x v="671"/>
    <x v="126"/>
    <x v="83"/>
    <x v="72"/>
    <x v="323"/>
    <x v="18"/>
  </r>
  <r>
    <x v="677"/>
    <x v="536"/>
    <x v="84"/>
    <x v="60"/>
    <x v="119"/>
    <x v="5"/>
  </r>
  <r>
    <x v="1099"/>
    <x v="318"/>
    <x v="84"/>
    <x v="60"/>
    <x v="6"/>
    <x v="5"/>
  </r>
  <r>
    <x v="1109"/>
    <x v="17"/>
    <x v="84"/>
    <x v="8"/>
    <x v="52"/>
    <x v="6"/>
  </r>
  <r>
    <x v="1110"/>
    <x v="383"/>
    <x v="84"/>
    <x v="21"/>
    <x v="98"/>
    <x v="1"/>
  </r>
  <r>
    <x v="674"/>
    <x v="381"/>
    <x v="84"/>
    <x v="72"/>
    <x v="399"/>
    <x v="4"/>
  </r>
  <r>
    <x v="1109"/>
    <x v="17"/>
    <x v="84"/>
    <x v="47"/>
    <x v="77"/>
    <x v="8"/>
  </r>
  <r>
    <x v="673"/>
    <x v="458"/>
    <x v="84"/>
    <x v="47"/>
    <x v="349"/>
    <x v="8"/>
  </r>
  <r>
    <x v="675"/>
    <x v="196"/>
    <x v="84"/>
    <x v="51"/>
    <x v="315"/>
    <x v="8"/>
  </r>
  <r>
    <x v="676"/>
    <x v="196"/>
    <x v="84"/>
    <x v="55"/>
    <x v="192"/>
    <x v="8"/>
  </r>
  <r>
    <x v="687"/>
    <x v="581"/>
    <x v="85"/>
    <x v="24"/>
    <x v="378"/>
    <x v="8"/>
  </r>
  <r>
    <x v="683"/>
    <x v="537"/>
    <x v="85"/>
    <x v="41"/>
    <x v="252"/>
    <x v="8"/>
  </r>
  <r>
    <x v="683"/>
    <x v="537"/>
    <x v="85"/>
    <x v="44"/>
    <x v="226"/>
    <x v="8"/>
  </r>
  <r>
    <x v="1108"/>
    <x v="58"/>
    <x v="85"/>
    <x v="44"/>
    <x v="351"/>
    <x v="8"/>
  </r>
  <r>
    <x v="1116"/>
    <x v="209"/>
    <x v="85"/>
    <x v="35"/>
    <x v="184"/>
    <x v="10"/>
  </r>
  <r>
    <x v="1113"/>
    <x v="337"/>
    <x v="85"/>
    <x v="16"/>
    <x v="113"/>
    <x v="6"/>
  </r>
  <r>
    <x v="1111"/>
    <x v="472"/>
    <x v="85"/>
    <x v="11"/>
    <x v="110"/>
    <x v="14"/>
  </r>
  <r>
    <x v="681"/>
    <x v="387"/>
    <x v="85"/>
    <x v="48"/>
    <x v="167"/>
    <x v="2"/>
  </r>
  <r>
    <x v="1112"/>
    <x v="323"/>
    <x v="85"/>
    <x v="55"/>
    <x v="263"/>
    <x v="4"/>
  </r>
  <r>
    <x v="685"/>
    <x v="367"/>
    <x v="85"/>
    <x v="47"/>
    <x v="235"/>
    <x v="8"/>
  </r>
  <r>
    <x v="683"/>
    <x v="537"/>
    <x v="85"/>
    <x v="47"/>
    <x v="225"/>
    <x v="8"/>
  </r>
  <r>
    <x v="679"/>
    <x v="150"/>
    <x v="85"/>
    <x v="48"/>
    <x v="301"/>
    <x v="8"/>
  </r>
  <r>
    <x v="680"/>
    <x v="150"/>
    <x v="85"/>
    <x v="60"/>
    <x v="390"/>
    <x v="8"/>
  </r>
  <r>
    <x v="1115"/>
    <x v="150"/>
    <x v="85"/>
    <x v="65"/>
    <x v="158"/>
    <x v="8"/>
  </r>
  <r>
    <x v="684"/>
    <x v="517"/>
    <x v="85"/>
    <x v="69"/>
    <x v="418"/>
    <x v="8"/>
  </r>
  <r>
    <x v="686"/>
    <x v="264"/>
    <x v="85"/>
    <x v="72"/>
    <x v="198"/>
    <x v="8"/>
  </r>
  <r>
    <x v="690"/>
    <x v="552"/>
    <x v="86"/>
    <x v="6"/>
    <x v="246"/>
    <x v="8"/>
  </r>
  <r>
    <x v="653"/>
    <x v="373"/>
    <x v="86"/>
    <x v="32"/>
    <x v="144"/>
    <x v="8"/>
  </r>
  <r>
    <x v="1119"/>
    <x v="162"/>
    <x v="86"/>
    <x v="36"/>
    <x v="90"/>
    <x v="8"/>
  </r>
  <r>
    <x v="1118"/>
    <x v="162"/>
    <x v="86"/>
    <x v="37"/>
    <x v="144"/>
    <x v="8"/>
  </r>
  <r>
    <x v="688"/>
    <x v="525"/>
    <x v="86"/>
    <x v="40"/>
    <x v="278"/>
    <x v="8"/>
  </r>
  <r>
    <x v="688"/>
    <x v="525"/>
    <x v="86"/>
    <x v="29"/>
    <x v="300"/>
    <x v="4"/>
  </r>
  <r>
    <x v="1100"/>
    <x v="81"/>
    <x v="86"/>
    <x v="44"/>
    <x v="479"/>
    <x v="1"/>
  </r>
  <r>
    <x v="1100"/>
    <x v="81"/>
    <x v="86"/>
    <x v="44"/>
    <x v="479"/>
    <x v="1"/>
  </r>
  <r>
    <x v="692"/>
    <x v="591"/>
    <x v="86"/>
    <x v="24"/>
    <x v="307"/>
    <x v="9"/>
  </r>
  <r>
    <x v="692"/>
    <x v="591"/>
    <x v="86"/>
    <x v="24"/>
    <x v="307"/>
    <x v="19"/>
  </r>
  <r>
    <x v="691"/>
    <x v="574"/>
    <x v="86"/>
    <x v="14"/>
    <x v="226"/>
    <x v="9"/>
  </r>
  <r>
    <x v="693"/>
    <x v="271"/>
    <x v="86"/>
    <x v="72"/>
    <x v="289"/>
    <x v="2"/>
  </r>
  <r>
    <x v="682"/>
    <x v="270"/>
    <x v="86"/>
    <x v="48"/>
    <x v="405"/>
    <x v="4"/>
  </r>
  <r>
    <x v="692"/>
    <x v="591"/>
    <x v="86"/>
    <x v="47"/>
    <x v="463"/>
    <x v="8"/>
  </r>
  <r>
    <x v="689"/>
    <x v="196"/>
    <x v="86"/>
    <x v="48"/>
    <x v="239"/>
    <x v="8"/>
  </r>
  <r>
    <x v="1117"/>
    <x v="420"/>
    <x v="86"/>
    <x v="48"/>
    <x v="123"/>
    <x v="8"/>
  </r>
  <r>
    <x v="688"/>
    <x v="525"/>
    <x v="86"/>
    <x v="48"/>
    <x v="257"/>
    <x v="8"/>
  </r>
  <r>
    <x v="1118"/>
    <x v="162"/>
    <x v="86"/>
    <x v="51"/>
    <x v="52"/>
    <x v="8"/>
  </r>
  <r>
    <x v="692"/>
    <x v="591"/>
    <x v="86"/>
    <x v="71"/>
    <x v="397"/>
    <x v="8"/>
  </r>
  <r>
    <x v="688"/>
    <x v="525"/>
    <x v="86"/>
    <x v="71"/>
    <x v="292"/>
    <x v="8"/>
  </r>
  <r>
    <x v="702"/>
    <x v="574"/>
    <x v="87"/>
    <x v="6"/>
    <x v="208"/>
    <x v="8"/>
  </r>
  <r>
    <x v="697"/>
    <x v="574"/>
    <x v="87"/>
    <x v="6"/>
    <x v="187"/>
    <x v="8"/>
  </r>
  <r>
    <x v="1125"/>
    <x v="385"/>
    <x v="87"/>
    <x v="18"/>
    <x v="80"/>
    <x v="8"/>
  </r>
  <r>
    <x v="1126"/>
    <x v="555"/>
    <x v="87"/>
    <x v="21"/>
    <x v="159"/>
    <x v="8"/>
  </r>
  <r>
    <x v="695"/>
    <x v="191"/>
    <x v="87"/>
    <x v="22"/>
    <x v="85"/>
    <x v="8"/>
  </r>
  <r>
    <x v="698"/>
    <x v="116"/>
    <x v="87"/>
    <x v="23"/>
    <x v="76"/>
    <x v="8"/>
  </r>
  <r>
    <x v="1124"/>
    <x v="407"/>
    <x v="87"/>
    <x v="35"/>
    <x v="32"/>
    <x v="8"/>
  </r>
  <r>
    <x v="1121"/>
    <x v="491"/>
    <x v="87"/>
    <x v="36"/>
    <x v="145"/>
    <x v="8"/>
  </r>
  <r>
    <x v="701"/>
    <x v="442"/>
    <x v="87"/>
    <x v="38"/>
    <x v="237"/>
    <x v="8"/>
  </r>
  <r>
    <x v="695"/>
    <x v="191"/>
    <x v="87"/>
    <x v="40"/>
    <x v="30"/>
    <x v="8"/>
  </r>
  <r>
    <x v="699"/>
    <x v="86"/>
    <x v="87"/>
    <x v="51"/>
    <x v="52"/>
    <x v="2"/>
  </r>
  <r>
    <x v="699"/>
    <x v="86"/>
    <x v="87"/>
    <x v="48"/>
    <x v="120"/>
    <x v="2"/>
  </r>
  <r>
    <x v="696"/>
    <x v="185"/>
    <x v="87"/>
    <x v="71"/>
    <x v="187"/>
    <x v="2"/>
  </r>
  <r>
    <x v="1122"/>
    <x v="186"/>
    <x v="87"/>
    <x v="47"/>
    <x v="69"/>
    <x v="2"/>
  </r>
  <r>
    <x v="691"/>
    <x v="574"/>
    <x v="87"/>
    <x v="14"/>
    <x v="251"/>
    <x v="9"/>
  </r>
  <r>
    <x v="1120"/>
    <x v="32"/>
    <x v="87"/>
    <x v="6"/>
    <x v="75"/>
    <x v="7"/>
  </r>
  <r>
    <x v="700"/>
    <x v="308"/>
    <x v="87"/>
    <x v="76"/>
    <x v="83"/>
    <x v="2"/>
  </r>
  <r>
    <x v="694"/>
    <x v="173"/>
    <x v="87"/>
    <x v="71"/>
    <x v="195"/>
    <x v="4"/>
  </r>
  <r>
    <x v="678"/>
    <x v="516"/>
    <x v="87"/>
    <x v="48"/>
    <x v="213"/>
    <x v="8"/>
  </r>
  <r>
    <x v="1114"/>
    <x v="110"/>
    <x v="87"/>
    <x v="55"/>
    <x v="212"/>
    <x v="8"/>
  </r>
  <r>
    <x v="1123"/>
    <x v="363"/>
    <x v="87"/>
    <x v="69"/>
    <x v="315"/>
    <x v="8"/>
  </r>
  <r>
    <x v="708"/>
    <x v="569"/>
    <x v="88"/>
    <x v="6"/>
    <x v="172"/>
    <x v="8"/>
  </r>
  <r>
    <x v="708"/>
    <x v="569"/>
    <x v="88"/>
    <x v="8"/>
    <x v="216"/>
    <x v="8"/>
  </r>
  <r>
    <x v="706"/>
    <x v="364"/>
    <x v="88"/>
    <x v="30"/>
    <x v="306"/>
    <x v="8"/>
  </r>
  <r>
    <x v="1127"/>
    <x v="259"/>
    <x v="88"/>
    <x v="30"/>
    <x v="210"/>
    <x v="8"/>
  </r>
  <r>
    <x v="706"/>
    <x v="364"/>
    <x v="88"/>
    <x v="35"/>
    <x v="230"/>
    <x v="8"/>
  </r>
  <r>
    <x v="712"/>
    <x v="7"/>
    <x v="88"/>
    <x v="37"/>
    <x v="349"/>
    <x v="8"/>
  </r>
  <r>
    <x v="705"/>
    <x v="88"/>
    <x v="88"/>
    <x v="43"/>
    <x v="70"/>
    <x v="8"/>
  </r>
  <r>
    <x v="706"/>
    <x v="364"/>
    <x v="88"/>
    <x v="44"/>
    <x v="263"/>
    <x v="8"/>
  </r>
  <r>
    <x v="1129"/>
    <x v="108"/>
    <x v="88"/>
    <x v="51"/>
    <x v="226"/>
    <x v="13"/>
  </r>
  <r>
    <x v="704"/>
    <x v="175"/>
    <x v="88"/>
    <x v="48"/>
    <x v="398"/>
    <x v="5"/>
  </r>
  <r>
    <x v="1128"/>
    <x v="222"/>
    <x v="88"/>
    <x v="29"/>
    <x v="210"/>
    <x v="6"/>
  </r>
  <r>
    <x v="707"/>
    <x v="354"/>
    <x v="88"/>
    <x v="27"/>
    <x v="39"/>
    <x v="2"/>
  </r>
  <r>
    <x v="707"/>
    <x v="354"/>
    <x v="88"/>
    <x v="8"/>
    <x v="305"/>
    <x v="2"/>
  </r>
  <r>
    <x v="707"/>
    <x v="354"/>
    <x v="88"/>
    <x v="7"/>
    <x v="65"/>
    <x v="2"/>
  </r>
  <r>
    <x v="709"/>
    <x v="564"/>
    <x v="88"/>
    <x v="48"/>
    <x v="210"/>
    <x v="4"/>
  </r>
  <r>
    <x v="711"/>
    <x v="154"/>
    <x v="88"/>
    <x v="71"/>
    <x v="321"/>
    <x v="4"/>
  </r>
  <r>
    <x v="703"/>
    <x v="264"/>
    <x v="88"/>
    <x v="47"/>
    <x v="217"/>
    <x v="8"/>
  </r>
  <r>
    <x v="710"/>
    <x v="315"/>
    <x v="88"/>
    <x v="63"/>
    <x v="363"/>
    <x v="8"/>
  </r>
  <r>
    <x v="703"/>
    <x v="264"/>
    <x v="88"/>
    <x v="67"/>
    <x v="159"/>
    <x v="8"/>
  </r>
  <r>
    <x v="1132"/>
    <x v="136"/>
    <x v="89"/>
    <x v="8"/>
    <x v="93"/>
    <x v="8"/>
  </r>
  <r>
    <x v="715"/>
    <x v="511"/>
    <x v="89"/>
    <x v="21"/>
    <x v="287"/>
    <x v="8"/>
  </r>
  <r>
    <x v="726"/>
    <x v="524"/>
    <x v="89"/>
    <x v="29"/>
    <x v="356"/>
    <x v="8"/>
  </r>
  <r>
    <x v="706"/>
    <x v="364"/>
    <x v="89"/>
    <x v="30"/>
    <x v="306"/>
    <x v="8"/>
  </r>
  <r>
    <x v="706"/>
    <x v="364"/>
    <x v="89"/>
    <x v="35"/>
    <x v="230"/>
    <x v="8"/>
  </r>
  <r>
    <x v="720"/>
    <x v="576"/>
    <x v="89"/>
    <x v="38"/>
    <x v="177"/>
    <x v="8"/>
  </r>
  <r>
    <x v="727"/>
    <x v="516"/>
    <x v="89"/>
    <x v="39"/>
    <x v="155"/>
    <x v="8"/>
  </r>
  <r>
    <x v="1134"/>
    <x v="555"/>
    <x v="89"/>
    <x v="40"/>
    <x v="153"/>
    <x v="8"/>
  </r>
  <r>
    <x v="726"/>
    <x v="524"/>
    <x v="89"/>
    <x v="40"/>
    <x v="301"/>
    <x v="8"/>
  </r>
  <r>
    <x v="718"/>
    <x v="372"/>
    <x v="89"/>
    <x v="42"/>
    <x v="424"/>
    <x v="8"/>
  </r>
  <r>
    <x v="721"/>
    <x v="556"/>
    <x v="89"/>
    <x v="44"/>
    <x v="384"/>
    <x v="8"/>
  </r>
  <r>
    <x v="723"/>
    <x v="221"/>
    <x v="89"/>
    <x v="44"/>
    <x v="134"/>
    <x v="8"/>
  </r>
  <r>
    <x v="706"/>
    <x v="364"/>
    <x v="89"/>
    <x v="44"/>
    <x v="287"/>
    <x v="8"/>
  </r>
  <r>
    <x v="726"/>
    <x v="524"/>
    <x v="89"/>
    <x v="29"/>
    <x v="381"/>
    <x v="4"/>
  </r>
  <r>
    <x v="654"/>
    <x v="183"/>
    <x v="89"/>
    <x v="71"/>
    <x v="24"/>
    <x v="2"/>
  </r>
  <r>
    <x v="714"/>
    <x v="180"/>
    <x v="89"/>
    <x v="44"/>
    <x v="87"/>
    <x v="6"/>
  </r>
  <r>
    <x v="726"/>
    <x v="524"/>
    <x v="89"/>
    <x v="44"/>
    <x v="339"/>
    <x v="9"/>
  </r>
  <r>
    <x v="714"/>
    <x v="180"/>
    <x v="89"/>
    <x v="24"/>
    <x v="213"/>
    <x v="6"/>
  </r>
  <r>
    <x v="1051"/>
    <x v="138"/>
    <x v="89"/>
    <x v="7"/>
    <x v="144"/>
    <x v="14"/>
  </r>
  <r>
    <x v="1133"/>
    <x v="342"/>
    <x v="89"/>
    <x v="47"/>
    <x v="271"/>
    <x v="8"/>
  </r>
  <r>
    <x v="726"/>
    <x v="524"/>
    <x v="89"/>
    <x v="47"/>
    <x v="444"/>
    <x v="8"/>
  </r>
  <r>
    <x v="1131"/>
    <x v="303"/>
    <x v="89"/>
    <x v="48"/>
    <x v="110"/>
    <x v="8"/>
  </r>
  <r>
    <x v="1131"/>
    <x v="303"/>
    <x v="89"/>
    <x v="48"/>
    <x v="107"/>
    <x v="8"/>
  </r>
  <r>
    <x v="726"/>
    <x v="516"/>
    <x v="89"/>
    <x v="49"/>
    <x v="109"/>
    <x v="8"/>
  </r>
  <r>
    <x v="719"/>
    <x v="437"/>
    <x v="89"/>
    <x v="55"/>
    <x v="379"/>
    <x v="8"/>
  </r>
  <r>
    <x v="713"/>
    <x v="516"/>
    <x v="89"/>
    <x v="64"/>
    <x v="30"/>
    <x v="8"/>
  </r>
  <r>
    <x v="728"/>
    <x v="516"/>
    <x v="89"/>
    <x v="64"/>
    <x v="451"/>
    <x v="8"/>
  </r>
  <r>
    <x v="717"/>
    <x v="23"/>
    <x v="89"/>
    <x v="71"/>
    <x v="245"/>
    <x v="8"/>
  </r>
  <r>
    <x v="720"/>
    <x v="576"/>
    <x v="89"/>
    <x v="71"/>
    <x v="80"/>
    <x v="8"/>
  </r>
  <r>
    <x v="726"/>
    <x v="524"/>
    <x v="89"/>
    <x v="71"/>
    <x v="292"/>
    <x v="8"/>
  </r>
  <r>
    <x v="725"/>
    <x v="516"/>
    <x v="89"/>
    <x v="71"/>
    <x v="428"/>
    <x v="8"/>
  </r>
  <r>
    <x v="1130"/>
    <x v="162"/>
    <x v="89"/>
    <x v="76"/>
    <x v="167"/>
    <x v="18"/>
  </r>
  <r>
    <x v="724"/>
    <x v="524"/>
    <x v="89"/>
    <x v="76"/>
    <x v="480"/>
    <x v="18"/>
  </r>
  <r>
    <x v="716"/>
    <x v="512"/>
    <x v="90"/>
    <x v="4"/>
    <x v="6"/>
    <x v="8"/>
  </r>
  <r>
    <x v="730"/>
    <x v="189"/>
    <x v="90"/>
    <x v="30"/>
    <x v="192"/>
    <x v="8"/>
  </r>
  <r>
    <x v="729"/>
    <x v="62"/>
    <x v="90"/>
    <x v="40"/>
    <x v="287"/>
    <x v="8"/>
  </r>
  <r>
    <x v="1136"/>
    <x v="376"/>
    <x v="90"/>
    <x v="33"/>
    <x v="201"/>
    <x v="4"/>
  </r>
  <r>
    <x v="730"/>
    <x v="189"/>
    <x v="90"/>
    <x v="33"/>
    <x v="393"/>
    <x v="2"/>
  </r>
  <r>
    <x v="730"/>
    <x v="189"/>
    <x v="90"/>
    <x v="52"/>
    <x v="112"/>
    <x v="8"/>
  </r>
  <r>
    <x v="730"/>
    <x v="189"/>
    <x v="90"/>
    <x v="60"/>
    <x v="135"/>
    <x v="8"/>
  </r>
  <r>
    <x v="1135"/>
    <x v="162"/>
    <x v="90"/>
    <x v="71"/>
    <x v="349"/>
    <x v="8"/>
  </r>
  <r>
    <x v="722"/>
    <x v="295"/>
    <x v="90"/>
    <x v="72"/>
    <x v="309"/>
    <x v="8"/>
  </r>
  <r>
    <x v="732"/>
    <x v="226"/>
    <x v="91"/>
    <x v="29"/>
    <x v="256"/>
    <x v="8"/>
  </r>
  <r>
    <x v="1140"/>
    <x v="374"/>
    <x v="91"/>
    <x v="46"/>
    <x v="263"/>
    <x v="8"/>
  </r>
  <r>
    <x v="731"/>
    <x v="52"/>
    <x v="91"/>
    <x v="44"/>
    <x v="71"/>
    <x v="2"/>
  </r>
  <r>
    <x v="734"/>
    <x v="552"/>
    <x v="91"/>
    <x v="11"/>
    <x v="121"/>
    <x v="9"/>
  </r>
  <r>
    <x v="735"/>
    <x v="325"/>
    <x v="91"/>
    <x v="47"/>
    <x v="246"/>
    <x v="8"/>
  </r>
  <r>
    <x v="736"/>
    <x v="436"/>
    <x v="91"/>
    <x v="65"/>
    <x v="52"/>
    <x v="8"/>
  </r>
  <r>
    <x v="740"/>
    <x v="288"/>
    <x v="92"/>
    <x v="71"/>
    <x v="193"/>
    <x v="18"/>
  </r>
  <r>
    <x v="741"/>
    <x v="62"/>
    <x v="92"/>
    <x v="10"/>
    <x v="144"/>
    <x v="8"/>
  </r>
  <r>
    <x v="737"/>
    <x v="509"/>
    <x v="92"/>
    <x v="18"/>
    <x v="89"/>
    <x v="8"/>
  </r>
  <r>
    <x v="741"/>
    <x v="62"/>
    <x v="92"/>
    <x v="25"/>
    <x v="168"/>
    <x v="8"/>
  </r>
  <r>
    <x v="1141"/>
    <x v="424"/>
    <x v="92"/>
    <x v="31"/>
    <x v="169"/>
    <x v="8"/>
  </r>
  <r>
    <x v="739"/>
    <x v="137"/>
    <x v="92"/>
    <x v="38"/>
    <x v="239"/>
    <x v="8"/>
  </r>
  <r>
    <x v="1143"/>
    <x v="292"/>
    <x v="92"/>
    <x v="38"/>
    <x v="39"/>
    <x v="8"/>
  </r>
  <r>
    <x v="1146"/>
    <x v="432"/>
    <x v="92"/>
    <x v="38"/>
    <x v="144"/>
    <x v="8"/>
  </r>
  <r>
    <x v="1144"/>
    <x v="375"/>
    <x v="92"/>
    <x v="40"/>
    <x v="251"/>
    <x v="8"/>
  </r>
  <r>
    <x v="741"/>
    <x v="62"/>
    <x v="92"/>
    <x v="40"/>
    <x v="251"/>
    <x v="8"/>
  </r>
  <r>
    <x v="1142"/>
    <x v="446"/>
    <x v="92"/>
    <x v="44"/>
    <x v="226"/>
    <x v="8"/>
  </r>
  <r>
    <x v="742"/>
    <x v="224"/>
    <x v="92"/>
    <x v="44"/>
    <x v="110"/>
    <x v="4"/>
  </r>
  <r>
    <x v="748"/>
    <x v="189"/>
    <x v="92"/>
    <x v="55"/>
    <x v="343"/>
    <x v="2"/>
  </r>
  <r>
    <x v="1138"/>
    <x v="68"/>
    <x v="92"/>
    <x v="48"/>
    <x v="137"/>
    <x v="4"/>
  </r>
  <r>
    <x v="738"/>
    <x v="331"/>
    <x v="92"/>
    <x v="52"/>
    <x v="237"/>
    <x v="8"/>
  </r>
  <r>
    <x v="747"/>
    <x v="378"/>
    <x v="92"/>
    <x v="63"/>
    <x v="102"/>
    <x v="8"/>
  </r>
  <r>
    <x v="744"/>
    <x v="161"/>
    <x v="92"/>
    <x v="70"/>
    <x v="332"/>
    <x v="8"/>
  </r>
  <r>
    <x v="743"/>
    <x v="367"/>
    <x v="92"/>
    <x v="71"/>
    <x v="92"/>
    <x v="8"/>
  </r>
  <r>
    <x v="745"/>
    <x v="93"/>
    <x v="92"/>
    <x v="72"/>
    <x v="198"/>
    <x v="8"/>
  </r>
  <r>
    <x v="746"/>
    <x v="471"/>
    <x v="92"/>
    <x v="76"/>
    <x v="34"/>
    <x v="18"/>
  </r>
  <r>
    <x v="745"/>
    <x v="161"/>
    <x v="92"/>
    <x v="76"/>
    <x v="465"/>
    <x v="18"/>
  </r>
  <r>
    <x v="1139"/>
    <x v="301"/>
    <x v="92"/>
    <x v="76"/>
    <x v="313"/>
    <x v="18"/>
  </r>
  <r>
    <x v="754"/>
    <x v="271"/>
    <x v="93"/>
    <x v="29"/>
    <x v="61"/>
    <x v="8"/>
  </r>
  <r>
    <x v="750"/>
    <x v="442"/>
    <x v="93"/>
    <x v="30"/>
    <x v="123"/>
    <x v="8"/>
  </r>
  <r>
    <x v="753"/>
    <x v="538"/>
    <x v="93"/>
    <x v="30"/>
    <x v="210"/>
    <x v="8"/>
  </r>
  <r>
    <x v="1146"/>
    <x v="429"/>
    <x v="93"/>
    <x v="34"/>
    <x v="150"/>
    <x v="8"/>
  </r>
  <r>
    <x v="1150"/>
    <x v="431"/>
    <x v="93"/>
    <x v="35"/>
    <x v="55"/>
    <x v="8"/>
  </r>
  <r>
    <x v="750"/>
    <x v="442"/>
    <x v="93"/>
    <x v="43"/>
    <x v="162"/>
    <x v="8"/>
  </r>
  <r>
    <x v="1151"/>
    <x v="232"/>
    <x v="93"/>
    <x v="61"/>
    <x v="47"/>
    <x v="2"/>
  </r>
  <r>
    <x v="1148"/>
    <x v="233"/>
    <x v="93"/>
    <x v="44"/>
    <x v="168"/>
    <x v="10"/>
  </r>
  <r>
    <x v="1138"/>
    <x v="64"/>
    <x v="93"/>
    <x v="48"/>
    <x v="137"/>
    <x v="4"/>
  </r>
  <r>
    <x v="1149"/>
    <x v="56"/>
    <x v="93"/>
    <x v="55"/>
    <x v="260"/>
    <x v="8"/>
  </r>
  <r>
    <x v="752"/>
    <x v="315"/>
    <x v="93"/>
    <x v="71"/>
    <x v="301"/>
    <x v="8"/>
  </r>
  <r>
    <x v="746"/>
    <x v="471"/>
    <x v="93"/>
    <x v="76"/>
    <x v="51"/>
    <x v="18"/>
  </r>
  <r>
    <x v="1152"/>
    <x v="92"/>
    <x v="94"/>
    <x v="11"/>
    <x v="55"/>
    <x v="8"/>
  </r>
  <r>
    <x v="1153"/>
    <x v="424"/>
    <x v="94"/>
    <x v="11"/>
    <x v="291"/>
    <x v="8"/>
  </r>
  <r>
    <x v="757"/>
    <x v="295"/>
    <x v="94"/>
    <x v="24"/>
    <x v="349"/>
    <x v="8"/>
  </r>
  <r>
    <x v="1154"/>
    <x v="42"/>
    <x v="94"/>
    <x v="26"/>
    <x v="93"/>
    <x v="8"/>
  </r>
  <r>
    <x v="1187"/>
    <x v="407"/>
    <x v="94"/>
    <x v="44"/>
    <x v="52"/>
    <x v="8"/>
  </r>
  <r>
    <x v="751"/>
    <x v="201"/>
    <x v="94"/>
    <x v="71"/>
    <x v="446"/>
    <x v="2"/>
  </r>
  <r>
    <x v="756"/>
    <x v="266"/>
    <x v="94"/>
    <x v="42"/>
    <x v="344"/>
    <x v="9"/>
  </r>
  <r>
    <x v="755"/>
    <x v="462"/>
    <x v="94"/>
    <x v="7"/>
    <x v="75"/>
    <x v="15"/>
  </r>
  <r>
    <x v="1145"/>
    <x v="105"/>
    <x v="94"/>
    <x v="48"/>
    <x v="424"/>
    <x v="8"/>
  </r>
  <r>
    <x v="1186"/>
    <x v="187"/>
    <x v="94"/>
    <x v="48"/>
    <x v="130"/>
    <x v="8"/>
  </r>
  <r>
    <x v="758"/>
    <x v="537"/>
    <x v="94"/>
    <x v="48"/>
    <x v="226"/>
    <x v="8"/>
  </r>
  <r>
    <x v="759"/>
    <x v="526"/>
    <x v="95"/>
    <x v="26"/>
    <x v="449"/>
    <x v="18"/>
  </r>
  <r>
    <x v="764"/>
    <x v="373"/>
    <x v="95"/>
    <x v="29"/>
    <x v="192"/>
    <x v="8"/>
  </r>
  <r>
    <x v="766"/>
    <x v="524"/>
    <x v="95"/>
    <x v="29"/>
    <x v="438"/>
    <x v="4"/>
  </r>
  <r>
    <x v="762"/>
    <x v="201"/>
    <x v="95"/>
    <x v="71"/>
    <x v="445"/>
    <x v="2"/>
  </r>
  <r>
    <x v="765"/>
    <x v="266"/>
    <x v="95"/>
    <x v="42"/>
    <x v="220"/>
    <x v="9"/>
  </r>
  <r>
    <x v="749"/>
    <x v="270"/>
    <x v="95"/>
    <x v="48"/>
    <x v="325"/>
    <x v="4"/>
  </r>
  <r>
    <x v="1156"/>
    <x v="492"/>
    <x v="95"/>
    <x v="48"/>
    <x v="263"/>
    <x v="4"/>
  </r>
  <r>
    <x v="1155"/>
    <x v="398"/>
    <x v="95"/>
    <x v="76"/>
    <x v="11"/>
    <x v="2"/>
  </r>
  <r>
    <x v="1156"/>
    <x v="492"/>
    <x v="95"/>
    <x v="51"/>
    <x v="137"/>
    <x v="4"/>
  </r>
  <r>
    <x v="767"/>
    <x v="524"/>
    <x v="95"/>
    <x v="47"/>
    <x v="430"/>
    <x v="8"/>
  </r>
  <r>
    <x v="763"/>
    <x v="291"/>
    <x v="95"/>
    <x v="48"/>
    <x v="187"/>
    <x v="8"/>
  </r>
  <r>
    <x v="1145"/>
    <x v="105"/>
    <x v="95"/>
    <x v="48"/>
    <x v="430"/>
    <x v="8"/>
  </r>
  <r>
    <x v="766"/>
    <x v="524"/>
    <x v="95"/>
    <x v="48"/>
    <x v="349"/>
    <x v="8"/>
  </r>
  <r>
    <x v="760"/>
    <x v="189"/>
    <x v="95"/>
    <x v="52"/>
    <x v="221"/>
    <x v="8"/>
  </r>
  <r>
    <x v="1147"/>
    <x v="155"/>
    <x v="95"/>
    <x v="55"/>
    <x v="52"/>
    <x v="8"/>
  </r>
  <r>
    <x v="761"/>
    <x v="264"/>
    <x v="95"/>
    <x v="72"/>
    <x v="198"/>
    <x v="8"/>
  </r>
  <r>
    <x v="768"/>
    <x v="524"/>
    <x v="95"/>
    <x v="76"/>
    <x v="480"/>
    <x v="18"/>
  </r>
  <r>
    <x v="766"/>
    <x v="524"/>
    <x v="95"/>
    <x v="76"/>
    <x v="464"/>
    <x v="18"/>
  </r>
  <r>
    <x v="779"/>
    <x v="563"/>
    <x v="96"/>
    <x v="71"/>
    <x v="292"/>
    <x v="18"/>
  </r>
  <r>
    <x v="772"/>
    <x v="390"/>
    <x v="96"/>
    <x v="26"/>
    <x v="291"/>
    <x v="8"/>
  </r>
  <r>
    <x v="766"/>
    <x v="524"/>
    <x v="96"/>
    <x v="29"/>
    <x v="428"/>
    <x v="8"/>
  </r>
  <r>
    <x v="874"/>
    <x v="343"/>
    <x v="96"/>
    <x v="35"/>
    <x v="402"/>
    <x v="8"/>
  </r>
  <r>
    <x v="1157"/>
    <x v="365"/>
    <x v="96"/>
    <x v="35"/>
    <x v="250"/>
    <x v="8"/>
  </r>
  <r>
    <x v="769"/>
    <x v="199"/>
    <x v="96"/>
    <x v="44"/>
    <x v="131"/>
    <x v="1"/>
  </r>
  <r>
    <x v="766"/>
    <x v="524"/>
    <x v="96"/>
    <x v="44"/>
    <x v="340"/>
    <x v="9"/>
  </r>
  <r>
    <x v="766"/>
    <x v="524"/>
    <x v="96"/>
    <x v="40"/>
    <x v="203"/>
    <x v="19"/>
  </r>
  <r>
    <x v="775"/>
    <x v="306"/>
    <x v="96"/>
    <x v="18"/>
    <x v="124"/>
    <x v="2"/>
  </r>
  <r>
    <x v="774"/>
    <x v="384"/>
    <x v="96"/>
    <x v="48"/>
    <x v="416"/>
    <x v="4"/>
  </r>
  <r>
    <x v="766"/>
    <x v="524"/>
    <x v="96"/>
    <x v="47"/>
    <x v="470"/>
    <x v="8"/>
  </r>
  <r>
    <x v="766"/>
    <x v="524"/>
    <x v="96"/>
    <x v="47"/>
    <x v="471"/>
    <x v="8"/>
  </r>
  <r>
    <x v="1159"/>
    <x v="142"/>
    <x v="96"/>
    <x v="60"/>
    <x v="287"/>
    <x v="8"/>
  </r>
  <r>
    <x v="771"/>
    <x v="516"/>
    <x v="96"/>
    <x v="64"/>
    <x v="439"/>
    <x v="8"/>
  </r>
  <r>
    <x v="1158"/>
    <x v="55"/>
    <x v="96"/>
    <x v="64"/>
    <x v="263"/>
    <x v="8"/>
  </r>
  <r>
    <x v="781"/>
    <x v="501"/>
    <x v="96"/>
    <x v="71"/>
    <x v="287"/>
    <x v="8"/>
  </r>
  <r>
    <x v="773"/>
    <x v="557"/>
    <x v="96"/>
    <x v="71"/>
    <x v="403"/>
    <x v="8"/>
  </r>
  <r>
    <x v="770"/>
    <x v="49"/>
    <x v="96"/>
    <x v="71"/>
    <x v="168"/>
    <x v="8"/>
  </r>
  <r>
    <x v="777"/>
    <x v="269"/>
    <x v="96"/>
    <x v="71"/>
    <x v="88"/>
    <x v="8"/>
  </r>
  <r>
    <x v="780"/>
    <x v="255"/>
    <x v="96"/>
    <x v="71"/>
    <x v="80"/>
    <x v="8"/>
  </r>
  <r>
    <x v="770"/>
    <x v="49"/>
    <x v="96"/>
    <x v="76"/>
    <x v="33"/>
    <x v="8"/>
  </r>
  <r>
    <x v="776"/>
    <x v="126"/>
    <x v="96"/>
    <x v="72"/>
    <x v="404"/>
    <x v="18"/>
  </r>
  <r>
    <x v="778"/>
    <x v="169"/>
    <x v="96"/>
    <x v="76"/>
    <x v="223"/>
    <x v="18"/>
  </r>
  <r>
    <x v="1161"/>
    <x v="162"/>
    <x v="97"/>
    <x v="11"/>
    <x v="398"/>
    <x v="8"/>
  </r>
  <r>
    <x v="789"/>
    <x v="1"/>
    <x v="97"/>
    <x v="20"/>
    <x v="47"/>
    <x v="8"/>
  </r>
  <r>
    <x v="787"/>
    <x v="298"/>
    <x v="97"/>
    <x v="22"/>
    <x v="169"/>
    <x v="8"/>
  </r>
  <r>
    <x v="1160"/>
    <x v="162"/>
    <x v="97"/>
    <x v="34"/>
    <x v="324"/>
    <x v="8"/>
  </r>
  <r>
    <x v="1157"/>
    <x v="365"/>
    <x v="97"/>
    <x v="35"/>
    <x v="250"/>
    <x v="8"/>
  </r>
  <r>
    <x v="1160"/>
    <x v="162"/>
    <x v="97"/>
    <x v="43"/>
    <x v="187"/>
    <x v="8"/>
  </r>
  <r>
    <x v="785"/>
    <x v="264"/>
    <x v="97"/>
    <x v="47"/>
    <x v="66"/>
    <x v="8"/>
  </r>
  <r>
    <x v="788"/>
    <x v="458"/>
    <x v="97"/>
    <x v="47"/>
    <x v="428"/>
    <x v="8"/>
  </r>
  <r>
    <x v="1162"/>
    <x v="365"/>
    <x v="97"/>
    <x v="35"/>
    <x v="250"/>
    <x v="4"/>
  </r>
  <r>
    <x v="782"/>
    <x v="495"/>
    <x v="97"/>
    <x v="8"/>
    <x v="168"/>
    <x v="14"/>
  </r>
  <r>
    <x v="783"/>
    <x v="354"/>
    <x v="97"/>
    <x v="7"/>
    <x v="287"/>
    <x v="2"/>
  </r>
  <r>
    <x v="635"/>
    <x v="114"/>
    <x v="97"/>
    <x v="52"/>
    <x v="375"/>
    <x v="8"/>
  </r>
  <r>
    <x v="785"/>
    <x v="264"/>
    <x v="97"/>
    <x v="67"/>
    <x v="87"/>
    <x v="8"/>
  </r>
  <r>
    <x v="792"/>
    <x v="305"/>
    <x v="97"/>
    <x v="76"/>
    <x v="83"/>
    <x v="18"/>
  </r>
  <r>
    <x v="784"/>
    <x v="529"/>
    <x v="97"/>
    <x v="76"/>
    <x v="398"/>
    <x v="18"/>
  </r>
  <r>
    <x v="784"/>
    <x v="529"/>
    <x v="97"/>
    <x v="76"/>
    <x v="223"/>
    <x v="18"/>
  </r>
  <r>
    <x v="1166"/>
    <x v="5"/>
    <x v="98"/>
    <x v="5"/>
    <x v="281"/>
    <x v="8"/>
  </r>
  <r>
    <x v="786"/>
    <x v="528"/>
    <x v="98"/>
    <x v="11"/>
    <x v="254"/>
    <x v="8"/>
  </r>
  <r>
    <x v="1165"/>
    <x v="444"/>
    <x v="98"/>
    <x v="33"/>
    <x v="93"/>
    <x v="8"/>
  </r>
  <r>
    <x v="796"/>
    <x v="23"/>
    <x v="98"/>
    <x v="38"/>
    <x v="232"/>
    <x v="8"/>
  </r>
  <r>
    <x v="786"/>
    <x v="528"/>
    <x v="98"/>
    <x v="40"/>
    <x v="33"/>
    <x v="8"/>
  </r>
  <r>
    <x v="1166"/>
    <x v="5"/>
    <x v="98"/>
    <x v="44"/>
    <x v="210"/>
    <x v="8"/>
  </r>
  <r>
    <x v="794"/>
    <x v="251"/>
    <x v="98"/>
    <x v="44"/>
    <x v="26"/>
    <x v="8"/>
  </r>
  <r>
    <x v="1163"/>
    <x v="6"/>
    <x v="98"/>
    <x v="48"/>
    <x v="168"/>
    <x v="2"/>
  </r>
  <r>
    <x v="799"/>
    <x v="391"/>
    <x v="98"/>
    <x v="38"/>
    <x v="237"/>
    <x v="4"/>
  </r>
  <r>
    <x v="1167"/>
    <x v="181"/>
    <x v="98"/>
    <x v="21"/>
    <x v="67"/>
    <x v="6"/>
  </r>
  <r>
    <x v="791"/>
    <x v="574"/>
    <x v="98"/>
    <x v="14"/>
    <x v="168"/>
    <x v="9"/>
  </r>
  <r>
    <x v="1164"/>
    <x v="382"/>
    <x v="98"/>
    <x v="21"/>
    <x v="170"/>
    <x v="1"/>
  </r>
  <r>
    <x v="793"/>
    <x v="390"/>
    <x v="98"/>
    <x v="48"/>
    <x v="187"/>
    <x v="8"/>
  </r>
  <r>
    <x v="797"/>
    <x v="405"/>
    <x v="98"/>
    <x v="71"/>
    <x v="407"/>
    <x v="8"/>
  </r>
  <r>
    <x v="797"/>
    <x v="405"/>
    <x v="98"/>
    <x v="72"/>
    <x v="434"/>
    <x v="8"/>
  </r>
  <r>
    <x v="795"/>
    <x v="479"/>
    <x v="98"/>
    <x v="76"/>
    <x v="134"/>
    <x v="8"/>
  </r>
  <r>
    <x v="807"/>
    <x v="179"/>
    <x v="99"/>
    <x v="34"/>
    <x v="1"/>
    <x v="18"/>
  </r>
  <r>
    <x v="808"/>
    <x v="510"/>
    <x v="99"/>
    <x v="21"/>
    <x v="233"/>
    <x v="8"/>
  </r>
  <r>
    <x v="1177"/>
    <x v="247"/>
    <x v="99"/>
    <x v="30"/>
    <x v="123"/>
    <x v="8"/>
  </r>
  <r>
    <x v="801"/>
    <x v="425"/>
    <x v="99"/>
    <x v="44"/>
    <x v="110"/>
    <x v="8"/>
  </r>
  <r>
    <x v="1168"/>
    <x v="363"/>
    <x v="99"/>
    <x v="44"/>
    <x v="398"/>
    <x v="8"/>
  </r>
  <r>
    <x v="1171"/>
    <x v="324"/>
    <x v="99"/>
    <x v="44"/>
    <x v="144"/>
    <x v="8"/>
  </r>
  <r>
    <x v="1169"/>
    <x v="6"/>
    <x v="99"/>
    <x v="48"/>
    <x v="168"/>
    <x v="2"/>
  </r>
  <r>
    <x v="805"/>
    <x v="450"/>
    <x v="99"/>
    <x v="33"/>
    <x v="208"/>
    <x v="4"/>
  </r>
  <r>
    <x v="806"/>
    <x v="464"/>
    <x v="99"/>
    <x v="5"/>
    <x v="65"/>
    <x v="15"/>
  </r>
  <r>
    <x v="790"/>
    <x v="474"/>
    <x v="99"/>
    <x v="72"/>
    <x v="336"/>
    <x v="2"/>
  </r>
  <r>
    <x v="1174"/>
    <x v="545"/>
    <x v="99"/>
    <x v="48"/>
    <x v="416"/>
    <x v="8"/>
  </r>
  <r>
    <x v="802"/>
    <x v="574"/>
    <x v="99"/>
    <x v="48"/>
    <x v="43"/>
    <x v="8"/>
  </r>
  <r>
    <x v="1176"/>
    <x v="172"/>
    <x v="99"/>
    <x v="55"/>
    <x v="144"/>
    <x v="8"/>
  </r>
  <r>
    <x v="1173"/>
    <x v="424"/>
    <x v="99"/>
    <x v="60"/>
    <x v="394"/>
    <x v="8"/>
  </r>
  <r>
    <x v="733"/>
    <x v="150"/>
    <x v="99"/>
    <x v="60"/>
    <x v="170"/>
    <x v="8"/>
  </r>
  <r>
    <x v="803"/>
    <x v="119"/>
    <x v="99"/>
    <x v="71"/>
    <x v="53"/>
    <x v="8"/>
  </r>
  <r>
    <x v="804"/>
    <x v="33"/>
    <x v="99"/>
    <x v="71"/>
    <x v="204"/>
    <x v="8"/>
  </r>
  <r>
    <x v="800"/>
    <x v="16"/>
    <x v="99"/>
    <x v="71"/>
    <x v="268"/>
    <x v="8"/>
  </r>
  <r>
    <x v="1172"/>
    <x v="162"/>
    <x v="99"/>
    <x v="76"/>
    <x v="270"/>
    <x v="18"/>
  </r>
  <r>
    <x v="811"/>
    <x v="332"/>
    <x v="100"/>
    <x v="11"/>
    <x v="257"/>
    <x v="8"/>
  </r>
  <r>
    <x v="810"/>
    <x v="390"/>
    <x v="100"/>
    <x v="26"/>
    <x v="373"/>
    <x v="8"/>
  </r>
  <r>
    <x v="1175"/>
    <x v="26"/>
    <x v="100"/>
    <x v="29"/>
    <x v="66"/>
    <x v="8"/>
  </r>
  <r>
    <x v="1180"/>
    <x v="408"/>
    <x v="100"/>
    <x v="40"/>
    <x v="39"/>
    <x v="8"/>
  </r>
  <r>
    <x v="809"/>
    <x v="516"/>
    <x v="100"/>
    <x v="42"/>
    <x v="121"/>
    <x v="8"/>
  </r>
  <r>
    <x v="816"/>
    <x v="274"/>
    <x v="100"/>
    <x v="47"/>
    <x v="99"/>
    <x v="8"/>
  </r>
  <r>
    <x v="1170"/>
    <x v="407"/>
    <x v="100"/>
    <x v="47"/>
    <x v="168"/>
    <x v="8"/>
  </r>
  <r>
    <x v="1178"/>
    <x v="97"/>
    <x v="100"/>
    <x v="35"/>
    <x v="123"/>
    <x v="3"/>
  </r>
  <r>
    <x v="812"/>
    <x v="253"/>
    <x v="100"/>
    <x v="71"/>
    <x v="200"/>
    <x v="2"/>
  </r>
  <r>
    <x v="813"/>
    <x v="294"/>
    <x v="100"/>
    <x v="30"/>
    <x v="210"/>
    <x v="2"/>
  </r>
  <r>
    <x v="815"/>
    <x v="564"/>
    <x v="100"/>
    <x v="48"/>
    <x v="278"/>
    <x v="4"/>
  </r>
  <r>
    <x v="1179"/>
    <x v="303"/>
    <x v="100"/>
    <x v="48"/>
    <x v="93"/>
    <x v="8"/>
  </r>
  <r>
    <x v="825"/>
    <x v="565"/>
    <x v="100"/>
    <x v="71"/>
    <x v="244"/>
    <x v="8"/>
  </r>
  <r>
    <x v="1184"/>
    <x v="282"/>
    <x v="101"/>
    <x v="35"/>
    <x v="349"/>
    <x v="8"/>
  </r>
  <r>
    <x v="821"/>
    <x v="392"/>
    <x v="101"/>
    <x v="38"/>
    <x v="46"/>
    <x v="8"/>
  </r>
  <r>
    <x v="818"/>
    <x v="107"/>
    <x v="101"/>
    <x v="44"/>
    <x v="5"/>
    <x v="8"/>
  </r>
  <r>
    <x v="1181"/>
    <x v="522"/>
    <x v="101"/>
    <x v="26"/>
    <x v="8"/>
    <x v="15"/>
  </r>
  <r>
    <x v="822"/>
    <x v="591"/>
    <x v="101"/>
    <x v="24"/>
    <x v="307"/>
    <x v="9"/>
  </r>
  <r>
    <x v="817"/>
    <x v="461"/>
    <x v="101"/>
    <x v="71"/>
    <x v="43"/>
    <x v="2"/>
  </r>
  <r>
    <x v="824"/>
    <x v="331"/>
    <x v="101"/>
    <x v="52"/>
    <x v="339"/>
    <x v="8"/>
  </r>
  <r>
    <x v="814"/>
    <x v="473"/>
    <x v="101"/>
    <x v="61"/>
    <x v="165"/>
    <x v="8"/>
  </r>
  <r>
    <x v="823"/>
    <x v="378"/>
    <x v="101"/>
    <x v="63"/>
    <x v="327"/>
    <x v="8"/>
  </r>
  <r>
    <x v="822"/>
    <x v="591"/>
    <x v="101"/>
    <x v="71"/>
    <x v="437"/>
    <x v="8"/>
  </r>
  <r>
    <x v="820"/>
    <x v="347"/>
    <x v="101"/>
    <x v="72"/>
    <x v="376"/>
    <x v="8"/>
  </r>
  <r>
    <x v="826"/>
    <x v="127"/>
    <x v="101"/>
    <x v="72"/>
    <x v="258"/>
    <x v="8"/>
  </r>
  <r>
    <x v="827"/>
    <x v="452"/>
    <x v="101"/>
    <x v="76"/>
    <x v="361"/>
    <x v="18"/>
  </r>
  <r>
    <x v="829"/>
    <x v="4"/>
    <x v="102"/>
    <x v="71"/>
    <x v="195"/>
    <x v="2"/>
  </r>
  <r>
    <x v="1182"/>
    <x v="171"/>
    <x v="102"/>
    <x v="48"/>
    <x v="315"/>
    <x v="4"/>
  </r>
  <r>
    <x v="830"/>
    <x v="174"/>
    <x v="102"/>
    <x v="48"/>
    <x v="357"/>
    <x v="4"/>
  </r>
  <r>
    <x v="819"/>
    <x v="451"/>
    <x v="102"/>
    <x v="48"/>
    <x v="416"/>
    <x v="2"/>
  </r>
  <r>
    <x v="1183"/>
    <x v="418"/>
    <x v="102"/>
    <x v="48"/>
    <x v="343"/>
    <x v="8"/>
  </r>
  <r>
    <x v="834"/>
    <x v="558"/>
    <x v="102"/>
    <x v="48"/>
    <x v="271"/>
    <x v="8"/>
  </r>
  <r>
    <x v="831"/>
    <x v="112"/>
    <x v="102"/>
    <x v="52"/>
    <x v="287"/>
    <x v="8"/>
  </r>
  <r>
    <x v="833"/>
    <x v="49"/>
    <x v="102"/>
    <x v="71"/>
    <x v="115"/>
    <x v="8"/>
  </r>
  <r>
    <x v="832"/>
    <x v="7"/>
    <x v="103"/>
    <x v="37"/>
    <x v="349"/>
    <x v="8"/>
  </r>
  <r>
    <x v="832"/>
    <x v="7"/>
    <x v="103"/>
    <x v="40"/>
    <x v="187"/>
    <x v="8"/>
  </r>
  <r>
    <x v="1189"/>
    <x v="54"/>
    <x v="103"/>
    <x v="44"/>
    <x v="207"/>
    <x v="8"/>
  </r>
  <r>
    <x v="838"/>
    <x v="513"/>
    <x v="103"/>
    <x v="45"/>
    <x v="363"/>
    <x v="8"/>
  </r>
  <r>
    <x v="1185"/>
    <x v="417"/>
    <x v="103"/>
    <x v="47"/>
    <x v="10"/>
    <x v="4"/>
  </r>
  <r>
    <x v="1188"/>
    <x v="532"/>
    <x v="103"/>
    <x v="11"/>
    <x v="7"/>
    <x v="6"/>
  </r>
  <r>
    <x v="836"/>
    <x v="305"/>
    <x v="103"/>
    <x v="76"/>
    <x v="83"/>
    <x v="2"/>
  </r>
  <r>
    <x v="836"/>
    <x v="305"/>
    <x v="103"/>
    <x v="76"/>
    <x v="83"/>
    <x v="2"/>
  </r>
  <r>
    <x v="837"/>
    <x v="574"/>
    <x v="103"/>
    <x v="48"/>
    <x v="84"/>
    <x v="8"/>
  </r>
  <r>
    <x v="1187"/>
    <x v="363"/>
    <x v="103"/>
    <x v="48"/>
    <x v="137"/>
    <x v="8"/>
  </r>
  <r>
    <x v="841"/>
    <x v="390"/>
    <x v="103"/>
    <x v="48"/>
    <x v="251"/>
    <x v="8"/>
  </r>
  <r>
    <x v="835"/>
    <x v="517"/>
    <x v="103"/>
    <x v="69"/>
    <x v="418"/>
    <x v="8"/>
  </r>
  <r>
    <x v="835"/>
    <x v="517"/>
    <x v="103"/>
    <x v="69"/>
    <x v="418"/>
    <x v="8"/>
  </r>
  <r>
    <x v="839"/>
    <x v="121"/>
    <x v="103"/>
    <x v="71"/>
    <x v="364"/>
    <x v="8"/>
  </r>
  <r>
    <x v="840"/>
    <x v="440"/>
    <x v="103"/>
    <x v="71"/>
    <x v="195"/>
    <x v="8"/>
  </r>
  <r>
    <x v="842"/>
    <x v="249"/>
    <x v="103"/>
    <x v="71"/>
    <x v="320"/>
    <x v="8"/>
  </r>
  <r>
    <x v="846"/>
    <x v="367"/>
    <x v="104"/>
    <x v="8"/>
    <x v="168"/>
    <x v="8"/>
  </r>
  <r>
    <x v="1190"/>
    <x v="223"/>
    <x v="104"/>
    <x v="11"/>
    <x v="170"/>
    <x v="8"/>
  </r>
  <r>
    <x v="846"/>
    <x v="367"/>
    <x v="104"/>
    <x v="26"/>
    <x v="187"/>
    <x v="8"/>
  </r>
  <r>
    <x v="1191"/>
    <x v="6"/>
    <x v="104"/>
    <x v="48"/>
    <x v="168"/>
    <x v="2"/>
  </r>
  <r>
    <x v="848"/>
    <x v="271"/>
    <x v="104"/>
    <x v="72"/>
    <x v="372"/>
    <x v="2"/>
  </r>
  <r>
    <x v="852"/>
    <x v="18"/>
    <x v="104"/>
    <x v="8"/>
    <x v="144"/>
    <x v="15"/>
  </r>
  <r>
    <x v="847"/>
    <x v="464"/>
    <x v="104"/>
    <x v="5"/>
    <x v="65"/>
    <x v="15"/>
  </r>
  <r>
    <x v="843"/>
    <x v="270"/>
    <x v="104"/>
    <x v="48"/>
    <x v="359"/>
    <x v="4"/>
  </r>
  <r>
    <x v="844"/>
    <x v="463"/>
    <x v="104"/>
    <x v="48"/>
    <x v="251"/>
    <x v="8"/>
  </r>
  <r>
    <x v="828"/>
    <x v="425"/>
    <x v="104"/>
    <x v="55"/>
    <x v="141"/>
    <x v="8"/>
  </r>
  <r>
    <x v="851"/>
    <x v="231"/>
    <x v="104"/>
    <x v="71"/>
    <x v="284"/>
    <x v="8"/>
  </r>
  <r>
    <x v="849"/>
    <x v="449"/>
    <x v="104"/>
    <x v="71"/>
    <x v="77"/>
    <x v="8"/>
  </r>
  <r>
    <x v="845"/>
    <x v="75"/>
    <x v="104"/>
    <x v="76"/>
    <x v="33"/>
    <x v="8"/>
  </r>
  <r>
    <x v="854"/>
    <x v="557"/>
    <x v="105"/>
    <x v="71"/>
    <x v="403"/>
    <x v="18"/>
  </r>
  <r>
    <x v="855"/>
    <x v="516"/>
    <x v="105"/>
    <x v="35"/>
    <x v="257"/>
    <x v="8"/>
  </r>
  <r>
    <x v="850"/>
    <x v="411"/>
    <x v="105"/>
    <x v="44"/>
    <x v="110"/>
    <x v="8"/>
  </r>
  <r>
    <x v="853"/>
    <x v="372"/>
    <x v="105"/>
    <x v="47"/>
    <x v="337"/>
    <x v="8"/>
  </r>
  <r>
    <x v="847"/>
    <x v="299"/>
    <x v="105"/>
    <x v="72"/>
    <x v="279"/>
    <x v="2"/>
  </r>
  <r>
    <x v="1402"/>
    <x v="175"/>
    <x v="105"/>
    <x v="48"/>
    <x v="398"/>
    <x v="5"/>
  </r>
  <r>
    <x v="1192"/>
    <x v="167"/>
    <x v="105"/>
    <x v="8"/>
    <x v="263"/>
    <x v="15"/>
  </r>
  <r>
    <x v="1193"/>
    <x v="56"/>
    <x v="105"/>
    <x v="55"/>
    <x v="165"/>
    <x v="8"/>
  </r>
  <r>
    <x v="1195"/>
    <x v="248"/>
    <x v="106"/>
    <x v="24"/>
    <x v="12"/>
    <x v="8"/>
  </r>
  <r>
    <x v="856"/>
    <x v="556"/>
    <x v="106"/>
    <x v="44"/>
    <x v="420"/>
    <x v="8"/>
  </r>
  <r>
    <x v="858"/>
    <x v="480"/>
    <x v="106"/>
    <x v="47"/>
    <x v="234"/>
    <x v="8"/>
  </r>
  <r>
    <x v="1196"/>
    <x v="342"/>
    <x v="106"/>
    <x v="47"/>
    <x v="271"/>
    <x v="8"/>
  </r>
  <r>
    <x v="1194"/>
    <x v="377"/>
    <x v="106"/>
    <x v="48"/>
    <x v="398"/>
    <x v="4"/>
  </r>
  <r>
    <x v="858"/>
    <x v="480"/>
    <x v="106"/>
    <x v="72"/>
    <x v="404"/>
    <x v="18"/>
  </r>
  <r>
    <x v="858"/>
    <x v="480"/>
    <x v="106"/>
    <x v="76"/>
    <x v="185"/>
    <x v="18"/>
  </r>
  <r>
    <x v="861"/>
    <x v="535"/>
    <x v="107"/>
    <x v="30"/>
    <x v="47"/>
    <x v="8"/>
  </r>
  <r>
    <x v="863"/>
    <x v="452"/>
    <x v="107"/>
    <x v="63"/>
    <x v="465"/>
    <x v="16"/>
  </r>
  <r>
    <x v="861"/>
    <x v="535"/>
    <x v="107"/>
    <x v="48"/>
    <x v="255"/>
    <x v="8"/>
  </r>
  <r>
    <x v="857"/>
    <x v="190"/>
    <x v="107"/>
    <x v="48"/>
    <x v="438"/>
    <x v="8"/>
  </r>
  <r>
    <x v="862"/>
    <x v="255"/>
    <x v="107"/>
    <x v="71"/>
    <x v="98"/>
    <x v="8"/>
  </r>
  <r>
    <x v="867"/>
    <x v="525"/>
    <x v="108"/>
    <x v="29"/>
    <x v="300"/>
    <x v="8"/>
  </r>
  <r>
    <x v="865"/>
    <x v="364"/>
    <x v="108"/>
    <x v="30"/>
    <x v="248"/>
    <x v="8"/>
  </r>
  <r>
    <x v="1197"/>
    <x v="233"/>
    <x v="108"/>
    <x v="34"/>
    <x v="168"/>
    <x v="8"/>
  </r>
  <r>
    <x v="1198"/>
    <x v="505"/>
    <x v="108"/>
    <x v="34"/>
    <x v="145"/>
    <x v="8"/>
  </r>
  <r>
    <x v="867"/>
    <x v="525"/>
    <x v="108"/>
    <x v="40"/>
    <x v="428"/>
    <x v="8"/>
  </r>
  <r>
    <x v="865"/>
    <x v="364"/>
    <x v="108"/>
    <x v="44"/>
    <x v="263"/>
    <x v="8"/>
  </r>
  <r>
    <x v="867"/>
    <x v="525"/>
    <x v="108"/>
    <x v="47"/>
    <x v="443"/>
    <x v="8"/>
  </r>
  <r>
    <x v="867"/>
    <x v="525"/>
    <x v="108"/>
    <x v="29"/>
    <x v="381"/>
    <x v="4"/>
  </r>
  <r>
    <x v="867"/>
    <x v="525"/>
    <x v="108"/>
    <x v="48"/>
    <x v="257"/>
    <x v="8"/>
  </r>
  <r>
    <x v="866"/>
    <x v="414"/>
    <x v="108"/>
    <x v="76"/>
    <x v="344"/>
    <x v="18"/>
  </r>
  <r>
    <x v="859"/>
    <x v="78"/>
    <x v="108"/>
    <x v="76"/>
    <x v="223"/>
    <x v="18"/>
  </r>
  <r>
    <x v="864"/>
    <x v="239"/>
    <x v="109"/>
    <x v="71"/>
    <x v="118"/>
    <x v="18"/>
  </r>
  <r>
    <x v="870"/>
    <x v="415"/>
    <x v="110"/>
    <x v="71"/>
    <x v="92"/>
    <x v="18"/>
  </r>
  <r>
    <x v="868"/>
    <x v="224"/>
    <x v="110"/>
    <x v="44"/>
    <x v="52"/>
    <x v="4"/>
  </r>
  <r>
    <x v="1199"/>
    <x v="293"/>
    <x v="110"/>
    <x v="44"/>
    <x v="89"/>
    <x v="4"/>
  </r>
  <r>
    <x v="868"/>
    <x v="224"/>
    <x v="110"/>
    <x v="51"/>
    <x v="52"/>
    <x v="4"/>
  </r>
  <r>
    <x v="867"/>
    <x v="525"/>
    <x v="110"/>
    <x v="74"/>
    <x v="349"/>
    <x v="2"/>
  </r>
  <r>
    <x v="867"/>
    <x v="525"/>
    <x v="110"/>
    <x v="35"/>
    <x v="467"/>
    <x v="2"/>
  </r>
  <r>
    <x v="1201"/>
    <x v="303"/>
    <x v="110"/>
    <x v="48"/>
    <x v="144"/>
    <x v="8"/>
  </r>
  <r>
    <x v="869"/>
    <x v="488"/>
    <x v="110"/>
    <x v="71"/>
    <x v="80"/>
    <x v="8"/>
  </r>
  <r>
    <x v="860"/>
    <x v="78"/>
    <x v="110"/>
    <x v="76"/>
    <x v="223"/>
    <x v="18"/>
  </r>
  <r>
    <x v="1204"/>
    <x v="452"/>
    <x v="111"/>
    <x v="48"/>
    <x v="445"/>
    <x v="18"/>
  </r>
  <r>
    <x v="1405"/>
    <x v="365"/>
    <x v="111"/>
    <x v="35"/>
    <x v="133"/>
    <x v="4"/>
  </r>
  <r>
    <x v="1202"/>
    <x v="460"/>
    <x v="111"/>
    <x v="22"/>
    <x v="158"/>
    <x v="6"/>
  </r>
  <r>
    <x v="1203"/>
    <x v="64"/>
    <x v="111"/>
    <x v="48"/>
    <x v="281"/>
    <x v="4"/>
  </r>
  <r>
    <x v="1"/>
    <x v="154"/>
    <x v="111"/>
    <x v="71"/>
    <x v="256"/>
    <x v="4"/>
  </r>
  <r>
    <x v="3"/>
    <x v="267"/>
    <x v="111"/>
    <x v="48"/>
    <x v="408"/>
    <x v="8"/>
  </r>
  <r>
    <x v="2"/>
    <x v="436"/>
    <x v="111"/>
    <x v="48"/>
    <x v="301"/>
    <x v="8"/>
  </r>
  <r>
    <x v="0"/>
    <x v="16"/>
    <x v="111"/>
    <x v="71"/>
    <x v="268"/>
    <x v="8"/>
  </r>
  <r>
    <x v="24"/>
    <x v="75"/>
    <x v="112"/>
    <x v="71"/>
    <x v="161"/>
    <x v="18"/>
  </r>
  <r>
    <x v="18"/>
    <x v="563"/>
    <x v="112"/>
    <x v="71"/>
    <x v="292"/>
    <x v="18"/>
  </r>
  <r>
    <x v="17"/>
    <x v="257"/>
    <x v="112"/>
    <x v="35"/>
    <x v="297"/>
    <x v="8"/>
  </r>
  <r>
    <x v="1209"/>
    <x v="235"/>
    <x v="112"/>
    <x v="42"/>
    <x v="11"/>
    <x v="8"/>
  </r>
  <r>
    <x v="22"/>
    <x v="126"/>
    <x v="112"/>
    <x v="44"/>
    <x v="139"/>
    <x v="8"/>
  </r>
  <r>
    <x v="20"/>
    <x v="581"/>
    <x v="112"/>
    <x v="44"/>
    <x v="139"/>
    <x v="8"/>
  </r>
  <r>
    <x v="27"/>
    <x v="458"/>
    <x v="112"/>
    <x v="47"/>
    <x v="349"/>
    <x v="8"/>
  </r>
  <r>
    <x v="25"/>
    <x v="367"/>
    <x v="112"/>
    <x v="47"/>
    <x v="235"/>
    <x v="8"/>
  </r>
  <r>
    <x v="23"/>
    <x v="591"/>
    <x v="112"/>
    <x v="47"/>
    <x v="473"/>
    <x v="8"/>
  </r>
  <r>
    <x v="26"/>
    <x v="11"/>
    <x v="112"/>
    <x v="35"/>
    <x v="187"/>
    <x v="9"/>
  </r>
  <r>
    <x v="26"/>
    <x v="11"/>
    <x v="112"/>
    <x v="29"/>
    <x v="187"/>
    <x v="9"/>
  </r>
  <r>
    <x v="23"/>
    <x v="591"/>
    <x v="112"/>
    <x v="24"/>
    <x v="307"/>
    <x v="9"/>
  </r>
  <r>
    <x v="16"/>
    <x v="270"/>
    <x v="112"/>
    <x v="48"/>
    <x v="405"/>
    <x v="4"/>
  </r>
  <r>
    <x v="28"/>
    <x v="437"/>
    <x v="112"/>
    <x v="48"/>
    <x v="195"/>
    <x v="8"/>
  </r>
  <r>
    <x v="19"/>
    <x v="516"/>
    <x v="112"/>
    <x v="64"/>
    <x v="466"/>
    <x v="8"/>
  </r>
  <r>
    <x v="1210"/>
    <x v="144"/>
    <x v="112"/>
    <x v="76"/>
    <x v="425"/>
    <x v="18"/>
  </r>
  <r>
    <x v="1211"/>
    <x v="140"/>
    <x v="112"/>
    <x v="76"/>
    <x v="134"/>
    <x v="18"/>
  </r>
  <r>
    <x v="1212"/>
    <x v="144"/>
    <x v="112"/>
    <x v="76"/>
    <x v="413"/>
    <x v="18"/>
  </r>
  <r>
    <x v="38"/>
    <x v="525"/>
    <x v="113"/>
    <x v="29"/>
    <x v="203"/>
    <x v="8"/>
  </r>
  <r>
    <x v="38"/>
    <x v="525"/>
    <x v="113"/>
    <x v="44"/>
    <x v="203"/>
    <x v="8"/>
  </r>
  <r>
    <x v="35"/>
    <x v="483"/>
    <x v="113"/>
    <x v="47"/>
    <x v="93"/>
    <x v="8"/>
  </r>
  <r>
    <x v="1219"/>
    <x v="186"/>
    <x v="113"/>
    <x v="47"/>
    <x v="114"/>
    <x v="2"/>
  </r>
  <r>
    <x v="1221"/>
    <x v="293"/>
    <x v="113"/>
    <x v="44"/>
    <x v="246"/>
    <x v="4"/>
  </r>
  <r>
    <x v="40"/>
    <x v="266"/>
    <x v="113"/>
    <x v="48"/>
    <x v="264"/>
    <x v="0"/>
  </r>
  <r>
    <x v="1220"/>
    <x v="468"/>
    <x v="113"/>
    <x v="30"/>
    <x v="349"/>
    <x v="10"/>
  </r>
  <r>
    <x v="39"/>
    <x v="119"/>
    <x v="113"/>
    <x v="71"/>
    <x v="366"/>
    <x v="8"/>
  </r>
  <r>
    <x v="41"/>
    <x v="196"/>
    <x v="114"/>
    <x v="38"/>
    <x v="238"/>
    <x v="8"/>
  </r>
  <r>
    <x v="1222"/>
    <x v="468"/>
    <x v="114"/>
    <x v="42"/>
    <x v="101"/>
    <x v="8"/>
  </r>
  <r>
    <x v="1223"/>
    <x v="149"/>
    <x v="114"/>
    <x v="47"/>
    <x v="263"/>
    <x v="8"/>
  </r>
  <r>
    <x v="1224"/>
    <x v="162"/>
    <x v="114"/>
    <x v="71"/>
    <x v="426"/>
    <x v="8"/>
  </r>
  <r>
    <x v="31"/>
    <x v="390"/>
    <x v="114"/>
    <x v="71"/>
    <x v="231"/>
    <x v="8"/>
  </r>
  <r>
    <x v="43"/>
    <x v="525"/>
    <x v="115"/>
    <x v="47"/>
    <x v="477"/>
    <x v="18"/>
  </r>
  <r>
    <x v="1226"/>
    <x v="150"/>
    <x v="115"/>
    <x v="36"/>
    <x v="239"/>
    <x v="8"/>
  </r>
  <r>
    <x v="1225"/>
    <x v="363"/>
    <x v="115"/>
    <x v="44"/>
    <x v="398"/>
    <x v="8"/>
  </r>
  <r>
    <x v="1227"/>
    <x v="236"/>
    <x v="115"/>
    <x v="76"/>
    <x v="2"/>
    <x v="4"/>
  </r>
  <r>
    <x v="42"/>
    <x v="211"/>
    <x v="115"/>
    <x v="72"/>
    <x v="166"/>
    <x v="8"/>
  </r>
  <r>
    <x v="44"/>
    <x v="119"/>
    <x v="116"/>
    <x v="71"/>
    <x v="78"/>
    <x v="8"/>
  </r>
  <r>
    <x v="49"/>
    <x v="526"/>
    <x v="117"/>
    <x v="26"/>
    <x v="450"/>
    <x v="18"/>
  </r>
  <r>
    <x v="1233"/>
    <x v="285"/>
    <x v="117"/>
    <x v="8"/>
    <x v="39"/>
    <x v="8"/>
  </r>
  <r>
    <x v="52"/>
    <x v="25"/>
    <x v="117"/>
    <x v="60"/>
    <x v="409"/>
    <x v="8"/>
  </r>
  <r>
    <x v="63"/>
    <x v="126"/>
    <x v="118"/>
    <x v="72"/>
    <x v="324"/>
    <x v="18"/>
  </r>
  <r>
    <x v="48"/>
    <x v="257"/>
    <x v="118"/>
    <x v="35"/>
    <x v="297"/>
    <x v="8"/>
  </r>
  <r>
    <x v="62"/>
    <x v="244"/>
    <x v="118"/>
    <x v="47"/>
    <x v="187"/>
    <x v="8"/>
  </r>
  <r>
    <x v="61"/>
    <x v="520"/>
    <x v="118"/>
    <x v="47"/>
    <x v="251"/>
    <x v="8"/>
  </r>
  <r>
    <x v="59"/>
    <x v="4"/>
    <x v="118"/>
    <x v="64"/>
    <x v="346"/>
    <x v="2"/>
  </r>
  <r>
    <x v="60"/>
    <x v="591"/>
    <x v="118"/>
    <x v="71"/>
    <x v="110"/>
    <x v="9"/>
  </r>
  <r>
    <x v="60"/>
    <x v="591"/>
    <x v="118"/>
    <x v="71"/>
    <x v="374"/>
    <x v="8"/>
  </r>
  <r>
    <x v="1239"/>
    <x v="235"/>
    <x v="119"/>
    <x v="29"/>
    <x v="86"/>
    <x v="18"/>
  </r>
  <r>
    <x v="1240"/>
    <x v="58"/>
    <x v="119"/>
    <x v="44"/>
    <x v="308"/>
    <x v="8"/>
  </r>
  <r>
    <x v="1237"/>
    <x v="496"/>
    <x v="119"/>
    <x v="14"/>
    <x v="65"/>
    <x v="4"/>
  </r>
  <r>
    <x v="75"/>
    <x v="182"/>
    <x v="119"/>
    <x v="71"/>
    <x v="58"/>
    <x v="2"/>
  </r>
  <r>
    <x v="74"/>
    <x v="173"/>
    <x v="119"/>
    <x v="71"/>
    <x v="268"/>
    <x v="4"/>
  </r>
  <r>
    <x v="76"/>
    <x v="154"/>
    <x v="119"/>
    <x v="71"/>
    <x v="256"/>
    <x v="4"/>
  </r>
  <r>
    <x v="73"/>
    <x v="502"/>
    <x v="119"/>
    <x v="62"/>
    <x v="326"/>
    <x v="8"/>
  </r>
  <r>
    <x v="78"/>
    <x v="574"/>
    <x v="120"/>
    <x v="30"/>
    <x v="110"/>
    <x v="8"/>
  </r>
  <r>
    <x v="76"/>
    <x v="373"/>
    <x v="120"/>
    <x v="32"/>
    <x v="263"/>
    <x v="8"/>
  </r>
  <r>
    <x v="1241"/>
    <x v="188"/>
    <x v="120"/>
    <x v="38"/>
    <x v="80"/>
    <x v="8"/>
  </r>
  <r>
    <x v="80"/>
    <x v="196"/>
    <x v="120"/>
    <x v="38"/>
    <x v="238"/>
    <x v="8"/>
  </r>
  <r>
    <x v="85"/>
    <x v="264"/>
    <x v="120"/>
    <x v="47"/>
    <x v="217"/>
    <x v="8"/>
  </r>
  <r>
    <x v="79"/>
    <x v="305"/>
    <x v="120"/>
    <x v="18"/>
    <x v="165"/>
    <x v="2"/>
  </r>
  <r>
    <x v="77"/>
    <x v="305"/>
    <x v="120"/>
    <x v="18"/>
    <x v="159"/>
    <x v="2"/>
  </r>
  <r>
    <x v="1242"/>
    <x v="383"/>
    <x v="120"/>
    <x v="21"/>
    <x v="243"/>
    <x v="1"/>
  </r>
  <r>
    <x v="81"/>
    <x v="564"/>
    <x v="120"/>
    <x v="48"/>
    <x v="210"/>
    <x v="4"/>
  </r>
  <r>
    <x v="83"/>
    <x v="500"/>
    <x v="120"/>
    <x v="7"/>
    <x v="30"/>
    <x v="1"/>
  </r>
  <r>
    <x v="85"/>
    <x v="264"/>
    <x v="120"/>
    <x v="67"/>
    <x v="253"/>
    <x v="8"/>
  </r>
  <r>
    <x v="82"/>
    <x v="74"/>
    <x v="120"/>
    <x v="71"/>
    <x v="383"/>
    <x v="8"/>
  </r>
  <r>
    <x v="1245"/>
    <x v="34"/>
    <x v="121"/>
    <x v="18"/>
    <x v="185"/>
    <x v="18"/>
  </r>
  <r>
    <x v="87"/>
    <x v="179"/>
    <x v="121"/>
    <x v="34"/>
    <x v="1"/>
    <x v="18"/>
  </r>
  <r>
    <x v="87"/>
    <x v="179"/>
    <x v="121"/>
    <x v="34"/>
    <x v="1"/>
    <x v="18"/>
  </r>
  <r>
    <x v="86"/>
    <x v="254"/>
    <x v="121"/>
    <x v="8"/>
    <x v="280"/>
    <x v="8"/>
  </r>
  <r>
    <x v="1246"/>
    <x v="5"/>
    <x v="121"/>
    <x v="35"/>
    <x v="314"/>
    <x v="8"/>
  </r>
  <r>
    <x v="90"/>
    <x v="458"/>
    <x v="121"/>
    <x v="47"/>
    <x v="77"/>
    <x v="8"/>
  </r>
  <r>
    <x v="1247"/>
    <x v="223"/>
    <x v="121"/>
    <x v="47"/>
    <x v="63"/>
    <x v="8"/>
  </r>
  <r>
    <x v="91"/>
    <x v="224"/>
    <x v="121"/>
    <x v="44"/>
    <x v="85"/>
    <x v="4"/>
  </r>
  <r>
    <x v="93"/>
    <x v="492"/>
    <x v="121"/>
    <x v="51"/>
    <x v="137"/>
    <x v="4"/>
  </r>
  <r>
    <x v="91"/>
    <x v="224"/>
    <x v="121"/>
    <x v="51"/>
    <x v="85"/>
    <x v="4"/>
  </r>
  <r>
    <x v="88"/>
    <x v="381"/>
    <x v="121"/>
    <x v="72"/>
    <x v="399"/>
    <x v="4"/>
  </r>
  <r>
    <x v="89"/>
    <x v="568"/>
    <x v="121"/>
    <x v="71"/>
    <x v="80"/>
    <x v="8"/>
  </r>
  <r>
    <x v="1244"/>
    <x v="96"/>
    <x v="121"/>
    <x v="76"/>
    <x v="134"/>
    <x v="18"/>
  </r>
  <r>
    <x v="1243"/>
    <x v="236"/>
    <x v="122"/>
    <x v="11"/>
    <x v="20"/>
    <x v="8"/>
  </r>
  <r>
    <x v="95"/>
    <x v="524"/>
    <x v="122"/>
    <x v="29"/>
    <x v="349"/>
    <x v="8"/>
  </r>
  <r>
    <x v="95"/>
    <x v="524"/>
    <x v="122"/>
    <x v="40"/>
    <x v="119"/>
    <x v="8"/>
  </r>
  <r>
    <x v="1250"/>
    <x v="35"/>
    <x v="122"/>
    <x v="47"/>
    <x v="121"/>
    <x v="8"/>
  </r>
  <r>
    <x v="95"/>
    <x v="524"/>
    <x v="122"/>
    <x v="47"/>
    <x v="443"/>
    <x v="8"/>
  </r>
  <r>
    <x v="94"/>
    <x v="273"/>
    <x v="122"/>
    <x v="37"/>
    <x v="75"/>
    <x v="4"/>
  </r>
  <r>
    <x v="84"/>
    <x v="300"/>
    <x v="122"/>
    <x v="72"/>
    <x v="290"/>
    <x v="2"/>
  </r>
  <r>
    <x v="92"/>
    <x v="11"/>
    <x v="122"/>
    <x v="67"/>
    <x v="448"/>
    <x v="9"/>
  </r>
  <r>
    <x v="1248"/>
    <x v="108"/>
    <x v="122"/>
    <x v="51"/>
    <x v="226"/>
    <x v="10"/>
  </r>
  <r>
    <x v="92"/>
    <x v="11"/>
    <x v="122"/>
    <x v="29"/>
    <x v="305"/>
    <x v="9"/>
  </r>
  <r>
    <x v="1249"/>
    <x v="394"/>
    <x v="122"/>
    <x v="7"/>
    <x v="237"/>
    <x v="14"/>
  </r>
  <r>
    <x v="1251"/>
    <x v="360"/>
    <x v="122"/>
    <x v="48"/>
    <x v="44"/>
    <x v="4"/>
  </r>
  <r>
    <x v="97"/>
    <x v="475"/>
    <x v="122"/>
    <x v="72"/>
    <x v="315"/>
    <x v="2"/>
  </r>
  <r>
    <x v="100"/>
    <x v="187"/>
    <x v="122"/>
    <x v="48"/>
    <x v="130"/>
    <x v="8"/>
  </r>
  <r>
    <x v="99"/>
    <x v="145"/>
    <x v="122"/>
    <x v="52"/>
    <x v="207"/>
    <x v="8"/>
  </r>
  <r>
    <x v="47"/>
    <x v="506"/>
    <x v="122"/>
    <x v="64"/>
    <x v="27"/>
    <x v="8"/>
  </r>
  <r>
    <x v="98"/>
    <x v="155"/>
    <x v="122"/>
    <x v="65"/>
    <x v="226"/>
    <x v="8"/>
  </r>
  <r>
    <x v="103"/>
    <x v="329"/>
    <x v="123"/>
    <x v="71"/>
    <x v="341"/>
    <x v="18"/>
  </r>
  <r>
    <x v="1253"/>
    <x v="503"/>
    <x v="123"/>
    <x v="21"/>
    <x v="87"/>
    <x v="8"/>
  </r>
  <r>
    <x v="110"/>
    <x v="31"/>
    <x v="123"/>
    <x v="23"/>
    <x v="95"/>
    <x v="8"/>
  </r>
  <r>
    <x v="1254"/>
    <x v="162"/>
    <x v="123"/>
    <x v="44"/>
    <x v="123"/>
    <x v="8"/>
  </r>
  <r>
    <x v="111"/>
    <x v="47"/>
    <x v="123"/>
    <x v="15"/>
    <x v="144"/>
    <x v="4"/>
  </r>
  <r>
    <x v="106"/>
    <x v="106"/>
    <x v="123"/>
    <x v="72"/>
    <x v="438"/>
    <x v="2"/>
  </r>
  <r>
    <x v="101"/>
    <x v="589"/>
    <x v="123"/>
    <x v="55"/>
    <x v="30"/>
    <x v="10"/>
  </r>
  <r>
    <x v="104"/>
    <x v="391"/>
    <x v="123"/>
    <x v="44"/>
    <x v="139"/>
    <x v="9"/>
  </r>
  <r>
    <x v="109"/>
    <x v="588"/>
    <x v="123"/>
    <x v="48"/>
    <x v="210"/>
    <x v="4"/>
  </r>
  <r>
    <x v="1256"/>
    <x v="111"/>
    <x v="123"/>
    <x v="48"/>
    <x v="137"/>
    <x v="4"/>
  </r>
  <r>
    <x v="1257"/>
    <x v="80"/>
    <x v="123"/>
    <x v="48"/>
    <x v="147"/>
    <x v="8"/>
  </r>
  <r>
    <x v="1252"/>
    <x v="418"/>
    <x v="123"/>
    <x v="48"/>
    <x v="343"/>
    <x v="8"/>
  </r>
  <r>
    <x v="96"/>
    <x v="195"/>
    <x v="123"/>
    <x v="51"/>
    <x v="430"/>
    <x v="8"/>
  </r>
  <r>
    <x v="108"/>
    <x v="484"/>
    <x v="123"/>
    <x v="71"/>
    <x v="150"/>
    <x v="8"/>
  </r>
  <r>
    <x v="105"/>
    <x v="403"/>
    <x v="123"/>
    <x v="72"/>
    <x v="20"/>
    <x v="8"/>
  </r>
  <r>
    <x v="102"/>
    <x v="535"/>
    <x v="123"/>
    <x v="76"/>
    <x v="233"/>
    <x v="8"/>
  </r>
  <r>
    <x v="107"/>
    <x v="161"/>
    <x v="123"/>
    <x v="76"/>
    <x v="465"/>
    <x v="18"/>
  </r>
  <r>
    <x v="113"/>
    <x v="46"/>
    <x v="124"/>
    <x v="14"/>
    <x v="128"/>
    <x v="4"/>
  </r>
  <r>
    <x v="1261"/>
    <x v="259"/>
    <x v="124"/>
    <x v="14"/>
    <x v="21"/>
    <x v="4"/>
  </r>
  <r>
    <x v="1260"/>
    <x v="6"/>
    <x v="124"/>
    <x v="48"/>
    <x v="168"/>
    <x v="2"/>
  </r>
  <r>
    <x v="1262"/>
    <x v="6"/>
    <x v="124"/>
    <x v="48"/>
    <x v="168"/>
    <x v="2"/>
  </r>
  <r>
    <x v="57"/>
    <x v="189"/>
    <x v="124"/>
    <x v="55"/>
    <x v="194"/>
    <x v="6"/>
  </r>
  <r>
    <x v="1259"/>
    <x v="233"/>
    <x v="124"/>
    <x v="44"/>
    <x v="389"/>
    <x v="13"/>
  </r>
  <r>
    <x v="112"/>
    <x v="174"/>
    <x v="124"/>
    <x v="48"/>
    <x v="365"/>
    <x v="4"/>
  </r>
  <r>
    <x v="1258"/>
    <x v="553"/>
    <x v="124"/>
    <x v="71"/>
    <x v="31"/>
    <x v="8"/>
  </r>
  <r>
    <x v="119"/>
    <x v="574"/>
    <x v="125"/>
    <x v="26"/>
    <x v="144"/>
    <x v="8"/>
  </r>
  <r>
    <x v="122"/>
    <x v="574"/>
    <x v="125"/>
    <x v="26"/>
    <x v="165"/>
    <x v="8"/>
  </r>
  <r>
    <x v="115"/>
    <x v="507"/>
    <x v="125"/>
    <x v="30"/>
    <x v="263"/>
    <x v="8"/>
  </r>
  <r>
    <x v="116"/>
    <x v="328"/>
    <x v="125"/>
    <x v="34"/>
    <x v="120"/>
    <x v="8"/>
  </r>
  <r>
    <x v="114"/>
    <x v="180"/>
    <x v="125"/>
    <x v="44"/>
    <x v="87"/>
    <x v="6"/>
  </r>
  <r>
    <x v="436"/>
    <x v="180"/>
    <x v="125"/>
    <x v="24"/>
    <x v="213"/>
    <x v="6"/>
  </r>
  <r>
    <x v="121"/>
    <x v="574"/>
    <x v="125"/>
    <x v="14"/>
    <x v="263"/>
    <x v="9"/>
  </r>
  <r>
    <x v="123"/>
    <x v="588"/>
    <x v="125"/>
    <x v="48"/>
    <x v="179"/>
    <x v="4"/>
  </r>
  <r>
    <x v="120"/>
    <x v="574"/>
    <x v="125"/>
    <x v="48"/>
    <x v="110"/>
    <x v="8"/>
  </r>
  <r>
    <x v="124"/>
    <x v="437"/>
    <x v="125"/>
    <x v="55"/>
    <x v="379"/>
    <x v="8"/>
  </r>
  <r>
    <x v="118"/>
    <x v="586"/>
    <x v="125"/>
    <x v="57"/>
    <x v="398"/>
    <x v="8"/>
  </r>
  <r>
    <x v="117"/>
    <x v="315"/>
    <x v="125"/>
    <x v="71"/>
    <x v="433"/>
    <x v="8"/>
  </r>
  <r>
    <x v="135"/>
    <x v="300"/>
    <x v="126"/>
    <x v="29"/>
    <x v="15"/>
    <x v="8"/>
  </r>
  <r>
    <x v="1266"/>
    <x v="281"/>
    <x v="126"/>
    <x v="40"/>
    <x v="263"/>
    <x v="8"/>
  </r>
  <r>
    <x v="127"/>
    <x v="506"/>
    <x v="126"/>
    <x v="42"/>
    <x v="314"/>
    <x v="8"/>
  </r>
  <r>
    <x v="1264"/>
    <x v="396"/>
    <x v="126"/>
    <x v="43"/>
    <x v="344"/>
    <x v="8"/>
  </r>
  <r>
    <x v="1265"/>
    <x v="324"/>
    <x v="126"/>
    <x v="44"/>
    <x v="110"/>
    <x v="8"/>
  </r>
  <r>
    <x v="130"/>
    <x v="106"/>
    <x v="126"/>
    <x v="72"/>
    <x v="313"/>
    <x v="2"/>
  </r>
  <r>
    <x v="128"/>
    <x v="202"/>
    <x v="126"/>
    <x v="36"/>
    <x v="445"/>
    <x v="2"/>
  </r>
  <r>
    <x v="132"/>
    <x v="216"/>
    <x v="126"/>
    <x v="18"/>
    <x v="89"/>
    <x v="1"/>
  </r>
  <r>
    <x v="1263"/>
    <x v="419"/>
    <x v="126"/>
    <x v="57"/>
    <x v="85"/>
    <x v="6"/>
  </r>
  <r>
    <x v="125"/>
    <x v="562"/>
    <x v="126"/>
    <x v="48"/>
    <x v="308"/>
    <x v="4"/>
  </r>
  <r>
    <x v="133"/>
    <x v="591"/>
    <x v="126"/>
    <x v="47"/>
    <x v="205"/>
    <x v="2"/>
  </r>
  <r>
    <x v="129"/>
    <x v="448"/>
    <x v="126"/>
    <x v="52"/>
    <x v="424"/>
    <x v="8"/>
  </r>
  <r>
    <x v="1255"/>
    <x v="322"/>
    <x v="126"/>
    <x v="68"/>
    <x v="436"/>
    <x v="8"/>
  </r>
  <r>
    <x v="126"/>
    <x v="16"/>
    <x v="126"/>
    <x v="71"/>
    <x v="382"/>
    <x v="8"/>
  </r>
  <r>
    <x v="131"/>
    <x v="524"/>
    <x v="126"/>
    <x v="76"/>
    <x v="477"/>
    <x v="18"/>
  </r>
  <r>
    <x v="137"/>
    <x v="372"/>
    <x v="127"/>
    <x v="44"/>
    <x v="226"/>
    <x v="8"/>
  </r>
  <r>
    <x v="137"/>
    <x v="372"/>
    <x v="127"/>
    <x v="47"/>
    <x v="337"/>
    <x v="8"/>
  </r>
  <r>
    <x v="142"/>
    <x v="574"/>
    <x v="127"/>
    <x v="48"/>
    <x v="84"/>
    <x v="8"/>
  </r>
  <r>
    <x v="136"/>
    <x v="286"/>
    <x v="127"/>
    <x v="48"/>
    <x v="195"/>
    <x v="8"/>
  </r>
  <r>
    <x v="136"/>
    <x v="286"/>
    <x v="127"/>
    <x v="58"/>
    <x v="12"/>
    <x v="8"/>
  </r>
  <r>
    <x v="1267"/>
    <x v="150"/>
    <x v="127"/>
    <x v="59"/>
    <x v="308"/>
    <x v="8"/>
  </r>
  <r>
    <x v="139"/>
    <x v="329"/>
    <x v="127"/>
    <x v="76"/>
    <x v="454"/>
    <x v="18"/>
  </r>
  <r>
    <x v="155"/>
    <x v="415"/>
    <x v="128"/>
    <x v="42"/>
    <x v="90"/>
    <x v="18"/>
  </r>
  <r>
    <x v="143"/>
    <x v="126"/>
    <x v="128"/>
    <x v="71"/>
    <x v="276"/>
    <x v="18"/>
  </r>
  <r>
    <x v="1268"/>
    <x v="24"/>
    <x v="128"/>
    <x v="29"/>
    <x v="153"/>
    <x v="8"/>
  </r>
  <r>
    <x v="150"/>
    <x v="506"/>
    <x v="128"/>
    <x v="42"/>
    <x v="224"/>
    <x v="8"/>
  </r>
  <r>
    <x v="147"/>
    <x v="506"/>
    <x v="128"/>
    <x v="42"/>
    <x v="424"/>
    <x v="8"/>
  </r>
  <r>
    <x v="1269"/>
    <x v="132"/>
    <x v="128"/>
    <x v="44"/>
    <x v="89"/>
    <x v="8"/>
  </r>
  <r>
    <x v="144"/>
    <x v="450"/>
    <x v="128"/>
    <x v="33"/>
    <x v="213"/>
    <x v="4"/>
  </r>
  <r>
    <x v="149"/>
    <x v="104"/>
    <x v="128"/>
    <x v="71"/>
    <x v="372"/>
    <x v="2"/>
  </r>
  <r>
    <x v="149"/>
    <x v="104"/>
    <x v="128"/>
    <x v="71"/>
    <x v="372"/>
    <x v="2"/>
  </r>
  <r>
    <x v="132"/>
    <x v="216"/>
    <x v="128"/>
    <x v="18"/>
    <x v="89"/>
    <x v="1"/>
  </r>
  <r>
    <x v="152"/>
    <x v="591"/>
    <x v="128"/>
    <x v="24"/>
    <x v="307"/>
    <x v="9"/>
  </r>
  <r>
    <x v="871"/>
    <x v="29"/>
    <x v="128"/>
    <x v="61"/>
    <x v="168"/>
    <x v="4"/>
  </r>
  <r>
    <x v="148"/>
    <x v="483"/>
    <x v="128"/>
    <x v="48"/>
    <x v="315"/>
    <x v="8"/>
  </r>
  <r>
    <x v="151"/>
    <x v="506"/>
    <x v="128"/>
    <x v="62"/>
    <x v="370"/>
    <x v="8"/>
  </r>
  <r>
    <x v="152"/>
    <x v="591"/>
    <x v="128"/>
    <x v="71"/>
    <x v="397"/>
    <x v="8"/>
  </r>
  <r>
    <x v="156"/>
    <x v="358"/>
    <x v="128"/>
    <x v="71"/>
    <x v="231"/>
    <x v="8"/>
  </r>
  <r>
    <x v="157"/>
    <x v="271"/>
    <x v="129"/>
    <x v="72"/>
    <x v="372"/>
    <x v="2"/>
  </r>
  <r>
    <x v="158"/>
    <x v="270"/>
    <x v="129"/>
    <x v="48"/>
    <x v="398"/>
    <x v="4"/>
  </r>
  <r>
    <x v="178"/>
    <x v="297"/>
    <x v="130"/>
    <x v="72"/>
    <x v="40"/>
    <x v="18"/>
  </r>
  <r>
    <x v="875"/>
    <x v="83"/>
    <x v="130"/>
    <x v="30"/>
    <x v="52"/>
    <x v="8"/>
  </r>
  <r>
    <x v="166"/>
    <x v="423"/>
    <x v="130"/>
    <x v="30"/>
    <x v="103"/>
    <x v="8"/>
  </r>
  <r>
    <x v="875"/>
    <x v="83"/>
    <x v="130"/>
    <x v="35"/>
    <x v="52"/>
    <x v="8"/>
  </r>
  <r>
    <x v="1274"/>
    <x v="41"/>
    <x v="130"/>
    <x v="35"/>
    <x v="123"/>
    <x v="8"/>
  </r>
  <r>
    <x v="1276"/>
    <x v="207"/>
    <x v="130"/>
    <x v="35"/>
    <x v="259"/>
    <x v="8"/>
  </r>
  <r>
    <x v="1270"/>
    <x v="227"/>
    <x v="130"/>
    <x v="36"/>
    <x v="392"/>
    <x v="8"/>
  </r>
  <r>
    <x v="164"/>
    <x v="88"/>
    <x v="130"/>
    <x v="43"/>
    <x v="139"/>
    <x v="8"/>
  </r>
  <r>
    <x v="875"/>
    <x v="83"/>
    <x v="130"/>
    <x v="44"/>
    <x v="52"/>
    <x v="8"/>
  </r>
  <r>
    <x v="161"/>
    <x v="556"/>
    <x v="130"/>
    <x v="44"/>
    <x v="420"/>
    <x v="8"/>
  </r>
  <r>
    <x v="167"/>
    <x v="264"/>
    <x v="130"/>
    <x v="47"/>
    <x v="217"/>
    <x v="8"/>
  </r>
  <r>
    <x v="162"/>
    <x v="13"/>
    <x v="130"/>
    <x v="48"/>
    <x v="293"/>
    <x v="8"/>
  </r>
  <r>
    <x v="170"/>
    <x v="189"/>
    <x v="130"/>
    <x v="29"/>
    <x v="343"/>
    <x v="2"/>
  </r>
  <r>
    <x v="174"/>
    <x v="501"/>
    <x v="130"/>
    <x v="71"/>
    <x v="14"/>
    <x v="19"/>
  </r>
  <r>
    <x v="165"/>
    <x v="477"/>
    <x v="130"/>
    <x v="48"/>
    <x v="110"/>
    <x v="12"/>
  </r>
  <r>
    <x v="1275"/>
    <x v="337"/>
    <x v="130"/>
    <x v="21"/>
    <x v="98"/>
    <x v="6"/>
  </r>
  <r>
    <x v="1272"/>
    <x v="71"/>
    <x v="130"/>
    <x v="11"/>
    <x v="251"/>
    <x v="6"/>
  </r>
  <r>
    <x v="169"/>
    <x v="18"/>
    <x v="130"/>
    <x v="8"/>
    <x v="187"/>
    <x v="15"/>
  </r>
  <r>
    <x v="173"/>
    <x v="154"/>
    <x v="130"/>
    <x v="71"/>
    <x v="256"/>
    <x v="4"/>
  </r>
  <r>
    <x v="1271"/>
    <x v="452"/>
    <x v="130"/>
    <x v="51"/>
    <x v="443"/>
    <x v="8"/>
  </r>
  <r>
    <x v="1271"/>
    <x v="452"/>
    <x v="130"/>
    <x v="55"/>
    <x v="462"/>
    <x v="8"/>
  </r>
  <r>
    <x v="160"/>
    <x v="516"/>
    <x v="130"/>
    <x v="65"/>
    <x v="468"/>
    <x v="8"/>
  </r>
  <r>
    <x v="167"/>
    <x v="264"/>
    <x v="130"/>
    <x v="67"/>
    <x v="213"/>
    <x v="8"/>
  </r>
  <r>
    <x v="172"/>
    <x v="269"/>
    <x v="130"/>
    <x v="71"/>
    <x v="173"/>
    <x v="8"/>
  </r>
  <r>
    <x v="175"/>
    <x v="582"/>
    <x v="130"/>
    <x v="72"/>
    <x v="178"/>
    <x v="8"/>
  </r>
  <r>
    <x v="1273"/>
    <x v="312"/>
    <x v="130"/>
    <x v="76"/>
    <x v="157"/>
    <x v="18"/>
  </r>
  <r>
    <x v="195"/>
    <x v="423"/>
    <x v="131"/>
    <x v="30"/>
    <x v="48"/>
    <x v="8"/>
  </r>
  <r>
    <x v="1277"/>
    <x v="341"/>
    <x v="131"/>
    <x v="35"/>
    <x v="425"/>
    <x v="8"/>
  </r>
  <r>
    <x v="191"/>
    <x v="354"/>
    <x v="131"/>
    <x v="48"/>
    <x v="192"/>
    <x v="8"/>
  </r>
  <r>
    <x v="190"/>
    <x v="390"/>
    <x v="131"/>
    <x v="48"/>
    <x v="187"/>
    <x v="8"/>
  </r>
  <r>
    <x v="188"/>
    <x v="4"/>
    <x v="131"/>
    <x v="71"/>
    <x v="195"/>
    <x v="2"/>
  </r>
  <r>
    <x v="192"/>
    <x v="564"/>
    <x v="131"/>
    <x v="48"/>
    <x v="123"/>
    <x v="4"/>
  </r>
  <r>
    <x v="1278"/>
    <x v="181"/>
    <x v="131"/>
    <x v="55"/>
    <x v="158"/>
    <x v="8"/>
  </r>
  <r>
    <x v="189"/>
    <x v="347"/>
    <x v="131"/>
    <x v="72"/>
    <x v="140"/>
    <x v="8"/>
  </r>
  <r>
    <x v="1279"/>
    <x v="439"/>
    <x v="132"/>
    <x v="38"/>
    <x v="287"/>
    <x v="8"/>
  </r>
  <r>
    <x v="181"/>
    <x v="563"/>
    <x v="133"/>
    <x v="71"/>
    <x v="292"/>
    <x v="18"/>
  </r>
  <r>
    <x v="212"/>
    <x v="198"/>
    <x v="133"/>
    <x v="18"/>
    <x v="369"/>
    <x v="8"/>
  </r>
  <r>
    <x v="201"/>
    <x v="574"/>
    <x v="133"/>
    <x v="26"/>
    <x v="128"/>
    <x v="8"/>
  </r>
  <r>
    <x v="1285"/>
    <x v="60"/>
    <x v="133"/>
    <x v="29"/>
    <x v="191"/>
    <x v="8"/>
  </r>
  <r>
    <x v="219"/>
    <x v="365"/>
    <x v="133"/>
    <x v="35"/>
    <x v="398"/>
    <x v="8"/>
  </r>
  <r>
    <x v="218"/>
    <x v="556"/>
    <x v="133"/>
    <x v="35"/>
    <x v="52"/>
    <x v="8"/>
  </r>
  <r>
    <x v="214"/>
    <x v="576"/>
    <x v="133"/>
    <x v="38"/>
    <x v="199"/>
    <x v="8"/>
  </r>
  <r>
    <x v="211"/>
    <x v="7"/>
    <x v="133"/>
    <x v="40"/>
    <x v="187"/>
    <x v="8"/>
  </r>
  <r>
    <x v="1282"/>
    <x v="324"/>
    <x v="133"/>
    <x v="44"/>
    <x v="85"/>
    <x v="8"/>
  </r>
  <r>
    <x v="1281"/>
    <x v="284"/>
    <x v="133"/>
    <x v="47"/>
    <x v="9"/>
    <x v="8"/>
  </r>
  <r>
    <x v="202"/>
    <x v="574"/>
    <x v="133"/>
    <x v="48"/>
    <x v="110"/>
    <x v="8"/>
  </r>
  <r>
    <x v="212"/>
    <x v="198"/>
    <x v="133"/>
    <x v="44"/>
    <x v="421"/>
    <x v="2"/>
  </r>
  <r>
    <x v="210"/>
    <x v="106"/>
    <x v="133"/>
    <x v="72"/>
    <x v="261"/>
    <x v="2"/>
  </r>
  <r>
    <x v="205"/>
    <x v="308"/>
    <x v="133"/>
    <x v="18"/>
    <x v="213"/>
    <x v="2"/>
  </r>
  <r>
    <x v="213"/>
    <x v="310"/>
    <x v="133"/>
    <x v="71"/>
    <x v="272"/>
    <x v="2"/>
  </r>
  <r>
    <x v="200"/>
    <x v="574"/>
    <x v="133"/>
    <x v="14"/>
    <x v="301"/>
    <x v="9"/>
  </r>
  <r>
    <x v="203"/>
    <x v="129"/>
    <x v="133"/>
    <x v="7"/>
    <x v="237"/>
    <x v="15"/>
  </r>
  <r>
    <x v="209"/>
    <x v="270"/>
    <x v="133"/>
    <x v="48"/>
    <x v="406"/>
    <x v="4"/>
  </r>
  <r>
    <x v="1280"/>
    <x v="162"/>
    <x v="133"/>
    <x v="59"/>
    <x v="246"/>
    <x v="4"/>
  </r>
  <r>
    <x v="217"/>
    <x v="150"/>
    <x v="133"/>
    <x v="60"/>
    <x v="438"/>
    <x v="8"/>
  </r>
  <r>
    <x v="1283"/>
    <x v="142"/>
    <x v="133"/>
    <x v="60"/>
    <x v="315"/>
    <x v="8"/>
  </r>
  <r>
    <x v="204"/>
    <x v="584"/>
    <x v="133"/>
    <x v="66"/>
    <x v="315"/>
    <x v="8"/>
  </r>
  <r>
    <x v="1284"/>
    <x v="162"/>
    <x v="133"/>
    <x v="71"/>
    <x v="235"/>
    <x v="8"/>
  </r>
  <r>
    <x v="208"/>
    <x v="87"/>
    <x v="133"/>
    <x v="72"/>
    <x v="151"/>
    <x v="8"/>
  </r>
  <r>
    <x v="223"/>
    <x v="593"/>
    <x v="134"/>
    <x v="48"/>
    <x v="360"/>
    <x v="4"/>
  </r>
  <r>
    <x v="228"/>
    <x v="526"/>
    <x v="135"/>
    <x v="26"/>
    <x v="449"/>
    <x v="18"/>
  </r>
  <r>
    <x v="230"/>
    <x v="147"/>
    <x v="135"/>
    <x v="18"/>
    <x v="39"/>
    <x v="8"/>
  </r>
  <r>
    <x v="230"/>
    <x v="147"/>
    <x v="135"/>
    <x v="24"/>
    <x v="55"/>
    <x v="8"/>
  </r>
  <r>
    <x v="225"/>
    <x v="196"/>
    <x v="135"/>
    <x v="29"/>
    <x v="263"/>
    <x v="8"/>
  </r>
  <r>
    <x v="230"/>
    <x v="147"/>
    <x v="135"/>
    <x v="30"/>
    <x v="144"/>
    <x v="8"/>
  </r>
  <r>
    <x v="194"/>
    <x v="442"/>
    <x v="135"/>
    <x v="30"/>
    <x v="210"/>
    <x v="8"/>
  </r>
  <r>
    <x v="1291"/>
    <x v="289"/>
    <x v="135"/>
    <x v="38"/>
    <x v="239"/>
    <x v="8"/>
  </r>
  <r>
    <x v="194"/>
    <x v="442"/>
    <x v="135"/>
    <x v="38"/>
    <x v="137"/>
    <x v="8"/>
  </r>
  <r>
    <x v="198"/>
    <x v="525"/>
    <x v="135"/>
    <x v="40"/>
    <x v="175"/>
    <x v="8"/>
  </r>
  <r>
    <x v="1290"/>
    <x v="57"/>
    <x v="135"/>
    <x v="44"/>
    <x v="207"/>
    <x v="8"/>
  </r>
  <r>
    <x v="194"/>
    <x v="442"/>
    <x v="135"/>
    <x v="47"/>
    <x v="13"/>
    <x v="8"/>
  </r>
  <r>
    <x v="198"/>
    <x v="525"/>
    <x v="135"/>
    <x v="47"/>
    <x v="457"/>
    <x v="8"/>
  </r>
  <r>
    <x v="224"/>
    <x v="267"/>
    <x v="135"/>
    <x v="48"/>
    <x v="369"/>
    <x v="8"/>
  </r>
  <r>
    <x v="1292"/>
    <x v="6"/>
    <x v="135"/>
    <x v="48"/>
    <x v="168"/>
    <x v="2"/>
  </r>
  <r>
    <x v="226"/>
    <x v="224"/>
    <x v="135"/>
    <x v="44"/>
    <x v="171"/>
    <x v="4"/>
  </r>
  <r>
    <x v="198"/>
    <x v="525"/>
    <x v="135"/>
    <x v="44"/>
    <x v="253"/>
    <x v="9"/>
  </r>
  <r>
    <x v="1405"/>
    <x v="594"/>
    <x v="135"/>
    <x v="77"/>
    <x v="485"/>
    <x v="19"/>
  </r>
  <r>
    <x v="1405"/>
    <x v="594"/>
    <x v="135"/>
    <x v="77"/>
    <x v="485"/>
    <x v="19"/>
  </r>
  <r>
    <x v="1286"/>
    <x v="68"/>
    <x v="135"/>
    <x v="48"/>
    <x v="281"/>
    <x v="4"/>
  </r>
  <r>
    <x v="226"/>
    <x v="224"/>
    <x v="135"/>
    <x v="51"/>
    <x v="85"/>
    <x v="4"/>
  </r>
  <r>
    <x v="229"/>
    <x v="331"/>
    <x v="135"/>
    <x v="52"/>
    <x v="260"/>
    <x v="8"/>
  </r>
  <r>
    <x v="1289"/>
    <x v="181"/>
    <x v="135"/>
    <x v="66"/>
    <x v="52"/>
    <x v="8"/>
  </r>
  <r>
    <x v="231"/>
    <x v="400"/>
    <x v="135"/>
    <x v="72"/>
    <x v="42"/>
    <x v="8"/>
  </r>
  <r>
    <x v="232"/>
    <x v="403"/>
    <x v="135"/>
    <x v="72"/>
    <x v="20"/>
    <x v="8"/>
  </r>
  <r>
    <x v="1288"/>
    <x v="140"/>
    <x v="135"/>
    <x v="76"/>
    <x v="134"/>
    <x v="18"/>
  </r>
  <r>
    <x v="227"/>
    <x v="140"/>
    <x v="135"/>
    <x v="76"/>
    <x v="134"/>
    <x v="18"/>
  </r>
  <r>
    <x v="198"/>
    <x v="525"/>
    <x v="135"/>
    <x v="76"/>
    <x v="481"/>
    <x v="18"/>
  </r>
  <r>
    <x v="1297"/>
    <x v="160"/>
    <x v="136"/>
    <x v="48"/>
    <x v="41"/>
    <x v="18"/>
  </r>
  <r>
    <x v="1293"/>
    <x v="76"/>
    <x v="136"/>
    <x v="7"/>
    <x v="253"/>
    <x v="8"/>
  </r>
  <r>
    <x v="1298"/>
    <x v="99"/>
    <x v="136"/>
    <x v="22"/>
    <x v="47"/>
    <x v="8"/>
  </r>
  <r>
    <x v="1299"/>
    <x v="237"/>
    <x v="136"/>
    <x v="24"/>
    <x v="38"/>
    <x v="8"/>
  </r>
  <r>
    <x v="237"/>
    <x v="459"/>
    <x v="136"/>
    <x v="30"/>
    <x v="351"/>
    <x v="8"/>
  </r>
  <r>
    <x v="1296"/>
    <x v="214"/>
    <x v="136"/>
    <x v="30"/>
    <x v="226"/>
    <x v="8"/>
  </r>
  <r>
    <x v="1287"/>
    <x v="560"/>
    <x v="136"/>
    <x v="33"/>
    <x v="3"/>
    <x v="8"/>
  </r>
  <r>
    <x v="233"/>
    <x v="257"/>
    <x v="136"/>
    <x v="35"/>
    <x v="317"/>
    <x v="8"/>
  </r>
  <r>
    <x v="1295"/>
    <x v="58"/>
    <x v="136"/>
    <x v="44"/>
    <x v="351"/>
    <x v="8"/>
  </r>
  <r>
    <x v="240"/>
    <x v="115"/>
    <x v="136"/>
    <x v="7"/>
    <x v="0"/>
    <x v="2"/>
  </r>
  <r>
    <x v="238"/>
    <x v="574"/>
    <x v="136"/>
    <x v="14"/>
    <x v="257"/>
    <x v="9"/>
  </r>
  <r>
    <x v="1294"/>
    <x v="293"/>
    <x v="136"/>
    <x v="51"/>
    <x v="349"/>
    <x v="4"/>
  </r>
  <r>
    <x v="235"/>
    <x v="189"/>
    <x v="136"/>
    <x v="60"/>
    <x v="132"/>
    <x v="8"/>
  </r>
  <r>
    <x v="241"/>
    <x v="482"/>
    <x v="136"/>
    <x v="71"/>
    <x v="205"/>
    <x v="8"/>
  </r>
  <r>
    <x v="1300"/>
    <x v="162"/>
    <x v="137"/>
    <x v="48"/>
    <x v="85"/>
    <x v="2"/>
  </r>
  <r>
    <x v="239"/>
    <x v="304"/>
    <x v="137"/>
    <x v="37"/>
    <x v="75"/>
    <x v="4"/>
  </r>
  <r>
    <x v="215"/>
    <x v="299"/>
    <x v="137"/>
    <x v="76"/>
    <x v="286"/>
    <x v="2"/>
  </r>
  <r>
    <x v="242"/>
    <x v="511"/>
    <x v="137"/>
    <x v="21"/>
    <x v="287"/>
    <x v="11"/>
  </r>
  <r>
    <x v="234"/>
    <x v="448"/>
    <x v="137"/>
    <x v="52"/>
    <x v="405"/>
    <x v="8"/>
  </r>
  <r>
    <x v="1301"/>
    <x v="413"/>
    <x v="137"/>
    <x v="60"/>
    <x v="36"/>
    <x v="8"/>
  </r>
  <r>
    <x v="243"/>
    <x v="155"/>
    <x v="137"/>
    <x v="65"/>
    <x v="226"/>
    <x v="8"/>
  </r>
  <r>
    <x v="1302"/>
    <x v="408"/>
    <x v="138"/>
    <x v="40"/>
    <x v="110"/>
    <x v="8"/>
  </r>
  <r>
    <x v="1303"/>
    <x v="58"/>
    <x v="138"/>
    <x v="44"/>
    <x v="210"/>
    <x v="8"/>
  </r>
  <r>
    <x v="245"/>
    <x v="170"/>
    <x v="138"/>
    <x v="47"/>
    <x v="135"/>
    <x v="4"/>
  </r>
  <r>
    <x v="248"/>
    <x v="564"/>
    <x v="138"/>
    <x v="48"/>
    <x v="103"/>
    <x v="4"/>
  </r>
  <r>
    <x v="203"/>
    <x v="129"/>
    <x v="138"/>
    <x v="7"/>
    <x v="237"/>
    <x v="15"/>
  </r>
  <r>
    <x v="249"/>
    <x v="150"/>
    <x v="138"/>
    <x v="60"/>
    <x v="168"/>
    <x v="8"/>
  </r>
  <r>
    <x v="251"/>
    <x v="517"/>
    <x v="138"/>
    <x v="69"/>
    <x v="418"/>
    <x v="8"/>
  </r>
  <r>
    <x v="252"/>
    <x v="497"/>
    <x v="139"/>
    <x v="71"/>
    <x v="98"/>
    <x v="18"/>
  </r>
  <r>
    <x v="250"/>
    <x v="261"/>
    <x v="139"/>
    <x v="8"/>
    <x v="181"/>
    <x v="8"/>
  </r>
  <r>
    <x v="1304"/>
    <x v="193"/>
    <x v="139"/>
    <x v="48"/>
    <x v="315"/>
    <x v="8"/>
  </r>
  <r>
    <x v="254"/>
    <x v="525"/>
    <x v="139"/>
    <x v="76"/>
    <x v="482"/>
    <x v="18"/>
  </r>
  <r>
    <x v="276"/>
    <x v="591"/>
    <x v="140"/>
    <x v="24"/>
    <x v="307"/>
    <x v="8"/>
  </r>
  <r>
    <x v="1310"/>
    <x v="491"/>
    <x v="140"/>
    <x v="36"/>
    <x v="145"/>
    <x v="8"/>
  </r>
  <r>
    <x v="273"/>
    <x v="516"/>
    <x v="140"/>
    <x v="39"/>
    <x v="155"/>
    <x v="8"/>
  </r>
  <r>
    <x v="1307"/>
    <x v="426"/>
    <x v="140"/>
    <x v="43"/>
    <x v="30"/>
    <x v="8"/>
  </r>
  <r>
    <x v="1306"/>
    <x v="54"/>
    <x v="140"/>
    <x v="44"/>
    <x v="207"/>
    <x v="8"/>
  </r>
  <r>
    <x v="276"/>
    <x v="591"/>
    <x v="140"/>
    <x v="47"/>
    <x v="463"/>
    <x v="8"/>
  </r>
  <r>
    <x v="274"/>
    <x v="574"/>
    <x v="140"/>
    <x v="48"/>
    <x v="43"/>
    <x v="8"/>
  </r>
  <r>
    <x v="271"/>
    <x v="106"/>
    <x v="140"/>
    <x v="72"/>
    <x v="348"/>
    <x v="2"/>
  </r>
  <r>
    <x v="278"/>
    <x v="38"/>
    <x v="140"/>
    <x v="48"/>
    <x v="478"/>
    <x v="4"/>
  </r>
  <r>
    <x v="253"/>
    <x v="564"/>
    <x v="140"/>
    <x v="59"/>
    <x v="48"/>
    <x v="4"/>
  </r>
  <r>
    <x v="268"/>
    <x v="219"/>
    <x v="140"/>
    <x v="52"/>
    <x v="110"/>
    <x v="8"/>
  </r>
  <r>
    <x v="246"/>
    <x v="539"/>
    <x v="140"/>
    <x v="52"/>
    <x v="311"/>
    <x v="8"/>
  </r>
  <r>
    <x v="1305"/>
    <x v="363"/>
    <x v="140"/>
    <x v="55"/>
    <x v="430"/>
    <x v="8"/>
  </r>
  <r>
    <x v="1308"/>
    <x v="401"/>
    <x v="140"/>
    <x v="56"/>
    <x v="308"/>
    <x v="8"/>
  </r>
  <r>
    <x v="270"/>
    <x v="521"/>
    <x v="140"/>
    <x v="71"/>
    <x v="180"/>
    <x v="8"/>
  </r>
  <r>
    <x v="277"/>
    <x v="440"/>
    <x v="140"/>
    <x v="71"/>
    <x v="256"/>
    <x v="8"/>
  </r>
  <r>
    <x v="276"/>
    <x v="591"/>
    <x v="140"/>
    <x v="71"/>
    <x v="398"/>
    <x v="8"/>
  </r>
  <r>
    <x v="273"/>
    <x v="516"/>
    <x v="140"/>
    <x v="71"/>
    <x v="422"/>
    <x v="8"/>
  </r>
  <r>
    <x v="281"/>
    <x v="260"/>
    <x v="141"/>
    <x v="71"/>
    <x v="256"/>
    <x v="18"/>
  </r>
  <r>
    <x v="1309"/>
    <x v="188"/>
    <x v="141"/>
    <x v="38"/>
    <x v="80"/>
    <x v="8"/>
  </r>
  <r>
    <x v="282"/>
    <x v="473"/>
    <x v="141"/>
    <x v="38"/>
    <x v="174"/>
    <x v="4"/>
  </r>
  <r>
    <x v="287"/>
    <x v="588"/>
    <x v="141"/>
    <x v="48"/>
    <x v="210"/>
    <x v="4"/>
  </r>
  <r>
    <x v="275"/>
    <x v="574"/>
    <x v="141"/>
    <x v="14"/>
    <x v="171"/>
    <x v="9"/>
  </r>
  <r>
    <x v="292"/>
    <x v="574"/>
    <x v="141"/>
    <x v="14"/>
    <x v="137"/>
    <x v="9"/>
  </r>
  <r>
    <x v="1312"/>
    <x v="138"/>
    <x v="141"/>
    <x v="7"/>
    <x v="168"/>
    <x v="14"/>
  </r>
  <r>
    <x v="290"/>
    <x v="354"/>
    <x v="141"/>
    <x v="71"/>
    <x v="114"/>
    <x v="8"/>
  </r>
  <r>
    <x v="289"/>
    <x v="565"/>
    <x v="141"/>
    <x v="71"/>
    <x v="244"/>
    <x v="8"/>
  </r>
  <r>
    <x v="283"/>
    <x v="397"/>
    <x v="141"/>
    <x v="71"/>
    <x v="171"/>
    <x v="8"/>
  </r>
  <r>
    <x v="290"/>
    <x v="354"/>
    <x v="141"/>
    <x v="72"/>
    <x v="288"/>
    <x v="8"/>
  </r>
  <r>
    <x v="1311"/>
    <x v="162"/>
    <x v="141"/>
    <x v="76"/>
    <x v="40"/>
    <x v="8"/>
  </r>
  <r>
    <x v="1315"/>
    <x v="117"/>
    <x v="142"/>
    <x v="21"/>
    <x v="52"/>
    <x v="8"/>
  </r>
  <r>
    <x v="296"/>
    <x v="458"/>
    <x v="142"/>
    <x v="47"/>
    <x v="278"/>
    <x v="8"/>
  </r>
  <r>
    <x v="297"/>
    <x v="436"/>
    <x v="142"/>
    <x v="48"/>
    <x v="240"/>
    <x v="8"/>
  </r>
  <r>
    <x v="297"/>
    <x v="436"/>
    <x v="142"/>
    <x v="51"/>
    <x v="52"/>
    <x v="8"/>
  </r>
  <r>
    <x v="294"/>
    <x v="31"/>
    <x v="142"/>
    <x v="77"/>
    <x v="485"/>
    <x v="19"/>
  </r>
  <r>
    <x v="1314"/>
    <x v="181"/>
    <x v="142"/>
    <x v="55"/>
    <x v="65"/>
    <x v="8"/>
  </r>
  <r>
    <x v="1314"/>
    <x v="181"/>
    <x v="142"/>
    <x v="61"/>
    <x v="263"/>
    <x v="8"/>
  </r>
  <r>
    <x v="295"/>
    <x v="75"/>
    <x v="142"/>
    <x v="76"/>
    <x v="33"/>
    <x v="8"/>
  </r>
  <r>
    <x v="1313"/>
    <x v="387"/>
    <x v="143"/>
    <x v="8"/>
    <x v="123"/>
    <x v="8"/>
  </r>
  <r>
    <x v="288"/>
    <x v="315"/>
    <x v="143"/>
    <x v="24"/>
    <x v="10"/>
    <x v="8"/>
  </r>
  <r>
    <x v="300"/>
    <x v="276"/>
    <x v="143"/>
    <x v="71"/>
    <x v="114"/>
    <x v="2"/>
  </r>
  <r>
    <x v="299"/>
    <x v="591"/>
    <x v="143"/>
    <x v="71"/>
    <x v="124"/>
    <x v="9"/>
  </r>
  <r>
    <x v="303"/>
    <x v="492"/>
    <x v="143"/>
    <x v="51"/>
    <x v="21"/>
    <x v="2"/>
  </r>
  <r>
    <x v="305"/>
    <x v="492"/>
    <x v="143"/>
    <x v="51"/>
    <x v="137"/>
    <x v="4"/>
  </r>
  <r>
    <x v="298"/>
    <x v="196"/>
    <x v="143"/>
    <x v="55"/>
    <x v="349"/>
    <x v="8"/>
  </r>
  <r>
    <x v="304"/>
    <x v="22"/>
    <x v="143"/>
    <x v="60"/>
    <x v="445"/>
    <x v="8"/>
  </r>
  <r>
    <x v="293"/>
    <x v="3"/>
    <x v="143"/>
    <x v="64"/>
    <x v="52"/>
    <x v="8"/>
  </r>
  <r>
    <x v="302"/>
    <x v="19"/>
    <x v="143"/>
    <x v="71"/>
    <x v="424"/>
    <x v="8"/>
  </r>
  <r>
    <x v="1316"/>
    <x v="162"/>
    <x v="144"/>
    <x v="22"/>
    <x v="453"/>
    <x v="8"/>
  </r>
  <r>
    <x v="315"/>
    <x v="557"/>
    <x v="145"/>
    <x v="71"/>
    <x v="403"/>
    <x v="18"/>
  </r>
  <r>
    <x v="1316"/>
    <x v="162"/>
    <x v="145"/>
    <x v="22"/>
    <x v="453"/>
    <x v="8"/>
  </r>
  <r>
    <x v="309"/>
    <x v="574"/>
    <x v="145"/>
    <x v="26"/>
    <x v="89"/>
    <x v="8"/>
  </r>
  <r>
    <x v="1318"/>
    <x v="39"/>
    <x v="145"/>
    <x v="35"/>
    <x v="75"/>
    <x v="8"/>
  </r>
  <r>
    <x v="313"/>
    <x v="368"/>
    <x v="145"/>
    <x v="44"/>
    <x v="8"/>
    <x v="8"/>
  </r>
  <r>
    <x v="307"/>
    <x v="151"/>
    <x v="145"/>
    <x v="44"/>
    <x v="249"/>
    <x v="8"/>
  </r>
  <r>
    <x v="1320"/>
    <x v="175"/>
    <x v="145"/>
    <x v="48"/>
    <x v="398"/>
    <x v="5"/>
  </r>
  <r>
    <x v="1317"/>
    <x v="29"/>
    <x v="145"/>
    <x v="61"/>
    <x v="179"/>
    <x v="4"/>
  </r>
  <r>
    <x v="314"/>
    <x v="154"/>
    <x v="145"/>
    <x v="71"/>
    <x v="256"/>
    <x v="4"/>
  </r>
  <r>
    <x v="317"/>
    <x v="581"/>
    <x v="145"/>
    <x v="76"/>
    <x v="395"/>
    <x v="18"/>
  </r>
  <r>
    <x v="321"/>
    <x v="352"/>
    <x v="146"/>
    <x v="14"/>
    <x v="171"/>
    <x v="8"/>
  </r>
  <r>
    <x v="326"/>
    <x v="367"/>
    <x v="146"/>
    <x v="22"/>
    <x v="168"/>
    <x v="8"/>
  </r>
  <r>
    <x v="1323"/>
    <x v="319"/>
    <x v="146"/>
    <x v="35"/>
    <x v="95"/>
    <x v="8"/>
  </r>
  <r>
    <x v="324"/>
    <x v="458"/>
    <x v="146"/>
    <x v="47"/>
    <x v="329"/>
    <x v="8"/>
  </r>
  <r>
    <x v="1319"/>
    <x v="109"/>
    <x v="146"/>
    <x v="47"/>
    <x v="77"/>
    <x v="8"/>
  </r>
  <r>
    <x v="328"/>
    <x v="390"/>
    <x v="146"/>
    <x v="48"/>
    <x v="287"/>
    <x v="8"/>
  </r>
  <r>
    <x v="322"/>
    <x v="558"/>
    <x v="146"/>
    <x v="48"/>
    <x v="271"/>
    <x v="8"/>
  </r>
  <r>
    <x v="1322"/>
    <x v="6"/>
    <x v="146"/>
    <x v="48"/>
    <x v="179"/>
    <x v="2"/>
  </r>
  <r>
    <x v="319"/>
    <x v="562"/>
    <x v="146"/>
    <x v="48"/>
    <x v="177"/>
    <x v="4"/>
  </r>
  <r>
    <x v="329"/>
    <x v="286"/>
    <x v="146"/>
    <x v="55"/>
    <x v="210"/>
    <x v="8"/>
  </r>
  <r>
    <x v="1321"/>
    <x v="181"/>
    <x v="146"/>
    <x v="55"/>
    <x v="251"/>
    <x v="8"/>
  </r>
  <r>
    <x v="323"/>
    <x v="367"/>
    <x v="146"/>
    <x v="71"/>
    <x v="126"/>
    <x v="8"/>
  </r>
  <r>
    <x v="317"/>
    <x v="581"/>
    <x v="146"/>
    <x v="76"/>
    <x v="395"/>
    <x v="18"/>
  </r>
  <r>
    <x v="343"/>
    <x v="379"/>
    <x v="147"/>
    <x v="65"/>
    <x v="274"/>
    <x v="18"/>
  </r>
  <r>
    <x v="341"/>
    <x v="353"/>
    <x v="147"/>
    <x v="22"/>
    <x v="375"/>
    <x v="8"/>
  </r>
  <r>
    <x v="342"/>
    <x v="527"/>
    <x v="147"/>
    <x v="26"/>
    <x v="291"/>
    <x v="8"/>
  </r>
  <r>
    <x v="340"/>
    <x v="364"/>
    <x v="147"/>
    <x v="30"/>
    <x v="277"/>
    <x v="8"/>
  </r>
  <r>
    <x v="340"/>
    <x v="364"/>
    <x v="147"/>
    <x v="35"/>
    <x v="183"/>
    <x v="8"/>
  </r>
  <r>
    <x v="340"/>
    <x v="364"/>
    <x v="147"/>
    <x v="44"/>
    <x v="226"/>
    <x v="8"/>
  </r>
  <r>
    <x v="344"/>
    <x v="103"/>
    <x v="147"/>
    <x v="47"/>
    <x v="173"/>
    <x v="8"/>
  </r>
  <r>
    <x v="335"/>
    <x v="531"/>
    <x v="147"/>
    <x v="47"/>
    <x v="273"/>
    <x v="8"/>
  </r>
  <r>
    <x v="339"/>
    <x v="448"/>
    <x v="147"/>
    <x v="52"/>
    <x v="398"/>
    <x v="8"/>
  </r>
  <r>
    <x v="1326"/>
    <x v="417"/>
    <x v="147"/>
    <x v="23"/>
    <x v="169"/>
    <x v="4"/>
  </r>
  <r>
    <x v="338"/>
    <x v="273"/>
    <x v="147"/>
    <x v="51"/>
    <x v="110"/>
    <x v="4"/>
  </r>
  <r>
    <x v="1325"/>
    <x v="580"/>
    <x v="147"/>
    <x v="55"/>
    <x v="237"/>
    <x v="8"/>
  </r>
  <r>
    <x v="1327"/>
    <x v="135"/>
    <x v="148"/>
    <x v="8"/>
    <x v="93"/>
    <x v="8"/>
  </r>
  <r>
    <x v="1324"/>
    <x v="225"/>
    <x v="148"/>
    <x v="24"/>
    <x v="49"/>
    <x v="8"/>
  </r>
  <r>
    <x v="346"/>
    <x v="537"/>
    <x v="148"/>
    <x v="41"/>
    <x v="252"/>
    <x v="8"/>
  </r>
  <r>
    <x v="350"/>
    <x v="455"/>
    <x v="148"/>
    <x v="44"/>
    <x v="89"/>
    <x v="8"/>
  </r>
  <r>
    <x v="346"/>
    <x v="537"/>
    <x v="148"/>
    <x v="44"/>
    <x v="315"/>
    <x v="8"/>
  </r>
  <r>
    <x v="346"/>
    <x v="537"/>
    <x v="148"/>
    <x v="47"/>
    <x v="224"/>
    <x v="8"/>
  </r>
  <r>
    <x v="337"/>
    <x v="264"/>
    <x v="148"/>
    <x v="47"/>
    <x v="218"/>
    <x v="8"/>
  </r>
  <r>
    <x v="349"/>
    <x v="366"/>
    <x v="148"/>
    <x v="47"/>
    <x v="108"/>
    <x v="2"/>
  </r>
  <r>
    <x v="334"/>
    <x v="266"/>
    <x v="148"/>
    <x v="42"/>
    <x v="220"/>
    <x v="9"/>
  </r>
  <r>
    <x v="346"/>
    <x v="537"/>
    <x v="148"/>
    <x v="60"/>
    <x v="158"/>
    <x v="8"/>
  </r>
  <r>
    <x v="337"/>
    <x v="264"/>
    <x v="148"/>
    <x v="67"/>
    <x v="213"/>
    <x v="8"/>
  </r>
  <r>
    <x v="360"/>
    <x v="541"/>
    <x v="149"/>
    <x v="14"/>
    <x v="237"/>
    <x v="8"/>
  </r>
  <r>
    <x v="355"/>
    <x v="537"/>
    <x v="149"/>
    <x v="15"/>
    <x v="144"/>
    <x v="8"/>
  </r>
  <r>
    <x v="363"/>
    <x v="31"/>
    <x v="149"/>
    <x v="23"/>
    <x v="95"/>
    <x v="8"/>
  </r>
  <r>
    <x v="1332"/>
    <x v="247"/>
    <x v="149"/>
    <x v="30"/>
    <x v="123"/>
    <x v="8"/>
  </r>
  <r>
    <x v="367"/>
    <x v="365"/>
    <x v="149"/>
    <x v="31"/>
    <x v="95"/>
    <x v="8"/>
  </r>
  <r>
    <x v="1328"/>
    <x v="505"/>
    <x v="149"/>
    <x v="36"/>
    <x v="145"/>
    <x v="8"/>
  </r>
  <r>
    <x v="1336"/>
    <x v="172"/>
    <x v="149"/>
    <x v="44"/>
    <x v="139"/>
    <x v="8"/>
  </r>
  <r>
    <x v="365"/>
    <x v="425"/>
    <x v="149"/>
    <x v="44"/>
    <x v="110"/>
    <x v="8"/>
  </r>
  <r>
    <x v="1333"/>
    <x v="342"/>
    <x v="149"/>
    <x v="47"/>
    <x v="271"/>
    <x v="8"/>
  </r>
  <r>
    <x v="1331"/>
    <x v="238"/>
    <x v="149"/>
    <x v="47"/>
    <x v="226"/>
    <x v="8"/>
  </r>
  <r>
    <x v="1335"/>
    <x v="530"/>
    <x v="149"/>
    <x v="48"/>
    <x v="137"/>
    <x v="8"/>
  </r>
  <r>
    <x v="358"/>
    <x v="489"/>
    <x v="149"/>
    <x v="48"/>
    <x v="69"/>
    <x v="8"/>
  </r>
  <r>
    <x v="364"/>
    <x v="331"/>
    <x v="149"/>
    <x v="52"/>
    <x v="237"/>
    <x v="8"/>
  </r>
  <r>
    <x v="263"/>
    <x v="47"/>
    <x v="149"/>
    <x v="14"/>
    <x v="120"/>
    <x v="4"/>
  </r>
  <r>
    <x v="1330"/>
    <x v="6"/>
    <x v="149"/>
    <x v="48"/>
    <x v="168"/>
    <x v="2"/>
  </r>
  <r>
    <x v="351"/>
    <x v="106"/>
    <x v="149"/>
    <x v="72"/>
    <x v="396"/>
    <x v="2"/>
  </r>
  <r>
    <x v="366"/>
    <x v="199"/>
    <x v="149"/>
    <x v="44"/>
    <x v="131"/>
    <x v="2"/>
  </r>
  <r>
    <x v="1339"/>
    <x v="382"/>
    <x v="149"/>
    <x v="21"/>
    <x v="233"/>
    <x v="1"/>
  </r>
  <r>
    <x v="353"/>
    <x v="384"/>
    <x v="149"/>
    <x v="48"/>
    <x v="416"/>
    <x v="4"/>
  </r>
  <r>
    <x v="1329"/>
    <x v="279"/>
    <x v="149"/>
    <x v="8"/>
    <x v="75"/>
    <x v="7"/>
  </r>
  <r>
    <x v="354"/>
    <x v="180"/>
    <x v="149"/>
    <x v="24"/>
    <x v="301"/>
    <x v="6"/>
  </r>
  <r>
    <x v="1334"/>
    <x v="323"/>
    <x v="149"/>
    <x v="55"/>
    <x v="251"/>
    <x v="4"/>
  </r>
  <r>
    <x v="1332"/>
    <x v="247"/>
    <x v="149"/>
    <x v="55"/>
    <x v="65"/>
    <x v="8"/>
  </r>
  <r>
    <x v="352"/>
    <x v="3"/>
    <x v="149"/>
    <x v="64"/>
    <x v="52"/>
    <x v="8"/>
  </r>
  <r>
    <x v="361"/>
    <x v="119"/>
    <x v="149"/>
    <x v="71"/>
    <x v="431"/>
    <x v="8"/>
  </r>
  <r>
    <x v="357"/>
    <x v="119"/>
    <x v="149"/>
    <x v="71"/>
    <x v="349"/>
    <x v="8"/>
  </r>
  <r>
    <x v="1338"/>
    <x v="162"/>
    <x v="149"/>
    <x v="71"/>
    <x v="65"/>
    <x v="8"/>
  </r>
  <r>
    <x v="369"/>
    <x v="49"/>
    <x v="149"/>
    <x v="71"/>
    <x v="137"/>
    <x v="8"/>
  </r>
  <r>
    <x v="368"/>
    <x v="49"/>
    <x v="149"/>
    <x v="71"/>
    <x v="136"/>
    <x v="8"/>
  </r>
  <r>
    <x v="362"/>
    <x v="255"/>
    <x v="149"/>
    <x v="71"/>
    <x v="158"/>
    <x v="8"/>
  </r>
  <r>
    <x v="348"/>
    <x v="471"/>
    <x v="149"/>
    <x v="76"/>
    <x v="51"/>
    <x v="18"/>
  </r>
  <r>
    <x v="372"/>
    <x v="563"/>
    <x v="150"/>
    <x v="71"/>
    <x v="292"/>
    <x v="18"/>
  </r>
  <r>
    <x v="1342"/>
    <x v="445"/>
    <x v="150"/>
    <x v="35"/>
    <x v="82"/>
    <x v="8"/>
  </r>
  <r>
    <x v="1337"/>
    <x v="162"/>
    <x v="150"/>
    <x v="35"/>
    <x v="263"/>
    <x v="8"/>
  </r>
  <r>
    <x v="1345"/>
    <x v="363"/>
    <x v="150"/>
    <x v="44"/>
    <x v="416"/>
    <x v="8"/>
  </r>
  <r>
    <x v="383"/>
    <x v="524"/>
    <x v="150"/>
    <x v="47"/>
    <x v="443"/>
    <x v="8"/>
  </r>
  <r>
    <x v="374"/>
    <x v="516"/>
    <x v="150"/>
    <x v="49"/>
    <x v="159"/>
    <x v="8"/>
  </r>
  <r>
    <x v="1346"/>
    <x v="172"/>
    <x v="150"/>
    <x v="50"/>
    <x v="324"/>
    <x v="8"/>
  </r>
  <r>
    <x v="1341"/>
    <x v="162"/>
    <x v="150"/>
    <x v="47"/>
    <x v="262"/>
    <x v="4"/>
  </r>
  <r>
    <x v="371"/>
    <x v="270"/>
    <x v="150"/>
    <x v="48"/>
    <x v="405"/>
    <x v="4"/>
  </r>
  <r>
    <x v="375"/>
    <x v="492"/>
    <x v="150"/>
    <x v="48"/>
    <x v="203"/>
    <x v="4"/>
  </r>
  <r>
    <x v="1343"/>
    <x v="233"/>
    <x v="150"/>
    <x v="44"/>
    <x v="226"/>
    <x v="10"/>
  </r>
  <r>
    <x v="380"/>
    <x v="246"/>
    <x v="150"/>
    <x v="75"/>
    <x v="427"/>
    <x v="6"/>
  </r>
  <r>
    <x v="376"/>
    <x v="523"/>
    <x v="150"/>
    <x v="45"/>
    <x v="263"/>
    <x v="2"/>
  </r>
  <r>
    <x v="1340"/>
    <x v="427"/>
    <x v="150"/>
    <x v="59"/>
    <x v="146"/>
    <x v="8"/>
  </r>
  <r>
    <x v="1344"/>
    <x v="553"/>
    <x v="150"/>
    <x v="71"/>
    <x v="31"/>
    <x v="8"/>
  </r>
  <r>
    <x v="373"/>
    <x v="347"/>
    <x v="150"/>
    <x v="72"/>
    <x v="140"/>
    <x v="8"/>
  </r>
  <r>
    <x v="359"/>
    <x v="78"/>
    <x v="150"/>
    <x v="76"/>
    <x v="223"/>
    <x v="18"/>
  </r>
  <r>
    <x v="383"/>
    <x v="524"/>
    <x v="150"/>
    <x v="76"/>
    <x v="477"/>
    <x v="18"/>
  </r>
  <r>
    <x v="383"/>
    <x v="524"/>
    <x v="151"/>
    <x v="47"/>
    <x v="386"/>
    <x v="8"/>
  </r>
  <r>
    <x v="1348"/>
    <x v="77"/>
    <x v="152"/>
    <x v="31"/>
    <x v="169"/>
    <x v="8"/>
  </r>
  <r>
    <x v="392"/>
    <x v="7"/>
    <x v="152"/>
    <x v="33"/>
    <x v="408"/>
    <x v="8"/>
  </r>
  <r>
    <x v="392"/>
    <x v="7"/>
    <x v="152"/>
    <x v="33"/>
    <x v="408"/>
    <x v="8"/>
  </r>
  <r>
    <x v="389"/>
    <x v="506"/>
    <x v="152"/>
    <x v="42"/>
    <x v="135"/>
    <x v="8"/>
  </r>
  <r>
    <x v="382"/>
    <x v="88"/>
    <x v="152"/>
    <x v="43"/>
    <x v="139"/>
    <x v="8"/>
  </r>
  <r>
    <x v="1351"/>
    <x v="81"/>
    <x v="152"/>
    <x v="44"/>
    <x v="424"/>
    <x v="1"/>
  </r>
  <r>
    <x v="387"/>
    <x v="18"/>
    <x v="152"/>
    <x v="8"/>
    <x v="144"/>
    <x v="15"/>
  </r>
  <r>
    <x v="1347"/>
    <x v="280"/>
    <x v="152"/>
    <x v="35"/>
    <x v="168"/>
    <x v="10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405"/>
    <x v="594"/>
    <x v="152"/>
    <x v="77"/>
    <x v="485"/>
    <x v="19"/>
  </r>
  <r>
    <x v="1349"/>
    <x v="181"/>
    <x v="152"/>
    <x v="65"/>
    <x v="85"/>
    <x v="8"/>
  </r>
  <r>
    <x v="394"/>
    <x v="217"/>
    <x v="153"/>
    <x v="8"/>
    <x v="244"/>
    <x v="8"/>
  </r>
  <r>
    <x v="399"/>
    <x v="423"/>
    <x v="153"/>
    <x v="30"/>
    <x v="176"/>
    <x v="8"/>
  </r>
  <r>
    <x v="1353"/>
    <x v="177"/>
    <x v="153"/>
    <x v="44"/>
    <x v="287"/>
    <x v="8"/>
  </r>
  <r>
    <x v="401"/>
    <x v="499"/>
    <x v="153"/>
    <x v="47"/>
    <x v="167"/>
    <x v="8"/>
  </r>
  <r>
    <x v="1355"/>
    <x v="6"/>
    <x v="153"/>
    <x v="48"/>
    <x v="168"/>
    <x v="2"/>
  </r>
  <r>
    <x v="398"/>
    <x v="224"/>
    <x v="153"/>
    <x v="44"/>
    <x v="110"/>
    <x v="4"/>
  </r>
  <r>
    <x v="1354"/>
    <x v="125"/>
    <x v="153"/>
    <x v="55"/>
    <x v="147"/>
    <x v="8"/>
  </r>
  <r>
    <x v="400"/>
    <x v="488"/>
    <x v="153"/>
    <x v="71"/>
    <x v="98"/>
    <x v="8"/>
  </r>
  <r>
    <x v="397"/>
    <x v="147"/>
    <x v="153"/>
    <x v="76"/>
    <x v="83"/>
    <x v="18"/>
  </r>
  <r>
    <x v="418"/>
    <x v="411"/>
    <x v="154"/>
    <x v="44"/>
    <x v="137"/>
    <x v="8"/>
  </r>
  <r>
    <x v="408"/>
    <x v="242"/>
    <x v="154"/>
    <x v="47"/>
    <x v="143"/>
    <x v="8"/>
  </r>
  <r>
    <x v="381"/>
    <x v="269"/>
    <x v="154"/>
    <x v="47"/>
    <x v="336"/>
    <x v="8"/>
  </r>
  <r>
    <x v="408"/>
    <x v="245"/>
    <x v="154"/>
    <x v="47"/>
    <x v="143"/>
    <x v="8"/>
  </r>
  <r>
    <x v="407"/>
    <x v="243"/>
    <x v="154"/>
    <x v="47"/>
    <x v="108"/>
    <x v="8"/>
  </r>
  <r>
    <x v="406"/>
    <x v="242"/>
    <x v="154"/>
    <x v="47"/>
    <x v="144"/>
    <x v="8"/>
  </r>
  <r>
    <x v="405"/>
    <x v="241"/>
    <x v="154"/>
    <x v="47"/>
    <x v="75"/>
    <x v="8"/>
  </r>
  <r>
    <x v="404"/>
    <x v="240"/>
    <x v="154"/>
    <x v="47"/>
    <x v="143"/>
    <x v="8"/>
  </r>
  <r>
    <x v="403"/>
    <x v="241"/>
    <x v="154"/>
    <x v="47"/>
    <x v="143"/>
    <x v="8"/>
  </r>
  <r>
    <x v="402"/>
    <x v="241"/>
    <x v="154"/>
    <x v="47"/>
    <x v="91"/>
    <x v="8"/>
  </r>
  <r>
    <x v="1356"/>
    <x v="162"/>
    <x v="154"/>
    <x v="48"/>
    <x v="144"/>
    <x v="8"/>
  </r>
  <r>
    <x v="1357"/>
    <x v="571"/>
    <x v="154"/>
    <x v="7"/>
    <x v="110"/>
    <x v="15"/>
  </r>
  <r>
    <x v="419"/>
    <x v="266"/>
    <x v="154"/>
    <x v="71"/>
    <x v="153"/>
    <x v="9"/>
  </r>
  <r>
    <x v="414"/>
    <x v="486"/>
    <x v="154"/>
    <x v="71"/>
    <x v="99"/>
    <x v="2"/>
  </r>
  <r>
    <x v="415"/>
    <x v="473"/>
    <x v="154"/>
    <x v="61"/>
    <x v="165"/>
    <x v="8"/>
  </r>
  <r>
    <x v="417"/>
    <x v="70"/>
    <x v="155"/>
    <x v="18"/>
    <x v="89"/>
    <x v="8"/>
  </r>
  <r>
    <x v="416"/>
    <x v="195"/>
    <x v="155"/>
    <x v="51"/>
    <x v="450"/>
    <x v="8"/>
  </r>
  <r>
    <x v="429"/>
    <x v="526"/>
    <x v="156"/>
    <x v="26"/>
    <x v="450"/>
    <x v="18"/>
  </r>
  <r>
    <x v="425"/>
    <x v="574"/>
    <x v="156"/>
    <x v="6"/>
    <x v="301"/>
    <x v="8"/>
  </r>
  <r>
    <x v="426"/>
    <x v="574"/>
    <x v="156"/>
    <x v="30"/>
    <x v="123"/>
    <x v="8"/>
  </r>
  <r>
    <x v="436"/>
    <x v="574"/>
    <x v="156"/>
    <x v="30"/>
    <x v="27"/>
    <x v="8"/>
  </r>
  <r>
    <x v="424"/>
    <x v="574"/>
    <x v="156"/>
    <x v="30"/>
    <x v="76"/>
    <x v="8"/>
  </r>
  <r>
    <x v="430"/>
    <x v="264"/>
    <x v="156"/>
    <x v="47"/>
    <x v="236"/>
    <x v="8"/>
  </r>
  <r>
    <x v="420"/>
    <x v="196"/>
    <x v="156"/>
    <x v="47"/>
    <x v="349"/>
    <x v="8"/>
  </r>
  <r>
    <x v="435"/>
    <x v="574"/>
    <x v="156"/>
    <x v="48"/>
    <x v="75"/>
    <x v="8"/>
  </r>
  <r>
    <x v="434"/>
    <x v="574"/>
    <x v="156"/>
    <x v="48"/>
    <x v="24"/>
    <x v="8"/>
  </r>
  <r>
    <x v="427"/>
    <x v="574"/>
    <x v="156"/>
    <x v="48"/>
    <x v="35"/>
    <x v="8"/>
  </r>
  <r>
    <x v="421"/>
    <x v="196"/>
    <x v="156"/>
    <x v="51"/>
    <x v="344"/>
    <x v="8"/>
  </r>
  <r>
    <x v="432"/>
    <x v="4"/>
    <x v="156"/>
    <x v="64"/>
    <x v="346"/>
    <x v="2"/>
  </r>
  <r>
    <x v="437"/>
    <x v="450"/>
    <x v="156"/>
    <x v="33"/>
    <x v="251"/>
    <x v="4"/>
  </r>
  <r>
    <x v="439"/>
    <x v="475"/>
    <x v="156"/>
    <x v="72"/>
    <x v="290"/>
    <x v="2"/>
  </r>
  <r>
    <x v="428"/>
    <x v="156"/>
    <x v="156"/>
    <x v="71"/>
    <x v="302"/>
    <x v="9"/>
  </r>
  <r>
    <x v="433"/>
    <x v="574"/>
    <x v="156"/>
    <x v="14"/>
    <x v="222"/>
    <x v="9"/>
  </r>
  <r>
    <x v="430"/>
    <x v="264"/>
    <x v="156"/>
    <x v="67"/>
    <x v="159"/>
    <x v="8"/>
  </r>
  <r>
    <x v="431"/>
    <x v="264"/>
    <x v="156"/>
    <x v="72"/>
    <x v="298"/>
    <x v="8"/>
  </r>
  <r>
    <x v="442"/>
    <x v="159"/>
    <x v="157"/>
    <x v="71"/>
    <x v="298"/>
    <x v="18"/>
  </r>
  <r>
    <x v="1358"/>
    <x v="162"/>
    <x v="157"/>
    <x v="26"/>
    <x v="403"/>
    <x v="8"/>
  </r>
  <r>
    <x v="441"/>
    <x v="592"/>
    <x v="157"/>
    <x v="29"/>
    <x v="191"/>
    <x v="8"/>
  </r>
  <r>
    <x v="440"/>
    <x v="196"/>
    <x v="157"/>
    <x v="29"/>
    <x v="191"/>
    <x v="8"/>
  </r>
  <r>
    <x v="1350"/>
    <x v="84"/>
    <x v="157"/>
    <x v="35"/>
    <x v="168"/>
    <x v="8"/>
  </r>
  <r>
    <x v="422"/>
    <x v="196"/>
    <x v="157"/>
    <x v="38"/>
    <x v="263"/>
    <x v="8"/>
  </r>
  <r>
    <x v="1350"/>
    <x v="84"/>
    <x v="157"/>
    <x v="40"/>
    <x v="110"/>
    <x v="8"/>
  </r>
  <r>
    <x v="1352"/>
    <x v="334"/>
    <x v="157"/>
    <x v="47"/>
    <x v="22"/>
    <x v="8"/>
  </r>
  <r>
    <x v="1352"/>
    <x v="481"/>
    <x v="157"/>
    <x v="47"/>
    <x v="21"/>
    <x v="8"/>
  </r>
  <r>
    <x v="443"/>
    <x v="173"/>
    <x v="157"/>
    <x v="71"/>
    <x v="268"/>
    <x v="4"/>
  </r>
  <r>
    <x v="410"/>
    <x v="583"/>
    <x v="157"/>
    <x v="66"/>
    <x v="315"/>
    <x v="8"/>
  </r>
  <r>
    <x v="449"/>
    <x v="405"/>
    <x v="157"/>
    <x v="71"/>
    <x v="407"/>
    <x v="8"/>
  </r>
  <r>
    <x v="449"/>
    <x v="405"/>
    <x v="157"/>
    <x v="72"/>
    <x v="438"/>
    <x v="8"/>
  </r>
  <r>
    <x v="451"/>
    <x v="147"/>
    <x v="158"/>
    <x v="18"/>
    <x v="75"/>
    <x v="8"/>
  </r>
  <r>
    <x v="451"/>
    <x v="147"/>
    <x v="158"/>
    <x v="24"/>
    <x v="95"/>
    <x v="8"/>
  </r>
  <r>
    <x v="367"/>
    <x v="365"/>
    <x v="158"/>
    <x v="31"/>
    <x v="95"/>
    <x v="8"/>
  </r>
  <r>
    <x v="1359"/>
    <x v="162"/>
    <x v="158"/>
    <x v="48"/>
    <x v="103"/>
    <x v="8"/>
  </r>
  <r>
    <x v="1360"/>
    <x v="171"/>
    <x v="158"/>
    <x v="48"/>
    <x v="344"/>
    <x v="4"/>
  </r>
  <r>
    <x v="445"/>
    <x v="252"/>
    <x v="158"/>
    <x v="71"/>
    <x v="170"/>
    <x v="8"/>
  </r>
  <r>
    <x v="465"/>
    <x v="141"/>
    <x v="159"/>
    <x v="11"/>
    <x v="148"/>
    <x v="8"/>
  </r>
  <r>
    <x v="467"/>
    <x v="421"/>
    <x v="159"/>
    <x v="33"/>
    <x v="101"/>
    <x v="8"/>
  </r>
  <r>
    <x v="1365"/>
    <x v="444"/>
    <x v="159"/>
    <x v="33"/>
    <x v="93"/>
    <x v="8"/>
  </r>
  <r>
    <x v="1364"/>
    <x v="144"/>
    <x v="159"/>
    <x v="38"/>
    <x v="39"/>
    <x v="8"/>
  </r>
  <r>
    <x v="1362"/>
    <x v="426"/>
    <x v="159"/>
    <x v="44"/>
    <x v="30"/>
    <x v="8"/>
  </r>
  <r>
    <x v="468"/>
    <x v="591"/>
    <x v="159"/>
    <x v="47"/>
    <x v="463"/>
    <x v="8"/>
  </r>
  <r>
    <x v="469"/>
    <x v="539"/>
    <x v="159"/>
    <x v="52"/>
    <x v="326"/>
    <x v="8"/>
  </r>
  <r>
    <x v="457"/>
    <x v="106"/>
    <x v="159"/>
    <x v="72"/>
    <x v="414"/>
    <x v="2"/>
  </r>
  <r>
    <x v="1361"/>
    <x v="186"/>
    <x v="159"/>
    <x v="47"/>
    <x v="139"/>
    <x v="2"/>
  </r>
  <r>
    <x v="470"/>
    <x v="276"/>
    <x v="159"/>
    <x v="71"/>
    <x v="69"/>
    <x v="2"/>
  </r>
  <r>
    <x v="453"/>
    <x v="461"/>
    <x v="159"/>
    <x v="71"/>
    <x v="43"/>
    <x v="2"/>
  </r>
  <r>
    <x v="461"/>
    <x v="391"/>
    <x v="159"/>
    <x v="44"/>
    <x v="139"/>
    <x v="9"/>
  </r>
  <r>
    <x v="466"/>
    <x v="265"/>
    <x v="159"/>
    <x v="6"/>
    <x v="246"/>
    <x v="9"/>
  </r>
  <r>
    <x v="467"/>
    <x v="572"/>
    <x v="159"/>
    <x v="33"/>
    <x v="101"/>
    <x v="2"/>
  </r>
  <r>
    <x v="468"/>
    <x v="591"/>
    <x v="159"/>
    <x v="47"/>
    <x v="235"/>
    <x v="2"/>
  </r>
  <r>
    <x v="468"/>
    <x v="591"/>
    <x v="159"/>
    <x v="71"/>
    <x v="374"/>
    <x v="8"/>
  </r>
  <r>
    <x v="464"/>
    <x v="95"/>
    <x v="159"/>
    <x v="71"/>
    <x v="98"/>
    <x v="8"/>
  </r>
  <r>
    <x v="463"/>
    <x v="565"/>
    <x v="159"/>
    <x v="71"/>
    <x v="374"/>
    <x v="8"/>
  </r>
  <r>
    <x v="462"/>
    <x v="565"/>
    <x v="159"/>
    <x v="71"/>
    <x v="437"/>
    <x v="8"/>
  </r>
  <r>
    <x v="1363"/>
    <x v="165"/>
    <x v="159"/>
    <x v="71"/>
    <x v="43"/>
    <x v="8"/>
  </r>
  <r>
    <x v="471"/>
    <x v="75"/>
    <x v="159"/>
    <x v="76"/>
    <x v="32"/>
    <x v="8"/>
  </r>
  <r>
    <x v="473"/>
    <x v="161"/>
    <x v="160"/>
    <x v="8"/>
    <x v="369"/>
    <x v="8"/>
  </r>
  <r>
    <x v="1366"/>
    <x v="162"/>
    <x v="160"/>
    <x v="29"/>
    <x v="99"/>
    <x v="8"/>
  </r>
  <r>
    <x v="477"/>
    <x v="23"/>
    <x v="160"/>
    <x v="38"/>
    <x v="232"/>
    <x v="8"/>
  </r>
  <r>
    <x v="473"/>
    <x v="161"/>
    <x v="160"/>
    <x v="44"/>
    <x v="253"/>
    <x v="2"/>
  </r>
  <r>
    <x v="474"/>
    <x v="585"/>
    <x v="160"/>
    <x v="71"/>
    <x v="61"/>
    <x v="2"/>
  </r>
  <r>
    <x v="473"/>
    <x v="161"/>
    <x v="160"/>
    <x v="70"/>
    <x v="182"/>
    <x v="8"/>
  </r>
  <r>
    <x v="473"/>
    <x v="161"/>
    <x v="160"/>
    <x v="70"/>
    <x v="282"/>
    <x v="8"/>
  </r>
  <r>
    <x v="476"/>
    <x v="16"/>
    <x v="160"/>
    <x v="71"/>
    <x v="324"/>
    <x v="8"/>
  </r>
  <r>
    <x v="1367"/>
    <x v="34"/>
    <x v="161"/>
    <x v="18"/>
    <x v="185"/>
    <x v="18"/>
  </r>
  <r>
    <x v="480"/>
    <x v="173"/>
    <x v="161"/>
    <x v="71"/>
    <x v="256"/>
    <x v="0"/>
  </r>
  <r>
    <x v="479"/>
    <x v="18"/>
    <x v="161"/>
    <x v="8"/>
    <x v="144"/>
    <x v="15"/>
  </r>
  <r>
    <x v="454"/>
    <x v="263"/>
    <x v="162"/>
    <x v="29"/>
    <x v="266"/>
    <x v="18"/>
  </r>
  <r>
    <x v="454"/>
    <x v="263"/>
    <x v="162"/>
    <x v="48"/>
    <x v="126"/>
    <x v="18"/>
  </r>
  <r>
    <x v="446"/>
    <x v="574"/>
    <x v="162"/>
    <x v="6"/>
    <x v="257"/>
    <x v="8"/>
  </r>
  <r>
    <x v="1371"/>
    <x v="555"/>
    <x v="162"/>
    <x v="40"/>
    <x v="153"/>
    <x v="8"/>
  </r>
  <r>
    <x v="487"/>
    <x v="262"/>
    <x v="162"/>
    <x v="47"/>
    <x v="99"/>
    <x v="8"/>
  </r>
  <r>
    <x v="1369"/>
    <x v="412"/>
    <x v="162"/>
    <x v="47"/>
    <x v="30"/>
    <x v="8"/>
  </r>
  <r>
    <x v="482"/>
    <x v="166"/>
    <x v="162"/>
    <x v="47"/>
    <x v="74"/>
    <x v="2"/>
  </r>
  <r>
    <x v="481"/>
    <x v="182"/>
    <x v="162"/>
    <x v="71"/>
    <x v="144"/>
    <x v="2"/>
  </r>
  <r>
    <x v="486"/>
    <x v="212"/>
    <x v="162"/>
    <x v="71"/>
    <x v="114"/>
    <x v="2"/>
  </r>
  <r>
    <x v="484"/>
    <x v="354"/>
    <x v="162"/>
    <x v="8"/>
    <x v="305"/>
    <x v="1"/>
  </r>
  <r>
    <x v="484"/>
    <x v="154"/>
    <x v="162"/>
    <x v="71"/>
    <x v="321"/>
    <x v="4"/>
  </r>
  <r>
    <x v="1370"/>
    <x v="55"/>
    <x v="162"/>
    <x v="64"/>
    <x v="214"/>
    <x v="8"/>
  </r>
  <r>
    <x v="1403"/>
    <x v="162"/>
    <x v="162"/>
    <x v="71"/>
    <x v="292"/>
    <x v="8"/>
  </r>
  <r>
    <x v="485"/>
    <x v="147"/>
    <x v="162"/>
    <x v="76"/>
    <x v="43"/>
    <x v="18"/>
  </r>
  <r>
    <x v="1375"/>
    <x v="407"/>
    <x v="163"/>
    <x v="24"/>
    <x v="326"/>
    <x v="8"/>
  </r>
  <r>
    <x v="1375"/>
    <x v="407"/>
    <x v="163"/>
    <x v="29"/>
    <x v="339"/>
    <x v="8"/>
  </r>
  <r>
    <x v="1380"/>
    <x v="550"/>
    <x v="163"/>
    <x v="31"/>
    <x v="55"/>
    <x v="8"/>
  </r>
  <r>
    <x v="1372"/>
    <x v="319"/>
    <x v="163"/>
    <x v="35"/>
    <x v="169"/>
    <x v="8"/>
  </r>
  <r>
    <x v="493"/>
    <x v="365"/>
    <x v="163"/>
    <x v="35"/>
    <x v="324"/>
    <x v="8"/>
  </r>
  <r>
    <x v="490"/>
    <x v="257"/>
    <x v="163"/>
    <x v="35"/>
    <x v="400"/>
    <x v="8"/>
  </r>
  <r>
    <x v="1377"/>
    <x v="58"/>
    <x v="163"/>
    <x v="44"/>
    <x v="210"/>
    <x v="8"/>
  </r>
  <r>
    <x v="492"/>
    <x v="434"/>
    <x v="163"/>
    <x v="45"/>
    <x v="189"/>
    <x v="8"/>
  </r>
  <r>
    <x v="1369"/>
    <x v="412"/>
    <x v="163"/>
    <x v="47"/>
    <x v="93"/>
    <x v="8"/>
  </r>
  <r>
    <x v="1373"/>
    <x v="162"/>
    <x v="163"/>
    <x v="47"/>
    <x v="197"/>
    <x v="8"/>
  </r>
  <r>
    <x v="1374"/>
    <x v="303"/>
    <x v="163"/>
    <x v="48"/>
    <x v="41"/>
    <x v="8"/>
  </r>
  <r>
    <x v="416"/>
    <x v="195"/>
    <x v="163"/>
    <x v="51"/>
    <x v="144"/>
    <x v="8"/>
  </r>
  <r>
    <x v="498"/>
    <x v="189"/>
    <x v="163"/>
    <x v="52"/>
    <x v="194"/>
    <x v="8"/>
  </r>
  <r>
    <x v="494"/>
    <x v="22"/>
    <x v="163"/>
    <x v="60"/>
    <x v="308"/>
    <x v="8"/>
  </r>
  <r>
    <x v="491"/>
    <x v="189"/>
    <x v="163"/>
    <x v="60"/>
    <x v="135"/>
    <x v="8"/>
  </r>
  <r>
    <x v="495"/>
    <x v="4"/>
    <x v="163"/>
    <x v="26"/>
    <x v="110"/>
    <x v="2"/>
  </r>
  <r>
    <x v="499"/>
    <x v="189"/>
    <x v="163"/>
    <x v="33"/>
    <x v="337"/>
    <x v="2"/>
  </r>
  <r>
    <x v="497"/>
    <x v="189"/>
    <x v="163"/>
    <x v="29"/>
    <x v="294"/>
    <x v="2"/>
  </r>
  <r>
    <x v="496"/>
    <x v="189"/>
    <x v="163"/>
    <x v="55"/>
    <x v="294"/>
    <x v="2"/>
  </r>
  <r>
    <x v="491"/>
    <x v="271"/>
    <x v="163"/>
    <x v="72"/>
    <x v="372"/>
    <x v="2"/>
  </r>
  <r>
    <x v="1378"/>
    <x v="100"/>
    <x v="163"/>
    <x v="48"/>
    <x v="307"/>
    <x v="4"/>
  </r>
  <r>
    <x v="1379"/>
    <x v="386"/>
    <x v="163"/>
    <x v="7"/>
    <x v="144"/>
    <x v="14"/>
  </r>
  <r>
    <x v="488"/>
    <x v="33"/>
    <x v="163"/>
    <x v="71"/>
    <x v="203"/>
    <x v="8"/>
  </r>
  <r>
    <x v="1376"/>
    <x v="452"/>
    <x v="163"/>
    <x v="71"/>
    <x v="441"/>
    <x v="8"/>
  </r>
  <r>
    <x v="489"/>
    <x v="134"/>
    <x v="163"/>
    <x v="72"/>
    <x v="15"/>
    <x v="8"/>
  </r>
  <r>
    <x v="489"/>
    <x v="134"/>
    <x v="163"/>
    <x v="72"/>
    <x v="15"/>
    <x v="8"/>
  </r>
  <r>
    <x v="511"/>
    <x v="14"/>
    <x v="164"/>
    <x v="40"/>
    <x v="438"/>
    <x v="8"/>
  </r>
  <r>
    <x v="503"/>
    <x v="455"/>
    <x v="164"/>
    <x v="44"/>
    <x v="89"/>
    <x v="8"/>
  </r>
  <r>
    <x v="510"/>
    <x v="552"/>
    <x v="164"/>
    <x v="44"/>
    <x v="281"/>
    <x v="8"/>
  </r>
  <r>
    <x v="502"/>
    <x v="367"/>
    <x v="164"/>
    <x v="47"/>
    <x v="235"/>
    <x v="8"/>
  </r>
  <r>
    <x v="364"/>
    <x v="331"/>
    <x v="164"/>
    <x v="52"/>
    <x v="243"/>
    <x v="8"/>
  </r>
  <r>
    <x v="507"/>
    <x v="451"/>
    <x v="164"/>
    <x v="48"/>
    <x v="417"/>
    <x v="2"/>
  </r>
  <r>
    <x v="1381"/>
    <x v="29"/>
    <x v="164"/>
    <x v="61"/>
    <x v="263"/>
    <x v="4"/>
  </r>
  <r>
    <x v="484"/>
    <x v="154"/>
    <x v="164"/>
    <x v="71"/>
    <x v="319"/>
    <x v="4"/>
  </r>
  <r>
    <x v="1368"/>
    <x v="162"/>
    <x v="164"/>
    <x v="71"/>
    <x v="292"/>
    <x v="8"/>
  </r>
  <r>
    <x v="511"/>
    <x v="14"/>
    <x v="164"/>
    <x v="71"/>
    <x v="453"/>
    <x v="8"/>
  </r>
  <r>
    <x v="511"/>
    <x v="14"/>
    <x v="164"/>
    <x v="76"/>
    <x v="98"/>
    <x v="8"/>
  </r>
  <r>
    <x v="1382"/>
    <x v="418"/>
    <x v="165"/>
    <x v="48"/>
    <x v="343"/>
    <x v="8"/>
  </r>
  <r>
    <x v="1384"/>
    <x v="476"/>
    <x v="166"/>
    <x v="14"/>
    <x v="65"/>
    <x v="8"/>
  </r>
  <r>
    <x v="1385"/>
    <x v="24"/>
    <x v="166"/>
    <x v="29"/>
    <x v="248"/>
    <x v="8"/>
  </r>
  <r>
    <x v="515"/>
    <x v="196"/>
    <x v="166"/>
    <x v="48"/>
    <x v="176"/>
    <x v="8"/>
  </r>
  <r>
    <x v="517"/>
    <x v="448"/>
    <x v="166"/>
    <x v="52"/>
    <x v="447"/>
    <x v="8"/>
  </r>
  <r>
    <x v="520"/>
    <x v="437"/>
    <x v="166"/>
    <x v="55"/>
    <x v="379"/>
    <x v="8"/>
  </r>
  <r>
    <x v="514"/>
    <x v="115"/>
    <x v="166"/>
    <x v="7"/>
    <x v="25"/>
    <x v="2"/>
  </r>
  <r>
    <x v="521"/>
    <x v="464"/>
    <x v="166"/>
    <x v="5"/>
    <x v="65"/>
    <x v="15"/>
  </r>
  <r>
    <x v="1383"/>
    <x v="210"/>
    <x v="166"/>
    <x v="6"/>
    <x v="75"/>
    <x v="15"/>
  </r>
  <r>
    <x v="513"/>
    <x v="23"/>
    <x v="166"/>
    <x v="29"/>
    <x v="114"/>
    <x v="9"/>
  </r>
  <r>
    <x v="522"/>
    <x v="154"/>
    <x v="166"/>
    <x v="72"/>
    <x v="227"/>
    <x v="4"/>
  </r>
  <r>
    <x v="532"/>
    <x v="552"/>
    <x v="167"/>
    <x v="6"/>
    <x v="275"/>
    <x v="8"/>
  </r>
  <r>
    <x v="528"/>
    <x v="196"/>
    <x v="167"/>
    <x v="29"/>
    <x v="375"/>
    <x v="8"/>
  </r>
  <r>
    <x v="531"/>
    <x v="564"/>
    <x v="167"/>
    <x v="48"/>
    <x v="103"/>
    <x v="4"/>
  </r>
  <r>
    <x v="1386"/>
    <x v="336"/>
    <x v="167"/>
    <x v="5"/>
    <x v="75"/>
    <x v="15"/>
  </r>
  <r>
    <x v="523"/>
    <x v="574"/>
    <x v="167"/>
    <x v="26"/>
    <x v="485"/>
    <x v="19"/>
  </r>
  <r>
    <x v="522"/>
    <x v="154"/>
    <x v="167"/>
    <x v="57"/>
    <x v="137"/>
    <x v="4"/>
  </r>
  <r>
    <x v="533"/>
    <x v="501"/>
    <x v="167"/>
    <x v="71"/>
    <x v="254"/>
    <x v="8"/>
  </r>
  <r>
    <x v="536"/>
    <x v="526"/>
    <x v="168"/>
    <x v="26"/>
    <x v="450"/>
    <x v="18"/>
  </r>
  <r>
    <x v="539"/>
    <x v="587"/>
    <x v="168"/>
    <x v="33"/>
    <x v="146"/>
    <x v="8"/>
  </r>
  <r>
    <x v="543"/>
    <x v="576"/>
    <x v="168"/>
    <x v="38"/>
    <x v="199"/>
    <x v="8"/>
  </r>
  <r>
    <x v="1387"/>
    <x v="277"/>
    <x v="168"/>
    <x v="44"/>
    <x v="267"/>
    <x v="8"/>
  </r>
  <r>
    <x v="512"/>
    <x v="165"/>
    <x v="168"/>
    <x v="48"/>
    <x v="363"/>
    <x v="8"/>
  </r>
  <r>
    <x v="1388"/>
    <x v="545"/>
    <x v="168"/>
    <x v="48"/>
    <x v="416"/>
    <x v="8"/>
  </r>
  <r>
    <x v="540"/>
    <x v="190"/>
    <x v="168"/>
    <x v="48"/>
    <x v="263"/>
    <x v="8"/>
  </r>
  <r>
    <x v="1389"/>
    <x v="120"/>
    <x v="168"/>
    <x v="48"/>
    <x v="210"/>
    <x v="8"/>
  </r>
  <r>
    <x v="539"/>
    <x v="587"/>
    <x v="168"/>
    <x v="57"/>
    <x v="410"/>
    <x v="8"/>
  </r>
  <r>
    <x v="535"/>
    <x v="4"/>
    <x v="168"/>
    <x v="64"/>
    <x v="346"/>
    <x v="2"/>
  </r>
  <r>
    <x v="529"/>
    <x v="361"/>
    <x v="168"/>
    <x v="72"/>
    <x v="116"/>
    <x v="2"/>
  </r>
  <r>
    <x v="534"/>
    <x v="270"/>
    <x v="168"/>
    <x v="48"/>
    <x v="371"/>
    <x v="4"/>
  </r>
  <r>
    <x v="530"/>
    <x v="562"/>
    <x v="168"/>
    <x v="48"/>
    <x v="277"/>
    <x v="4"/>
  </r>
  <r>
    <x v="538"/>
    <x v="12"/>
    <x v="168"/>
    <x v="72"/>
    <x v="227"/>
    <x v="0"/>
  </r>
  <r>
    <x v="542"/>
    <x v="31"/>
    <x v="168"/>
    <x v="12"/>
    <x v="18"/>
    <x v="6"/>
  </r>
  <r>
    <x v="541"/>
    <x v="461"/>
    <x v="168"/>
    <x v="71"/>
    <x v="353"/>
    <x v="8"/>
  </r>
  <r>
    <x v="554"/>
    <x v="315"/>
    <x v="169"/>
    <x v="24"/>
    <x v="45"/>
    <x v="8"/>
  </r>
  <r>
    <x v="557"/>
    <x v="364"/>
    <x v="169"/>
    <x v="30"/>
    <x v="146"/>
    <x v="8"/>
  </r>
  <r>
    <x v="1391"/>
    <x v="570"/>
    <x v="169"/>
    <x v="30"/>
    <x v="210"/>
    <x v="8"/>
  </r>
  <r>
    <x v="555"/>
    <x v="365"/>
    <x v="169"/>
    <x v="35"/>
    <x v="314"/>
    <x v="8"/>
  </r>
  <r>
    <x v="558"/>
    <x v="157"/>
    <x v="169"/>
    <x v="44"/>
    <x v="368"/>
    <x v="8"/>
  </r>
  <r>
    <x v="1390"/>
    <x v="54"/>
    <x v="169"/>
    <x v="44"/>
    <x v="16"/>
    <x v="8"/>
  </r>
  <r>
    <x v="556"/>
    <x v="436"/>
    <x v="169"/>
    <x v="47"/>
    <x v="75"/>
    <x v="8"/>
  </r>
  <r>
    <x v="545"/>
    <x v="483"/>
    <x v="169"/>
    <x v="48"/>
    <x v="176"/>
    <x v="8"/>
  </r>
  <r>
    <x v="556"/>
    <x v="436"/>
    <x v="169"/>
    <x v="52"/>
    <x v="158"/>
    <x v="8"/>
  </r>
  <r>
    <x v="560"/>
    <x v="354"/>
    <x v="169"/>
    <x v="59"/>
    <x v="48"/>
    <x v="8"/>
  </r>
  <r>
    <x v="550"/>
    <x v="104"/>
    <x v="169"/>
    <x v="48"/>
    <x v="450"/>
    <x v="2"/>
  </r>
  <r>
    <x v="547"/>
    <x v="184"/>
    <x v="169"/>
    <x v="64"/>
    <x v="346"/>
    <x v="2"/>
  </r>
  <r>
    <x v="560"/>
    <x v="354"/>
    <x v="169"/>
    <x v="7"/>
    <x v="65"/>
    <x v="2"/>
  </r>
  <r>
    <x v="1392"/>
    <x v="175"/>
    <x v="169"/>
    <x v="48"/>
    <x v="398"/>
    <x v="5"/>
  </r>
  <r>
    <x v="548"/>
    <x v="381"/>
    <x v="169"/>
    <x v="72"/>
    <x v="399"/>
    <x v="4"/>
  </r>
  <r>
    <x v="562"/>
    <x v="179"/>
    <x v="170"/>
    <x v="34"/>
    <x v="1"/>
    <x v="18"/>
  </r>
  <r>
    <x v="566"/>
    <x v="126"/>
    <x v="170"/>
    <x v="72"/>
    <x v="404"/>
    <x v="18"/>
  </r>
  <r>
    <x v="1394"/>
    <x v="357"/>
    <x v="170"/>
    <x v="8"/>
    <x v="267"/>
    <x v="8"/>
  </r>
  <r>
    <x v="1394"/>
    <x v="357"/>
    <x v="170"/>
    <x v="8"/>
    <x v="267"/>
    <x v="8"/>
  </r>
  <r>
    <x v="572"/>
    <x v="373"/>
    <x v="170"/>
    <x v="32"/>
    <x v="409"/>
    <x v="8"/>
  </r>
  <r>
    <x v="1396"/>
    <x v="71"/>
    <x v="170"/>
    <x v="44"/>
    <x v="210"/>
    <x v="8"/>
  </r>
  <r>
    <x v="1397"/>
    <x v="35"/>
    <x v="170"/>
    <x v="47"/>
    <x v="121"/>
    <x v="8"/>
  </r>
  <r>
    <x v="1397"/>
    <x v="35"/>
    <x v="170"/>
    <x v="47"/>
    <x v="121"/>
    <x v="8"/>
  </r>
  <r>
    <x v="565"/>
    <x v="467"/>
    <x v="170"/>
    <x v="48"/>
    <x v="103"/>
    <x v="8"/>
  </r>
  <r>
    <x v="1400"/>
    <x v="197"/>
    <x v="170"/>
    <x v="48"/>
    <x v="424"/>
    <x v="8"/>
  </r>
  <r>
    <x v="1400"/>
    <x v="197"/>
    <x v="170"/>
    <x v="52"/>
    <x v="450"/>
    <x v="8"/>
  </r>
  <r>
    <x v="1396"/>
    <x v="71"/>
    <x v="170"/>
    <x v="11"/>
    <x v="187"/>
    <x v="6"/>
  </r>
  <r>
    <x v="1398"/>
    <x v="424"/>
    <x v="170"/>
    <x v="31"/>
    <x v="169"/>
    <x v="11"/>
  </r>
  <r>
    <x v="1395"/>
    <x v="393"/>
    <x v="170"/>
    <x v="33"/>
    <x v="55"/>
    <x v="11"/>
  </r>
  <r>
    <x v="567"/>
    <x v="173"/>
    <x v="170"/>
    <x v="71"/>
    <x v="391"/>
    <x v="4"/>
  </r>
  <r>
    <x v="570"/>
    <x v="565"/>
    <x v="170"/>
    <x v="71"/>
    <x v="352"/>
    <x v="8"/>
  </r>
  <r>
    <x v="563"/>
    <x v="488"/>
    <x v="170"/>
    <x v="71"/>
    <x v="80"/>
    <x v="8"/>
  </r>
  <r>
    <x v="568"/>
    <x v="565"/>
    <x v="170"/>
    <x v="71"/>
    <x v="352"/>
    <x v="8"/>
  </r>
  <r>
    <x v="566"/>
    <x v="126"/>
    <x v="170"/>
    <x v="72"/>
    <x v="316"/>
    <x v="8"/>
  </r>
  <r>
    <x v="573"/>
    <x v="27"/>
    <x v="171"/>
    <x v="26"/>
    <x v="351"/>
    <x v="8"/>
  </r>
  <r>
    <x v="580"/>
    <x v="574"/>
    <x v="171"/>
    <x v="26"/>
    <x v="127"/>
    <x v="8"/>
  </r>
  <r>
    <x v="577"/>
    <x v="406"/>
    <x v="171"/>
    <x v="38"/>
    <x v="398"/>
    <x v="8"/>
  </r>
  <r>
    <x v="583"/>
    <x v="506"/>
    <x v="171"/>
    <x v="42"/>
    <x v="428"/>
    <x v="8"/>
  </r>
  <r>
    <x v="571"/>
    <x v="369"/>
    <x v="171"/>
    <x v="55"/>
    <x v="251"/>
    <x v="8"/>
  </r>
  <r>
    <x v="575"/>
    <x v="196"/>
    <x v="171"/>
    <x v="55"/>
    <x v="181"/>
    <x v="8"/>
  </r>
  <r>
    <x v="577"/>
    <x v="406"/>
    <x v="171"/>
    <x v="55"/>
    <x v="398"/>
    <x v="8"/>
  </r>
  <r>
    <x v="584"/>
    <x v="506"/>
    <x v="171"/>
    <x v="62"/>
    <x v="326"/>
    <x v="8"/>
  </r>
  <r>
    <x v="1399"/>
    <x v="6"/>
    <x v="171"/>
    <x v="48"/>
    <x v="263"/>
    <x v="2"/>
  </r>
  <r>
    <x v="1393"/>
    <x v="10"/>
    <x v="171"/>
    <x v="24"/>
    <x v="95"/>
    <x v="4"/>
  </r>
  <r>
    <x v="579"/>
    <x v="478"/>
    <x v="171"/>
    <x v="48"/>
    <x v="387"/>
    <x v="2"/>
  </r>
  <r>
    <x v="569"/>
    <x v="567"/>
    <x v="171"/>
    <x v="52"/>
    <x v="160"/>
    <x v="2"/>
  </r>
  <r>
    <x v="1401"/>
    <x v="460"/>
    <x v="171"/>
    <x v="22"/>
    <x v="158"/>
    <x v="6"/>
  </r>
  <r>
    <x v="581"/>
    <x v="484"/>
    <x v="171"/>
    <x v="71"/>
    <x v="77"/>
    <x v="8"/>
  </r>
  <r>
    <x v="578"/>
    <x v="380"/>
    <x v="172"/>
    <x v="71"/>
    <x v="149"/>
    <x v="1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6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7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8.xml"/>
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4:C29" firstHeaderRow="1" firstDataRow="2" firstDataCol="1" rowPageCount="2" colPageCount="1"/>
  <pivotFields count="14">
    <pivotField showAll="0"/>
    <pivotField axis="axisRow" showAll="0">
      <items count="2">
        <item x="0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axis="axisPage" showAll="0">
      <items count="2">
        <item x="0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</pivotFields>
  <rowFields count="2">
    <field x="1"/>
    <field x="2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4:C34" firstHeaderRow="1" firstDataRow="2" firstDataCol="1" rowPageCount="2" colPageCount="1"/>
  <pivotFields count="14">
    <pivotField showAll="0"/>
    <pivotField axis="axisRow" showAll="0">
      <items count="3">
        <item x="1"/>
        <item x="0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</pivotFields>
  <rowFields count="2">
    <field x="1"/>
    <field x="2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D4:G44" firstHeaderRow="1" firstDataRow="2" firstDataCol="2" rowPageCount="2" colPageCount="1"/>
  <pivotFields count="14">
    <pivotField compact="0" showAll="0" outline="0"/>
    <pivotField axis="axisRow" compact="0" showAll="0" defaultSubtotal="0" outline="0">
      <items count="4">
        <item h="1" x="3"/>
        <item x="2"/>
        <item x="1"/>
        <item x="0"/>
      </items>
    </pivotField>
    <pivotField axis="axisRow" compact="0" showAll="0" defaultSubtotal="0" outline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showAll="0" outline="0"/>
    <pivotField axis="axisPage" compact="0" showAll="0" defaultSubtotal="0" outline="0">
      <items count="4">
        <item x="1"/>
        <item h="1" x="2"/>
        <item x="0"/>
        <item h="1" x="3"/>
      </items>
    </pivotField>
    <pivotField dataField="1" compact="0" showAll="0" outline="0"/>
    <pivotField axis="axisPage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/>
    <pivotField compact="0" showAll="0" outline="0"/>
    <pivotField compact="0" showAll="0" outline="0"/>
    <pivotField dataField="1" compact="0" showAll="0" outline="0"/>
    <pivotField compact="0" showAll="0" outline="0"/>
  </pivotFields>
  <rowFields count="2">
    <field x="2"/>
    <field x="1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Dark1" showRowHeaders="1" showColHeaders="1" showRowStripes="1" showColStripes="0" showLastColumn="1"/>
</pivotTableDefinition>
</file>

<file path=xl/pivotTables/pivotTable4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4:B44" firstHeaderRow="1" firstDataRow="1" firstDataCol="1" rowPageCount="2" colPageCount="1"/>
  <pivotFields count="14">
    <pivotField compact="0" showAll="0" outline="0"/>
    <pivotField compact="0" showAll="0" outline="0"/>
    <pivotField axis="axisRow" compact="0" showAll="0" defaultSubtotal="0" outline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compact="0" showAll="0" outline="0"/>
    <pivotField axis="axisPage" compact="0" showAll="0" defaultSubtotal="0" outline="0">
      <items count="4">
        <item x="1"/>
        <item h="1" x="2"/>
        <item x="0"/>
        <item x="3"/>
      </items>
    </pivotField>
    <pivotField compact="0" showAll="0" outline="0"/>
    <pivotField axis="axisPage" compact="0" showAll="0" defaultSubtotal="0" outline="0">
      <items count="2">
        <item x="0"/>
        <item x="1"/>
      </items>
    </pivotField>
    <pivotField compact="0" showAll="0" outline="0"/>
    <pivotField compact="0" showAll="0" outline="0"/>
    <pivotField compact="0" showAll="0"/>
    <pivotField compact="0" showAll="0" outline="0"/>
    <pivotField compact="0" showAll="0" outline="0"/>
    <pivotField dataField="1" compact="0" showAll="0" outline="0"/>
    <pivotField compact="0" showAll="0" outline="0"/>
  </pivotFields>
  <rowFields count="1">
    <field x="2"/>
  </rowFields>
  <pageFields count="2">
    <pageField fld="4" hier="-1"/>
    <pageField fld="6" hier="-1"/>
  </pageFields>
  <dataFields count="1">
    <dataField name="Soma de Saldo" fld="12" subtotal="sum" numFmtId="164"/>
  </dataFields>
  <pivotTableStyleInfo name="PivotStyleDark1" showRowHeaders="1" showColHeaders="1" showRowStripes="1" showColStripes="0" showLastColumn="1"/>
</pivotTableDefinition>
</file>

<file path=xl/pivotTables/pivotTable5.xml><?xml version="1.0" encoding="utf-8"?>
<pivotTableDefinition xmlns="http://schemas.openxmlformats.org/spreadsheetml/2006/main" name="DataPilot3" cacheId="5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4:C49" firstHeaderRow="1" firstDataRow="2" firstDataCol="1" rowPageCount="2" colPageCount="1"/>
  <pivotFields count="15">
    <pivotField showAll="0"/>
    <pivotField axis="axisRow" showAll="0">
      <items count="3">
        <item x="1"/>
        <item x="0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dataField="1" showAll="0"/>
    <pivotField axis="axisPage" showAll="0">
      <items count="2">
        <item x="0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  <pivotField showAll="0"/>
  </pivotFields>
  <rowFields count="2">
    <field x="2"/>
    <field x="1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4" cacheId="6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C60" firstHeaderRow="1" firstDataRow="2" firstDataCol="1" rowPageCount="2" colPageCount="1"/>
  <pivotFields count="14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axis="axisPage" showAll="0">
      <items count="15">
        <item x="2"/>
        <item h="1" x="4"/>
        <item h="1" x="5"/>
        <item h="1" x="6"/>
        <item h="1" x="0"/>
        <item x="1"/>
        <item h="1" x="3"/>
        <item h="1" x="8"/>
        <item h="1" x="10"/>
        <item h="1" x="13"/>
        <item h="1" x="11"/>
        <item h="1" x="12"/>
        <item h="1" x="9"/>
        <item h="1" x="7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compact="0" showAll="0"/>
    <pivotField showAll="0"/>
    <pivotField showAll="0"/>
    <pivotField dataField="1" showAll="0"/>
    <pivotField showAll="0"/>
  </pivotFields>
  <rowFields count="2">
    <field x="2"/>
    <field x="1"/>
  </rowFields>
  <colFields count="1">
    <field x="-2"/>
  </colFields>
  <pageFields count="2">
    <pageField fld="4" hier="-1"/>
    <pageField fld="6" hier="-1"/>
  </pageFields>
  <dataFields count="2">
    <dataField name="Soma de Total Mts Lineares" fld="5" subtotal="sum" numFmtId="168"/>
    <dataField name="Soma de Saldo" fld="12" subtotal="sum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5" cacheId="7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111" firstHeaderRow="1" firstDataRow="1" firstDataCol="2"/>
  <pivotFields count="14">
    <pivotField compact="0" showAll="0" outline="0"/>
    <pivotField compact="0" showAll="0" outline="0"/>
    <pivotField axis="axisRow" compact="0" showAll="0" defaultSubtotal="0" outline="0">
      <items count="39"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6"/>
        <item x="19"/>
        <item x="0"/>
        <item x="7"/>
      </items>
    </pivotField>
    <pivotField compact="0" showAll="0" outline="0"/>
    <pivotField axis="axisRow" compact="0" showAll="0" defaultSubtotal="0" outline="0">
      <items count="14">
        <item x="2"/>
        <item x="4"/>
        <item x="5"/>
        <item x="6"/>
        <item x="0"/>
        <item x="1"/>
        <item x="3"/>
        <item x="10"/>
        <item x="8"/>
        <item x="13"/>
        <item x="11"/>
        <item x="12"/>
        <item x="9"/>
        <item x="7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dataField="1" compact="0" showAll="0" outline="0"/>
    <pivotField compact="0" showAll="0" outline="0"/>
  </pivotFields>
  <rowFields count="2">
    <field x="4"/>
    <field x="2"/>
  </rowFields>
  <dataFields count="1">
    <dataField name="Soma de Saldo" fld="12" subtotal="sum" numFmtId="164"/>
  </dataFields>
  <pivotTableStyleInfo name="PivotStyleDark2" showRowHeaders="1" showColHeaders="1" showRowStripes="1" showColStripes="0" showLastColumn="1"/>
</pivotTableDefinition>
</file>

<file path=xl/pivotTables/pivotTable8.xml><?xml version="1.0" encoding="utf-8"?>
<pivotTableDefinition xmlns="http://schemas.openxmlformats.org/spreadsheetml/2006/main" name="Tabela dinâmica4" cacheId="8" applyNumberFormats="0" applyBorderFormats="0" applyFontFormats="0" applyPatternFormats="0" applyAlignmentFormats="0" applyWidthHeightFormats="0" dataCaption="Values" showDrill="1" useAutoFormatting="0" itemPrintTitles="1" indent="0" outline="1" outlineData="1" compact="0" compactData="0">
  <location ref="A3:B34" firstHeaderRow="1" firstDataRow="1" firstDataCol="1" rowPageCount="1" colPageCount="1"/>
  <pivotFields count="6">
    <pivotField showAll="0"/>
    <pivotField showAll="0"/>
    <pivotField compact="0" showAll="0"/>
    <pivotField axis="axisRow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dataField="1" showAll="0"/>
    <pivotField axis="axisPage" showAll="0">
      <items count="21">
        <item h="1" x="0"/>
        <item x="2"/>
        <item h="1" x="3"/>
        <item h="1" x="4"/>
        <item h="1" x="5"/>
        <item h="1" x="6"/>
        <item h="1" x="7"/>
        <item h="1" x="8"/>
        <item h="1" x="9"/>
        <item h="1" x="11"/>
        <item h="1" x="12"/>
        <item h="1" x="13"/>
        <item h="1" x="15"/>
        <item h="1" x="16"/>
        <item h="1" x="17"/>
        <item h="1" x="18"/>
        <item h="1" x="19"/>
        <item x="14"/>
        <item x="1"/>
        <item x="10"/>
        <item t="default"/>
      </items>
    </pivotField>
  </pivotFields>
  <rowFields count="1">
    <field x="3"/>
  </rowFields>
  <pageFields count="1">
    <pageField fld="5" hier="-1"/>
  </pageFields>
  <dataFields count="1">
    <dataField name="Soma de Lineares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5.15"/>
    <col collapsed="false" customWidth="true" hidden="false" outlineLevel="0" max="3" min="3" style="1" width="8.14"/>
    <col collapsed="false" customWidth="true" hidden="false" outlineLevel="0" max="4" min="4" style="1" width="10.57"/>
    <col collapsed="false" customWidth="true" hidden="false" outlineLevel="0" max="5" min="5" style="1" width="37.14"/>
    <col collapsed="false" customWidth="true" hidden="false" outlineLevel="0" max="6" min="6" style="1" width="9.14"/>
    <col collapsed="false" customWidth="true" hidden="false" outlineLevel="0" max="7" min="7" style="1" width="8.14"/>
    <col collapsed="false" customWidth="true" hidden="false" outlineLevel="0" max="8" min="8" style="1" width="11.15"/>
    <col collapsed="false" customWidth="true" hidden="false" outlineLevel="0" max="9" min="9" style="1" width="35.43"/>
    <col collapsed="false" customWidth="true" hidden="false" outlineLevel="0" max="10" min="10" style="1" width="11.86"/>
    <col collapsed="false" customWidth="true" hidden="false" outlineLevel="0" max="12" min="11" style="1" width="6.43"/>
    <col collapsed="false" customWidth="true" hidden="false" outlineLevel="0" max="13" min="13" style="1" width="7.57"/>
    <col collapsed="false" customWidth="true" hidden="false" outlineLevel="0" max="14" min="14" style="1" width="23.15"/>
    <col collapsed="false" customWidth="true" hidden="false" outlineLevel="0" max="15" min="15" style="1" width="17.43"/>
    <col collapsed="false" customWidth="true" hidden="false" outlineLevel="0" max="16" min="16" style="1" width="9.14"/>
    <col collapsed="false" customWidth="false" hidden="false" outlineLevel="0" max="26" min="17" style="1" width="8.57"/>
    <col collapsed="false" customWidth="true" hidden="false" outlineLevel="0" max="27" min="27" style="1" width="14.29"/>
    <col collapsed="false" customWidth="true" hidden="false" outlineLevel="0" max="28" min="28" style="1" width="15.86"/>
    <col collapsed="false" customWidth="true" hidden="false" outlineLevel="0" max="29" min="29" style="1" width="20.72"/>
    <col collapsed="false" customWidth="true" hidden="false" outlineLevel="0" max="30" min="30" style="1" width="30.29"/>
    <col collapsed="false" customWidth="false" hidden="false" outlineLevel="0" max="16381" min="31" style="1" width="8.57"/>
    <col collapsed="false" customWidth="true" hidden="false" outlineLevel="0" max="16384" min="16382" style="1" width="14.43"/>
  </cols>
  <sheetData>
    <row r="1" customFormat="false" ht="57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7" t="s">
        <v>14</v>
      </c>
      <c r="P1" s="8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customFormat="false" ht="18.75" hidden="false" customHeight="true" outlineLevel="0" collapsed="false">
      <c r="A2" s="10" t="n">
        <v>38</v>
      </c>
      <c r="B2" s="10" t="s">
        <v>15</v>
      </c>
      <c r="C2" s="10" t="n">
        <v>30</v>
      </c>
      <c r="D2" s="10" t="n">
        <v>500</v>
      </c>
      <c r="E2" s="11" t="s">
        <v>16</v>
      </c>
      <c r="F2" s="12" t="n">
        <f aca="false">M2*D2</f>
        <v>0</v>
      </c>
      <c r="G2" s="11" t="s">
        <v>17</v>
      </c>
      <c r="H2" s="11" t="n">
        <f aca="false">(M2*(C2/1000))*D2</f>
        <v>0</v>
      </c>
      <c r="I2" s="11" t="s">
        <v>16</v>
      </c>
      <c r="J2" s="13"/>
      <c r="K2" s="10"/>
      <c r="L2" s="10"/>
      <c r="M2" s="10" t="n">
        <f aca="false">K2-L2</f>
        <v>0</v>
      </c>
      <c r="N2" s="14" t="n">
        <f aca="false">H2*3.8</f>
        <v>0</v>
      </c>
      <c r="O2" s="15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customFormat="false" ht="18.75" hidden="false" customHeight="true" outlineLevel="0" collapsed="false">
      <c r="A3" s="10" t="n">
        <v>38</v>
      </c>
      <c r="B3" s="10" t="s">
        <v>15</v>
      </c>
      <c r="C3" s="11" t="n">
        <v>40</v>
      </c>
      <c r="D3" s="10" t="n">
        <v>500</v>
      </c>
      <c r="E3" s="11" t="s">
        <v>18</v>
      </c>
      <c r="F3" s="12" t="n">
        <f aca="false">M3*D3</f>
        <v>0</v>
      </c>
      <c r="G3" s="11" t="s">
        <v>17</v>
      </c>
      <c r="H3" s="11" t="n">
        <f aca="false">(M3*(C3/1000))*D3</f>
        <v>0</v>
      </c>
      <c r="I3" s="11" t="s">
        <v>18</v>
      </c>
      <c r="J3" s="13"/>
      <c r="K3" s="11"/>
      <c r="L3" s="11"/>
      <c r="M3" s="11" t="n">
        <f aca="false">K3-L3</f>
        <v>0</v>
      </c>
      <c r="N3" s="14" t="n">
        <f aca="false">H3*3.8</f>
        <v>0</v>
      </c>
      <c r="O3" s="16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customFormat="false" ht="18.75" hidden="false" customHeight="true" outlineLevel="0" collapsed="false">
      <c r="A4" s="10" t="n">
        <v>39</v>
      </c>
      <c r="B4" s="10" t="s">
        <v>15</v>
      </c>
      <c r="C4" s="10" t="n">
        <v>18</v>
      </c>
      <c r="D4" s="10" t="n">
        <v>700</v>
      </c>
      <c r="E4" s="11" t="s">
        <v>16</v>
      </c>
      <c r="F4" s="12" t="n">
        <f aca="false">M4*D4</f>
        <v>700</v>
      </c>
      <c r="G4" s="11" t="s">
        <v>17</v>
      </c>
      <c r="H4" s="11" t="n">
        <f aca="false">(M4*(C4/1000))*D4</f>
        <v>12.6</v>
      </c>
      <c r="I4" s="11" t="s">
        <v>16</v>
      </c>
      <c r="J4" s="17"/>
      <c r="K4" s="10" t="n">
        <v>1</v>
      </c>
      <c r="L4" s="10"/>
      <c r="M4" s="10" t="n">
        <f aca="false">K4-L4</f>
        <v>1</v>
      </c>
      <c r="N4" s="14" t="n">
        <f aca="false">H4*3.8</f>
        <v>47.88</v>
      </c>
      <c r="O4" s="15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customFormat="false" ht="18.75" hidden="false" customHeight="true" outlineLevel="0" collapsed="false">
      <c r="A5" s="10" t="n">
        <v>39</v>
      </c>
      <c r="B5" s="10" t="s">
        <v>15</v>
      </c>
      <c r="C5" s="10" t="n">
        <v>20</v>
      </c>
      <c r="D5" s="10" t="n">
        <v>1000</v>
      </c>
      <c r="E5" s="11" t="s">
        <v>16</v>
      </c>
      <c r="F5" s="12" t="n">
        <f aca="false">M5*D5</f>
        <v>1000</v>
      </c>
      <c r="G5" s="11" t="s">
        <v>17</v>
      </c>
      <c r="H5" s="11" t="n">
        <f aca="false">(M5*(C5/1000))*D5</f>
        <v>20</v>
      </c>
      <c r="I5" s="11" t="s">
        <v>16</v>
      </c>
      <c r="J5" s="17"/>
      <c r="K5" s="10" t="n">
        <v>1</v>
      </c>
      <c r="L5" s="10"/>
      <c r="M5" s="10" t="n">
        <f aca="false">K5-L5</f>
        <v>1</v>
      </c>
      <c r="N5" s="14" t="n">
        <f aca="false">H5*3.8</f>
        <v>76</v>
      </c>
    </row>
    <row r="6" customFormat="false" ht="18.75" hidden="false" customHeight="true" outlineLevel="0" collapsed="false">
      <c r="A6" s="10" t="n">
        <v>38</v>
      </c>
      <c r="B6" s="10" t="s">
        <v>15</v>
      </c>
      <c r="C6" s="10" t="n">
        <v>45</v>
      </c>
      <c r="D6" s="10" t="n">
        <v>500</v>
      </c>
      <c r="E6" s="11" t="s">
        <v>16</v>
      </c>
      <c r="F6" s="12" t="n">
        <f aca="false">M6*D6</f>
        <v>0</v>
      </c>
      <c r="G6" s="11" t="s">
        <v>17</v>
      </c>
      <c r="H6" s="11" t="n">
        <f aca="false">(M6*(C6/1000))*D6</f>
        <v>0</v>
      </c>
      <c r="I6" s="11" t="s">
        <v>16</v>
      </c>
      <c r="J6" s="17"/>
      <c r="K6" s="10"/>
      <c r="L6" s="10"/>
      <c r="M6" s="10" t="n">
        <f aca="false">K6-L6</f>
        <v>0</v>
      </c>
      <c r="N6" s="14" t="n">
        <f aca="false">H6*3.8</f>
        <v>0</v>
      </c>
      <c r="O6" s="15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customFormat="false" ht="18.75" hidden="false" customHeight="true" outlineLevel="0" collapsed="false">
      <c r="A7" s="10" t="n">
        <v>38</v>
      </c>
      <c r="B7" s="10" t="s">
        <v>15</v>
      </c>
      <c r="C7" s="11" t="n">
        <v>45</v>
      </c>
      <c r="D7" s="10" t="n">
        <v>500</v>
      </c>
      <c r="E7" s="11" t="s">
        <v>18</v>
      </c>
      <c r="F7" s="12" t="n">
        <f aca="false">M7*D7</f>
        <v>0</v>
      </c>
      <c r="G7" s="11" t="s">
        <v>17</v>
      </c>
      <c r="H7" s="11" t="n">
        <f aca="false">(M7*(C7/1000))*D7</f>
        <v>0</v>
      </c>
      <c r="I7" s="11" t="s">
        <v>18</v>
      </c>
      <c r="J7" s="13"/>
      <c r="K7" s="11"/>
      <c r="L7" s="11"/>
      <c r="M7" s="11" t="n">
        <f aca="false">K7-L7</f>
        <v>0</v>
      </c>
      <c r="N7" s="14" t="n">
        <f aca="false">H7*3.8</f>
        <v>0</v>
      </c>
      <c r="O7" s="16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customFormat="false" ht="18.75" hidden="false" customHeight="true" outlineLevel="0" collapsed="false">
      <c r="A8" s="10" t="n">
        <v>38</v>
      </c>
      <c r="B8" s="10" t="s">
        <v>15</v>
      </c>
      <c r="C8" s="10" t="n">
        <v>46</v>
      </c>
      <c r="D8" s="10" t="n">
        <v>500</v>
      </c>
      <c r="E8" s="11" t="s">
        <v>16</v>
      </c>
      <c r="F8" s="12" t="n">
        <f aca="false">M8*D8</f>
        <v>0</v>
      </c>
      <c r="G8" s="11" t="s">
        <v>17</v>
      </c>
      <c r="H8" s="11" t="n">
        <f aca="false">(M8*(C8/1000))*D8</f>
        <v>0</v>
      </c>
      <c r="I8" s="11" t="s">
        <v>16</v>
      </c>
      <c r="J8" s="17"/>
      <c r="K8" s="10"/>
      <c r="L8" s="10"/>
      <c r="M8" s="10" t="n">
        <f aca="false">K8-L8</f>
        <v>0</v>
      </c>
      <c r="N8" s="14" t="n">
        <f aca="false">H8*3.8</f>
        <v>0</v>
      </c>
      <c r="O8" s="15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customFormat="false" ht="18.75" hidden="false" customHeight="true" outlineLevel="0" collapsed="false">
      <c r="A9" s="10" t="n">
        <v>38</v>
      </c>
      <c r="B9" s="10" t="s">
        <v>15</v>
      </c>
      <c r="C9" s="11" t="n">
        <v>55</v>
      </c>
      <c r="D9" s="10" t="n">
        <v>600</v>
      </c>
      <c r="E9" s="11" t="s">
        <v>16</v>
      </c>
      <c r="F9" s="12" t="n">
        <f aca="false">M9*D9</f>
        <v>0</v>
      </c>
      <c r="G9" s="11" t="s">
        <v>17</v>
      </c>
      <c r="H9" s="11" t="n">
        <f aca="false">(M9*(C9/1000))*D9</f>
        <v>0</v>
      </c>
      <c r="I9" s="11" t="s">
        <v>16</v>
      </c>
      <c r="J9" s="13"/>
      <c r="K9" s="11"/>
      <c r="L9" s="11"/>
      <c r="M9" s="11" t="n">
        <f aca="false">K9-L9</f>
        <v>0</v>
      </c>
      <c r="N9" s="14" t="n">
        <f aca="false">H9*3.8</f>
        <v>0</v>
      </c>
      <c r="O9" s="15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customFormat="false" ht="18.75" hidden="false" customHeight="true" outlineLevel="0" collapsed="false">
      <c r="A10" s="10" t="n">
        <v>38</v>
      </c>
      <c r="B10" s="10" t="s">
        <v>15</v>
      </c>
      <c r="C10" s="10" t="n">
        <v>60</v>
      </c>
      <c r="D10" s="10" t="n">
        <v>400</v>
      </c>
      <c r="E10" s="11" t="s">
        <v>16</v>
      </c>
      <c r="F10" s="12" t="n">
        <f aca="false">M10*D10</f>
        <v>0</v>
      </c>
      <c r="G10" s="11" t="s">
        <v>17</v>
      </c>
      <c r="H10" s="11" t="n">
        <f aca="false">(M10*(C10/1000))*D10</f>
        <v>0</v>
      </c>
      <c r="I10" s="11" t="s">
        <v>16</v>
      </c>
      <c r="J10" s="17"/>
      <c r="K10" s="10"/>
      <c r="L10" s="10"/>
      <c r="M10" s="10" t="n">
        <f aca="false">K10-L10</f>
        <v>0</v>
      </c>
      <c r="N10" s="14" t="n">
        <f aca="false">H10*3.8</f>
        <v>0</v>
      </c>
      <c r="O10" s="1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customFormat="false" ht="18.75" hidden="false" customHeight="true" outlineLevel="0" collapsed="false">
      <c r="A11" s="10" t="n">
        <v>38</v>
      </c>
      <c r="B11" s="10" t="s">
        <v>15</v>
      </c>
      <c r="C11" s="10" t="n">
        <v>63</v>
      </c>
      <c r="D11" s="10" t="n">
        <v>500</v>
      </c>
      <c r="E11" s="11" t="s">
        <v>16</v>
      </c>
      <c r="F11" s="12" t="n">
        <f aca="false">M11*D11</f>
        <v>0</v>
      </c>
      <c r="G11" s="11" t="s">
        <v>17</v>
      </c>
      <c r="H11" s="11" t="n">
        <f aca="false">(M11*(C11/1000))*D11</f>
        <v>0</v>
      </c>
      <c r="I11" s="11" t="s">
        <v>16</v>
      </c>
      <c r="J11" s="13"/>
      <c r="K11" s="10"/>
      <c r="L11" s="10"/>
      <c r="M11" s="10" t="n">
        <f aca="false">K11-L11</f>
        <v>0</v>
      </c>
      <c r="N11" s="14" t="n">
        <f aca="false">H11*3.8</f>
        <v>0</v>
      </c>
      <c r="O11" s="15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customFormat="false" ht="18.75" hidden="false" customHeight="true" outlineLevel="0" collapsed="false">
      <c r="A12" s="10" t="n">
        <v>39</v>
      </c>
      <c r="B12" s="10" t="s">
        <v>15</v>
      </c>
      <c r="C12" s="10" t="n">
        <v>65</v>
      </c>
      <c r="D12" s="10" t="n">
        <v>800</v>
      </c>
      <c r="E12" s="11" t="s">
        <v>16</v>
      </c>
      <c r="F12" s="12" t="n">
        <f aca="false">M12*D12</f>
        <v>800</v>
      </c>
      <c r="G12" s="11" t="s">
        <v>17</v>
      </c>
      <c r="H12" s="11" t="n">
        <f aca="false">(M12*(C12/1000))*D12</f>
        <v>52</v>
      </c>
      <c r="I12" s="11" t="s">
        <v>16</v>
      </c>
      <c r="J12" s="17"/>
      <c r="K12" s="10" t="n">
        <v>1</v>
      </c>
      <c r="L12" s="10"/>
      <c r="M12" s="10" t="n">
        <f aca="false">K12-L12</f>
        <v>1</v>
      </c>
      <c r="N12" s="14" t="n">
        <f aca="false">H12*3.8</f>
        <v>197.6</v>
      </c>
      <c r="O12" s="1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customFormat="false" ht="18.75" hidden="false" customHeight="true" outlineLevel="0" collapsed="false">
      <c r="A13" s="10" t="n">
        <v>39</v>
      </c>
      <c r="B13" s="10" t="s">
        <v>15</v>
      </c>
      <c r="C13" s="10" t="n">
        <v>65</v>
      </c>
      <c r="D13" s="10" t="n">
        <v>1000</v>
      </c>
      <c r="E13" s="11" t="s">
        <v>16</v>
      </c>
      <c r="F13" s="12" t="n">
        <f aca="false">M13*D13</f>
        <v>2000</v>
      </c>
      <c r="G13" s="11" t="s">
        <v>17</v>
      </c>
      <c r="H13" s="11" t="n">
        <f aca="false">(M13*(C13/1000))*D13</f>
        <v>130</v>
      </c>
      <c r="I13" s="11" t="s">
        <v>16</v>
      </c>
      <c r="J13" s="17"/>
      <c r="K13" s="10" t="n">
        <v>2</v>
      </c>
      <c r="L13" s="10"/>
      <c r="M13" s="10" t="n">
        <f aca="false">K13-L13</f>
        <v>2</v>
      </c>
      <c r="N13" s="14" t="n">
        <f aca="false">H13*3.8</f>
        <v>494</v>
      </c>
      <c r="O13" s="15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8"/>
      <c r="AB13" s="18"/>
      <c r="AC13" s="18"/>
      <c r="AD13" s="18"/>
    </row>
    <row r="14" customFormat="false" ht="18.75" hidden="false" customHeight="true" outlineLevel="0" collapsed="false">
      <c r="A14" s="10" t="n">
        <v>39</v>
      </c>
      <c r="B14" s="10" t="s">
        <v>15</v>
      </c>
      <c r="C14" s="10" t="n">
        <v>65</v>
      </c>
      <c r="D14" s="10" t="n">
        <v>800</v>
      </c>
      <c r="E14" s="11" t="s">
        <v>16</v>
      </c>
      <c r="F14" s="12" t="n">
        <f aca="false">M14*D14</f>
        <v>0</v>
      </c>
      <c r="G14" s="11" t="s">
        <v>17</v>
      </c>
      <c r="H14" s="11" t="n">
        <f aca="false">(M14*(C14/1000))*D14</f>
        <v>0</v>
      </c>
      <c r="I14" s="11" t="s">
        <v>16</v>
      </c>
      <c r="J14" s="17"/>
      <c r="K14" s="10"/>
      <c r="L14" s="10"/>
      <c r="M14" s="10" t="n">
        <f aca="false">K14-L14</f>
        <v>0</v>
      </c>
      <c r="N14" s="14" t="n">
        <f aca="false">H14*3.8</f>
        <v>0</v>
      </c>
      <c r="AA14" s="19"/>
      <c r="AB14" s="19"/>
      <c r="AC14" s="19"/>
      <c r="AD14" s="19"/>
    </row>
    <row r="15" customFormat="false" ht="18.75" hidden="false" customHeight="true" outlineLevel="0" collapsed="false">
      <c r="A15" s="10" t="n">
        <v>39</v>
      </c>
      <c r="B15" s="10" t="s">
        <v>15</v>
      </c>
      <c r="C15" s="10" t="n">
        <v>75</v>
      </c>
      <c r="D15" s="10" t="n">
        <v>1000</v>
      </c>
      <c r="E15" s="11" t="s">
        <v>16</v>
      </c>
      <c r="F15" s="12" t="n">
        <f aca="false">M15*D15</f>
        <v>6000</v>
      </c>
      <c r="G15" s="11" t="s">
        <v>17</v>
      </c>
      <c r="H15" s="11" t="n">
        <f aca="false">(M15*(C15/1000))*D15</f>
        <v>450</v>
      </c>
      <c r="I15" s="11" t="s">
        <v>16</v>
      </c>
      <c r="J15" s="17"/>
      <c r="K15" s="10" t="n">
        <v>6</v>
      </c>
      <c r="L15" s="10"/>
      <c r="M15" s="10" t="n">
        <f aca="false">K15-L15</f>
        <v>6</v>
      </c>
      <c r="N15" s="14" t="n">
        <f aca="false">H15*3.8</f>
        <v>1710</v>
      </c>
      <c r="O15" s="15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1" t="n">
        <v>3</v>
      </c>
      <c r="AB15" s="11" t="n">
        <v>120</v>
      </c>
      <c r="AC15" s="10" t="n">
        <v>1000</v>
      </c>
      <c r="AD15" s="11" t="s">
        <v>19</v>
      </c>
    </row>
    <row r="16" customFormat="false" ht="18.75" hidden="false" customHeight="true" outlineLevel="0" collapsed="false">
      <c r="A16" s="10" t="n">
        <v>39</v>
      </c>
      <c r="B16" s="10" t="s">
        <v>15</v>
      </c>
      <c r="C16" s="10" t="n">
        <v>75</v>
      </c>
      <c r="D16" s="10" t="n">
        <v>1000</v>
      </c>
      <c r="E16" s="11" t="s">
        <v>16</v>
      </c>
      <c r="F16" s="12" t="n">
        <f aca="false">M16*D16</f>
        <v>0</v>
      </c>
      <c r="G16" s="11" t="s">
        <v>17</v>
      </c>
      <c r="H16" s="11" t="n">
        <f aca="false">(M16*(C16/1000))*D16</f>
        <v>0</v>
      </c>
      <c r="I16" s="11" t="s">
        <v>16</v>
      </c>
      <c r="J16" s="13"/>
      <c r="K16" s="10"/>
      <c r="L16" s="10"/>
      <c r="M16" s="10" t="n">
        <f aca="false">K16-L16</f>
        <v>0</v>
      </c>
      <c r="N16" s="14" t="n">
        <f aca="false">H16*3.8</f>
        <v>0</v>
      </c>
      <c r="O16" s="15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 t="n">
        <v>3</v>
      </c>
      <c r="AB16" s="10" t="n">
        <v>70</v>
      </c>
      <c r="AC16" s="10" t="n">
        <v>1000</v>
      </c>
      <c r="AD16" s="11" t="s">
        <v>19</v>
      </c>
    </row>
    <row r="17" customFormat="false" ht="18.75" hidden="false" customHeight="true" outlineLevel="0" collapsed="false">
      <c r="A17" s="10" t="n">
        <v>39</v>
      </c>
      <c r="B17" s="10" t="s">
        <v>15</v>
      </c>
      <c r="C17" s="10" t="n">
        <v>75</v>
      </c>
      <c r="D17" s="10" t="n">
        <v>1000</v>
      </c>
      <c r="E17" s="11" t="s">
        <v>16</v>
      </c>
      <c r="F17" s="12" t="n">
        <f aca="false">M17*D17</f>
        <v>0</v>
      </c>
      <c r="G17" s="11" t="s">
        <v>17</v>
      </c>
      <c r="H17" s="11" t="n">
        <f aca="false">(M17*(C17/1000))*D17</f>
        <v>0</v>
      </c>
      <c r="I17" s="11" t="s">
        <v>16</v>
      </c>
      <c r="J17" s="17"/>
      <c r="K17" s="10"/>
      <c r="L17" s="10"/>
      <c r="M17" s="10" t="n">
        <f aca="false">K17-L17</f>
        <v>0</v>
      </c>
      <c r="N17" s="14" t="n">
        <f aca="false">H17*3.8</f>
        <v>0</v>
      </c>
      <c r="AA17" s="19"/>
      <c r="AB17" s="19"/>
      <c r="AC17" s="19"/>
      <c r="AD17" s="19"/>
    </row>
    <row r="18" customFormat="false" ht="18.75" hidden="false" customHeight="true" outlineLevel="0" collapsed="false">
      <c r="A18" s="10" t="n">
        <v>38</v>
      </c>
      <c r="B18" s="10" t="s">
        <v>15</v>
      </c>
      <c r="C18" s="10" t="n">
        <v>95</v>
      </c>
      <c r="D18" s="10" t="n">
        <v>500</v>
      </c>
      <c r="E18" s="11" t="s">
        <v>16</v>
      </c>
      <c r="F18" s="12" t="n">
        <f aca="false">M18*D18</f>
        <v>0</v>
      </c>
      <c r="G18" s="11" t="s">
        <v>17</v>
      </c>
      <c r="H18" s="11" t="n">
        <f aca="false">(M18*(C18/1000))*D18</f>
        <v>0</v>
      </c>
      <c r="I18" s="11" t="s">
        <v>16</v>
      </c>
      <c r="J18" s="13"/>
      <c r="K18" s="10"/>
      <c r="L18" s="10"/>
      <c r="M18" s="10" t="n">
        <f aca="false">K18-L18</f>
        <v>0</v>
      </c>
      <c r="N18" s="14" t="n">
        <f aca="false">H18*3.8</f>
        <v>0</v>
      </c>
      <c r="AA18" s="16"/>
      <c r="AB18" s="16"/>
      <c r="AC18" s="15"/>
      <c r="AD18" s="16"/>
    </row>
    <row r="19" customFormat="false" ht="18.75" hidden="false" customHeight="true" outlineLevel="0" collapsed="false">
      <c r="A19" s="10" t="n">
        <v>42</v>
      </c>
      <c r="B19" s="10" t="s">
        <v>15</v>
      </c>
      <c r="C19" s="10" t="n">
        <v>100</v>
      </c>
      <c r="D19" s="10" t="n">
        <v>1000</v>
      </c>
      <c r="E19" s="11" t="s">
        <v>16</v>
      </c>
      <c r="F19" s="12" t="n">
        <f aca="false">M19*D19</f>
        <v>3000</v>
      </c>
      <c r="G19" s="11" t="s">
        <v>17</v>
      </c>
      <c r="H19" s="11" t="n">
        <f aca="false">(M19*(C19/1000))*D19</f>
        <v>300</v>
      </c>
      <c r="I19" s="11" t="s">
        <v>16</v>
      </c>
      <c r="J19" s="17"/>
      <c r="K19" s="10" t="n">
        <v>4</v>
      </c>
      <c r="L19" s="10" t="n">
        <v>1</v>
      </c>
      <c r="M19" s="10" t="n">
        <f aca="false">K19-L19</f>
        <v>3</v>
      </c>
      <c r="N19" s="14" t="n">
        <f aca="false">H19*3.8</f>
        <v>1140</v>
      </c>
    </row>
    <row r="20" customFormat="false" ht="18.75" hidden="false" customHeight="true" outlineLevel="0" collapsed="false">
      <c r="A20" s="10" t="s">
        <v>20</v>
      </c>
      <c r="B20" s="10" t="s">
        <v>15</v>
      </c>
      <c r="C20" s="20" t="n">
        <v>100</v>
      </c>
      <c r="D20" s="10" t="n">
        <v>1000</v>
      </c>
      <c r="E20" s="11" t="s">
        <v>16</v>
      </c>
      <c r="F20" s="12" t="n">
        <f aca="false">M20*D20</f>
        <v>0</v>
      </c>
      <c r="G20" s="11" t="s">
        <v>17</v>
      </c>
      <c r="H20" s="11" t="n">
        <f aca="false">(M20*(C20/1000))*D20</f>
        <v>0</v>
      </c>
      <c r="I20" s="11" t="s">
        <v>16</v>
      </c>
      <c r="J20" s="17" t="n">
        <v>45870</v>
      </c>
      <c r="K20" s="10"/>
      <c r="L20" s="10"/>
      <c r="M20" s="10" t="n">
        <f aca="false">K20-L20</f>
        <v>0</v>
      </c>
      <c r="N20" s="14" t="n">
        <f aca="false">H20*3.8</f>
        <v>0</v>
      </c>
      <c r="O20" s="15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21" t="s">
        <v>21</v>
      </c>
      <c r="AB20" s="21" t="s">
        <v>2</v>
      </c>
      <c r="AC20" s="21" t="s">
        <v>3</v>
      </c>
      <c r="AD20" s="21" t="s">
        <v>4</v>
      </c>
    </row>
    <row r="21" customFormat="false" ht="18.75" hidden="false" customHeight="true" outlineLevel="0" collapsed="false">
      <c r="A21" s="10" t="n">
        <v>42</v>
      </c>
      <c r="B21" s="10" t="s">
        <v>15</v>
      </c>
      <c r="C21" s="20" t="n">
        <v>105</v>
      </c>
      <c r="D21" s="10" t="n">
        <v>1000</v>
      </c>
      <c r="E21" s="11" t="s">
        <v>16</v>
      </c>
      <c r="F21" s="12" t="n">
        <f aca="false">M21*D21</f>
        <v>0</v>
      </c>
      <c r="G21" s="11" t="s">
        <v>17</v>
      </c>
      <c r="H21" s="11" t="n">
        <f aca="false">(M21*(C21/1000))*D21</f>
        <v>0</v>
      </c>
      <c r="I21" s="11" t="s">
        <v>16</v>
      </c>
      <c r="J21" s="17"/>
      <c r="K21" s="10"/>
      <c r="L21" s="10"/>
      <c r="M21" s="10" t="n">
        <f aca="false">K21-L21</f>
        <v>0</v>
      </c>
      <c r="N21" s="14" t="n">
        <f aca="false">H21*3.8</f>
        <v>0</v>
      </c>
      <c r="O21" s="1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customFormat="false" ht="18.75" hidden="false" customHeight="true" outlineLevel="0" collapsed="false">
      <c r="A22" s="10" t="s">
        <v>20</v>
      </c>
      <c r="B22" s="10" t="s">
        <v>15</v>
      </c>
      <c r="C22" s="20" t="n">
        <v>105</v>
      </c>
      <c r="D22" s="10" t="n">
        <v>1000</v>
      </c>
      <c r="E22" s="11" t="s">
        <v>16</v>
      </c>
      <c r="F22" s="12" t="n">
        <f aca="false">M22*D22</f>
        <v>0</v>
      </c>
      <c r="G22" s="11" t="s">
        <v>17</v>
      </c>
      <c r="H22" s="11" t="n">
        <f aca="false">(M22*(C22/1000))*D22</f>
        <v>0</v>
      </c>
      <c r="I22" s="11" t="s">
        <v>16</v>
      </c>
      <c r="J22" s="17" t="n">
        <v>45870</v>
      </c>
      <c r="K22" s="10"/>
      <c r="L22" s="10"/>
      <c r="M22" s="10" t="n">
        <f aca="false">K22-L22</f>
        <v>0</v>
      </c>
      <c r="N22" s="14" t="n">
        <f aca="false">H22*3.8</f>
        <v>0</v>
      </c>
      <c r="O22" s="1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5" t="n">
        <v>1</v>
      </c>
      <c r="AB22" s="15" t="n">
        <v>130</v>
      </c>
      <c r="AC22" s="15" t="n">
        <v>1000</v>
      </c>
      <c r="AD22" s="16" t="s">
        <v>19</v>
      </c>
    </row>
    <row r="23" customFormat="false" ht="18.75" hidden="false" customHeight="true" outlineLevel="0" collapsed="false">
      <c r="A23" s="10" t="n">
        <v>39</v>
      </c>
      <c r="B23" s="10" t="s">
        <v>15</v>
      </c>
      <c r="C23" s="10" t="n">
        <v>110</v>
      </c>
      <c r="D23" s="10" t="n">
        <v>400</v>
      </c>
      <c r="E23" s="11" t="s">
        <v>16</v>
      </c>
      <c r="F23" s="12" t="n">
        <f aca="false">M23*D23</f>
        <v>400</v>
      </c>
      <c r="G23" s="11" t="s">
        <v>17</v>
      </c>
      <c r="H23" s="11" t="n">
        <f aca="false">(M23*(C23/1000))*D23</f>
        <v>44</v>
      </c>
      <c r="I23" s="11" t="s">
        <v>16</v>
      </c>
      <c r="J23" s="17"/>
      <c r="K23" s="10" t="n">
        <v>1</v>
      </c>
      <c r="L23" s="10"/>
      <c r="M23" s="10" t="n">
        <f aca="false">K23-L23</f>
        <v>1</v>
      </c>
      <c r="N23" s="14" t="n">
        <f aca="false">H23*3.8</f>
        <v>167.2</v>
      </c>
      <c r="O23" s="15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customFormat="false" ht="18.75" hidden="false" customHeight="true" outlineLevel="0" collapsed="false">
      <c r="A24" s="10" t="n">
        <v>39</v>
      </c>
      <c r="B24" s="10" t="s">
        <v>15</v>
      </c>
      <c r="C24" s="10" t="n">
        <v>110</v>
      </c>
      <c r="D24" s="10" t="n">
        <v>1000</v>
      </c>
      <c r="E24" s="11" t="s">
        <v>16</v>
      </c>
      <c r="F24" s="12" t="n">
        <f aca="false">M24*D24</f>
        <v>0</v>
      </c>
      <c r="G24" s="11" t="s">
        <v>17</v>
      </c>
      <c r="H24" s="11" t="n">
        <f aca="false">(M24*(C24/1000))*D24</f>
        <v>0</v>
      </c>
      <c r="I24" s="11" t="s">
        <v>16</v>
      </c>
      <c r="J24" s="17"/>
      <c r="K24" s="10"/>
      <c r="L24" s="10"/>
      <c r="M24" s="10" t="n">
        <f aca="false">K24-L24</f>
        <v>0</v>
      </c>
      <c r="N24" s="14" t="n">
        <f aca="false">H24*3.8</f>
        <v>0</v>
      </c>
      <c r="O24" s="15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customFormat="false" ht="18.75" hidden="false" customHeight="true" outlineLevel="0" collapsed="false">
      <c r="A25" s="10" t="n">
        <v>42</v>
      </c>
      <c r="B25" s="10" t="s">
        <v>15</v>
      </c>
      <c r="C25" s="10" t="n">
        <v>115</v>
      </c>
      <c r="D25" s="10" t="n">
        <v>1000</v>
      </c>
      <c r="E25" s="11" t="s">
        <v>16</v>
      </c>
      <c r="F25" s="12" t="n">
        <f aca="false">M25*D25</f>
        <v>1000</v>
      </c>
      <c r="G25" s="11" t="s">
        <v>17</v>
      </c>
      <c r="H25" s="11" t="n">
        <f aca="false">(M25*(C25/1000))*D25</f>
        <v>115</v>
      </c>
      <c r="I25" s="11" t="s">
        <v>16</v>
      </c>
      <c r="J25" s="13"/>
      <c r="K25" s="10" t="n">
        <v>1</v>
      </c>
      <c r="L25" s="10"/>
      <c r="M25" s="10" t="n">
        <f aca="false">K25-L25</f>
        <v>1</v>
      </c>
      <c r="N25" s="14" t="n">
        <f aca="false">H25*3.8</f>
        <v>437</v>
      </c>
      <c r="O25" s="15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customFormat="false" ht="18.75" hidden="false" customHeight="true" outlineLevel="0" collapsed="false">
      <c r="A26" s="10" t="n">
        <v>42</v>
      </c>
      <c r="B26" s="10" t="s">
        <v>15</v>
      </c>
      <c r="C26" s="10" t="n">
        <v>105</v>
      </c>
      <c r="D26" s="10" t="n">
        <v>1000</v>
      </c>
      <c r="E26" s="11" t="s">
        <v>16</v>
      </c>
      <c r="F26" s="12" t="n">
        <f aca="false">M26*D26</f>
        <v>2000</v>
      </c>
      <c r="G26" s="11" t="s">
        <v>17</v>
      </c>
      <c r="H26" s="11" t="n">
        <f aca="false">(M26*(C26/1000))*D26</f>
        <v>210</v>
      </c>
      <c r="I26" s="11" t="s">
        <v>16</v>
      </c>
      <c r="J26" s="17"/>
      <c r="K26" s="10" t="n">
        <v>2</v>
      </c>
      <c r="L26" s="10"/>
      <c r="M26" s="10" t="n">
        <f aca="false">K26-L26</f>
        <v>2</v>
      </c>
      <c r="N26" s="14" t="n">
        <f aca="false">H26*3.8</f>
        <v>798</v>
      </c>
    </row>
    <row r="27" customFormat="false" ht="18.75" hidden="false" customHeight="true" outlineLevel="0" collapsed="false">
      <c r="A27" s="10" t="n">
        <v>42</v>
      </c>
      <c r="B27" s="10" t="s">
        <v>15</v>
      </c>
      <c r="C27" s="10" t="n">
        <v>195</v>
      </c>
      <c r="D27" s="10" t="n">
        <v>1000</v>
      </c>
      <c r="E27" s="11" t="s">
        <v>16</v>
      </c>
      <c r="F27" s="12" t="n">
        <f aca="false">M27*D27</f>
        <v>1000</v>
      </c>
      <c r="G27" s="11" t="s">
        <v>17</v>
      </c>
      <c r="H27" s="11" t="n">
        <f aca="false">(M27*(C27/1000))*D27</f>
        <v>195</v>
      </c>
      <c r="I27" s="11" t="s">
        <v>16</v>
      </c>
      <c r="J27" s="17"/>
      <c r="K27" s="10" t="n">
        <v>1</v>
      </c>
      <c r="L27" s="10"/>
      <c r="M27" s="10" t="n">
        <f aca="false">K27-L27</f>
        <v>1</v>
      </c>
      <c r="N27" s="14" t="n">
        <f aca="false">H27*3.8</f>
        <v>741</v>
      </c>
    </row>
    <row r="28" customFormat="false" ht="15" hidden="false" customHeight="true" outlineLevel="0" collapsed="false">
      <c r="A28" s="10" t="s">
        <v>20</v>
      </c>
      <c r="B28" s="10" t="s">
        <v>15</v>
      </c>
      <c r="C28" s="10" t="n">
        <v>120</v>
      </c>
      <c r="D28" s="10" t="n">
        <v>1000</v>
      </c>
      <c r="E28" s="11" t="s">
        <v>16</v>
      </c>
      <c r="F28" s="12" t="n">
        <f aca="false">M28*D28</f>
        <v>0</v>
      </c>
      <c r="G28" s="11" t="s">
        <v>17</v>
      </c>
      <c r="H28" s="11" t="n">
        <f aca="false">(M28*(C28/1000))*D28</f>
        <v>0</v>
      </c>
      <c r="I28" s="11" t="s">
        <v>16</v>
      </c>
      <c r="J28" s="17" t="n">
        <v>45870</v>
      </c>
      <c r="K28" s="10"/>
      <c r="L28" s="10"/>
      <c r="M28" s="10" t="n">
        <f aca="false">K28-L28</f>
        <v>0</v>
      </c>
      <c r="N28" s="14" t="n">
        <f aca="false">H28*3.8</f>
        <v>0</v>
      </c>
      <c r="O28" s="15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5"/>
      <c r="AB28" s="15"/>
      <c r="AC28" s="15"/>
      <c r="AD28" s="16"/>
    </row>
    <row r="29" customFormat="false" ht="15" hidden="false" customHeight="true" outlineLevel="0" collapsed="false">
      <c r="A29" s="10" t="n">
        <v>38</v>
      </c>
      <c r="B29" s="10" t="s">
        <v>15</v>
      </c>
      <c r="C29" s="20" t="n">
        <v>130</v>
      </c>
      <c r="D29" s="10" t="n">
        <v>1000</v>
      </c>
      <c r="E29" s="11" t="s">
        <v>18</v>
      </c>
      <c r="F29" s="12" t="n">
        <f aca="false">M29*D29</f>
        <v>0</v>
      </c>
      <c r="G29" s="11" t="s">
        <v>17</v>
      </c>
      <c r="H29" s="11" t="n">
        <f aca="false">(M29*(C29/1000))*D29</f>
        <v>0</v>
      </c>
      <c r="I29" s="11" t="s">
        <v>18</v>
      </c>
      <c r="J29" s="13"/>
      <c r="K29" s="10"/>
      <c r="L29" s="10"/>
      <c r="M29" s="10" t="n">
        <f aca="false">K29-L29</f>
        <v>0</v>
      </c>
      <c r="N29" s="14" t="n">
        <f aca="false">H29*3.8</f>
        <v>0</v>
      </c>
      <c r="O29" s="15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customFormat="false" ht="15" hidden="false" customHeight="true" outlineLevel="0" collapsed="false">
      <c r="A30" s="10" t="s">
        <v>20</v>
      </c>
      <c r="B30" s="10" t="s">
        <v>15</v>
      </c>
      <c r="C30" s="20" t="n">
        <v>130</v>
      </c>
      <c r="D30" s="10" t="n">
        <v>500</v>
      </c>
      <c r="E30" s="11" t="s">
        <v>16</v>
      </c>
      <c r="F30" s="12" t="n">
        <f aca="false">M30*D30</f>
        <v>0</v>
      </c>
      <c r="G30" s="11" t="s">
        <v>17</v>
      </c>
      <c r="H30" s="11" t="n">
        <f aca="false">(M30*(C30/1000))*D30</f>
        <v>0</v>
      </c>
      <c r="I30" s="11" t="s">
        <v>16</v>
      </c>
      <c r="J30" s="17" t="n">
        <v>45870</v>
      </c>
      <c r="K30" s="10"/>
      <c r="L30" s="10"/>
      <c r="M30" s="10" t="n">
        <f aca="false">K30-L30</f>
        <v>0</v>
      </c>
      <c r="N30" s="14" t="n">
        <f aca="false">H30*3.8</f>
        <v>0</v>
      </c>
      <c r="O30" s="15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customFormat="false" ht="15" hidden="false" customHeight="true" outlineLevel="0" collapsed="false">
      <c r="A31" s="10" t="n">
        <v>41</v>
      </c>
      <c r="B31" s="10" t="s">
        <v>15</v>
      </c>
      <c r="C31" s="10" t="n">
        <v>138</v>
      </c>
      <c r="D31" s="10" t="n">
        <v>1000</v>
      </c>
      <c r="E31" s="11" t="s">
        <v>16</v>
      </c>
      <c r="F31" s="12" t="n">
        <f aca="false">M31*D31</f>
        <v>0</v>
      </c>
      <c r="G31" s="11" t="s">
        <v>17</v>
      </c>
      <c r="H31" s="11" t="n">
        <f aca="false">(M31*(C31/1000))*D31</f>
        <v>0</v>
      </c>
      <c r="I31" s="11" t="s">
        <v>16</v>
      </c>
      <c r="J31" s="13"/>
      <c r="K31" s="10"/>
      <c r="L31" s="10"/>
      <c r="M31" s="10" t="n">
        <f aca="false">K31-L31</f>
        <v>0</v>
      </c>
      <c r="N31" s="14" t="n">
        <f aca="false">H31*3.8</f>
        <v>0</v>
      </c>
      <c r="O31" s="15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customFormat="false" ht="15" hidden="false" customHeight="true" outlineLevel="0" collapsed="false">
      <c r="A32" s="10" t="n">
        <v>41</v>
      </c>
      <c r="B32" s="10" t="s">
        <v>15</v>
      </c>
      <c r="C32" s="10" t="n">
        <v>138</v>
      </c>
      <c r="D32" s="10" t="n">
        <v>1000</v>
      </c>
      <c r="E32" s="11" t="s">
        <v>16</v>
      </c>
      <c r="F32" s="12" t="n">
        <f aca="false">M32*D32</f>
        <v>0</v>
      </c>
      <c r="G32" s="11" t="s">
        <v>17</v>
      </c>
      <c r="H32" s="11" t="n">
        <f aca="false">(M32*(C32/1000))*D32</f>
        <v>0</v>
      </c>
      <c r="I32" s="11" t="s">
        <v>16</v>
      </c>
      <c r="J32" s="17"/>
      <c r="K32" s="10"/>
      <c r="L32" s="10"/>
      <c r="M32" s="10" t="n">
        <f aca="false">K32-L32</f>
        <v>0</v>
      </c>
      <c r="N32" s="14" t="n">
        <f aca="false">H32*3.8</f>
        <v>0</v>
      </c>
    </row>
    <row r="33" customFormat="false" ht="15" hidden="false" customHeight="true" outlineLevel="0" collapsed="false">
      <c r="A33" s="10" t="n">
        <v>38</v>
      </c>
      <c r="B33" s="10" t="s">
        <v>15</v>
      </c>
      <c r="C33" s="10" t="n">
        <v>140</v>
      </c>
      <c r="D33" s="10" t="n">
        <v>300</v>
      </c>
      <c r="E33" s="11" t="s">
        <v>16</v>
      </c>
      <c r="F33" s="12" t="n">
        <f aca="false">M33*D33</f>
        <v>0</v>
      </c>
      <c r="G33" s="11" t="s">
        <v>17</v>
      </c>
      <c r="H33" s="11" t="n">
        <f aca="false">(M33*(C33/1000))*D33</f>
        <v>0</v>
      </c>
      <c r="I33" s="11" t="s">
        <v>16</v>
      </c>
      <c r="J33" s="13"/>
      <c r="K33" s="10"/>
      <c r="L33" s="10"/>
      <c r="M33" s="10" t="n">
        <f aca="false">K33-L33</f>
        <v>0</v>
      </c>
      <c r="N33" s="14" t="n">
        <f aca="false">H33*3.8</f>
        <v>0</v>
      </c>
      <c r="O33" s="15"/>
    </row>
    <row r="34" customFormat="false" ht="15" hidden="false" customHeight="true" outlineLevel="0" collapsed="false">
      <c r="A34" s="10" t="n">
        <v>41</v>
      </c>
      <c r="B34" s="10" t="s">
        <v>15</v>
      </c>
      <c r="C34" s="10" t="n">
        <v>140</v>
      </c>
      <c r="D34" s="10" t="n">
        <v>1000</v>
      </c>
      <c r="E34" s="11" t="s">
        <v>16</v>
      </c>
      <c r="F34" s="12" t="n">
        <f aca="false">M34*D34</f>
        <v>0</v>
      </c>
      <c r="G34" s="11" t="s">
        <v>17</v>
      </c>
      <c r="H34" s="11" t="n">
        <f aca="false">(M34*(C34/1000))*D34</f>
        <v>0</v>
      </c>
      <c r="I34" s="11" t="s">
        <v>16</v>
      </c>
      <c r="J34" s="17"/>
      <c r="K34" s="10"/>
      <c r="L34" s="10"/>
      <c r="M34" s="10" t="n">
        <f aca="false">K34-L34</f>
        <v>0</v>
      </c>
      <c r="N34" s="14" t="n">
        <f aca="false">H34*3.8</f>
        <v>0</v>
      </c>
    </row>
    <row r="35" customFormat="false" ht="15" hidden="false" customHeight="true" outlineLevel="0" collapsed="false">
      <c r="A35" s="10" t="n">
        <v>39</v>
      </c>
      <c r="B35" s="10" t="s">
        <v>15</v>
      </c>
      <c r="C35" s="10" t="n">
        <v>190</v>
      </c>
      <c r="D35" s="10" t="n">
        <v>1000</v>
      </c>
      <c r="E35" s="11" t="s">
        <v>16</v>
      </c>
      <c r="F35" s="12" t="n">
        <f aca="false">M35*D35</f>
        <v>0</v>
      </c>
      <c r="G35" s="11" t="s">
        <v>17</v>
      </c>
      <c r="H35" s="11" t="n">
        <f aca="false">(M35*(C35/1000))*D35</f>
        <v>0</v>
      </c>
      <c r="I35" s="11" t="s">
        <v>16</v>
      </c>
      <c r="J35" s="17"/>
      <c r="K35" s="10"/>
      <c r="L35" s="10"/>
      <c r="M35" s="10" t="n">
        <f aca="false">K35-L35</f>
        <v>0</v>
      </c>
      <c r="N35" s="14" t="n">
        <f aca="false">H35*3.8</f>
        <v>0</v>
      </c>
      <c r="O35" s="15"/>
    </row>
    <row r="36" customFormat="false" ht="15" hidden="false" customHeight="true" outlineLevel="0" collapsed="false">
      <c r="A36" s="10"/>
      <c r="B36" s="10"/>
      <c r="C36" s="10"/>
      <c r="D36" s="10"/>
      <c r="E36" s="11"/>
      <c r="F36" s="12"/>
      <c r="G36" s="11"/>
      <c r="H36" s="11"/>
      <c r="I36" s="11"/>
      <c r="J36" s="17"/>
      <c r="K36" s="10"/>
      <c r="L36" s="10"/>
      <c r="M36" s="10"/>
      <c r="N36" s="14" t="n">
        <f aca="false">SUM(N11:N35)</f>
        <v>5684.8</v>
      </c>
    </row>
  </sheetData>
  <autoFilter ref="A1:XFA36"/>
  <printOptions headings="false" gridLines="false" gridLinesSet="true" horizontalCentered="false" verticalCentered="false"/>
  <pageMargins left="0.196527777777778" right="0" top="0" bottom="0" header="0.511811023622047" footer="0.511811023622047"/>
  <pageSetup paperSize="9" scale="5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22" width="10.86"/>
    <col collapsed="false" customWidth="true" hidden="false" outlineLevel="0" max="2" min="2" style="22" width="11.15"/>
    <col collapsed="false" customWidth="true" hidden="false" outlineLevel="0" max="3" min="3" style="22" width="12.57"/>
    <col collapsed="false" customWidth="true" hidden="false" outlineLevel="0" max="4" min="4" style="22" width="17"/>
    <col collapsed="false" customWidth="true" hidden="false" outlineLevel="0" max="5" min="5" style="22" width="24.86"/>
    <col collapsed="false" customWidth="true" hidden="false" outlineLevel="0" max="6" min="6" style="22" width="17.43"/>
    <col collapsed="false" customWidth="true" hidden="false" outlineLevel="0" max="7" min="7" style="22" width="10.57"/>
    <col collapsed="false" customWidth="true" hidden="false" outlineLevel="0" max="8" min="8" style="22" width="4"/>
    <col collapsed="false" customWidth="true" hidden="false" outlineLevel="0" max="9" min="9" style="22" width="24.86"/>
    <col collapsed="false" customWidth="true" hidden="false" outlineLevel="0" max="10" min="10" style="22" width="10.57"/>
    <col collapsed="false" customWidth="true" hidden="false" outlineLevel="0" max="11" min="11" style="22" width="8.14"/>
    <col collapsed="false" customWidth="true" hidden="false" outlineLevel="0" max="12" min="12" style="22" width="6.43"/>
    <col collapsed="false" customWidth="true" hidden="false" outlineLevel="0" max="13" min="13" style="22" width="5.86"/>
    <col collapsed="false" customWidth="true" hidden="false" outlineLevel="0" max="14" min="14" style="22" width="7"/>
  </cols>
  <sheetData>
    <row r="1" customFormat="false" ht="15" hidden="false" customHeight="false" outlineLevel="0" collapsed="false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22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 customFormat="false" ht="15" hidden="false" customHeight="false" outlineLevel="0" collapsed="false">
      <c r="A2" s="24" t="n">
        <v>39</v>
      </c>
      <c r="B2" s="24" t="s">
        <v>15</v>
      </c>
      <c r="C2" s="24" t="n">
        <v>40</v>
      </c>
      <c r="D2" s="24" t="n">
        <v>1000</v>
      </c>
      <c r="E2" s="24" t="s">
        <v>16</v>
      </c>
      <c r="F2" s="24" t="n">
        <v>1000</v>
      </c>
      <c r="G2" s="24" t="s">
        <v>17</v>
      </c>
      <c r="H2" s="24" t="n">
        <v>40</v>
      </c>
      <c r="I2" s="24" t="s">
        <v>16</v>
      </c>
      <c r="J2" s="24"/>
      <c r="K2" s="24" t="n">
        <v>1</v>
      </c>
      <c r="L2" s="24"/>
      <c r="M2" s="24" t="n">
        <v>1</v>
      </c>
      <c r="N2" s="24" t="n">
        <v>132</v>
      </c>
    </row>
    <row r="3" customFormat="false" ht="15" hidden="false" customHeight="false" outlineLevel="0" collapsed="false">
      <c r="A3" s="24" t="n">
        <v>9</v>
      </c>
      <c r="B3" s="24" t="s">
        <v>15</v>
      </c>
      <c r="C3" s="24" t="n">
        <v>60</v>
      </c>
      <c r="D3" s="24" t="n">
        <v>1000</v>
      </c>
      <c r="E3" s="24" t="s">
        <v>18</v>
      </c>
      <c r="F3" s="24" t="n">
        <v>5000</v>
      </c>
      <c r="G3" s="24" t="s">
        <v>17</v>
      </c>
      <c r="H3" s="24" t="n">
        <v>300</v>
      </c>
      <c r="I3" s="24" t="s">
        <v>18</v>
      </c>
      <c r="J3" s="25" t="n">
        <v>41235</v>
      </c>
      <c r="K3" s="24" t="n">
        <v>5</v>
      </c>
      <c r="L3" s="24"/>
      <c r="M3" s="24" t="n">
        <v>5</v>
      </c>
      <c r="N3" s="24" t="n">
        <v>990</v>
      </c>
    </row>
    <row r="4" customFormat="false" ht="15" hidden="false" customHeight="false" outlineLevel="0" collapsed="false">
      <c r="A4" s="24" t="n">
        <v>39</v>
      </c>
      <c r="B4" s="24" t="s">
        <v>15</v>
      </c>
      <c r="C4" s="24" t="n">
        <v>65</v>
      </c>
      <c r="D4" s="24" t="n">
        <v>1000</v>
      </c>
      <c r="E4" s="24" t="s">
        <v>16</v>
      </c>
      <c r="F4" s="24" t="n">
        <v>3000</v>
      </c>
      <c r="G4" s="24" t="s">
        <v>17</v>
      </c>
      <c r="H4" s="24" t="n">
        <v>195</v>
      </c>
      <c r="I4" s="24" t="s">
        <v>16</v>
      </c>
      <c r="J4" s="24"/>
      <c r="K4" s="24" t="n">
        <v>3</v>
      </c>
      <c r="L4" s="24"/>
      <c r="M4" s="24" t="n">
        <v>3</v>
      </c>
      <c r="N4" s="24" t="n">
        <v>643.5</v>
      </c>
    </row>
    <row r="5" customFormat="false" ht="15" hidden="false" customHeight="false" outlineLevel="0" collapsed="false">
      <c r="A5" s="24" t="n">
        <v>9</v>
      </c>
      <c r="B5" s="24" t="s">
        <v>15</v>
      </c>
      <c r="C5" s="24" t="n">
        <v>66</v>
      </c>
      <c r="D5" s="24" t="n">
        <v>500</v>
      </c>
      <c r="E5" s="24" t="s">
        <v>18</v>
      </c>
      <c r="F5" s="24" t="n">
        <v>500</v>
      </c>
      <c r="G5" s="24" t="s">
        <v>17</v>
      </c>
      <c r="H5" s="24" t="n">
        <v>33</v>
      </c>
      <c r="I5" s="24" t="s">
        <v>18</v>
      </c>
      <c r="J5" s="24"/>
      <c r="K5" s="24" t="n">
        <v>1</v>
      </c>
      <c r="L5" s="24"/>
      <c r="M5" s="24" t="n">
        <v>1</v>
      </c>
      <c r="N5" s="24" t="n">
        <v>108.9</v>
      </c>
    </row>
    <row r="6" customFormat="false" ht="15" hidden="false" customHeight="false" outlineLevel="0" collapsed="false">
      <c r="A6" s="24" t="n">
        <v>42</v>
      </c>
      <c r="B6" s="24" t="s">
        <v>15</v>
      </c>
      <c r="C6" s="24" t="n">
        <v>70</v>
      </c>
      <c r="D6" s="24" t="n">
        <v>1000</v>
      </c>
      <c r="E6" s="24" t="s">
        <v>16</v>
      </c>
      <c r="F6" s="24" t="n">
        <v>0</v>
      </c>
      <c r="G6" s="24" t="s">
        <v>17</v>
      </c>
      <c r="H6" s="24" t="n">
        <v>0</v>
      </c>
      <c r="I6" s="24" t="s">
        <v>16</v>
      </c>
      <c r="J6" s="24"/>
      <c r="K6" s="24" t="n">
        <v>1</v>
      </c>
      <c r="L6" s="24" t="n">
        <v>1</v>
      </c>
      <c r="M6" s="24" t="n">
        <v>0</v>
      </c>
      <c r="N6" s="24" t="n">
        <v>0</v>
      </c>
    </row>
    <row r="7" customFormat="false" ht="15" hidden="false" customHeight="false" outlineLevel="0" collapsed="false">
      <c r="A7" s="24" t="n">
        <v>9</v>
      </c>
      <c r="B7" s="24" t="s">
        <v>15</v>
      </c>
      <c r="C7" s="24" t="n">
        <v>70</v>
      </c>
      <c r="D7" s="24" t="n">
        <v>600</v>
      </c>
      <c r="E7" s="24" t="s">
        <v>18</v>
      </c>
      <c r="F7" s="24" t="n">
        <v>600</v>
      </c>
      <c r="G7" s="24" t="s">
        <v>17</v>
      </c>
      <c r="H7" s="24" t="n">
        <v>42</v>
      </c>
      <c r="I7" s="24" t="s">
        <v>18</v>
      </c>
      <c r="J7" s="24"/>
      <c r="K7" s="24" t="n">
        <v>1</v>
      </c>
      <c r="L7" s="24"/>
      <c r="M7" s="24" t="n">
        <v>1</v>
      </c>
      <c r="N7" s="24" t="n">
        <v>138.6</v>
      </c>
    </row>
    <row r="8" customFormat="false" ht="15" hidden="false" customHeight="false" outlineLevel="0" collapsed="false">
      <c r="A8" s="24" t="n">
        <v>38</v>
      </c>
      <c r="B8" s="24" t="s">
        <v>15</v>
      </c>
      <c r="C8" s="24" t="n">
        <v>70</v>
      </c>
      <c r="D8" s="24" t="n">
        <v>1000</v>
      </c>
      <c r="E8" s="24" t="s">
        <v>16</v>
      </c>
      <c r="F8" s="24" t="n">
        <v>2000</v>
      </c>
      <c r="G8" s="24" t="s">
        <v>17</v>
      </c>
      <c r="H8" s="24" t="n">
        <v>140</v>
      </c>
      <c r="I8" s="24" t="s">
        <v>16</v>
      </c>
      <c r="J8" s="24"/>
      <c r="K8" s="24" t="n">
        <v>3</v>
      </c>
      <c r="L8" s="24" t="n">
        <v>1</v>
      </c>
      <c r="M8" s="24" t="n">
        <v>2</v>
      </c>
      <c r="N8" s="24" t="n">
        <v>462</v>
      </c>
    </row>
    <row r="9" customFormat="false" ht="15" hidden="false" customHeight="false" outlineLevel="0" collapsed="false">
      <c r="A9" s="24" t="n">
        <v>9</v>
      </c>
      <c r="B9" s="24" t="s">
        <v>15</v>
      </c>
      <c r="C9" s="24" t="n">
        <v>75</v>
      </c>
      <c r="D9" s="24" t="n">
        <v>1000</v>
      </c>
      <c r="E9" s="24" t="s">
        <v>18</v>
      </c>
      <c r="F9" s="24" t="n">
        <v>1000</v>
      </c>
      <c r="G9" s="24" t="s">
        <v>17</v>
      </c>
      <c r="H9" s="24" t="n">
        <v>75</v>
      </c>
      <c r="I9" s="24" t="s">
        <v>18</v>
      </c>
      <c r="J9" s="25" t="n">
        <v>45371</v>
      </c>
      <c r="K9" s="24" t="n">
        <v>1</v>
      </c>
      <c r="L9" s="24"/>
      <c r="M9" s="24" t="n">
        <v>1</v>
      </c>
      <c r="N9" s="24" t="n">
        <v>247.5</v>
      </c>
    </row>
    <row r="10" customFormat="false" ht="15" hidden="false" customHeight="false" outlineLevel="0" collapsed="false">
      <c r="A10" s="24" t="n">
        <v>39</v>
      </c>
      <c r="B10" s="24" t="s">
        <v>15</v>
      </c>
      <c r="C10" s="24" t="n">
        <v>75</v>
      </c>
      <c r="D10" s="24" t="n">
        <v>1000</v>
      </c>
      <c r="E10" s="24" t="s">
        <v>16</v>
      </c>
      <c r="F10" s="24" t="n">
        <v>4000</v>
      </c>
      <c r="G10" s="24" t="s">
        <v>17</v>
      </c>
      <c r="H10" s="24" t="n">
        <v>300</v>
      </c>
      <c r="I10" s="24" t="s">
        <v>16</v>
      </c>
      <c r="J10" s="24"/>
      <c r="K10" s="24" t="n">
        <v>4</v>
      </c>
      <c r="L10" s="24"/>
      <c r="M10" s="24" t="n">
        <v>4</v>
      </c>
      <c r="N10" s="24" t="n">
        <v>990</v>
      </c>
    </row>
    <row r="11" customFormat="false" ht="15" hidden="false" customHeight="false" outlineLevel="0" collapsed="false">
      <c r="A11" s="24" t="n">
        <v>38</v>
      </c>
      <c r="B11" s="24" t="s">
        <v>15</v>
      </c>
      <c r="C11" s="24" t="n">
        <v>75</v>
      </c>
      <c r="D11" s="24" t="n">
        <v>1000</v>
      </c>
      <c r="E11" s="24" t="s">
        <v>16</v>
      </c>
      <c r="F11" s="24" t="n">
        <v>4000</v>
      </c>
      <c r="G11" s="24" t="s">
        <v>17</v>
      </c>
      <c r="H11" s="24" t="n">
        <v>300</v>
      </c>
      <c r="I11" s="24" t="s">
        <v>16</v>
      </c>
      <c r="J11" s="24"/>
      <c r="K11" s="24" t="n">
        <v>4</v>
      </c>
      <c r="L11" s="24"/>
      <c r="M11" s="24" t="n">
        <v>4</v>
      </c>
      <c r="N11" s="24" t="n">
        <v>990</v>
      </c>
    </row>
    <row r="12" customFormat="false" ht="15" hidden="false" customHeight="false" outlineLevel="0" collapsed="false">
      <c r="A12" s="24" t="n">
        <v>39</v>
      </c>
      <c r="B12" s="24" t="s">
        <v>15</v>
      </c>
      <c r="C12" s="24" t="n">
        <v>80</v>
      </c>
      <c r="D12" s="24" t="n">
        <v>700</v>
      </c>
      <c r="E12" s="24" t="s">
        <v>16</v>
      </c>
      <c r="F12" s="24" t="n">
        <v>700</v>
      </c>
      <c r="G12" s="24" t="s">
        <v>17</v>
      </c>
      <c r="H12" s="24" t="n">
        <v>56</v>
      </c>
      <c r="I12" s="24" t="s">
        <v>16</v>
      </c>
      <c r="J12" s="24"/>
      <c r="K12" s="24" t="n">
        <v>1</v>
      </c>
      <c r="L12" s="24"/>
      <c r="M12" s="24" t="n">
        <v>1</v>
      </c>
      <c r="N12" s="24" t="n">
        <v>184.8</v>
      </c>
    </row>
    <row r="13" customFormat="false" ht="15" hidden="false" customHeight="false" outlineLevel="0" collapsed="false">
      <c r="A13" s="24" t="n">
        <v>42</v>
      </c>
      <c r="B13" s="24" t="s">
        <v>15</v>
      </c>
      <c r="C13" s="24" t="n">
        <v>80</v>
      </c>
      <c r="D13" s="24" t="n">
        <v>1000</v>
      </c>
      <c r="E13" s="24" t="s">
        <v>16</v>
      </c>
      <c r="F13" s="24" t="n">
        <v>2000</v>
      </c>
      <c r="G13" s="24" t="s">
        <v>17</v>
      </c>
      <c r="H13" s="24" t="n">
        <v>160</v>
      </c>
      <c r="I13" s="24" t="s">
        <v>16</v>
      </c>
      <c r="J13" s="24"/>
      <c r="K13" s="24" t="n">
        <v>2</v>
      </c>
      <c r="L13" s="24"/>
      <c r="M13" s="24" t="n">
        <v>2</v>
      </c>
      <c r="N13" s="24" t="n">
        <v>528</v>
      </c>
    </row>
    <row r="14" customFormat="false" ht="15" hidden="false" customHeight="false" outlineLevel="0" collapsed="false">
      <c r="A14" s="24" t="n">
        <v>42</v>
      </c>
      <c r="B14" s="24" t="s">
        <v>15</v>
      </c>
      <c r="C14" s="24" t="n">
        <v>95</v>
      </c>
      <c r="D14" s="24" t="n">
        <v>1000</v>
      </c>
      <c r="E14" s="24" t="s">
        <v>16</v>
      </c>
      <c r="F14" s="24" t="n">
        <v>1000</v>
      </c>
      <c r="G14" s="24" t="s">
        <v>17</v>
      </c>
      <c r="H14" s="24" t="n">
        <v>95</v>
      </c>
      <c r="I14" s="24" t="s">
        <v>16</v>
      </c>
      <c r="J14" s="24"/>
      <c r="K14" s="24" t="n">
        <v>1</v>
      </c>
      <c r="L14" s="24"/>
      <c r="M14" s="24" t="n">
        <v>1</v>
      </c>
      <c r="N14" s="24" t="n">
        <v>313.5</v>
      </c>
    </row>
    <row r="15" customFormat="false" ht="15" hidden="false" customHeight="false" outlineLevel="0" collapsed="false">
      <c r="A15" s="24" t="n">
        <v>42</v>
      </c>
      <c r="B15" s="24" t="s">
        <v>15</v>
      </c>
      <c r="C15" s="24" t="n">
        <v>100</v>
      </c>
      <c r="D15" s="24" t="n">
        <v>1000</v>
      </c>
      <c r="E15" s="24" t="s">
        <v>16</v>
      </c>
      <c r="F15" s="24" t="n">
        <v>1000</v>
      </c>
      <c r="G15" s="24" t="s">
        <v>17</v>
      </c>
      <c r="H15" s="24" t="n">
        <v>100</v>
      </c>
      <c r="I15" s="24" t="s">
        <v>16</v>
      </c>
      <c r="J15" s="24"/>
      <c r="K15" s="24" t="n">
        <v>1</v>
      </c>
      <c r="L15" s="24"/>
      <c r="M15" s="24" t="n">
        <v>1</v>
      </c>
      <c r="N15" s="24" t="n">
        <v>330</v>
      </c>
    </row>
    <row r="16" customFormat="false" ht="15" hidden="false" customHeight="false" outlineLevel="0" collapsed="false">
      <c r="A16" s="24" t="n">
        <v>41</v>
      </c>
      <c r="B16" s="24" t="s">
        <v>15</v>
      </c>
      <c r="C16" s="24" t="n">
        <v>100</v>
      </c>
      <c r="D16" s="24" t="n">
        <v>700</v>
      </c>
      <c r="E16" s="24" t="s">
        <v>16</v>
      </c>
      <c r="F16" s="24" t="n">
        <v>700</v>
      </c>
      <c r="G16" s="24" t="s">
        <v>17</v>
      </c>
      <c r="H16" s="24" t="n">
        <v>70</v>
      </c>
      <c r="I16" s="24" t="s">
        <v>16</v>
      </c>
      <c r="J16" s="24"/>
      <c r="K16" s="24" t="n">
        <v>1</v>
      </c>
      <c r="L16" s="24"/>
      <c r="M16" s="24" t="n">
        <v>1</v>
      </c>
      <c r="N16" s="24" t="n">
        <v>231</v>
      </c>
    </row>
    <row r="17" customFormat="false" ht="15" hidden="false" customHeight="false" outlineLevel="0" collapsed="false">
      <c r="A17" s="24" t="n">
        <v>39</v>
      </c>
      <c r="B17" s="24" t="s">
        <v>15</v>
      </c>
      <c r="C17" s="24" t="n">
        <v>100</v>
      </c>
      <c r="D17" s="24" t="n">
        <v>1000</v>
      </c>
      <c r="E17" s="24" t="s">
        <v>16</v>
      </c>
      <c r="F17" s="24" t="n">
        <v>4000</v>
      </c>
      <c r="G17" s="24" t="s">
        <v>17</v>
      </c>
      <c r="H17" s="24" t="n">
        <v>400</v>
      </c>
      <c r="I17" s="24" t="s">
        <v>16</v>
      </c>
      <c r="J17" s="24"/>
      <c r="K17" s="24" t="n">
        <v>5</v>
      </c>
      <c r="L17" s="24" t="n">
        <v>1</v>
      </c>
      <c r="M17" s="24" t="n">
        <v>4</v>
      </c>
      <c r="N17" s="24" t="n">
        <v>1320</v>
      </c>
    </row>
    <row r="18" customFormat="false" ht="15" hidden="false" customHeight="false" outlineLevel="0" collapsed="false">
      <c r="A18" s="24" t="n">
        <v>42</v>
      </c>
      <c r="B18" s="24" t="s">
        <v>15</v>
      </c>
      <c r="C18" s="24" t="n">
        <v>105</v>
      </c>
      <c r="D18" s="24" t="n">
        <v>1000</v>
      </c>
      <c r="E18" s="24" t="s">
        <v>16</v>
      </c>
      <c r="F18" s="24" t="n">
        <v>5000</v>
      </c>
      <c r="G18" s="24" t="s">
        <v>17</v>
      </c>
      <c r="H18" s="24" t="n">
        <v>525</v>
      </c>
      <c r="I18" s="24" t="s">
        <v>16</v>
      </c>
      <c r="J18" s="24"/>
      <c r="K18" s="24" t="n">
        <v>5</v>
      </c>
      <c r="L18" s="24"/>
      <c r="M18" s="24" t="n">
        <v>5</v>
      </c>
      <c r="N18" s="24" t="n">
        <v>1732.5</v>
      </c>
    </row>
    <row r="19" customFormat="false" ht="15" hidden="false" customHeight="false" outlineLevel="0" collapsed="false">
      <c r="A19" s="24" t="n">
        <v>39</v>
      </c>
      <c r="B19" s="24" t="s">
        <v>15</v>
      </c>
      <c r="C19" s="24" t="n">
        <v>110</v>
      </c>
      <c r="D19" s="24" t="n">
        <v>1000</v>
      </c>
      <c r="E19" s="24" t="s">
        <v>16</v>
      </c>
      <c r="F19" s="24" t="n">
        <v>1000</v>
      </c>
      <c r="G19" s="24" t="s">
        <v>17</v>
      </c>
      <c r="H19" s="24" t="n">
        <v>110</v>
      </c>
      <c r="I19" s="24" t="s">
        <v>16</v>
      </c>
      <c r="J19" s="24"/>
      <c r="K19" s="24" t="n">
        <v>1</v>
      </c>
      <c r="L19" s="24"/>
      <c r="M19" s="24" t="n">
        <v>1</v>
      </c>
      <c r="N19" s="24" t="n">
        <v>363</v>
      </c>
    </row>
    <row r="20" customFormat="false" ht="15" hidden="false" customHeight="false" outlineLevel="0" collapsed="false">
      <c r="A20" s="24" t="n">
        <v>42</v>
      </c>
      <c r="B20" s="24" t="s">
        <v>15</v>
      </c>
      <c r="C20" s="24" t="n">
        <v>110</v>
      </c>
      <c r="D20" s="24" t="n">
        <v>1000</v>
      </c>
      <c r="E20" s="24" t="s">
        <v>16</v>
      </c>
      <c r="F20" s="24" t="n">
        <v>3000</v>
      </c>
      <c r="G20" s="24" t="s">
        <v>17</v>
      </c>
      <c r="H20" s="24" t="n">
        <v>330</v>
      </c>
      <c r="I20" s="24" t="s">
        <v>16</v>
      </c>
      <c r="J20" s="24"/>
      <c r="K20" s="24" t="n">
        <v>3</v>
      </c>
      <c r="L20" s="24"/>
      <c r="M20" s="24" t="n">
        <v>3</v>
      </c>
      <c r="N20" s="24" t="n">
        <v>1089</v>
      </c>
    </row>
    <row r="21" customFormat="false" ht="15" hidden="false" customHeight="false" outlineLevel="0" collapsed="false">
      <c r="A21" s="24" t="n">
        <v>41</v>
      </c>
      <c r="B21" s="24" t="s">
        <v>15</v>
      </c>
      <c r="C21" s="24" t="n">
        <v>114</v>
      </c>
      <c r="D21" s="24" t="n">
        <v>1000</v>
      </c>
      <c r="E21" s="24" t="s">
        <v>16</v>
      </c>
      <c r="F21" s="24" t="n">
        <v>1000</v>
      </c>
      <c r="G21" s="24" t="s">
        <v>17</v>
      </c>
      <c r="H21" s="24" t="n">
        <v>114</v>
      </c>
      <c r="I21" s="24" t="s">
        <v>16</v>
      </c>
      <c r="J21" s="24"/>
      <c r="K21" s="24" t="n">
        <v>1</v>
      </c>
      <c r="L21" s="24"/>
      <c r="M21" s="24" t="n">
        <v>1</v>
      </c>
      <c r="N21" s="24" t="n">
        <v>376.2</v>
      </c>
    </row>
    <row r="22" customFormat="false" ht="15" hidden="false" customHeight="false" outlineLevel="0" collapsed="false">
      <c r="A22" s="24" t="n">
        <v>39</v>
      </c>
      <c r="B22" s="24" t="s">
        <v>15</v>
      </c>
      <c r="C22" s="24" t="n">
        <v>115</v>
      </c>
      <c r="D22" s="24" t="n">
        <v>1000</v>
      </c>
      <c r="E22" s="24" t="s">
        <v>16</v>
      </c>
      <c r="F22" s="24" t="n">
        <v>1000</v>
      </c>
      <c r="G22" s="24" t="s">
        <v>17</v>
      </c>
      <c r="H22" s="24" t="n">
        <v>115</v>
      </c>
      <c r="I22" s="24" t="s">
        <v>16</v>
      </c>
      <c r="J22" s="24"/>
      <c r="K22" s="24" t="n">
        <v>1</v>
      </c>
      <c r="L22" s="24"/>
      <c r="M22" s="24" t="n">
        <v>1</v>
      </c>
      <c r="N22" s="24" t="n">
        <v>379.5</v>
      </c>
    </row>
    <row r="23" customFormat="false" ht="15" hidden="false" customHeight="false" outlineLevel="0" collapsed="false">
      <c r="A23" s="24" t="n">
        <v>41</v>
      </c>
      <c r="B23" s="24" t="s">
        <v>15</v>
      </c>
      <c r="C23" s="24" t="n">
        <v>130</v>
      </c>
      <c r="D23" s="24" t="n">
        <v>1000</v>
      </c>
      <c r="E23" s="24" t="s">
        <v>16</v>
      </c>
      <c r="F23" s="24" t="n">
        <v>1000</v>
      </c>
      <c r="G23" s="24" t="s">
        <v>17</v>
      </c>
      <c r="H23" s="24" t="n">
        <v>130</v>
      </c>
      <c r="I23" s="24" t="s">
        <v>16</v>
      </c>
      <c r="J23" s="24"/>
      <c r="K23" s="24" t="n">
        <v>1</v>
      </c>
      <c r="L23" s="24"/>
      <c r="M23" s="24" t="n">
        <v>1</v>
      </c>
      <c r="N23" s="24" t="n">
        <v>429</v>
      </c>
    </row>
    <row r="24" customFormat="false" ht="15" hidden="false" customHeight="false" outlineLevel="0" collapsed="false">
      <c r="A24" s="24" t="n">
        <v>41</v>
      </c>
      <c r="B24" s="24" t="s">
        <v>15</v>
      </c>
      <c r="C24" s="24" t="n">
        <v>138</v>
      </c>
      <c r="D24" s="24" t="n">
        <v>1000</v>
      </c>
      <c r="E24" s="24" t="s">
        <v>16</v>
      </c>
      <c r="F24" s="24" t="n">
        <v>2000</v>
      </c>
      <c r="G24" s="24" t="s">
        <v>17</v>
      </c>
      <c r="H24" s="24" t="n">
        <v>276</v>
      </c>
      <c r="I24" s="24" t="s">
        <v>16</v>
      </c>
      <c r="J24" s="24"/>
      <c r="K24" s="24" t="n">
        <v>2</v>
      </c>
      <c r="L24" s="24"/>
      <c r="M24" s="24" t="n">
        <v>2</v>
      </c>
      <c r="N24" s="24" t="n">
        <v>910.8</v>
      </c>
    </row>
    <row r="25" customFormat="false" ht="15" hidden="false" customHeight="false" outlineLevel="0" collapsed="false">
      <c r="A25" s="24" t="n">
        <v>41</v>
      </c>
      <c r="B25" s="24" t="s">
        <v>15</v>
      </c>
      <c r="C25" s="24" t="n">
        <v>140</v>
      </c>
      <c r="D25" s="24" t="n">
        <v>1000</v>
      </c>
      <c r="E25" s="24" t="s">
        <v>16</v>
      </c>
      <c r="F25" s="24" t="n">
        <v>1000</v>
      </c>
      <c r="G25" s="24" t="s">
        <v>17</v>
      </c>
      <c r="H25" s="24" t="n">
        <v>140</v>
      </c>
      <c r="I25" s="24" t="s">
        <v>16</v>
      </c>
      <c r="J25" s="24"/>
      <c r="K25" s="24" t="n">
        <v>1</v>
      </c>
      <c r="L25" s="24"/>
      <c r="M25" s="24" t="n">
        <v>1</v>
      </c>
      <c r="N25" s="24" t="n">
        <v>462</v>
      </c>
    </row>
    <row r="26" customFormat="false" ht="15" hidden="false" customHeight="false" outlineLevel="0" collapsed="false">
      <c r="A26" s="24" t="n">
        <v>41</v>
      </c>
      <c r="B26" s="24" t="s">
        <v>15</v>
      </c>
      <c r="C26" s="24" t="n">
        <v>140</v>
      </c>
      <c r="D26" s="24" t="n">
        <v>1000</v>
      </c>
      <c r="E26" s="24" t="s">
        <v>16</v>
      </c>
      <c r="F26" s="24" t="n">
        <v>1000</v>
      </c>
      <c r="G26" s="24" t="s">
        <v>17</v>
      </c>
      <c r="H26" s="24" t="n">
        <v>140</v>
      </c>
      <c r="I26" s="24" t="s">
        <v>16</v>
      </c>
      <c r="J26" s="24"/>
      <c r="K26" s="24" t="n">
        <v>1</v>
      </c>
      <c r="L26" s="24"/>
      <c r="M26" s="24" t="n">
        <v>1</v>
      </c>
      <c r="N26" s="24" t="n">
        <v>462</v>
      </c>
    </row>
    <row r="27" customFormat="false" ht="15" hidden="false" customHeight="false" outlineLevel="0" collapsed="false">
      <c r="A27" s="26" t="n">
        <v>39</v>
      </c>
      <c r="B27" s="26" t="s">
        <v>15</v>
      </c>
      <c r="C27" s="26" t="n">
        <v>190</v>
      </c>
      <c r="D27" s="26" t="n">
        <v>1000</v>
      </c>
      <c r="E27" s="26" t="s">
        <v>16</v>
      </c>
      <c r="F27" s="26" t="n">
        <v>1000</v>
      </c>
      <c r="G27" s="26" t="s">
        <v>17</v>
      </c>
      <c r="H27" s="26" t="n">
        <v>190</v>
      </c>
      <c r="I27" s="26" t="s">
        <v>16</v>
      </c>
      <c r="J27" s="26"/>
      <c r="K27" s="26" t="n">
        <v>1</v>
      </c>
      <c r="L27" s="26"/>
      <c r="M27" s="26" t="n">
        <v>1</v>
      </c>
      <c r="N27" s="26" t="n">
        <v>627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5" activeCellId="0" sqref="B15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.71"/>
    <col collapsed="false" customWidth="true" hidden="false" outlineLevel="0" max="3" min="3" style="1" width="14"/>
    <col collapsed="false" customWidth="true" hidden="false" outlineLevel="0" max="4" min="4" style="1" width="23.57"/>
    <col collapsed="false" customWidth="true" hidden="false" outlineLevel="0" max="5" min="5" style="1" width="19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27" t="s">
        <v>4</v>
      </c>
      <c r="B1" s="28" t="s">
        <v>23</v>
      </c>
      <c r="C1" s="0"/>
    </row>
    <row r="2" customFormat="false" ht="15" hidden="false" customHeight="false" outlineLevel="0" collapsed="false">
      <c r="A2" s="27" t="s">
        <v>6</v>
      </c>
      <c r="B2" s="28" t="s">
        <v>23</v>
      </c>
      <c r="C2" s="0"/>
    </row>
    <row r="3" customFormat="false" ht="15" hidden="false" customHeight="false" outlineLevel="0" collapsed="false">
      <c r="A3" s="0"/>
      <c r="B3" s="0"/>
      <c r="C3" s="0"/>
    </row>
    <row r="4" customFormat="false" ht="15" hidden="false" customHeight="false" outlineLevel="0" collapsed="false">
      <c r="A4" s="29"/>
      <c r="B4" s="30" t="s">
        <v>24</v>
      </c>
      <c r="C4" s="31"/>
    </row>
    <row r="5" customFormat="false" ht="15" hidden="false" customHeight="false" outlineLevel="0" collapsed="false">
      <c r="A5" s="32" t="s">
        <v>25</v>
      </c>
      <c r="B5" s="33" t="s">
        <v>26</v>
      </c>
      <c r="C5" s="34" t="s">
        <v>27</v>
      </c>
    </row>
    <row r="6" customFormat="false" ht="15" hidden="false" customHeight="false" outlineLevel="0" collapsed="false">
      <c r="A6" s="35" t="s">
        <v>15</v>
      </c>
      <c r="B6" s="36" t="n">
        <v>17900</v>
      </c>
      <c r="C6" s="37" t="n">
        <v>19</v>
      </c>
    </row>
    <row r="7" customFormat="false" ht="15" hidden="false" customHeight="false" outlineLevel="0" collapsed="false">
      <c r="A7" s="38" t="n">
        <v>18</v>
      </c>
      <c r="B7" s="39" t="n">
        <v>700</v>
      </c>
      <c r="C7" s="40" t="n">
        <v>1</v>
      </c>
    </row>
    <row r="8" customFormat="false" ht="15" hidden="false" customHeight="false" outlineLevel="0" collapsed="false">
      <c r="A8" s="38" t="n">
        <v>20</v>
      </c>
      <c r="B8" s="39" t="n">
        <v>1000</v>
      </c>
      <c r="C8" s="40" t="n">
        <v>1</v>
      </c>
    </row>
    <row r="9" customFormat="false" ht="15" hidden="false" customHeight="false" outlineLevel="0" collapsed="false">
      <c r="A9" s="38" t="n">
        <v>30</v>
      </c>
      <c r="B9" s="39" t="n">
        <v>0</v>
      </c>
      <c r="C9" s="40" t="n">
        <v>0</v>
      </c>
    </row>
    <row r="10" customFormat="false" ht="15" hidden="false" customHeight="false" outlineLevel="0" collapsed="false">
      <c r="A10" s="38" t="n">
        <v>40</v>
      </c>
      <c r="B10" s="39" t="n">
        <v>0</v>
      </c>
      <c r="C10" s="40" t="n">
        <v>0</v>
      </c>
    </row>
    <row r="11" customFormat="false" ht="15" hidden="false" customHeight="false" outlineLevel="0" collapsed="false">
      <c r="A11" s="38" t="n">
        <v>45</v>
      </c>
      <c r="B11" s="39" t="n">
        <v>0</v>
      </c>
      <c r="C11" s="40" t="n">
        <v>0</v>
      </c>
    </row>
    <row r="12" customFormat="false" ht="15" hidden="false" customHeight="false" outlineLevel="0" collapsed="false">
      <c r="A12" s="38" t="n">
        <v>46</v>
      </c>
      <c r="B12" s="39" t="n">
        <v>0</v>
      </c>
      <c r="C12" s="40" t="n">
        <v>0</v>
      </c>
    </row>
    <row r="13" customFormat="false" ht="15" hidden="false" customHeight="false" outlineLevel="0" collapsed="false">
      <c r="A13" s="38" t="n">
        <v>55</v>
      </c>
      <c r="B13" s="39" t="n">
        <v>0</v>
      </c>
      <c r="C13" s="40" t="n">
        <v>0</v>
      </c>
    </row>
    <row r="14" customFormat="false" ht="15" hidden="false" customHeight="false" outlineLevel="0" collapsed="false">
      <c r="A14" s="38" t="n">
        <v>60</v>
      </c>
      <c r="B14" s="39" t="n">
        <v>0</v>
      </c>
      <c r="C14" s="40" t="n">
        <v>0</v>
      </c>
    </row>
    <row r="15" customFormat="false" ht="15" hidden="false" customHeight="false" outlineLevel="0" collapsed="false">
      <c r="A15" s="38" t="n">
        <v>63</v>
      </c>
      <c r="B15" s="39" t="n">
        <v>0</v>
      </c>
      <c r="C15" s="40" t="n">
        <v>0</v>
      </c>
    </row>
    <row r="16" customFormat="false" ht="15" hidden="false" customHeight="false" outlineLevel="0" collapsed="false">
      <c r="A16" s="38" t="n">
        <v>65</v>
      </c>
      <c r="B16" s="39" t="n">
        <v>2800</v>
      </c>
      <c r="C16" s="40" t="n">
        <v>3</v>
      </c>
    </row>
    <row r="17" customFormat="false" ht="15" hidden="false" customHeight="false" outlineLevel="0" collapsed="false">
      <c r="A17" s="38" t="n">
        <v>75</v>
      </c>
      <c r="B17" s="39" t="n">
        <v>6000</v>
      </c>
      <c r="C17" s="40" t="n">
        <v>6</v>
      </c>
    </row>
    <row r="18" customFormat="false" ht="15" hidden="false" customHeight="false" outlineLevel="0" collapsed="false">
      <c r="A18" s="38" t="n">
        <v>95</v>
      </c>
      <c r="B18" s="39" t="n">
        <v>0</v>
      </c>
      <c r="C18" s="40" t="n">
        <v>0</v>
      </c>
    </row>
    <row r="19" customFormat="false" ht="15" hidden="false" customHeight="false" outlineLevel="0" collapsed="false">
      <c r="A19" s="38" t="n">
        <v>100</v>
      </c>
      <c r="B19" s="39" t="n">
        <v>3000</v>
      </c>
      <c r="C19" s="40" t="n">
        <v>3</v>
      </c>
    </row>
    <row r="20" customFormat="false" ht="15" hidden="false" customHeight="false" outlineLevel="0" collapsed="false">
      <c r="A20" s="38" t="n">
        <v>105</v>
      </c>
      <c r="B20" s="39" t="n">
        <v>2000</v>
      </c>
      <c r="C20" s="40" t="n">
        <v>2</v>
      </c>
    </row>
    <row r="21" customFormat="false" ht="15" hidden="false" customHeight="false" outlineLevel="0" collapsed="false">
      <c r="A21" s="38" t="n">
        <v>110</v>
      </c>
      <c r="B21" s="39" t="n">
        <v>400</v>
      </c>
      <c r="C21" s="40" t="n">
        <v>1</v>
      </c>
    </row>
    <row r="22" customFormat="false" ht="15" hidden="false" customHeight="false" outlineLevel="0" collapsed="false">
      <c r="A22" s="38" t="n">
        <v>115</v>
      </c>
      <c r="B22" s="39" t="n">
        <v>1000</v>
      </c>
      <c r="C22" s="40" t="n">
        <v>1</v>
      </c>
    </row>
    <row r="23" customFormat="false" ht="15" hidden="false" customHeight="false" outlineLevel="0" collapsed="false">
      <c r="A23" s="38" t="n">
        <v>120</v>
      </c>
      <c r="B23" s="39" t="n">
        <v>0</v>
      </c>
      <c r="C23" s="40" t="n">
        <v>0</v>
      </c>
    </row>
    <row r="24" customFormat="false" ht="15" hidden="false" customHeight="false" outlineLevel="0" collapsed="false">
      <c r="A24" s="38" t="n">
        <v>130</v>
      </c>
      <c r="B24" s="39" t="n">
        <v>0</v>
      </c>
      <c r="C24" s="40" t="n">
        <v>0</v>
      </c>
    </row>
    <row r="25" customFormat="false" ht="15" hidden="false" customHeight="false" outlineLevel="0" collapsed="false">
      <c r="A25" s="38" t="n">
        <v>138</v>
      </c>
      <c r="B25" s="39" t="n">
        <v>0</v>
      </c>
      <c r="C25" s="40" t="n">
        <v>0</v>
      </c>
    </row>
    <row r="26" customFormat="false" ht="15" hidden="false" customHeight="false" outlineLevel="0" collapsed="false">
      <c r="A26" s="38" t="n">
        <v>140</v>
      </c>
      <c r="B26" s="39" t="n">
        <v>0</v>
      </c>
      <c r="C26" s="40" t="n">
        <v>0</v>
      </c>
    </row>
    <row r="27" customFormat="false" ht="15" hidden="false" customHeight="false" outlineLevel="0" collapsed="false">
      <c r="A27" s="38" t="n">
        <v>190</v>
      </c>
      <c r="B27" s="39" t="n">
        <v>0</v>
      </c>
      <c r="C27" s="40" t="n">
        <v>0</v>
      </c>
    </row>
    <row r="28" customFormat="false" ht="15" hidden="false" customHeight="false" outlineLevel="0" collapsed="false">
      <c r="A28" s="41" t="n">
        <v>195</v>
      </c>
      <c r="B28" s="42" t="n">
        <v>1000</v>
      </c>
      <c r="C28" s="43" t="n">
        <v>1</v>
      </c>
    </row>
    <row r="29" customFormat="false" ht="15" hidden="false" customHeight="false" outlineLevel="0" collapsed="false">
      <c r="A29" s="44" t="s">
        <v>28</v>
      </c>
      <c r="B29" s="45" t="n">
        <v>17900</v>
      </c>
      <c r="C29" s="46" t="n">
        <v>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2" activePane="bottomLeft" state="frozen"/>
      <selection pane="topLeft" activeCell="A1" activeCellId="0" sqref="A1"/>
      <selection pane="bottomLeft" activeCell="I1" activeCellId="0" sqref="I1"/>
    </sheetView>
  </sheetViews>
  <sheetFormatPr defaultColWidth="8.57421875" defaultRowHeight="18.75" zeroHeight="false" outlineLevelRow="0" outlineLevelCol="0"/>
  <cols>
    <col collapsed="false" customWidth="true" hidden="false" outlineLevel="0" max="1" min="1" style="1" width="21.14"/>
    <col collapsed="false" customWidth="true" hidden="false" outlineLevel="0" max="2" min="2" style="1" width="18.29"/>
    <col collapsed="false" customWidth="true" hidden="false" outlineLevel="0" max="3" min="3" style="1" width="14.57"/>
    <col collapsed="false" customWidth="true" hidden="false" outlineLevel="0" max="4" min="4" style="1" width="10.57"/>
    <col collapsed="false" customWidth="true" hidden="false" outlineLevel="0" max="5" min="5" style="1" width="38.57"/>
    <col collapsed="false" customWidth="true" hidden="false" outlineLevel="0" max="6" min="6" style="1" width="10.43"/>
    <col collapsed="false" customWidth="true" hidden="false" outlineLevel="0" max="7" min="7" style="1" width="8.14"/>
    <col collapsed="false" customWidth="true" hidden="false" outlineLevel="0" max="8" min="8" style="1" width="7.43"/>
    <col collapsed="false" customWidth="true" hidden="false" outlineLevel="0" max="9" min="9" style="1" width="42"/>
    <col collapsed="false" customWidth="true" hidden="false" outlineLevel="0" max="10" min="10" style="1" width="17.14"/>
    <col collapsed="false" customWidth="true" hidden="false" outlineLevel="0" max="11" min="11" style="1" width="11.43"/>
    <col collapsed="false" customWidth="true" hidden="false" outlineLevel="0" max="12" min="12" style="1" width="8"/>
    <col collapsed="false" customWidth="true" hidden="false" outlineLevel="0" max="13" min="13" style="1" width="7.57"/>
    <col collapsed="false" customWidth="true" hidden="false" outlineLevel="0" max="14" min="14" style="1" width="23.15"/>
    <col collapsed="false" customWidth="true" hidden="false" outlineLevel="0" max="15" min="15" style="1" width="17.43"/>
    <col collapsed="false" customWidth="true" hidden="false" outlineLevel="0" max="35" min="16" style="1" width="9.14"/>
    <col collapsed="false" customWidth="false" hidden="false" outlineLevel="0" max="16251" min="36" style="1" width="8.57"/>
    <col collapsed="false" customWidth="true" hidden="false" outlineLevel="0" max="16384" min="16252" style="1" width="14.43"/>
  </cols>
  <sheetData>
    <row r="1" s="51" customFormat="true" ht="28.5" hidden="false" customHeight="true" outlineLevel="0" collapsed="false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8" t="s">
        <v>7</v>
      </c>
      <c r="I1" s="47" t="s">
        <v>8</v>
      </c>
      <c r="J1" s="49" t="s">
        <v>9</v>
      </c>
      <c r="K1" s="47" t="s">
        <v>10</v>
      </c>
      <c r="L1" s="47" t="s">
        <v>11</v>
      </c>
      <c r="M1" s="47" t="s">
        <v>12</v>
      </c>
      <c r="N1" s="50" t="s">
        <v>13</v>
      </c>
      <c r="O1" s="47" t="s">
        <v>14</v>
      </c>
    </row>
    <row r="2" customFormat="false" ht="18.75" hidden="false" customHeight="true" outlineLevel="0" collapsed="false">
      <c r="A2" s="10" t="n">
        <v>37</v>
      </c>
      <c r="B2" s="11" t="s">
        <v>29</v>
      </c>
      <c r="C2" s="11" t="n">
        <v>0</v>
      </c>
      <c r="D2" s="11" t="n">
        <v>1000</v>
      </c>
      <c r="E2" s="11" t="s">
        <v>30</v>
      </c>
      <c r="F2" s="12" t="n">
        <f aca="false">M2*D2</f>
        <v>2000</v>
      </c>
      <c r="G2" s="11" t="s">
        <v>31</v>
      </c>
      <c r="H2" s="11" t="n">
        <f aca="false">(M2*(C2/1000))*D2</f>
        <v>0</v>
      </c>
      <c r="I2" s="11" t="s">
        <v>32</v>
      </c>
      <c r="J2" s="17" t="n">
        <v>45723</v>
      </c>
      <c r="K2" s="11" t="n">
        <v>2</v>
      </c>
      <c r="L2" s="11"/>
      <c r="M2" s="52" t="n">
        <f aca="false">K2-L2</f>
        <v>2</v>
      </c>
      <c r="N2" s="53" t="n">
        <f aca="false">H2*1.5</f>
        <v>0</v>
      </c>
      <c r="O2" s="19"/>
    </row>
    <row r="3" customFormat="false" ht="18.75" hidden="false" customHeight="true" outlineLevel="0" collapsed="false">
      <c r="A3" s="10" t="n">
        <v>37</v>
      </c>
      <c r="B3" s="11" t="s">
        <v>33</v>
      </c>
      <c r="C3" s="11" t="n">
        <v>60</v>
      </c>
      <c r="D3" s="11" t="n">
        <v>1000</v>
      </c>
      <c r="E3" s="11" t="s">
        <v>34</v>
      </c>
      <c r="F3" s="12" t="n">
        <f aca="false">M3*D3</f>
        <v>2000</v>
      </c>
      <c r="G3" s="11" t="s">
        <v>35</v>
      </c>
      <c r="H3" s="11" t="n">
        <f aca="false">(M3*(C3/1000))*D3</f>
        <v>120</v>
      </c>
      <c r="I3" s="11" t="s">
        <v>36</v>
      </c>
      <c r="J3" s="17" t="n">
        <v>46183</v>
      </c>
      <c r="K3" s="11" t="n">
        <v>2</v>
      </c>
      <c r="L3" s="11"/>
      <c r="M3" s="52" t="n">
        <f aca="false">K3-L3</f>
        <v>2</v>
      </c>
      <c r="N3" s="53" t="n">
        <f aca="false">H3*2.5</f>
        <v>300</v>
      </c>
    </row>
    <row r="4" customFormat="false" ht="18.75" hidden="false" customHeight="true" outlineLevel="0" collapsed="false">
      <c r="A4" s="10" t="n">
        <v>37</v>
      </c>
      <c r="B4" s="11" t="s">
        <v>29</v>
      </c>
      <c r="C4" s="11" t="n">
        <v>65</v>
      </c>
      <c r="D4" s="11" t="n">
        <v>1000</v>
      </c>
      <c r="E4" s="11" t="s">
        <v>30</v>
      </c>
      <c r="F4" s="12" t="n">
        <f aca="false">M4*D4</f>
        <v>1000</v>
      </c>
      <c r="G4" s="11" t="s">
        <v>31</v>
      </c>
      <c r="H4" s="11" t="n">
        <f aca="false">(M4*(C4/1000))*D4</f>
        <v>65</v>
      </c>
      <c r="I4" s="11" t="s">
        <v>32</v>
      </c>
      <c r="J4" s="17" t="n">
        <v>45666</v>
      </c>
      <c r="K4" s="11" t="n">
        <v>1</v>
      </c>
      <c r="L4" s="11"/>
      <c r="M4" s="52" t="n">
        <f aca="false">K4-L4</f>
        <v>1</v>
      </c>
      <c r="N4" s="53" t="n">
        <f aca="false">H4*1.5</f>
        <v>97.5</v>
      </c>
    </row>
    <row r="5" customFormat="false" ht="18.75" hidden="false" customHeight="true" outlineLevel="0" collapsed="false">
      <c r="A5" s="10" t="n">
        <v>37</v>
      </c>
      <c r="B5" s="11" t="s">
        <v>29</v>
      </c>
      <c r="C5" s="11" t="n">
        <v>65</v>
      </c>
      <c r="D5" s="11" t="n">
        <v>1000</v>
      </c>
      <c r="E5" s="11" t="s">
        <v>30</v>
      </c>
      <c r="F5" s="12" t="n">
        <f aca="false">M5*D5</f>
        <v>1000</v>
      </c>
      <c r="G5" s="11" t="s">
        <v>31</v>
      </c>
      <c r="H5" s="11" t="n">
        <f aca="false">(M5*(C5/1000))*D5</f>
        <v>65</v>
      </c>
      <c r="I5" s="11" t="s">
        <v>32</v>
      </c>
      <c r="J5" s="17" t="n">
        <v>45505</v>
      </c>
      <c r="K5" s="11" t="n">
        <v>1</v>
      </c>
      <c r="L5" s="11"/>
      <c r="M5" s="52" t="n">
        <f aca="false">K5-L5</f>
        <v>1</v>
      </c>
      <c r="N5" s="53" t="n">
        <f aca="false">H5*1.5</f>
        <v>97.5</v>
      </c>
      <c r="O5" s="19"/>
    </row>
    <row r="6" customFormat="false" ht="18.75" hidden="false" customHeight="true" outlineLevel="0" collapsed="false">
      <c r="A6" s="10" t="n">
        <v>40</v>
      </c>
      <c r="B6" s="11" t="s">
        <v>29</v>
      </c>
      <c r="C6" s="11" t="n">
        <v>70</v>
      </c>
      <c r="D6" s="11" t="n">
        <v>1000</v>
      </c>
      <c r="E6" s="11" t="s">
        <v>37</v>
      </c>
      <c r="F6" s="12" t="n">
        <f aca="false">M6*D6</f>
        <v>0</v>
      </c>
      <c r="G6" s="11" t="s">
        <v>35</v>
      </c>
      <c r="H6" s="11" t="n">
        <f aca="false">(M6*(C6/1000))*D6</f>
        <v>0</v>
      </c>
      <c r="I6" s="11" t="s">
        <v>38</v>
      </c>
      <c r="J6" s="17"/>
      <c r="K6" s="11"/>
      <c r="L6" s="11"/>
      <c r="M6" s="52" t="n">
        <f aca="false">K6-L6</f>
        <v>0</v>
      </c>
      <c r="N6" s="53" t="n">
        <f aca="false">H6*2.5</f>
        <v>0</v>
      </c>
      <c r="O6" s="15"/>
    </row>
    <row r="7" customFormat="false" ht="18.75" hidden="false" customHeight="true" outlineLevel="0" collapsed="false">
      <c r="A7" s="10" t="n">
        <v>40</v>
      </c>
      <c r="B7" s="11" t="s">
        <v>29</v>
      </c>
      <c r="C7" s="11" t="n">
        <v>70</v>
      </c>
      <c r="D7" s="11" t="n">
        <v>1000</v>
      </c>
      <c r="E7" s="11" t="s">
        <v>30</v>
      </c>
      <c r="F7" s="12" t="n">
        <f aca="false">M7*D7</f>
        <v>1000</v>
      </c>
      <c r="G7" s="11" t="s">
        <v>31</v>
      </c>
      <c r="H7" s="11" t="n">
        <f aca="false">(M7*(C7/1000))*D7</f>
        <v>70</v>
      </c>
      <c r="I7" s="11" t="s">
        <v>32</v>
      </c>
      <c r="J7" s="17"/>
      <c r="K7" s="11" t="n">
        <v>1</v>
      </c>
      <c r="L7" s="11"/>
      <c r="M7" s="52" t="n">
        <f aca="false">K7-L7</f>
        <v>1</v>
      </c>
      <c r="N7" s="53" t="n">
        <f aca="false">H7*1.5</f>
        <v>105</v>
      </c>
    </row>
    <row r="8" customFormat="false" ht="18.75" hidden="false" customHeight="true" outlineLevel="0" collapsed="false">
      <c r="A8" s="10" t="n">
        <v>41</v>
      </c>
      <c r="B8" s="11" t="s">
        <v>29</v>
      </c>
      <c r="C8" s="11" t="n">
        <v>70</v>
      </c>
      <c r="D8" s="11" t="n">
        <v>1000</v>
      </c>
      <c r="E8" s="11" t="s">
        <v>30</v>
      </c>
      <c r="F8" s="12" t="n">
        <f aca="false">M8*D8</f>
        <v>1000</v>
      </c>
      <c r="G8" s="11" t="s">
        <v>31</v>
      </c>
      <c r="H8" s="11" t="n">
        <f aca="false">(M8*(C8/1000))*D8</f>
        <v>70</v>
      </c>
      <c r="I8" s="11" t="s">
        <v>32</v>
      </c>
      <c r="J8" s="17" t="n">
        <v>45961</v>
      </c>
      <c r="K8" s="11" t="n">
        <v>1</v>
      </c>
      <c r="L8" s="11"/>
      <c r="M8" s="52" t="n">
        <f aca="false">K8-L8</f>
        <v>1</v>
      </c>
      <c r="N8" s="53" t="n">
        <f aca="false">H8*1.5</f>
        <v>105</v>
      </c>
    </row>
    <row r="9" customFormat="false" ht="18.75" hidden="false" customHeight="true" outlineLevel="0" collapsed="false">
      <c r="A9" s="10" t="n">
        <v>46</v>
      </c>
      <c r="B9" s="11" t="s">
        <v>29</v>
      </c>
      <c r="C9" s="11" t="n">
        <v>75</v>
      </c>
      <c r="D9" s="11" t="n">
        <v>1000</v>
      </c>
      <c r="E9" s="11" t="s">
        <v>37</v>
      </c>
      <c r="F9" s="12" t="n">
        <f aca="false">M9*D9</f>
        <v>0</v>
      </c>
      <c r="G9" s="11" t="s">
        <v>35</v>
      </c>
      <c r="H9" s="11" t="n">
        <f aca="false">(M9*(C9/1000))*D9</f>
        <v>0</v>
      </c>
      <c r="I9" s="11" t="s">
        <v>39</v>
      </c>
      <c r="J9" s="17"/>
      <c r="K9" s="11"/>
      <c r="L9" s="11"/>
      <c r="M9" s="52" t="n">
        <f aca="false">K9-L9</f>
        <v>0</v>
      </c>
      <c r="N9" s="53" t="n">
        <f aca="false">H9*2.5</f>
        <v>0</v>
      </c>
    </row>
    <row r="10" customFormat="false" ht="18.75" hidden="false" customHeight="true" outlineLevel="0" collapsed="false">
      <c r="A10" s="10" t="n">
        <v>40</v>
      </c>
      <c r="B10" s="11" t="s">
        <v>29</v>
      </c>
      <c r="C10" s="11" t="n">
        <v>75</v>
      </c>
      <c r="D10" s="11" t="n">
        <v>1500</v>
      </c>
      <c r="E10" s="11" t="s">
        <v>30</v>
      </c>
      <c r="F10" s="12" t="n">
        <f aca="false">M10*D10</f>
        <v>4500</v>
      </c>
      <c r="G10" s="11" t="s">
        <v>31</v>
      </c>
      <c r="H10" s="11" t="n">
        <f aca="false">(M10*(C10/1000))*D10</f>
        <v>337.5</v>
      </c>
      <c r="I10" s="11" t="s">
        <v>32</v>
      </c>
      <c r="J10" s="17"/>
      <c r="K10" s="11" t="n">
        <v>3</v>
      </c>
      <c r="L10" s="11"/>
      <c r="M10" s="52" t="n">
        <f aca="false">K10-L10</f>
        <v>3</v>
      </c>
      <c r="N10" s="53" t="n">
        <f aca="false">H10*1.5</f>
        <v>506.25</v>
      </c>
    </row>
    <row r="11" customFormat="false" ht="18.75" hidden="false" customHeight="true" outlineLevel="0" collapsed="false">
      <c r="A11" s="10" t="n">
        <v>41</v>
      </c>
      <c r="B11" s="11" t="s">
        <v>29</v>
      </c>
      <c r="C11" s="11" t="n">
        <v>80</v>
      </c>
      <c r="D11" s="11" t="n">
        <v>1000</v>
      </c>
      <c r="E11" s="11" t="s">
        <v>30</v>
      </c>
      <c r="F11" s="12" t="n">
        <f aca="false">M11*D11</f>
        <v>1000</v>
      </c>
      <c r="G11" s="11" t="s">
        <v>31</v>
      </c>
      <c r="H11" s="11" t="n">
        <f aca="false">(M11*(C11/1000))*D11</f>
        <v>80</v>
      </c>
      <c r="I11" s="11" t="s">
        <v>32</v>
      </c>
      <c r="J11" s="17" t="n">
        <v>45961</v>
      </c>
      <c r="K11" s="11" t="n">
        <v>1</v>
      </c>
      <c r="L11" s="11"/>
      <c r="M11" s="52" t="n">
        <f aca="false">K11-L11</f>
        <v>1</v>
      </c>
      <c r="N11" s="53" t="n">
        <f aca="false">H11*1.5</f>
        <v>120</v>
      </c>
    </row>
    <row r="12" customFormat="false" ht="18.75" hidden="false" customHeight="true" outlineLevel="0" collapsed="false">
      <c r="A12" s="10" t="n">
        <v>37</v>
      </c>
      <c r="B12" s="11" t="s">
        <v>33</v>
      </c>
      <c r="C12" s="11" t="n">
        <v>80</v>
      </c>
      <c r="D12" s="11" t="n">
        <v>1000</v>
      </c>
      <c r="E12" s="11" t="s">
        <v>34</v>
      </c>
      <c r="F12" s="12" t="n">
        <f aca="false">M12*D12</f>
        <v>1000</v>
      </c>
      <c r="G12" s="11" t="s">
        <v>35</v>
      </c>
      <c r="H12" s="11" t="n">
        <f aca="false">(M12*(C12/1000))*D12</f>
        <v>80</v>
      </c>
      <c r="I12" s="11" t="s">
        <v>36</v>
      </c>
      <c r="J12" s="17" t="n">
        <v>46183</v>
      </c>
      <c r="K12" s="11" t="n">
        <v>1</v>
      </c>
      <c r="L12" s="11"/>
      <c r="M12" s="52" t="n">
        <f aca="false">K12-L12</f>
        <v>1</v>
      </c>
      <c r="N12" s="53" t="n">
        <f aca="false">H12*2.5</f>
        <v>200</v>
      </c>
    </row>
    <row r="13" customFormat="false" ht="18.75" hidden="false" customHeight="true" outlineLevel="0" collapsed="false">
      <c r="A13" s="10" t="n">
        <v>40</v>
      </c>
      <c r="B13" s="11" t="s">
        <v>29</v>
      </c>
      <c r="C13" s="11" t="n">
        <v>85</v>
      </c>
      <c r="D13" s="11" t="n">
        <v>1000</v>
      </c>
      <c r="E13" s="11" t="s">
        <v>37</v>
      </c>
      <c r="F13" s="12" t="n">
        <f aca="false">M13*D13</f>
        <v>0</v>
      </c>
      <c r="G13" s="11" t="s">
        <v>35</v>
      </c>
      <c r="H13" s="11" t="n">
        <f aca="false">(M13*(C13/1000))*D13</f>
        <v>0</v>
      </c>
      <c r="I13" s="11" t="s">
        <v>40</v>
      </c>
      <c r="J13" s="17"/>
      <c r="K13" s="11"/>
      <c r="L13" s="11"/>
      <c r="M13" s="52" t="n">
        <f aca="false">K13-L13</f>
        <v>0</v>
      </c>
      <c r="N13" s="53" t="n">
        <f aca="false">H13*2.5</f>
        <v>0</v>
      </c>
      <c r="O13" s="15"/>
    </row>
    <row r="14" customFormat="false" ht="18.75" hidden="false" customHeight="true" outlineLevel="0" collapsed="false">
      <c r="A14" s="10" t="n">
        <v>40</v>
      </c>
      <c r="B14" s="11" t="s">
        <v>29</v>
      </c>
      <c r="C14" s="11" t="n">
        <v>85</v>
      </c>
      <c r="D14" s="11" t="n">
        <v>1000</v>
      </c>
      <c r="E14" s="11" t="s">
        <v>30</v>
      </c>
      <c r="F14" s="12" t="n">
        <f aca="false">M14*D14</f>
        <v>1000</v>
      </c>
      <c r="G14" s="11" t="s">
        <v>31</v>
      </c>
      <c r="H14" s="11" t="n">
        <f aca="false">(M14*(C14/1000))*D14</f>
        <v>85</v>
      </c>
      <c r="I14" s="11" t="s">
        <v>32</v>
      </c>
      <c r="J14" s="17"/>
      <c r="K14" s="11" t="n">
        <v>1</v>
      </c>
      <c r="L14" s="11"/>
      <c r="M14" s="52" t="n">
        <f aca="false">K14-L14</f>
        <v>1</v>
      </c>
      <c r="N14" s="53" t="n">
        <f aca="false">H14*1.5</f>
        <v>127.5</v>
      </c>
    </row>
    <row r="15" customFormat="false" ht="18.75" hidden="false" customHeight="true" outlineLevel="0" collapsed="false">
      <c r="A15" s="10" t="n">
        <v>41</v>
      </c>
      <c r="B15" s="11" t="s">
        <v>29</v>
      </c>
      <c r="C15" s="11" t="n">
        <v>85</v>
      </c>
      <c r="D15" s="11" t="n">
        <v>1000</v>
      </c>
      <c r="E15" s="11" t="s">
        <v>30</v>
      </c>
      <c r="F15" s="12" t="n">
        <f aca="false">M15*D15</f>
        <v>1000</v>
      </c>
      <c r="G15" s="11" t="s">
        <v>31</v>
      </c>
      <c r="H15" s="11" t="n">
        <f aca="false">(M15*(C15/1000))*D15</f>
        <v>85</v>
      </c>
      <c r="I15" s="11" t="s">
        <v>32</v>
      </c>
      <c r="J15" s="17" t="n">
        <v>45961</v>
      </c>
      <c r="K15" s="11" t="n">
        <v>1</v>
      </c>
      <c r="L15" s="11"/>
      <c r="M15" s="52" t="n">
        <f aca="false">K15-L15</f>
        <v>1</v>
      </c>
      <c r="N15" s="53" t="n">
        <f aca="false">H15*1.5</f>
        <v>127.5</v>
      </c>
    </row>
    <row r="16" customFormat="false" ht="18.75" hidden="false" customHeight="true" outlineLevel="0" collapsed="false">
      <c r="A16" s="10" t="n">
        <v>37</v>
      </c>
      <c r="B16" s="11" t="s">
        <v>29</v>
      </c>
      <c r="C16" s="11" t="n">
        <v>90</v>
      </c>
      <c r="D16" s="11" t="n">
        <v>1000</v>
      </c>
      <c r="E16" s="11" t="s">
        <v>30</v>
      </c>
      <c r="F16" s="12" t="n">
        <f aca="false">M16*D16</f>
        <v>1000</v>
      </c>
      <c r="G16" s="11" t="s">
        <v>31</v>
      </c>
      <c r="H16" s="11" t="n">
        <f aca="false">(M16*(C16/1000))*D16</f>
        <v>90</v>
      </c>
      <c r="I16" s="11" t="s">
        <v>32</v>
      </c>
      <c r="J16" s="17" t="n">
        <v>45505</v>
      </c>
      <c r="K16" s="11" t="n">
        <v>1</v>
      </c>
      <c r="L16" s="11"/>
      <c r="M16" s="52" t="n">
        <f aca="false">K16-L16</f>
        <v>1</v>
      </c>
      <c r="N16" s="53" t="n">
        <f aca="false">H16*1.5</f>
        <v>135</v>
      </c>
    </row>
    <row r="17" customFormat="false" ht="18.75" hidden="false" customHeight="true" outlineLevel="0" collapsed="false">
      <c r="A17" s="10" t="n">
        <v>40</v>
      </c>
      <c r="B17" s="11" t="s">
        <v>29</v>
      </c>
      <c r="C17" s="11" t="n">
        <v>90</v>
      </c>
      <c r="D17" s="11" t="n">
        <v>1000</v>
      </c>
      <c r="E17" s="11" t="s">
        <v>30</v>
      </c>
      <c r="F17" s="12" t="n">
        <f aca="false">M17*D17</f>
        <v>5000</v>
      </c>
      <c r="G17" s="11" t="s">
        <v>31</v>
      </c>
      <c r="H17" s="11" t="n">
        <f aca="false">(M17*(C17/1000))*D17</f>
        <v>450</v>
      </c>
      <c r="I17" s="11" t="s">
        <v>32</v>
      </c>
      <c r="J17" s="17" t="n">
        <v>46367</v>
      </c>
      <c r="K17" s="11" t="n">
        <v>5</v>
      </c>
      <c r="L17" s="11"/>
      <c r="M17" s="52" t="n">
        <f aca="false">K17-L17</f>
        <v>5</v>
      </c>
      <c r="N17" s="53" t="n">
        <f aca="false">H17*1.5</f>
        <v>675</v>
      </c>
      <c r="O17" s="19"/>
    </row>
    <row r="18" customFormat="false" ht="18.75" hidden="false" customHeight="true" outlineLevel="0" collapsed="false">
      <c r="A18" s="10" t="n">
        <v>41</v>
      </c>
      <c r="B18" s="11" t="s">
        <v>29</v>
      </c>
      <c r="C18" s="11" t="n">
        <v>90</v>
      </c>
      <c r="D18" s="11" t="n">
        <v>1000</v>
      </c>
      <c r="E18" s="11" t="s">
        <v>30</v>
      </c>
      <c r="F18" s="12" t="n">
        <f aca="false">M18*D18</f>
        <v>1000</v>
      </c>
      <c r="G18" s="11" t="s">
        <v>31</v>
      </c>
      <c r="H18" s="11" t="n">
        <f aca="false">(M18*(C18/1000))*D18</f>
        <v>90</v>
      </c>
      <c r="I18" s="11" t="s">
        <v>32</v>
      </c>
      <c r="J18" s="17"/>
      <c r="K18" s="11" t="n">
        <v>1</v>
      </c>
      <c r="L18" s="11"/>
      <c r="M18" s="52" t="n">
        <f aca="false">K18-L18</f>
        <v>1</v>
      </c>
      <c r="N18" s="53" t="n">
        <f aca="false">H18*1.5</f>
        <v>135</v>
      </c>
      <c r="O18" s="19"/>
    </row>
    <row r="19" customFormat="false" ht="18.75" hidden="false" customHeight="true" outlineLevel="0" collapsed="false">
      <c r="A19" s="10" t="n">
        <v>37</v>
      </c>
      <c r="B19" s="11" t="s">
        <v>29</v>
      </c>
      <c r="C19" s="11" t="n">
        <v>100</v>
      </c>
      <c r="D19" s="11" t="n">
        <v>1000</v>
      </c>
      <c r="E19" s="11" t="s">
        <v>30</v>
      </c>
      <c r="F19" s="12" t="n">
        <f aca="false">M19*D19</f>
        <v>1000</v>
      </c>
      <c r="G19" s="11" t="s">
        <v>31</v>
      </c>
      <c r="H19" s="11" t="n">
        <f aca="false">(M19*(C19/1000))*D19</f>
        <v>100</v>
      </c>
      <c r="I19" s="11" t="s">
        <v>32</v>
      </c>
      <c r="J19" s="17" t="n">
        <v>45723</v>
      </c>
      <c r="K19" s="11" t="n">
        <v>1</v>
      </c>
      <c r="L19" s="11"/>
      <c r="M19" s="52" t="n">
        <f aca="false">K19-L19</f>
        <v>1</v>
      </c>
      <c r="N19" s="53" t="n">
        <f aca="false">H19*1.5</f>
        <v>150</v>
      </c>
      <c r="O19" s="19"/>
    </row>
    <row r="20" customFormat="false" ht="18.75" hidden="false" customHeight="true" outlineLevel="0" collapsed="false">
      <c r="A20" s="10" t="n">
        <v>40</v>
      </c>
      <c r="B20" s="11" t="s">
        <v>29</v>
      </c>
      <c r="C20" s="11" t="n">
        <v>100</v>
      </c>
      <c r="D20" s="11" t="n">
        <v>1000</v>
      </c>
      <c r="E20" s="11" t="s">
        <v>30</v>
      </c>
      <c r="F20" s="12" t="n">
        <f aca="false">M20*D20</f>
        <v>2000</v>
      </c>
      <c r="G20" s="11" t="s">
        <v>31</v>
      </c>
      <c r="H20" s="11" t="n">
        <f aca="false">(M20*(C20/1000))*D20</f>
        <v>200</v>
      </c>
      <c r="I20" s="11" t="s">
        <v>32</v>
      </c>
      <c r="J20" s="17"/>
      <c r="K20" s="11" t="n">
        <v>2</v>
      </c>
      <c r="L20" s="11"/>
      <c r="M20" s="52" t="n">
        <f aca="false">K20-L20</f>
        <v>2</v>
      </c>
      <c r="N20" s="53" t="n">
        <f aca="false">H20*1.5</f>
        <v>300</v>
      </c>
      <c r="O20" s="19"/>
    </row>
    <row r="21" customFormat="false" ht="18.75" hidden="false" customHeight="true" outlineLevel="0" collapsed="false">
      <c r="A21" s="10" t="n">
        <v>45</v>
      </c>
      <c r="B21" s="11" t="s">
        <v>29</v>
      </c>
      <c r="C21" s="11" t="n">
        <v>105</v>
      </c>
      <c r="D21" s="11" t="n">
        <v>1000</v>
      </c>
      <c r="E21" s="11" t="s">
        <v>37</v>
      </c>
      <c r="F21" s="12" t="n">
        <f aca="false">M21*D21</f>
        <v>0</v>
      </c>
      <c r="G21" s="11" t="s">
        <v>35</v>
      </c>
      <c r="H21" s="11" t="n">
        <f aca="false">(M21*(C21/1000))*D21</f>
        <v>0</v>
      </c>
      <c r="I21" s="11" t="s">
        <v>41</v>
      </c>
      <c r="J21" s="17"/>
      <c r="K21" s="11"/>
      <c r="L21" s="11"/>
      <c r="M21" s="52" t="n">
        <f aca="false">K21-L21</f>
        <v>0</v>
      </c>
      <c r="N21" s="53" t="n">
        <f aca="false">H21*2.5</f>
        <v>0</v>
      </c>
      <c r="O21" s="19"/>
    </row>
    <row r="22" customFormat="false" ht="18.75" hidden="false" customHeight="true" outlineLevel="0" collapsed="false">
      <c r="A22" s="10" t="n">
        <v>45</v>
      </c>
      <c r="B22" s="11" t="s">
        <v>29</v>
      </c>
      <c r="C22" s="11" t="n">
        <v>105</v>
      </c>
      <c r="D22" s="11" t="n">
        <v>700</v>
      </c>
      <c r="E22" s="11" t="s">
        <v>37</v>
      </c>
      <c r="F22" s="12" t="n">
        <f aca="false">M22*D22</f>
        <v>0</v>
      </c>
      <c r="G22" s="11" t="s">
        <v>35</v>
      </c>
      <c r="H22" s="11" t="n">
        <f aca="false">(M22*(C22/1000))*D22</f>
        <v>0</v>
      </c>
      <c r="I22" s="11" t="s">
        <v>42</v>
      </c>
      <c r="J22" s="17"/>
      <c r="K22" s="11"/>
      <c r="L22" s="11"/>
      <c r="M22" s="52" t="n">
        <f aca="false">K22-L22</f>
        <v>0</v>
      </c>
      <c r="N22" s="53" t="n">
        <f aca="false">H22*2.5</f>
        <v>0</v>
      </c>
      <c r="O22" s="19"/>
    </row>
    <row r="23" customFormat="false" ht="18.75" hidden="false" customHeight="true" outlineLevel="0" collapsed="false">
      <c r="A23" s="10" t="n">
        <v>44</v>
      </c>
      <c r="B23" s="11" t="s">
        <v>29</v>
      </c>
      <c r="C23" s="11" t="n">
        <v>105</v>
      </c>
      <c r="D23" s="11" t="n">
        <v>1000</v>
      </c>
      <c r="E23" s="11" t="s">
        <v>37</v>
      </c>
      <c r="F23" s="12" t="n">
        <f aca="false">M23*D23</f>
        <v>0</v>
      </c>
      <c r="G23" s="11" t="s">
        <v>35</v>
      </c>
      <c r="H23" s="11" t="n">
        <f aca="false">(M23*(C23/1000))*D23</f>
        <v>0</v>
      </c>
      <c r="I23" s="11" t="s">
        <v>43</v>
      </c>
      <c r="J23" s="17"/>
      <c r="K23" s="11"/>
      <c r="L23" s="11"/>
      <c r="M23" s="52" t="n">
        <f aca="false">K23-L23</f>
        <v>0</v>
      </c>
      <c r="N23" s="53" t="n">
        <f aca="false">H23*2.5</f>
        <v>0</v>
      </c>
      <c r="O23" s="10"/>
    </row>
    <row r="24" customFormat="false" ht="18.75" hidden="false" customHeight="true" outlineLevel="0" collapsed="false">
      <c r="A24" s="10" t="n">
        <v>43</v>
      </c>
      <c r="B24" s="11" t="s">
        <v>29</v>
      </c>
      <c r="C24" s="11" t="n">
        <v>105</v>
      </c>
      <c r="D24" s="11" t="n">
        <v>1000</v>
      </c>
      <c r="E24" s="11" t="s">
        <v>37</v>
      </c>
      <c r="F24" s="12" t="n">
        <f aca="false">M24*D24</f>
        <v>0</v>
      </c>
      <c r="G24" s="11" t="s">
        <v>35</v>
      </c>
      <c r="H24" s="11" t="n">
        <f aca="false">(M24*(C24/1000))*D24</f>
        <v>0</v>
      </c>
      <c r="I24" s="11" t="s">
        <v>44</v>
      </c>
      <c r="J24" s="17"/>
      <c r="K24" s="11"/>
      <c r="L24" s="11"/>
      <c r="M24" s="52" t="n">
        <f aca="false">K24-L24</f>
        <v>0</v>
      </c>
      <c r="N24" s="53" t="n">
        <f aca="false">H24*2.5</f>
        <v>0</v>
      </c>
      <c r="O24" s="10"/>
    </row>
    <row r="25" customFormat="false" ht="18.75" hidden="false" customHeight="true" outlineLevel="0" collapsed="false">
      <c r="A25" s="10" t="n">
        <v>40</v>
      </c>
      <c r="B25" s="11" t="s">
        <v>29</v>
      </c>
      <c r="C25" s="11" t="n">
        <v>105</v>
      </c>
      <c r="D25" s="11" t="n">
        <v>1000</v>
      </c>
      <c r="E25" s="11" t="s">
        <v>37</v>
      </c>
      <c r="F25" s="12" t="n">
        <f aca="false">M25*D25</f>
        <v>0</v>
      </c>
      <c r="G25" s="11" t="s">
        <v>35</v>
      </c>
      <c r="H25" s="11" t="n">
        <f aca="false">(M25*(C25/1000))*D25</f>
        <v>0</v>
      </c>
      <c r="I25" s="11" t="s">
        <v>45</v>
      </c>
      <c r="J25" s="17"/>
      <c r="K25" s="11"/>
      <c r="L25" s="11"/>
      <c r="M25" s="52" t="n">
        <f aca="false">K25-L25</f>
        <v>0</v>
      </c>
      <c r="N25" s="53" t="n">
        <f aca="false">H25*2.5</f>
        <v>0</v>
      </c>
      <c r="O25" s="10"/>
    </row>
    <row r="26" customFormat="false" ht="18.75" hidden="false" customHeight="true" outlineLevel="0" collapsed="false">
      <c r="A26" s="10" t="n">
        <v>44</v>
      </c>
      <c r="B26" s="11" t="s">
        <v>33</v>
      </c>
      <c r="C26" s="11" t="n">
        <v>105</v>
      </c>
      <c r="D26" s="11" t="n">
        <v>1000</v>
      </c>
      <c r="E26" s="11" t="s">
        <v>34</v>
      </c>
      <c r="F26" s="12" t="n">
        <f aca="false">M26*D26</f>
        <v>1000</v>
      </c>
      <c r="G26" s="11" t="s">
        <v>35</v>
      </c>
      <c r="H26" s="11" t="n">
        <f aca="false">(M26*(C26/1000))*D26</f>
        <v>105</v>
      </c>
      <c r="I26" s="11" t="s">
        <v>36</v>
      </c>
      <c r="J26" s="17" t="n">
        <v>46148</v>
      </c>
      <c r="K26" s="11" t="n">
        <v>1</v>
      </c>
      <c r="L26" s="11"/>
      <c r="M26" s="52" t="n">
        <f aca="false">K26-L26</f>
        <v>1</v>
      </c>
      <c r="N26" s="53" t="n">
        <f aca="false">H26*2.5</f>
        <v>262.5</v>
      </c>
      <c r="O26" s="19"/>
    </row>
    <row r="27" customFormat="false" ht="18.75" hidden="false" customHeight="true" outlineLevel="0" collapsed="false">
      <c r="A27" s="10" t="n">
        <v>43</v>
      </c>
      <c r="B27" s="11" t="s">
        <v>33</v>
      </c>
      <c r="C27" s="11" t="n">
        <v>105</v>
      </c>
      <c r="D27" s="11" t="n">
        <v>1000</v>
      </c>
      <c r="E27" s="11" t="s">
        <v>34</v>
      </c>
      <c r="F27" s="12" t="n">
        <f aca="false">M27*D27</f>
        <v>1000</v>
      </c>
      <c r="G27" s="11" t="s">
        <v>35</v>
      </c>
      <c r="H27" s="11" t="n">
        <f aca="false">(M27*(C27/1000))*D27</f>
        <v>105</v>
      </c>
      <c r="I27" s="11" t="s">
        <v>36</v>
      </c>
      <c r="J27" s="17" t="n">
        <v>46148</v>
      </c>
      <c r="K27" s="11" t="n">
        <v>1</v>
      </c>
      <c r="L27" s="11"/>
      <c r="M27" s="52" t="n">
        <f aca="false">K27-L27</f>
        <v>1</v>
      </c>
      <c r="N27" s="53" t="n">
        <f aca="false">H27*2.5</f>
        <v>262.5</v>
      </c>
      <c r="O27" s="19"/>
    </row>
    <row r="28" customFormat="false" ht="18.75" hidden="false" customHeight="true" outlineLevel="0" collapsed="false">
      <c r="A28" s="10" t="n">
        <v>37</v>
      </c>
      <c r="B28" s="11" t="s">
        <v>33</v>
      </c>
      <c r="C28" s="11" t="n">
        <v>110</v>
      </c>
      <c r="D28" s="11" t="n">
        <v>1000</v>
      </c>
      <c r="E28" s="11" t="s">
        <v>34</v>
      </c>
      <c r="F28" s="12" t="n">
        <f aca="false">M28*D28</f>
        <v>2000</v>
      </c>
      <c r="G28" s="11" t="s">
        <v>35</v>
      </c>
      <c r="H28" s="11" t="n">
        <f aca="false">(M28*(C28/1000))*D28</f>
        <v>220</v>
      </c>
      <c r="I28" s="11" t="s">
        <v>36</v>
      </c>
      <c r="J28" s="17" t="n">
        <v>46183</v>
      </c>
      <c r="K28" s="11" t="n">
        <v>3</v>
      </c>
      <c r="L28" s="11" t="n">
        <v>1</v>
      </c>
      <c r="M28" s="52" t="n">
        <f aca="false">K28-L28</f>
        <v>2</v>
      </c>
      <c r="N28" s="53" t="n">
        <f aca="false">H28*2.5</f>
        <v>550</v>
      </c>
      <c r="O28" s="10"/>
    </row>
    <row r="29" customFormat="false" ht="18.75" hidden="false" customHeight="true" outlineLevel="0" collapsed="false">
      <c r="A29" s="10" t="n">
        <v>40</v>
      </c>
      <c r="B29" s="11" t="s">
        <v>29</v>
      </c>
      <c r="C29" s="11" t="n">
        <v>110</v>
      </c>
      <c r="D29" s="11" t="n">
        <v>1000</v>
      </c>
      <c r="E29" s="11" t="s">
        <v>37</v>
      </c>
      <c r="F29" s="12" t="n">
        <f aca="false">M29*D29</f>
        <v>0</v>
      </c>
      <c r="G29" s="11" t="s">
        <v>35</v>
      </c>
      <c r="H29" s="11" t="n">
        <f aca="false">(M29*(C29/1000))*D29</f>
        <v>0</v>
      </c>
      <c r="I29" s="11" t="s">
        <v>46</v>
      </c>
      <c r="J29" s="17"/>
      <c r="K29" s="11"/>
      <c r="L29" s="11"/>
      <c r="M29" s="52" t="n">
        <f aca="false">K29-L29</f>
        <v>0</v>
      </c>
      <c r="N29" s="53" t="n">
        <f aca="false">H29*2.5</f>
        <v>0</v>
      </c>
      <c r="O29" s="10"/>
    </row>
    <row r="30" customFormat="false" ht="18.75" hidden="false" customHeight="true" outlineLevel="0" collapsed="false">
      <c r="A30" s="10" t="n">
        <v>40</v>
      </c>
      <c r="B30" s="11" t="s">
        <v>29</v>
      </c>
      <c r="C30" s="11" t="n">
        <v>125</v>
      </c>
      <c r="D30" s="11" t="n">
        <v>1000</v>
      </c>
      <c r="E30" s="11" t="s">
        <v>37</v>
      </c>
      <c r="F30" s="12" t="n">
        <f aca="false">M30*D30</f>
        <v>0</v>
      </c>
      <c r="G30" s="11" t="s">
        <v>35</v>
      </c>
      <c r="H30" s="11" t="n">
        <f aca="false">(M30*(C30/1000))*D30</f>
        <v>0</v>
      </c>
      <c r="I30" s="11" t="s">
        <v>47</v>
      </c>
      <c r="J30" s="17"/>
      <c r="K30" s="11"/>
      <c r="L30" s="11"/>
      <c r="M30" s="52" t="n">
        <f aca="false">K30-L30</f>
        <v>0</v>
      </c>
      <c r="N30" s="53" t="n">
        <f aca="false">H30*2.5</f>
        <v>0</v>
      </c>
      <c r="O30" s="19"/>
    </row>
    <row r="31" customFormat="false" ht="18.75" hidden="false" customHeight="true" outlineLevel="0" collapsed="false">
      <c r="A31" s="10" t="n">
        <v>40</v>
      </c>
      <c r="B31" s="11" t="s">
        <v>33</v>
      </c>
      <c r="C31" s="11" t="n">
        <v>125</v>
      </c>
      <c r="D31" s="11" t="n">
        <v>1000</v>
      </c>
      <c r="E31" s="11" t="s">
        <v>34</v>
      </c>
      <c r="F31" s="12" t="n">
        <f aca="false">M31*D31</f>
        <v>1000</v>
      </c>
      <c r="G31" s="11" t="s">
        <v>35</v>
      </c>
      <c r="H31" s="11" t="n">
        <f aca="false">(M31*(C31/1000))*D31</f>
        <v>125</v>
      </c>
      <c r="I31" s="11" t="s">
        <v>36</v>
      </c>
      <c r="J31" s="17" t="n">
        <v>46183</v>
      </c>
      <c r="K31" s="11" t="n">
        <v>1</v>
      </c>
      <c r="L31" s="11"/>
      <c r="M31" s="52" t="n">
        <f aca="false">K31-L31</f>
        <v>1</v>
      </c>
      <c r="N31" s="53" t="n">
        <f aca="false">H31*2.5</f>
        <v>312.5</v>
      </c>
      <c r="O31" s="19"/>
    </row>
    <row r="32" customFormat="false" ht="18.75" hidden="false" customHeight="true" outlineLevel="0" collapsed="false">
      <c r="A32" s="10" t="n">
        <v>41</v>
      </c>
      <c r="B32" s="11" t="s">
        <v>29</v>
      </c>
      <c r="C32" s="11" t="n">
        <v>130</v>
      </c>
      <c r="D32" s="11" t="n">
        <v>1000</v>
      </c>
      <c r="E32" s="11" t="s">
        <v>37</v>
      </c>
      <c r="F32" s="12" t="n">
        <f aca="false">M32*D32</f>
        <v>0</v>
      </c>
      <c r="G32" s="11" t="s">
        <v>35</v>
      </c>
      <c r="H32" s="11" t="n">
        <f aca="false">(M32*(C32/1000))*D32</f>
        <v>0</v>
      </c>
      <c r="I32" s="11" t="s">
        <v>48</v>
      </c>
      <c r="J32" s="17"/>
      <c r="K32" s="11"/>
      <c r="L32" s="11"/>
      <c r="M32" s="52" t="n">
        <f aca="false">K32-L32</f>
        <v>0</v>
      </c>
      <c r="N32" s="53" t="n">
        <f aca="false">H32*2.5</f>
        <v>0</v>
      </c>
      <c r="O32" s="10"/>
    </row>
    <row r="33" customFormat="false" ht="18.75" hidden="false" customHeight="true" outlineLevel="0" collapsed="false">
      <c r="A33" s="10" t="n">
        <v>40</v>
      </c>
      <c r="B33" s="11" t="s">
        <v>33</v>
      </c>
      <c r="C33" s="11" t="n">
        <v>130</v>
      </c>
      <c r="D33" s="11" t="n">
        <v>1000</v>
      </c>
      <c r="E33" s="11" t="s">
        <v>34</v>
      </c>
      <c r="F33" s="12" t="n">
        <f aca="false">M33*D33</f>
        <v>1000</v>
      </c>
      <c r="G33" s="11" t="s">
        <v>35</v>
      </c>
      <c r="H33" s="11" t="n">
        <f aca="false">(M33*(C33/1000))*D33</f>
        <v>130</v>
      </c>
      <c r="I33" s="11" t="s">
        <v>36</v>
      </c>
      <c r="J33" s="17" t="n">
        <v>46183</v>
      </c>
      <c r="K33" s="11" t="n">
        <v>1</v>
      </c>
      <c r="L33" s="11"/>
      <c r="M33" s="52" t="n">
        <f aca="false">K33-L33</f>
        <v>1</v>
      </c>
      <c r="N33" s="53" t="n">
        <f aca="false">H33*2.5</f>
        <v>325</v>
      </c>
      <c r="O33" s="19"/>
    </row>
    <row r="34" customFormat="false" ht="18.75" hidden="false" customHeight="true" outlineLevel="0" collapsed="false">
      <c r="A34" s="10" t="n">
        <v>41</v>
      </c>
      <c r="B34" s="11" t="s">
        <v>29</v>
      </c>
      <c r="C34" s="11" t="n">
        <v>140</v>
      </c>
      <c r="D34" s="11" t="n">
        <v>1000</v>
      </c>
      <c r="E34" s="11" t="s">
        <v>30</v>
      </c>
      <c r="F34" s="12" t="n">
        <f aca="false">M34*D34</f>
        <v>1000</v>
      </c>
      <c r="G34" s="11" t="s">
        <v>31</v>
      </c>
      <c r="H34" s="11" t="n">
        <f aca="false">(M34*(C34/1000))*D34</f>
        <v>140</v>
      </c>
      <c r="I34" s="11" t="s">
        <v>32</v>
      </c>
      <c r="J34" s="17" t="n">
        <v>44956</v>
      </c>
      <c r="K34" s="11" t="n">
        <v>1</v>
      </c>
      <c r="L34" s="11"/>
      <c r="M34" s="52" t="n">
        <f aca="false">K34-L34</f>
        <v>1</v>
      </c>
      <c r="N34" s="53" t="n">
        <f aca="false">H34*1.5</f>
        <v>210</v>
      </c>
      <c r="O34" s="19"/>
    </row>
    <row r="35" customFormat="false" ht="18.75" hidden="false" customHeight="true" outlineLevel="0" collapsed="false">
      <c r="A35" s="10" t="n">
        <v>40</v>
      </c>
      <c r="B35" s="11" t="s">
        <v>33</v>
      </c>
      <c r="C35" s="11" t="n">
        <v>140</v>
      </c>
      <c r="D35" s="11" t="n">
        <v>1000</v>
      </c>
      <c r="E35" s="11" t="s">
        <v>34</v>
      </c>
      <c r="F35" s="12" t="n">
        <f aca="false">M35*D35</f>
        <v>2000</v>
      </c>
      <c r="G35" s="11" t="s">
        <v>35</v>
      </c>
      <c r="H35" s="11" t="n">
        <f aca="false">(M35*(C35/1000))*D35</f>
        <v>280</v>
      </c>
      <c r="I35" s="11" t="s">
        <v>36</v>
      </c>
      <c r="J35" s="17" t="n">
        <v>46183</v>
      </c>
      <c r="K35" s="11" t="n">
        <v>2</v>
      </c>
      <c r="L35" s="11"/>
      <c r="M35" s="52" t="n">
        <f aca="false">K35-L35</f>
        <v>2</v>
      </c>
      <c r="N35" s="53" t="n">
        <f aca="false">H35*2.5</f>
        <v>700</v>
      </c>
      <c r="O35" s="19"/>
    </row>
    <row r="36" customFormat="false" ht="18.75" hidden="false" customHeight="true" outlineLevel="0" collapsed="false">
      <c r="A36" s="10" t="n">
        <v>40</v>
      </c>
      <c r="B36" s="11" t="s">
        <v>29</v>
      </c>
      <c r="C36" s="11" t="n">
        <v>150</v>
      </c>
      <c r="D36" s="11" t="n">
        <v>1000</v>
      </c>
      <c r="E36" s="11" t="s">
        <v>37</v>
      </c>
      <c r="F36" s="12" t="n">
        <f aca="false">M36*D36</f>
        <v>0</v>
      </c>
      <c r="G36" s="11" t="s">
        <v>35</v>
      </c>
      <c r="H36" s="11" t="n">
        <f aca="false">(M36*(C36/1000))*D36</f>
        <v>0</v>
      </c>
      <c r="I36" s="11" t="s">
        <v>49</v>
      </c>
      <c r="J36" s="17"/>
      <c r="K36" s="11"/>
      <c r="L36" s="11"/>
      <c r="M36" s="52" t="n">
        <f aca="false">K36-L36</f>
        <v>0</v>
      </c>
      <c r="N36" s="53" t="n">
        <f aca="false">H36*2.5</f>
        <v>0</v>
      </c>
      <c r="O36" s="10"/>
    </row>
    <row r="37" customFormat="false" ht="18.75" hidden="false" customHeight="true" outlineLevel="0" collapsed="false">
      <c r="A37" s="10" t="n">
        <v>40</v>
      </c>
      <c r="B37" s="11" t="s">
        <v>33</v>
      </c>
      <c r="C37" s="11" t="n">
        <v>150</v>
      </c>
      <c r="D37" s="11" t="n">
        <v>1000</v>
      </c>
      <c r="E37" s="11" t="s">
        <v>34</v>
      </c>
      <c r="F37" s="12" t="n">
        <f aca="false">M37*D37</f>
        <v>1000</v>
      </c>
      <c r="G37" s="11" t="s">
        <v>35</v>
      </c>
      <c r="H37" s="11" t="n">
        <f aca="false">(M37*(C37/1000))*D37</f>
        <v>150</v>
      </c>
      <c r="I37" s="11" t="s">
        <v>36</v>
      </c>
      <c r="J37" s="17" t="n">
        <v>46183</v>
      </c>
      <c r="K37" s="11" t="n">
        <v>1</v>
      </c>
      <c r="L37" s="11"/>
      <c r="M37" s="52" t="n">
        <f aca="false">K37-L37</f>
        <v>1</v>
      </c>
      <c r="N37" s="53" t="n">
        <f aca="false">H37*2.5</f>
        <v>375</v>
      </c>
      <c r="O37" s="19"/>
    </row>
    <row r="38" customFormat="false" ht="18.75" hidden="false" customHeight="true" outlineLevel="0" collapsed="false">
      <c r="A38" s="10" t="n">
        <v>41</v>
      </c>
      <c r="B38" s="11" t="s">
        <v>29</v>
      </c>
      <c r="C38" s="11" t="n">
        <v>152</v>
      </c>
      <c r="D38" s="11" t="n">
        <v>1000</v>
      </c>
      <c r="E38" s="11" t="s">
        <v>30</v>
      </c>
      <c r="F38" s="12" t="n">
        <f aca="false">M38*D38</f>
        <v>1000</v>
      </c>
      <c r="G38" s="11" t="s">
        <v>31</v>
      </c>
      <c r="H38" s="11" t="n">
        <f aca="false">(M38*(C38/1000))*D38</f>
        <v>152</v>
      </c>
      <c r="I38" s="11" t="s">
        <v>32</v>
      </c>
      <c r="J38" s="17" t="n">
        <v>45665</v>
      </c>
      <c r="K38" s="11" t="n">
        <v>1</v>
      </c>
      <c r="L38" s="11"/>
      <c r="M38" s="52" t="n">
        <f aca="false">K38-L38</f>
        <v>1</v>
      </c>
      <c r="N38" s="53" t="n">
        <f aca="false">H38*1.5</f>
        <v>228</v>
      </c>
      <c r="O38" s="19"/>
    </row>
    <row r="39" customFormat="false" ht="18.75" hidden="false" customHeight="true" outlineLevel="0" collapsed="false">
      <c r="A39" s="10" t="n">
        <v>41</v>
      </c>
      <c r="B39" s="11" t="s">
        <v>29</v>
      </c>
      <c r="C39" s="11" t="n">
        <v>152</v>
      </c>
      <c r="D39" s="11" t="n">
        <v>500</v>
      </c>
      <c r="E39" s="11" t="s">
        <v>30</v>
      </c>
      <c r="F39" s="12" t="n">
        <f aca="false">M39*D39</f>
        <v>500</v>
      </c>
      <c r="G39" s="11" t="s">
        <v>31</v>
      </c>
      <c r="H39" s="11" t="n">
        <f aca="false">(M39*(C39/1000))*D39</f>
        <v>76</v>
      </c>
      <c r="I39" s="11" t="s">
        <v>32</v>
      </c>
      <c r="J39" s="17"/>
      <c r="K39" s="11" t="n">
        <v>1</v>
      </c>
      <c r="L39" s="11"/>
      <c r="M39" s="52" t="n">
        <f aca="false">K39-L39</f>
        <v>1</v>
      </c>
      <c r="N39" s="53" t="n">
        <f aca="false">H39*1.5</f>
        <v>114</v>
      </c>
      <c r="O39" s="19"/>
    </row>
    <row r="40" customFormat="false" ht="18.75" hidden="false" customHeight="true" outlineLevel="0" collapsed="false">
      <c r="A40" s="10" t="n">
        <v>41</v>
      </c>
      <c r="B40" s="11" t="s">
        <v>33</v>
      </c>
      <c r="C40" s="11" t="n">
        <v>210</v>
      </c>
      <c r="D40" s="11" t="n">
        <v>1000</v>
      </c>
      <c r="E40" s="11" t="s">
        <v>34</v>
      </c>
      <c r="F40" s="12" t="n">
        <f aca="false">M40*D40</f>
        <v>1000</v>
      </c>
      <c r="G40" s="11" t="s">
        <v>35</v>
      </c>
      <c r="H40" s="11" t="n">
        <f aca="false">(M40*(C40/1000))*D40</f>
        <v>210</v>
      </c>
      <c r="I40" s="11" t="s">
        <v>36</v>
      </c>
      <c r="J40" s="17" t="n">
        <v>46183</v>
      </c>
      <c r="K40" s="11" t="n">
        <v>1</v>
      </c>
      <c r="L40" s="11"/>
      <c r="M40" s="52" t="n">
        <f aca="false">K40-L40</f>
        <v>1</v>
      </c>
      <c r="N40" s="53" t="n">
        <f aca="false">H40*2.5</f>
        <v>525</v>
      </c>
      <c r="O40" s="19"/>
    </row>
    <row r="41" customFormat="false" ht="18.75" hidden="false" customHeight="true" outlineLevel="0" collapsed="false">
      <c r="A41" s="10" t="n">
        <v>41</v>
      </c>
      <c r="B41" s="11" t="s">
        <v>29</v>
      </c>
      <c r="C41" s="11" t="n">
        <v>220</v>
      </c>
      <c r="D41" s="11" t="n">
        <v>700</v>
      </c>
      <c r="E41" s="11" t="s">
        <v>30</v>
      </c>
      <c r="F41" s="12" t="n">
        <f aca="false">M41*D41</f>
        <v>700</v>
      </c>
      <c r="G41" s="11" t="s">
        <v>31</v>
      </c>
      <c r="H41" s="11" t="n">
        <f aca="false">(M41*(C41/1000))*D41</f>
        <v>154</v>
      </c>
      <c r="I41" s="11" t="s">
        <v>32</v>
      </c>
      <c r="J41" s="17"/>
      <c r="K41" s="11" t="n">
        <v>1</v>
      </c>
      <c r="L41" s="11"/>
      <c r="M41" s="52" t="n">
        <f aca="false">K41-L41</f>
        <v>1</v>
      </c>
      <c r="N41" s="53" t="n">
        <f aca="false">H41*1.5</f>
        <v>231</v>
      </c>
      <c r="O41" s="19"/>
    </row>
    <row r="42" customFormat="false" ht="18.75" hidden="false" customHeight="true" outlineLevel="0" collapsed="false">
      <c r="A42" s="10" t="n">
        <v>41</v>
      </c>
      <c r="B42" s="11" t="s">
        <v>33</v>
      </c>
      <c r="C42" s="11" t="n">
        <v>250</v>
      </c>
      <c r="D42" s="11" t="n">
        <v>1000</v>
      </c>
      <c r="E42" s="11" t="s">
        <v>34</v>
      </c>
      <c r="F42" s="12" t="n">
        <f aca="false">M42*D42</f>
        <v>1000</v>
      </c>
      <c r="G42" s="11" t="s">
        <v>35</v>
      </c>
      <c r="H42" s="11" t="n">
        <f aca="false">(M42*(C42/1000))*D42</f>
        <v>250</v>
      </c>
      <c r="I42" s="11" t="s">
        <v>36</v>
      </c>
      <c r="J42" s="17" t="n">
        <v>46183</v>
      </c>
      <c r="K42" s="11" t="n">
        <v>1</v>
      </c>
      <c r="L42" s="11"/>
      <c r="M42" s="52" t="n">
        <f aca="false">K42-L42</f>
        <v>1</v>
      </c>
      <c r="N42" s="53" t="n">
        <f aca="false">H42*2.5</f>
        <v>625</v>
      </c>
      <c r="O42" s="19"/>
    </row>
  </sheetData>
  <autoFilter ref="A1:O42">
    <sortState ref="A2:O42">
      <sortCondition ref="A2:A42" customList=""/>
    </sortState>
  </autoFilter>
  <printOptions headings="false" gridLines="false" gridLinesSet="true" horizontalCentered="false" verticalCentered="false"/>
  <pageMargins left="0.236111111111111" right="0.236111111111111" top="0.157638888888889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14453125" defaultRowHeight="18.75" zeroHeight="false" outlineLevelRow="0" outlineLevelCol="0"/>
  <cols>
    <col collapsed="false" customWidth="true" hidden="false" outlineLevel="0" max="1" min="1" style="1" width="19.15"/>
    <col collapsed="false" customWidth="true" hidden="false" outlineLevel="0" max="2" min="2" style="1" width="26.29"/>
    <col collapsed="false" customWidth="true" hidden="false" outlineLevel="0" max="3" min="3" style="1" width="14.43"/>
    <col collapsed="false" customWidth="true" hidden="false" outlineLevel="0" max="4" min="4" style="1" width="21"/>
    <col collapsed="false" customWidth="true" hidden="false" outlineLevel="0" max="5" min="5" style="1" width="19"/>
    <col collapsed="false" customWidth="true" hidden="false" outlineLevel="0" max="6" min="6" style="1" width="15.57"/>
    <col collapsed="false" customWidth="true" hidden="false" outlineLevel="0" max="7" min="7" style="1" width="18.43"/>
    <col collapsed="false" customWidth="true" hidden="false" outlineLevel="0" max="8" min="8" style="1" width="22.86"/>
    <col collapsed="false" customWidth="true" hidden="false" outlineLevel="0" max="9" min="9" style="1" width="25.57"/>
    <col collapsed="false" customWidth="false" hidden="false" outlineLevel="0" max="16384" min="10" style="1" width="9.14"/>
  </cols>
  <sheetData>
    <row r="1" customFormat="false" ht="18.75" hidden="false" customHeight="false" outlineLevel="0" collapsed="false">
      <c r="A1" s="27" t="s">
        <v>4</v>
      </c>
      <c r="B1" s="28" t="s">
        <v>23</v>
      </c>
      <c r="C1" s="0"/>
    </row>
    <row r="2" customFormat="false" ht="18.75" hidden="false" customHeight="false" outlineLevel="0" collapsed="false">
      <c r="A2" s="27" t="s">
        <v>6</v>
      </c>
      <c r="B2" s="28" t="s">
        <v>23</v>
      </c>
      <c r="C2" s="0"/>
    </row>
    <row r="3" customFormat="false" ht="18.75" hidden="false" customHeight="false" outlineLevel="0" collapsed="false">
      <c r="A3" s="0"/>
      <c r="B3" s="0"/>
      <c r="C3" s="0"/>
    </row>
    <row r="4" customFormat="false" ht="18.75" hidden="false" customHeight="false" outlineLevel="0" collapsed="false">
      <c r="A4" s="29"/>
      <c r="B4" s="30" t="s">
        <v>24</v>
      </c>
      <c r="C4" s="31"/>
    </row>
    <row r="5" customFormat="false" ht="18.75" hidden="false" customHeight="false" outlineLevel="0" collapsed="false">
      <c r="A5" s="32" t="s">
        <v>25</v>
      </c>
      <c r="B5" s="33" t="s">
        <v>26</v>
      </c>
      <c r="C5" s="34" t="s">
        <v>27</v>
      </c>
      <c r="F5" s="54" t="s">
        <v>21</v>
      </c>
      <c r="G5" s="54" t="s">
        <v>2</v>
      </c>
      <c r="H5" s="54" t="s">
        <v>3</v>
      </c>
      <c r="I5" s="54" t="s">
        <v>4</v>
      </c>
    </row>
    <row r="6" customFormat="false" ht="18.75" hidden="false" customHeight="false" outlineLevel="0" collapsed="false">
      <c r="A6" s="35" t="s">
        <v>33</v>
      </c>
      <c r="B6" s="36" t="n">
        <v>14000</v>
      </c>
      <c r="C6" s="37" t="n">
        <v>14</v>
      </c>
      <c r="F6" s="11" t="n">
        <v>2</v>
      </c>
      <c r="G6" s="11" t="n">
        <v>55</v>
      </c>
      <c r="H6" s="11" t="n">
        <v>1000</v>
      </c>
      <c r="I6" s="11" t="s">
        <v>50</v>
      </c>
    </row>
    <row r="7" customFormat="false" ht="18.75" hidden="false" customHeight="false" outlineLevel="0" collapsed="false">
      <c r="A7" s="38" t="n">
        <v>60</v>
      </c>
      <c r="B7" s="39" t="n">
        <v>2000</v>
      </c>
      <c r="C7" s="40" t="n">
        <v>2</v>
      </c>
      <c r="F7" s="11" t="n">
        <v>2</v>
      </c>
      <c r="G7" s="11" t="n">
        <v>75</v>
      </c>
      <c r="H7" s="11" t="n">
        <v>1000</v>
      </c>
      <c r="I7" s="11" t="s">
        <v>50</v>
      </c>
    </row>
    <row r="8" customFormat="false" ht="18.75" hidden="false" customHeight="false" outlineLevel="0" collapsed="false">
      <c r="A8" s="38" t="n">
        <v>80</v>
      </c>
      <c r="B8" s="39" t="n">
        <v>1000</v>
      </c>
      <c r="C8" s="40" t="n">
        <v>1</v>
      </c>
      <c r="F8" s="11" t="n">
        <v>3</v>
      </c>
      <c r="G8" s="11" t="n">
        <v>100</v>
      </c>
      <c r="H8" s="11" t="n">
        <v>1000</v>
      </c>
      <c r="I8" s="11" t="s">
        <v>50</v>
      </c>
    </row>
    <row r="9" customFormat="false" ht="18.75" hidden="false" customHeight="false" outlineLevel="0" collapsed="false">
      <c r="A9" s="38" t="n">
        <v>105</v>
      </c>
      <c r="B9" s="39" t="n">
        <v>2000</v>
      </c>
      <c r="C9" s="40" t="n">
        <v>2</v>
      </c>
      <c r="F9" s="11" t="n">
        <v>2</v>
      </c>
      <c r="G9" s="11" t="n">
        <v>120</v>
      </c>
      <c r="H9" s="11" t="n">
        <v>1000</v>
      </c>
      <c r="I9" s="11" t="s">
        <v>50</v>
      </c>
    </row>
    <row r="10" customFormat="false" ht="18.75" hidden="false" customHeight="false" outlineLevel="0" collapsed="false">
      <c r="A10" s="38" t="n">
        <v>110</v>
      </c>
      <c r="B10" s="39" t="n">
        <v>2000</v>
      </c>
      <c r="C10" s="40" t="n">
        <v>2</v>
      </c>
      <c r="F10" s="11" t="n">
        <v>2</v>
      </c>
      <c r="G10" s="11" t="n">
        <v>140</v>
      </c>
      <c r="H10" s="11" t="n">
        <v>1000</v>
      </c>
      <c r="I10" s="11" t="s">
        <v>50</v>
      </c>
    </row>
    <row r="11" customFormat="false" ht="18.75" hidden="false" customHeight="false" outlineLevel="0" collapsed="false">
      <c r="A11" s="38" t="n">
        <v>125</v>
      </c>
      <c r="B11" s="39" t="n">
        <v>1000</v>
      </c>
      <c r="C11" s="40" t="n">
        <v>1</v>
      </c>
      <c r="F11" s="11" t="n">
        <v>2</v>
      </c>
      <c r="G11" s="11" t="n">
        <v>210</v>
      </c>
      <c r="H11" s="11" t="n">
        <v>1000</v>
      </c>
      <c r="I11" s="11" t="s">
        <v>50</v>
      </c>
    </row>
    <row r="12" customFormat="false" ht="18.75" hidden="false" customHeight="false" outlineLevel="0" collapsed="false">
      <c r="A12" s="38" t="n">
        <v>130</v>
      </c>
      <c r="B12" s="39" t="n">
        <v>1000</v>
      </c>
      <c r="C12" s="40" t="n">
        <v>1</v>
      </c>
      <c r="F12" s="11" t="n">
        <v>1</v>
      </c>
      <c r="G12" s="11" t="n">
        <v>333</v>
      </c>
      <c r="H12" s="11" t="n">
        <v>1000</v>
      </c>
      <c r="I12" s="11" t="s">
        <v>50</v>
      </c>
    </row>
    <row r="13" customFormat="false" ht="18.75" hidden="false" customHeight="false" outlineLevel="0" collapsed="false">
      <c r="A13" s="38" t="n">
        <v>140</v>
      </c>
      <c r="B13" s="39" t="n">
        <v>2000</v>
      </c>
      <c r="C13" s="40" t="n">
        <v>2</v>
      </c>
    </row>
    <row r="14" customFormat="false" ht="18.75" hidden="false" customHeight="false" outlineLevel="0" collapsed="false">
      <c r="A14" s="38" t="n">
        <v>150</v>
      </c>
      <c r="B14" s="39" t="n">
        <v>1000</v>
      </c>
      <c r="C14" s="40" t="n">
        <v>1</v>
      </c>
    </row>
    <row r="15" customFormat="false" ht="18.75" hidden="false" customHeight="false" outlineLevel="0" collapsed="false">
      <c r="A15" s="38" t="n">
        <v>210</v>
      </c>
      <c r="B15" s="39" t="n">
        <v>1000</v>
      </c>
      <c r="C15" s="40" t="n">
        <v>1</v>
      </c>
    </row>
    <row r="16" customFormat="false" ht="18.75" hidden="false" customHeight="false" outlineLevel="0" collapsed="false">
      <c r="A16" s="41" t="n">
        <v>250</v>
      </c>
      <c r="B16" s="42" t="n">
        <v>1000</v>
      </c>
      <c r="C16" s="43" t="n">
        <v>1</v>
      </c>
    </row>
    <row r="17" customFormat="false" ht="18.75" hidden="false" customHeight="false" outlineLevel="0" collapsed="false">
      <c r="A17" s="35" t="s">
        <v>29</v>
      </c>
      <c r="B17" s="36" t="n">
        <v>26700</v>
      </c>
      <c r="C17" s="37" t="n">
        <v>26</v>
      </c>
    </row>
    <row r="18" customFormat="false" ht="18.75" hidden="false" customHeight="false" outlineLevel="0" collapsed="false">
      <c r="A18" s="38" t="n">
        <v>0</v>
      </c>
      <c r="B18" s="39" t="n">
        <v>2000</v>
      </c>
      <c r="C18" s="40" t="n">
        <v>2</v>
      </c>
    </row>
    <row r="19" customFormat="false" ht="18.75" hidden="false" customHeight="false" outlineLevel="0" collapsed="false">
      <c r="A19" s="38" t="n">
        <v>65</v>
      </c>
      <c r="B19" s="39" t="n">
        <v>2000</v>
      </c>
      <c r="C19" s="40" t="n">
        <v>2</v>
      </c>
    </row>
    <row r="20" customFormat="false" ht="18.75" hidden="false" customHeight="false" outlineLevel="0" collapsed="false">
      <c r="A20" s="38" t="n">
        <v>70</v>
      </c>
      <c r="B20" s="39" t="n">
        <v>2000</v>
      </c>
      <c r="C20" s="40" t="n">
        <v>2</v>
      </c>
    </row>
    <row r="21" customFormat="false" ht="18.75" hidden="false" customHeight="false" outlineLevel="0" collapsed="false">
      <c r="A21" s="38" t="n">
        <v>75</v>
      </c>
      <c r="B21" s="39" t="n">
        <v>4500</v>
      </c>
      <c r="C21" s="40" t="n">
        <v>3</v>
      </c>
    </row>
    <row r="22" customFormat="false" ht="18.75" hidden="false" customHeight="false" outlineLevel="0" collapsed="false">
      <c r="A22" s="38" t="n">
        <v>80</v>
      </c>
      <c r="B22" s="39" t="n">
        <v>1000</v>
      </c>
      <c r="C22" s="40" t="n">
        <v>1</v>
      </c>
    </row>
    <row r="23" customFormat="false" ht="18.75" hidden="false" customHeight="false" outlineLevel="0" collapsed="false">
      <c r="A23" s="38" t="n">
        <v>85</v>
      </c>
      <c r="B23" s="39" t="n">
        <v>2000</v>
      </c>
      <c r="C23" s="40" t="n">
        <v>2</v>
      </c>
    </row>
    <row r="24" customFormat="false" ht="18.75" hidden="false" customHeight="false" outlineLevel="0" collapsed="false">
      <c r="A24" s="38" t="n">
        <v>90</v>
      </c>
      <c r="B24" s="39" t="n">
        <v>7000</v>
      </c>
      <c r="C24" s="40" t="n">
        <v>7</v>
      </c>
    </row>
    <row r="25" customFormat="false" ht="18.75" hidden="false" customHeight="false" outlineLevel="0" collapsed="false">
      <c r="A25" s="38" t="n">
        <v>100</v>
      </c>
      <c r="B25" s="39" t="n">
        <v>3000</v>
      </c>
      <c r="C25" s="40" t="n">
        <v>3</v>
      </c>
    </row>
    <row r="26" customFormat="false" ht="18.75" hidden="false" customHeight="false" outlineLevel="0" collapsed="false">
      <c r="A26" s="38" t="n">
        <v>105</v>
      </c>
      <c r="B26" s="39" t="n">
        <v>0</v>
      </c>
      <c r="C26" s="40" t="n">
        <v>0</v>
      </c>
    </row>
    <row r="27" customFormat="false" ht="18.75" hidden="false" customHeight="false" outlineLevel="0" collapsed="false">
      <c r="A27" s="38" t="n">
        <v>110</v>
      </c>
      <c r="B27" s="39" t="n">
        <v>0</v>
      </c>
      <c r="C27" s="40" t="n">
        <v>0</v>
      </c>
    </row>
    <row r="28" customFormat="false" ht="18" hidden="false" customHeight="true" outlineLevel="0" collapsed="false">
      <c r="A28" s="38" t="n">
        <v>125</v>
      </c>
      <c r="B28" s="39" t="n">
        <v>0</v>
      </c>
      <c r="C28" s="40" t="n">
        <v>0</v>
      </c>
      <c r="F28" s="54" t="s">
        <v>21</v>
      </c>
      <c r="G28" s="54" t="s">
        <v>2</v>
      </c>
      <c r="H28" s="54" t="s">
        <v>3</v>
      </c>
      <c r="I28" s="54" t="s">
        <v>4</v>
      </c>
    </row>
    <row r="29" customFormat="false" ht="18.75" hidden="false" customHeight="false" outlineLevel="0" collapsed="false">
      <c r="A29" s="38" t="n">
        <v>130</v>
      </c>
      <c r="B29" s="39" t="n">
        <v>0</v>
      </c>
      <c r="C29" s="40" t="n">
        <v>0</v>
      </c>
      <c r="F29" s="11" t="n">
        <v>35</v>
      </c>
      <c r="G29" s="11" t="n">
        <v>105</v>
      </c>
      <c r="H29" s="11" t="n">
        <v>1000</v>
      </c>
      <c r="I29" s="11" t="s">
        <v>51</v>
      </c>
    </row>
    <row r="30" customFormat="false" ht="18.75" hidden="false" customHeight="false" outlineLevel="0" collapsed="false">
      <c r="A30" s="38" t="n">
        <v>140</v>
      </c>
      <c r="B30" s="39" t="n">
        <v>1000</v>
      </c>
      <c r="C30" s="40" t="n">
        <v>1</v>
      </c>
      <c r="F30" s="11" t="n">
        <v>8</v>
      </c>
      <c r="G30" s="11" t="n">
        <v>155</v>
      </c>
      <c r="H30" s="11" t="n">
        <v>1000</v>
      </c>
      <c r="I30" s="11" t="s">
        <v>51</v>
      </c>
    </row>
    <row r="31" customFormat="false" ht="18.75" hidden="false" customHeight="false" outlineLevel="0" collapsed="false">
      <c r="A31" s="38" t="n">
        <v>150</v>
      </c>
      <c r="B31" s="39" t="n">
        <v>0</v>
      </c>
      <c r="C31" s="40" t="n">
        <v>0</v>
      </c>
      <c r="F31" s="11"/>
      <c r="G31" s="11"/>
      <c r="H31" s="11" t="n">
        <v>1000</v>
      </c>
      <c r="I31" s="11" t="s">
        <v>51</v>
      </c>
    </row>
    <row r="32" customFormat="false" ht="18.75" hidden="false" customHeight="false" outlineLevel="0" collapsed="false">
      <c r="A32" s="38" t="n">
        <v>152</v>
      </c>
      <c r="B32" s="39" t="n">
        <v>1500</v>
      </c>
      <c r="C32" s="40" t="n">
        <v>2</v>
      </c>
      <c r="F32" s="11"/>
      <c r="G32" s="11"/>
      <c r="H32" s="11" t="n">
        <v>1000</v>
      </c>
      <c r="I32" s="11" t="s">
        <v>51</v>
      </c>
    </row>
    <row r="33" customFormat="false" ht="18.75" hidden="false" customHeight="false" outlineLevel="0" collapsed="false">
      <c r="A33" s="41" t="n">
        <v>220</v>
      </c>
      <c r="B33" s="42" t="n">
        <v>700</v>
      </c>
      <c r="C33" s="43" t="n">
        <v>1</v>
      </c>
      <c r="F33" s="11"/>
      <c r="G33" s="11"/>
      <c r="H33" s="11" t="n">
        <v>1000</v>
      </c>
      <c r="I33" s="11" t="s">
        <v>51</v>
      </c>
    </row>
    <row r="34" customFormat="false" ht="18.75" hidden="false" customHeight="false" outlineLevel="0" collapsed="false">
      <c r="A34" s="44" t="s">
        <v>28</v>
      </c>
      <c r="B34" s="45" t="n">
        <v>40700</v>
      </c>
      <c r="C34" s="46" t="n">
        <v>40</v>
      </c>
      <c r="F34" s="11"/>
      <c r="G34" s="11"/>
      <c r="H34" s="11" t="n">
        <v>1000</v>
      </c>
      <c r="I34" s="11" t="s">
        <v>51</v>
      </c>
    </row>
    <row r="35" customFormat="false" ht="18.75" hidden="false" customHeight="false" outlineLevel="0" collapsed="false">
      <c r="F35" s="11"/>
      <c r="G35" s="11"/>
      <c r="H35" s="11" t="n">
        <v>1000</v>
      </c>
      <c r="I35" s="11" t="s">
        <v>51</v>
      </c>
    </row>
    <row r="36" customFormat="false" ht="18.75" hidden="false" customHeight="false" outlineLevel="0" collapsed="false">
      <c r="F36" s="11"/>
      <c r="G36" s="11"/>
      <c r="H36" s="11" t="n">
        <v>1000</v>
      </c>
      <c r="I36" s="11" t="s">
        <v>51</v>
      </c>
    </row>
    <row r="37" customFormat="false" ht="18.75" hidden="false" customHeight="false" outlineLevel="0" collapsed="false">
      <c r="F37" s="11"/>
      <c r="G37" s="11"/>
      <c r="H37" s="11" t="n">
        <v>1000</v>
      </c>
      <c r="I37" s="11" t="s">
        <v>51</v>
      </c>
    </row>
    <row r="38" customFormat="false" ht="18.75" hidden="false" customHeight="false" outlineLevel="0" collapsed="false">
      <c r="F38" s="11"/>
      <c r="G38" s="11"/>
      <c r="H38" s="11" t="n">
        <v>1000</v>
      </c>
      <c r="I38" s="11" t="s">
        <v>51</v>
      </c>
    </row>
    <row r="39" customFormat="false" ht="18.75" hidden="false" customHeight="false" outlineLevel="0" collapsed="false">
      <c r="F39" s="11"/>
      <c r="G39" s="11"/>
      <c r="H39" s="11" t="n">
        <v>1000</v>
      </c>
      <c r="I39" s="11" t="s">
        <v>51</v>
      </c>
    </row>
    <row r="40" customFormat="false" ht="18.75" hidden="false" customHeight="false" outlineLevel="0" collapsed="false">
      <c r="F40" s="11"/>
      <c r="G40" s="11"/>
      <c r="H40" s="11" t="n">
        <v>1000</v>
      </c>
      <c r="I40" s="11" t="s">
        <v>51</v>
      </c>
    </row>
    <row r="43" customFormat="false" ht="18.75" hidden="false" customHeight="false" outlineLevel="0" collapsed="false">
      <c r="E43" s="55" t="s">
        <v>52</v>
      </c>
      <c r="F43" s="55" t="s">
        <v>53</v>
      </c>
    </row>
    <row r="44" customFormat="false" ht="18.75" hidden="false" customHeight="false" outlineLevel="0" collapsed="false">
      <c r="E44" s="55" t="n">
        <v>155</v>
      </c>
      <c r="F44" s="55" t="n">
        <v>10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O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7" activePane="bottomLeft" state="frozen"/>
      <selection pane="topLeft" activeCell="A1" activeCellId="0" sqref="A1"/>
      <selection pane="bottomLeft" activeCell="E116" activeCellId="0" sqref="E116"/>
    </sheetView>
  </sheetViews>
  <sheetFormatPr defaultColWidth="8.57421875" defaultRowHeight="20.25" zeroHeight="false" outlineLevelRow="0" outlineLevelCol="0"/>
  <cols>
    <col collapsed="false" customWidth="true" hidden="false" outlineLevel="0" max="4" min="1" style="55" width="12.43"/>
    <col collapsed="false" customWidth="true" hidden="false" outlineLevel="0" max="5" min="5" style="55" width="27.15"/>
    <col collapsed="false" customWidth="true" hidden="false" outlineLevel="0" max="8" min="6" style="55" width="12.43"/>
    <col collapsed="false" customWidth="true" hidden="false" outlineLevel="0" max="9" min="9" style="1" width="32"/>
    <col collapsed="false" customWidth="true" hidden="false" outlineLevel="0" max="10" min="10" style="55" width="12.43"/>
    <col collapsed="false" customWidth="true" hidden="false" outlineLevel="0" max="11" min="11" style="55" width="13.57"/>
    <col collapsed="false" customWidth="true" hidden="false" outlineLevel="0" max="12" min="12" style="16" width="12.43"/>
    <col collapsed="false" customWidth="true" hidden="false" outlineLevel="0" max="13" min="13" style="55" width="12.43"/>
    <col collapsed="false" customWidth="true" hidden="false" outlineLevel="0" max="14" min="14" style="55" width="20.72"/>
    <col collapsed="false" customWidth="true" hidden="false" outlineLevel="0" max="15" min="15" style="1" width="12.43"/>
    <col collapsed="false" customWidth="true" hidden="false" outlineLevel="0" max="24" min="16" style="1" width="9.14"/>
    <col collapsed="false" customWidth="false" hidden="false" outlineLevel="0" max="16240" min="25" style="1" width="8.57"/>
    <col collapsed="false" customWidth="true" hidden="false" outlineLevel="0" max="16384" min="16241" style="1" width="14.43"/>
  </cols>
  <sheetData>
    <row r="1" customFormat="false" ht="20.25" hidden="false" customHeight="true" outlineLevel="0" collapsed="false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7" t="s">
        <v>7</v>
      </c>
      <c r="I1" s="56" t="s">
        <v>8</v>
      </c>
      <c r="J1" s="58" t="s">
        <v>9</v>
      </c>
      <c r="K1" s="56" t="s">
        <v>10</v>
      </c>
      <c r="L1" s="59" t="s">
        <v>11</v>
      </c>
      <c r="M1" s="56" t="s">
        <v>12</v>
      </c>
      <c r="N1" s="60" t="s">
        <v>13</v>
      </c>
      <c r="O1" s="9"/>
    </row>
    <row r="2" customFormat="false" ht="20.25" hidden="true" customHeight="true" outlineLevel="0" collapsed="false">
      <c r="A2" s="61" t="n">
        <v>29</v>
      </c>
      <c r="B2" s="61" t="s">
        <v>54</v>
      </c>
      <c r="C2" s="61" t="n">
        <v>60</v>
      </c>
      <c r="D2" s="61" t="n">
        <v>1000</v>
      </c>
      <c r="E2" s="61" t="s">
        <v>55</v>
      </c>
      <c r="F2" s="62" t="n">
        <f aca="false">M2*D2</f>
        <v>2000</v>
      </c>
      <c r="G2" s="61" t="s">
        <v>56</v>
      </c>
      <c r="H2" s="61" t="n">
        <f aca="false">(M2*(C2/1000))*D2</f>
        <v>120</v>
      </c>
      <c r="I2" s="61" t="s">
        <v>57</v>
      </c>
      <c r="J2" s="63" t="n">
        <v>45980</v>
      </c>
      <c r="K2" s="61" t="n">
        <v>2</v>
      </c>
      <c r="L2" s="61"/>
      <c r="M2" s="61" t="n">
        <f aca="false">K2-L2</f>
        <v>2</v>
      </c>
      <c r="N2" s="64" t="n">
        <f aca="false">H2*4.2</f>
        <v>504</v>
      </c>
    </row>
    <row r="3" customFormat="false" ht="20.25" hidden="false" customHeight="true" outlineLevel="0" collapsed="false">
      <c r="A3" s="61" t="n">
        <v>5</v>
      </c>
      <c r="B3" s="61" t="s">
        <v>58</v>
      </c>
      <c r="C3" s="61" t="n">
        <v>60</v>
      </c>
      <c r="D3" s="61" t="n">
        <v>1000</v>
      </c>
      <c r="E3" s="61" t="s">
        <v>51</v>
      </c>
      <c r="F3" s="62" t="n">
        <f aca="false">M3*D3</f>
        <v>2000</v>
      </c>
      <c r="G3" s="61" t="s">
        <v>17</v>
      </c>
      <c r="H3" s="61" t="n">
        <f aca="false">(M3*(C3/1000))*D3</f>
        <v>120</v>
      </c>
      <c r="I3" s="61" t="s">
        <v>59</v>
      </c>
      <c r="J3" s="63" t="n">
        <v>46036</v>
      </c>
      <c r="K3" s="61" t="n">
        <v>6</v>
      </c>
      <c r="L3" s="61" t="n">
        <v>4</v>
      </c>
      <c r="M3" s="61" t="n">
        <f aca="false">K3-L3</f>
        <v>2</v>
      </c>
      <c r="N3" s="64" t="n">
        <f aca="false">H3*3.4</f>
        <v>408</v>
      </c>
    </row>
    <row r="4" customFormat="false" ht="20.25" hidden="false" customHeight="true" outlineLevel="0" collapsed="false">
      <c r="A4" s="65" t="n">
        <v>1</v>
      </c>
      <c r="B4" s="65" t="s">
        <v>58</v>
      </c>
      <c r="C4" s="65" t="n">
        <v>60</v>
      </c>
      <c r="D4" s="65" t="n">
        <v>1000</v>
      </c>
      <c r="E4" s="65" t="s">
        <v>51</v>
      </c>
      <c r="F4" s="66" t="n">
        <f aca="false">M4*D4</f>
        <v>6000</v>
      </c>
      <c r="G4" s="65" t="s">
        <v>17</v>
      </c>
      <c r="H4" s="65" t="n">
        <f aca="false">(M4*(C4/1000))*D4</f>
        <v>360</v>
      </c>
      <c r="I4" s="65" t="s">
        <v>59</v>
      </c>
      <c r="J4" s="67" t="n">
        <v>46057</v>
      </c>
      <c r="K4" s="65" t="n">
        <v>7</v>
      </c>
      <c r="L4" s="65" t="n">
        <v>1</v>
      </c>
      <c r="M4" s="65" t="n">
        <f aca="false">K4-L4</f>
        <v>6</v>
      </c>
      <c r="N4" s="68" t="n">
        <f aca="false">H4*3.4</f>
        <v>1224</v>
      </c>
      <c r="O4" s="9"/>
    </row>
    <row r="5" customFormat="false" ht="20.25" hidden="false" customHeight="true" outlineLevel="0" collapsed="false">
      <c r="A5" s="61" t="n">
        <v>2</v>
      </c>
      <c r="B5" s="61" t="s">
        <v>58</v>
      </c>
      <c r="C5" s="61" t="n">
        <v>60</v>
      </c>
      <c r="D5" s="61" t="n">
        <v>1000</v>
      </c>
      <c r="E5" s="61" t="s">
        <v>51</v>
      </c>
      <c r="F5" s="62" t="n">
        <f aca="false">M5*D5</f>
        <v>0</v>
      </c>
      <c r="G5" s="61" t="s">
        <v>17</v>
      </c>
      <c r="H5" s="61" t="n">
        <f aca="false">(M5*(C5/1000))*D5</f>
        <v>0</v>
      </c>
      <c r="I5" s="61" t="s">
        <v>59</v>
      </c>
      <c r="J5" s="63" t="n">
        <v>46057</v>
      </c>
      <c r="K5" s="61" t="n">
        <v>1</v>
      </c>
      <c r="L5" s="61" t="n">
        <v>1</v>
      </c>
      <c r="M5" s="61" t="n">
        <f aca="false">K5-L5</f>
        <v>0</v>
      </c>
      <c r="N5" s="64" t="n">
        <f aca="false">H5*3.4</f>
        <v>0</v>
      </c>
    </row>
    <row r="6" customFormat="false" ht="20.25" hidden="true" customHeight="true" outlineLevel="0" collapsed="false">
      <c r="A6" s="61" t="n">
        <v>29</v>
      </c>
      <c r="B6" s="61" t="s">
        <v>54</v>
      </c>
      <c r="C6" s="61" t="n">
        <v>65</v>
      </c>
      <c r="D6" s="61" t="n">
        <v>1000</v>
      </c>
      <c r="E6" s="61" t="s">
        <v>55</v>
      </c>
      <c r="F6" s="62" t="n">
        <f aca="false">M6*D6</f>
        <v>2000</v>
      </c>
      <c r="G6" s="61" t="s">
        <v>56</v>
      </c>
      <c r="H6" s="61" t="n">
        <f aca="false">(M6*(C6/1000))*D6</f>
        <v>130</v>
      </c>
      <c r="I6" s="61" t="s">
        <v>57</v>
      </c>
      <c r="J6" s="63" t="n">
        <v>45980</v>
      </c>
      <c r="K6" s="61" t="n">
        <v>2</v>
      </c>
      <c r="L6" s="61"/>
      <c r="M6" s="61" t="n">
        <f aca="false">K6-L6</f>
        <v>2</v>
      </c>
      <c r="N6" s="64" t="n">
        <f aca="false">H6*4.2</f>
        <v>546</v>
      </c>
    </row>
    <row r="7" customFormat="false" ht="20.25" hidden="true" customHeight="true" outlineLevel="0" collapsed="false">
      <c r="A7" s="61" t="n">
        <v>30</v>
      </c>
      <c r="B7" s="61" t="s">
        <v>54</v>
      </c>
      <c r="C7" s="61" t="n">
        <v>65</v>
      </c>
      <c r="D7" s="61" t="n">
        <v>1000</v>
      </c>
      <c r="E7" s="61" t="s">
        <v>55</v>
      </c>
      <c r="F7" s="62" t="n">
        <f aca="false">M7*D7</f>
        <v>1000</v>
      </c>
      <c r="G7" s="61" t="s">
        <v>56</v>
      </c>
      <c r="H7" s="61" t="n">
        <f aca="false">(M7*(C7/1000))*D7</f>
        <v>65</v>
      </c>
      <c r="I7" s="61" t="s">
        <v>57</v>
      </c>
      <c r="J7" s="63" t="n">
        <v>45980</v>
      </c>
      <c r="K7" s="61" t="n">
        <v>1</v>
      </c>
      <c r="L7" s="61"/>
      <c r="M7" s="61" t="n">
        <f aca="false">K7-L7</f>
        <v>1</v>
      </c>
      <c r="N7" s="64" t="n">
        <f aca="false">H7*4.2</f>
        <v>273</v>
      </c>
    </row>
    <row r="8" customFormat="false" ht="20.25" hidden="false" customHeight="true" outlineLevel="0" collapsed="false">
      <c r="A8" s="65" t="n">
        <v>5</v>
      </c>
      <c r="B8" s="65" t="s">
        <v>58</v>
      </c>
      <c r="C8" s="65" t="n">
        <v>65</v>
      </c>
      <c r="D8" s="65" t="n">
        <v>1500</v>
      </c>
      <c r="E8" s="65" t="s">
        <v>51</v>
      </c>
      <c r="F8" s="66" t="n">
        <f aca="false">M8*D8</f>
        <v>1500</v>
      </c>
      <c r="G8" s="65" t="s">
        <v>17</v>
      </c>
      <c r="H8" s="65" t="n">
        <f aca="false">(M8*(C8/1000))*D8</f>
        <v>97.5</v>
      </c>
      <c r="I8" s="65" t="s">
        <v>59</v>
      </c>
      <c r="J8" s="67" t="n">
        <v>46086</v>
      </c>
      <c r="K8" s="65" t="n">
        <v>3</v>
      </c>
      <c r="L8" s="65" t="n">
        <v>2</v>
      </c>
      <c r="M8" s="65" t="n">
        <f aca="false">K8-L8</f>
        <v>1</v>
      </c>
      <c r="N8" s="68" t="n">
        <f aca="false">H8*3.4</f>
        <v>331.5</v>
      </c>
    </row>
    <row r="9" customFormat="false" ht="20.25" hidden="false" customHeight="true" outlineLevel="0" collapsed="false">
      <c r="A9" s="65" t="n">
        <v>4</v>
      </c>
      <c r="B9" s="65" t="s">
        <v>58</v>
      </c>
      <c r="C9" s="65" t="n">
        <v>65</v>
      </c>
      <c r="D9" s="65" t="n">
        <v>1500</v>
      </c>
      <c r="E9" s="65" t="s">
        <v>51</v>
      </c>
      <c r="F9" s="66" t="n">
        <f aca="false">M9*D9</f>
        <v>3000</v>
      </c>
      <c r="G9" s="65" t="s">
        <v>17</v>
      </c>
      <c r="H9" s="65" t="n">
        <f aca="false">(M9*(C9/1000))*D9</f>
        <v>195</v>
      </c>
      <c r="I9" s="65" t="s">
        <v>59</v>
      </c>
      <c r="J9" s="67" t="n">
        <v>46110</v>
      </c>
      <c r="K9" s="65" t="n">
        <v>5</v>
      </c>
      <c r="L9" s="65" t="n">
        <v>3</v>
      </c>
      <c r="M9" s="65" t="n">
        <f aca="false">K9-L9</f>
        <v>2</v>
      </c>
      <c r="N9" s="68" t="n">
        <f aca="false">H9*3.4</f>
        <v>663</v>
      </c>
    </row>
    <row r="10" customFormat="false" ht="20.25" hidden="false" customHeight="true" outlineLevel="0" collapsed="false">
      <c r="A10" s="61" t="n">
        <v>6</v>
      </c>
      <c r="B10" s="61" t="s">
        <v>58</v>
      </c>
      <c r="C10" s="61" t="n">
        <v>65</v>
      </c>
      <c r="D10" s="61" t="n">
        <v>1500</v>
      </c>
      <c r="E10" s="61" t="s">
        <v>51</v>
      </c>
      <c r="F10" s="62" t="n">
        <f aca="false">M10*D10</f>
        <v>0</v>
      </c>
      <c r="G10" s="61" t="s">
        <v>17</v>
      </c>
      <c r="H10" s="61" t="n">
        <f aca="false">(M10*(C10/1000))*D10</f>
        <v>0</v>
      </c>
      <c r="I10" s="61" t="s">
        <v>59</v>
      </c>
      <c r="J10" s="63" t="s">
        <v>60</v>
      </c>
      <c r="K10" s="61" t="n">
        <v>1</v>
      </c>
      <c r="L10" s="61" t="n">
        <v>1</v>
      </c>
      <c r="M10" s="61" t="n">
        <f aca="false">K10-L10</f>
        <v>0</v>
      </c>
      <c r="N10" s="64" t="n">
        <f aca="false">H10*3.4</f>
        <v>0</v>
      </c>
      <c r="O10" s="9"/>
    </row>
    <row r="11" customFormat="false" ht="20.25" hidden="false" customHeight="true" outlineLevel="0" collapsed="false">
      <c r="A11" s="61" t="n">
        <v>1</v>
      </c>
      <c r="B11" s="61" t="s">
        <v>58</v>
      </c>
      <c r="C11" s="61" t="n">
        <v>65</v>
      </c>
      <c r="D11" s="61" t="n">
        <v>1000</v>
      </c>
      <c r="E11" s="61" t="s">
        <v>51</v>
      </c>
      <c r="F11" s="62" t="n">
        <f aca="false">M11*D11</f>
        <v>0</v>
      </c>
      <c r="G11" s="61" t="s">
        <v>17</v>
      </c>
      <c r="H11" s="61" t="n">
        <f aca="false">(M11*(C11/1000))*D11</f>
        <v>0</v>
      </c>
      <c r="I11" s="61" t="s">
        <v>59</v>
      </c>
      <c r="J11" s="63" t="s">
        <v>61</v>
      </c>
      <c r="K11" s="61" t="n">
        <v>1</v>
      </c>
      <c r="L11" s="61" t="n">
        <v>1</v>
      </c>
      <c r="M11" s="61" t="n">
        <f aca="false">K11-L11</f>
        <v>0</v>
      </c>
      <c r="N11" s="64" t="n">
        <f aca="false">H11*3.4</f>
        <v>0</v>
      </c>
    </row>
    <row r="12" customFormat="false" ht="20.25" hidden="true" customHeight="true" outlineLevel="0" collapsed="false">
      <c r="A12" s="61" t="n">
        <v>2</v>
      </c>
      <c r="B12" s="61" t="s">
        <v>62</v>
      </c>
      <c r="C12" s="61" t="n">
        <v>65</v>
      </c>
      <c r="D12" s="61" t="n">
        <v>1500</v>
      </c>
      <c r="E12" s="61" t="s">
        <v>63</v>
      </c>
      <c r="F12" s="62" t="n">
        <f aca="false">M12*D12</f>
        <v>1500</v>
      </c>
      <c r="G12" s="61" t="s">
        <v>17</v>
      </c>
      <c r="H12" s="61" t="n">
        <f aca="false">(M12*(C12/1000))*D12</f>
        <v>97.5</v>
      </c>
      <c r="I12" s="61" t="s">
        <v>64</v>
      </c>
      <c r="J12" s="63" t="n">
        <v>46121</v>
      </c>
      <c r="K12" s="61" t="n">
        <v>1</v>
      </c>
      <c r="L12" s="61"/>
      <c r="M12" s="61" t="n">
        <f aca="false">K12-L12</f>
        <v>1</v>
      </c>
      <c r="N12" s="64" t="n">
        <f aca="false">H12*3.4</f>
        <v>331.5</v>
      </c>
    </row>
    <row r="13" customFormat="false" ht="20.25" hidden="false" customHeight="true" outlineLevel="0" collapsed="false">
      <c r="A13" s="61" t="n">
        <v>2</v>
      </c>
      <c r="B13" s="61" t="s">
        <v>58</v>
      </c>
      <c r="C13" s="61" t="n">
        <v>65</v>
      </c>
      <c r="D13" s="61" t="n">
        <v>1000</v>
      </c>
      <c r="E13" s="61" t="s">
        <v>51</v>
      </c>
      <c r="F13" s="62" t="n">
        <f aca="false">M13*D13</f>
        <v>1000</v>
      </c>
      <c r="G13" s="61" t="s">
        <v>17</v>
      </c>
      <c r="H13" s="61" t="n">
        <f aca="false">(M13*(C13/1000))*D13</f>
        <v>65</v>
      </c>
      <c r="I13" s="61" t="s">
        <v>59</v>
      </c>
      <c r="J13" s="63" t="n">
        <v>46110</v>
      </c>
      <c r="K13" s="61" t="n">
        <v>1</v>
      </c>
      <c r="L13" s="61"/>
      <c r="M13" s="61" t="n">
        <f aca="false">K13-L13</f>
        <v>1</v>
      </c>
      <c r="N13" s="64" t="n">
        <f aca="false">H13*3.4</f>
        <v>221</v>
      </c>
    </row>
    <row r="14" customFormat="false" ht="20.25" hidden="false" customHeight="true" outlineLevel="0" collapsed="false">
      <c r="A14" s="65" t="n">
        <v>1</v>
      </c>
      <c r="B14" s="65" t="s">
        <v>58</v>
      </c>
      <c r="C14" s="65" t="n">
        <v>65</v>
      </c>
      <c r="D14" s="65" t="n">
        <v>1000</v>
      </c>
      <c r="E14" s="65" t="s">
        <v>51</v>
      </c>
      <c r="F14" s="66" t="n">
        <f aca="false">M14*D14</f>
        <v>2000</v>
      </c>
      <c r="G14" s="65" t="s">
        <v>17</v>
      </c>
      <c r="H14" s="65" t="n">
        <f aca="false">(M14*(C14/1000))*D14</f>
        <v>130</v>
      </c>
      <c r="I14" s="65" t="s">
        <v>59</v>
      </c>
      <c r="J14" s="67" t="n">
        <v>46201</v>
      </c>
      <c r="K14" s="65" t="n">
        <v>3</v>
      </c>
      <c r="L14" s="65" t="n">
        <v>1</v>
      </c>
      <c r="M14" s="65" t="n">
        <f aca="false">K14-L14</f>
        <v>2</v>
      </c>
      <c r="N14" s="68" t="n">
        <f aca="false">H14*3.4</f>
        <v>442</v>
      </c>
    </row>
    <row r="15" customFormat="false" ht="20.25" hidden="false" customHeight="true" outlineLevel="0" collapsed="false">
      <c r="A15" s="61" t="n">
        <v>5</v>
      </c>
      <c r="B15" s="61" t="s">
        <v>58</v>
      </c>
      <c r="C15" s="61" t="n">
        <v>65</v>
      </c>
      <c r="D15" s="61" t="n">
        <v>1500</v>
      </c>
      <c r="E15" s="61" t="s">
        <v>51</v>
      </c>
      <c r="F15" s="62" t="n">
        <f aca="false">M15*D15</f>
        <v>3000</v>
      </c>
      <c r="G15" s="61" t="s">
        <v>17</v>
      </c>
      <c r="H15" s="61" t="n">
        <f aca="false">(M15*(C15/1000))*D15</f>
        <v>195</v>
      </c>
      <c r="I15" s="61" t="s">
        <v>59</v>
      </c>
      <c r="J15" s="63" t="n">
        <v>46086</v>
      </c>
      <c r="K15" s="61" t="n">
        <v>2</v>
      </c>
      <c r="L15" s="61"/>
      <c r="M15" s="61" t="n">
        <f aca="false">K15-L15</f>
        <v>2</v>
      </c>
      <c r="N15" s="64" t="n">
        <f aca="false">H15*3.4</f>
        <v>663</v>
      </c>
    </row>
    <row r="16" customFormat="false" ht="20.25" hidden="true" customHeight="true" outlineLevel="0" collapsed="false">
      <c r="A16" s="65" t="n">
        <v>26</v>
      </c>
      <c r="B16" s="65" t="s">
        <v>54</v>
      </c>
      <c r="C16" s="65" t="n">
        <v>70</v>
      </c>
      <c r="D16" s="65" t="n">
        <v>1000</v>
      </c>
      <c r="E16" s="65" t="s">
        <v>55</v>
      </c>
      <c r="F16" s="66" t="n">
        <f aca="false">M16*D16</f>
        <v>3000</v>
      </c>
      <c r="G16" s="65" t="s">
        <v>56</v>
      </c>
      <c r="H16" s="65" t="n">
        <f aca="false">(M16*(C16/1000))*D16</f>
        <v>210</v>
      </c>
      <c r="I16" s="65" t="s">
        <v>57</v>
      </c>
      <c r="J16" s="67" t="n">
        <v>46040</v>
      </c>
      <c r="K16" s="65" t="n">
        <v>4</v>
      </c>
      <c r="L16" s="65" t="n">
        <v>1</v>
      </c>
      <c r="M16" s="65" t="n">
        <f aca="false">K16-L16</f>
        <v>3</v>
      </c>
      <c r="N16" s="68" t="n">
        <f aca="false">H16*4.2</f>
        <v>882</v>
      </c>
    </row>
    <row r="17" customFormat="false" ht="20.25" hidden="false" customHeight="true" outlineLevel="0" collapsed="false">
      <c r="A17" s="65" t="n">
        <v>2</v>
      </c>
      <c r="B17" s="65" t="s">
        <v>58</v>
      </c>
      <c r="C17" s="65" t="n">
        <v>70</v>
      </c>
      <c r="D17" s="65" t="n">
        <v>1500</v>
      </c>
      <c r="E17" s="65" t="s">
        <v>51</v>
      </c>
      <c r="F17" s="66" t="n">
        <f aca="false">M17*D17</f>
        <v>4500</v>
      </c>
      <c r="G17" s="65" t="s">
        <v>17</v>
      </c>
      <c r="H17" s="65" t="n">
        <f aca="false">(M17*(C17/1000))*D17</f>
        <v>315</v>
      </c>
      <c r="I17" s="65" t="s">
        <v>59</v>
      </c>
      <c r="J17" s="67" t="n">
        <v>46110</v>
      </c>
      <c r="K17" s="65" t="n">
        <v>5</v>
      </c>
      <c r="L17" s="65" t="n">
        <v>2</v>
      </c>
      <c r="M17" s="65" t="n">
        <f aca="false">K17-L17</f>
        <v>3</v>
      </c>
      <c r="N17" s="68" t="n">
        <f aca="false">H17*3.4</f>
        <v>1071</v>
      </c>
    </row>
    <row r="18" customFormat="false" ht="20.25" hidden="false" customHeight="true" outlineLevel="0" collapsed="false">
      <c r="A18" s="61" t="n">
        <v>3</v>
      </c>
      <c r="B18" s="61" t="s">
        <v>58</v>
      </c>
      <c r="C18" s="61" t="n">
        <v>70</v>
      </c>
      <c r="D18" s="61" t="n">
        <v>1000</v>
      </c>
      <c r="E18" s="61" t="s">
        <v>51</v>
      </c>
      <c r="F18" s="62" t="n">
        <f aca="false">M18*D18</f>
        <v>0</v>
      </c>
      <c r="G18" s="61" t="s">
        <v>17</v>
      </c>
      <c r="H18" s="61" t="n">
        <f aca="false">(M18*(C18/1000))*D18</f>
        <v>0</v>
      </c>
      <c r="I18" s="61" t="s">
        <v>59</v>
      </c>
      <c r="J18" s="63" t="n">
        <v>46110</v>
      </c>
      <c r="K18" s="61" t="n">
        <v>1</v>
      </c>
      <c r="L18" s="61" t="n">
        <v>1</v>
      </c>
      <c r="M18" s="61" t="n">
        <f aca="false">K18-L18</f>
        <v>0</v>
      </c>
      <c r="N18" s="64" t="n">
        <f aca="false">H18*3.4</f>
        <v>0</v>
      </c>
      <c r="O18" s="9"/>
    </row>
    <row r="19" customFormat="false" ht="20.25" hidden="false" customHeight="true" outlineLevel="0" collapsed="false">
      <c r="A19" s="61" t="n">
        <v>10</v>
      </c>
      <c r="B19" s="61" t="s">
        <v>58</v>
      </c>
      <c r="C19" s="61" t="n">
        <v>70</v>
      </c>
      <c r="D19" s="61" t="n">
        <v>1500</v>
      </c>
      <c r="E19" s="61" t="s">
        <v>51</v>
      </c>
      <c r="F19" s="62" t="n">
        <f aca="false">M19*D19</f>
        <v>3000</v>
      </c>
      <c r="G19" s="61" t="s">
        <v>17</v>
      </c>
      <c r="H19" s="61" t="n">
        <f aca="false">(M19*(C19/1000))*D19</f>
        <v>210</v>
      </c>
      <c r="I19" s="61" t="s">
        <v>59</v>
      </c>
      <c r="J19" s="63" t="n">
        <v>46110</v>
      </c>
      <c r="K19" s="61" t="n">
        <v>2</v>
      </c>
      <c r="L19" s="61"/>
      <c r="M19" s="61" t="n">
        <f aca="false">K19-L19</f>
        <v>2</v>
      </c>
      <c r="N19" s="64" t="n">
        <f aca="false">H19*3.4</f>
        <v>714</v>
      </c>
    </row>
    <row r="20" customFormat="false" ht="20.25" hidden="false" customHeight="true" outlineLevel="0" collapsed="false">
      <c r="A20" s="65" t="n">
        <v>2</v>
      </c>
      <c r="B20" s="65" t="s">
        <v>58</v>
      </c>
      <c r="C20" s="65" t="n">
        <v>75</v>
      </c>
      <c r="D20" s="65" t="n">
        <v>1000</v>
      </c>
      <c r="E20" s="65" t="s">
        <v>51</v>
      </c>
      <c r="F20" s="66" t="n">
        <f aca="false">M20*D20</f>
        <v>0</v>
      </c>
      <c r="G20" s="65" t="s">
        <v>17</v>
      </c>
      <c r="H20" s="65" t="n">
        <f aca="false">(M20*(C20/1000))*D20</f>
        <v>0</v>
      </c>
      <c r="I20" s="65" t="s">
        <v>59</v>
      </c>
      <c r="J20" s="67" t="n">
        <v>45921</v>
      </c>
      <c r="K20" s="65" t="n">
        <v>1</v>
      </c>
      <c r="L20" s="65" t="n">
        <v>1</v>
      </c>
      <c r="M20" s="65" t="n">
        <f aca="false">K20-L20</f>
        <v>0</v>
      </c>
      <c r="N20" s="68" t="n">
        <f aca="false">H20*3.4</f>
        <v>0</v>
      </c>
    </row>
    <row r="21" customFormat="false" ht="20.25" hidden="false" customHeight="true" outlineLevel="0" collapsed="false">
      <c r="A21" s="65" t="n">
        <v>4</v>
      </c>
      <c r="B21" s="65" t="s">
        <v>58</v>
      </c>
      <c r="C21" s="65" t="n">
        <v>75</v>
      </c>
      <c r="D21" s="65" t="n">
        <v>1000</v>
      </c>
      <c r="E21" s="65" t="s">
        <v>51</v>
      </c>
      <c r="F21" s="66" t="n">
        <f aca="false">M21*D21</f>
        <v>2000</v>
      </c>
      <c r="G21" s="65" t="s">
        <v>17</v>
      </c>
      <c r="H21" s="65" t="n">
        <f aca="false">(M21*(C21/1000))*D21</f>
        <v>150</v>
      </c>
      <c r="I21" s="65" t="s">
        <v>59</v>
      </c>
      <c r="J21" s="67" t="n">
        <v>45961</v>
      </c>
      <c r="K21" s="65" t="n">
        <v>2</v>
      </c>
      <c r="L21" s="65"/>
      <c r="M21" s="65" t="n">
        <f aca="false">K21-L21</f>
        <v>2</v>
      </c>
      <c r="N21" s="68" t="n">
        <f aca="false">H21*3.4</f>
        <v>510</v>
      </c>
      <c r="O21" s="9"/>
    </row>
    <row r="22" customFormat="false" ht="20.25" hidden="false" customHeight="true" outlineLevel="0" collapsed="false">
      <c r="A22" s="61" t="n">
        <v>5</v>
      </c>
      <c r="B22" s="61" t="s">
        <v>58</v>
      </c>
      <c r="C22" s="61" t="n">
        <v>75</v>
      </c>
      <c r="D22" s="61" t="n">
        <v>1000</v>
      </c>
      <c r="E22" s="61" t="s">
        <v>51</v>
      </c>
      <c r="F22" s="62" t="n">
        <f aca="false">M22*D22</f>
        <v>0</v>
      </c>
      <c r="G22" s="61" t="s">
        <v>17</v>
      </c>
      <c r="H22" s="61" t="n">
        <f aca="false">(M22*(C22/1000))*D22</f>
        <v>0</v>
      </c>
      <c r="I22" s="61" t="s">
        <v>59</v>
      </c>
      <c r="J22" s="63" t="n">
        <v>45961</v>
      </c>
      <c r="K22" s="61" t="n">
        <v>1</v>
      </c>
      <c r="L22" s="61" t="n">
        <v>1</v>
      </c>
      <c r="M22" s="61" t="n">
        <f aca="false">K22-L22</f>
        <v>0</v>
      </c>
      <c r="N22" s="64" t="n">
        <f aca="false">H22*3.4</f>
        <v>0</v>
      </c>
    </row>
    <row r="23" customFormat="false" ht="20.25" hidden="false" customHeight="true" outlineLevel="0" collapsed="false">
      <c r="A23" s="61" t="n">
        <v>1</v>
      </c>
      <c r="B23" s="61" t="s">
        <v>58</v>
      </c>
      <c r="C23" s="61" t="n">
        <v>75</v>
      </c>
      <c r="D23" s="61" t="n">
        <v>1000</v>
      </c>
      <c r="E23" s="61" t="s">
        <v>51</v>
      </c>
      <c r="F23" s="62" t="n">
        <f aca="false">M23*D23</f>
        <v>3000</v>
      </c>
      <c r="G23" s="61" t="s">
        <v>17</v>
      </c>
      <c r="H23" s="61" t="n">
        <f aca="false">(M23*(C23/1000))*D23</f>
        <v>225</v>
      </c>
      <c r="I23" s="61" t="s">
        <v>59</v>
      </c>
      <c r="J23" s="63" t="n">
        <v>45980</v>
      </c>
      <c r="K23" s="61" t="n">
        <v>3</v>
      </c>
      <c r="L23" s="61"/>
      <c r="M23" s="61" t="n">
        <f aca="false">K23-L23</f>
        <v>3</v>
      </c>
      <c r="N23" s="64" t="n">
        <f aca="false">H23*3.4</f>
        <v>765</v>
      </c>
    </row>
    <row r="24" customFormat="false" ht="20.25" hidden="false" customHeight="true" outlineLevel="0" collapsed="false">
      <c r="A24" s="65" t="n">
        <v>3</v>
      </c>
      <c r="B24" s="65" t="s">
        <v>58</v>
      </c>
      <c r="C24" s="65" t="n">
        <v>75</v>
      </c>
      <c r="D24" s="65" t="n">
        <v>1000</v>
      </c>
      <c r="E24" s="65" t="s">
        <v>51</v>
      </c>
      <c r="F24" s="66" t="n">
        <f aca="false">M24*D24</f>
        <v>2000</v>
      </c>
      <c r="G24" s="65" t="s">
        <v>17</v>
      </c>
      <c r="H24" s="65" t="n">
        <f aca="false">(M24*(C24/1000))*D24</f>
        <v>150</v>
      </c>
      <c r="I24" s="65" t="s">
        <v>59</v>
      </c>
      <c r="J24" s="67" t="n">
        <v>46010</v>
      </c>
      <c r="K24" s="65" t="n">
        <v>2</v>
      </c>
      <c r="L24" s="65"/>
      <c r="M24" s="65" t="n">
        <f aca="false">K24-L24</f>
        <v>2</v>
      </c>
      <c r="N24" s="68" t="n">
        <f aca="false">H24*3.4</f>
        <v>510</v>
      </c>
      <c r="O24" s="9"/>
    </row>
    <row r="25" customFormat="false" ht="20.25" hidden="false" customHeight="true" outlineLevel="0" collapsed="false">
      <c r="A25" s="61" t="n">
        <v>5</v>
      </c>
      <c r="B25" s="61" t="s">
        <v>58</v>
      </c>
      <c r="C25" s="61" t="n">
        <v>75</v>
      </c>
      <c r="D25" s="61" t="n">
        <v>1500</v>
      </c>
      <c r="E25" s="61" t="s">
        <v>51</v>
      </c>
      <c r="F25" s="62" t="n">
        <f aca="false">M25*D25</f>
        <v>13500</v>
      </c>
      <c r="G25" s="61" t="s">
        <v>17</v>
      </c>
      <c r="H25" s="61" t="n">
        <f aca="false">(M25*(C25/1000))*D25</f>
        <v>1012.5</v>
      </c>
      <c r="I25" s="61" t="s">
        <v>59</v>
      </c>
      <c r="J25" s="63" t="n">
        <v>46110</v>
      </c>
      <c r="K25" s="61" t="n">
        <v>9</v>
      </c>
      <c r="L25" s="61"/>
      <c r="M25" s="61" t="n">
        <f aca="false">K25-L25</f>
        <v>9</v>
      </c>
      <c r="N25" s="64" t="n">
        <f aca="false">H25*3.4</f>
        <v>3442.5</v>
      </c>
    </row>
    <row r="26" customFormat="false" ht="20.25" hidden="false" customHeight="true" outlineLevel="0" collapsed="false">
      <c r="A26" s="65" t="n">
        <v>2</v>
      </c>
      <c r="B26" s="65" t="s">
        <v>58</v>
      </c>
      <c r="C26" s="65" t="n">
        <v>78</v>
      </c>
      <c r="D26" s="65" t="n">
        <v>1000</v>
      </c>
      <c r="E26" s="65" t="s">
        <v>51</v>
      </c>
      <c r="F26" s="66" t="n">
        <f aca="false">M26*D26</f>
        <v>2000</v>
      </c>
      <c r="G26" s="65" t="s">
        <v>17</v>
      </c>
      <c r="H26" s="65" t="n">
        <f aca="false">(M26*(C26/1000))*D26</f>
        <v>156</v>
      </c>
      <c r="I26" s="65" t="s">
        <v>59</v>
      </c>
      <c r="J26" s="67" t="n">
        <v>45839</v>
      </c>
      <c r="K26" s="65" t="n">
        <v>2</v>
      </c>
      <c r="L26" s="65"/>
      <c r="M26" s="65" t="n">
        <f aca="false">K26-L26</f>
        <v>2</v>
      </c>
      <c r="N26" s="68" t="n">
        <f aca="false">H26*3.4</f>
        <v>530.4</v>
      </c>
      <c r="O26" s="9"/>
    </row>
    <row r="27" customFormat="false" ht="20.25" hidden="false" customHeight="true" outlineLevel="0" collapsed="false">
      <c r="A27" s="65" t="n">
        <v>2</v>
      </c>
      <c r="B27" s="65" t="s">
        <v>58</v>
      </c>
      <c r="C27" s="65" t="n">
        <v>78</v>
      </c>
      <c r="D27" s="65" t="n">
        <v>1000</v>
      </c>
      <c r="E27" s="65" t="s">
        <v>51</v>
      </c>
      <c r="F27" s="66" t="n">
        <f aca="false">M27*D27</f>
        <v>0</v>
      </c>
      <c r="G27" s="65" t="s">
        <v>17</v>
      </c>
      <c r="H27" s="65" t="n">
        <f aca="false">(M27*(C27/1000))*D27</f>
        <v>0</v>
      </c>
      <c r="I27" s="65" t="s">
        <v>59</v>
      </c>
      <c r="J27" s="67" t="n">
        <v>45839</v>
      </c>
      <c r="K27" s="65" t="n">
        <v>2</v>
      </c>
      <c r="L27" s="65" t="n">
        <v>2</v>
      </c>
      <c r="M27" s="65" t="n">
        <f aca="false">K27-L27</f>
        <v>0</v>
      </c>
      <c r="N27" s="68" t="n">
        <f aca="false">H27*3.4</f>
        <v>0</v>
      </c>
    </row>
    <row r="28" customFormat="false" ht="20.25" hidden="false" customHeight="true" outlineLevel="0" collapsed="false">
      <c r="A28" s="65" t="n">
        <v>1</v>
      </c>
      <c r="B28" s="65" t="s">
        <v>58</v>
      </c>
      <c r="C28" s="65" t="n">
        <v>78</v>
      </c>
      <c r="D28" s="65" t="n">
        <v>1000</v>
      </c>
      <c r="E28" s="65" t="s">
        <v>51</v>
      </c>
      <c r="F28" s="66" t="n">
        <f aca="false">M28*D28</f>
        <v>1000</v>
      </c>
      <c r="G28" s="65" t="s">
        <v>17</v>
      </c>
      <c r="H28" s="65" t="n">
        <f aca="false">(M28*(C28/1000))*D28</f>
        <v>78</v>
      </c>
      <c r="I28" s="65" t="s">
        <v>59</v>
      </c>
      <c r="J28" s="67" t="n">
        <v>45839</v>
      </c>
      <c r="K28" s="65" t="n">
        <v>1</v>
      </c>
      <c r="L28" s="65"/>
      <c r="M28" s="65" t="n">
        <f aca="false">K28-L28</f>
        <v>1</v>
      </c>
      <c r="N28" s="68" t="n">
        <f aca="false">H28*3.4</f>
        <v>265.2</v>
      </c>
    </row>
    <row r="29" customFormat="false" ht="20.25" hidden="false" customHeight="true" outlineLevel="0" collapsed="false">
      <c r="A29" s="61" t="n">
        <v>3</v>
      </c>
      <c r="B29" s="61" t="s">
        <v>58</v>
      </c>
      <c r="C29" s="61" t="n">
        <v>78</v>
      </c>
      <c r="D29" s="61" t="n">
        <v>1000</v>
      </c>
      <c r="E29" s="61" t="s">
        <v>51</v>
      </c>
      <c r="F29" s="62" t="n">
        <f aca="false">M29*D29</f>
        <v>3000</v>
      </c>
      <c r="G29" s="61" t="s">
        <v>17</v>
      </c>
      <c r="H29" s="61" t="n">
        <f aca="false">(M29*(C29/1000))*D29</f>
        <v>234</v>
      </c>
      <c r="I29" s="61" t="s">
        <v>59</v>
      </c>
      <c r="J29" s="63" t="n">
        <v>45839</v>
      </c>
      <c r="K29" s="61" t="n">
        <v>3</v>
      </c>
      <c r="L29" s="61"/>
      <c r="M29" s="61" t="n">
        <f aca="false">K29-L29</f>
        <v>3</v>
      </c>
      <c r="N29" s="64" t="n">
        <f aca="false">H29*3.4</f>
        <v>795.6</v>
      </c>
    </row>
    <row r="30" customFormat="false" ht="20.25" hidden="false" customHeight="true" outlineLevel="0" collapsed="false">
      <c r="A30" s="61" t="n">
        <v>4</v>
      </c>
      <c r="B30" s="61" t="s">
        <v>58</v>
      </c>
      <c r="C30" s="61" t="n">
        <v>78</v>
      </c>
      <c r="D30" s="61" t="n">
        <v>1000</v>
      </c>
      <c r="E30" s="61" t="s">
        <v>51</v>
      </c>
      <c r="F30" s="62" t="n">
        <f aca="false">M30*D30</f>
        <v>5000</v>
      </c>
      <c r="G30" s="61" t="s">
        <v>17</v>
      </c>
      <c r="H30" s="61" t="n">
        <f aca="false">(M30*(C30/1000))*D30</f>
        <v>390</v>
      </c>
      <c r="I30" s="61" t="s">
        <v>59</v>
      </c>
      <c r="J30" s="63" t="n">
        <v>46036</v>
      </c>
      <c r="K30" s="61" t="n">
        <v>5</v>
      </c>
      <c r="L30" s="61"/>
      <c r="M30" s="61" t="n">
        <f aca="false">K30-L30</f>
        <v>5</v>
      </c>
      <c r="N30" s="64" t="n">
        <f aca="false">H30*3.4</f>
        <v>1326</v>
      </c>
    </row>
    <row r="31" customFormat="false" ht="20.25" hidden="false" customHeight="true" outlineLevel="0" collapsed="false">
      <c r="A31" s="65" t="n">
        <v>3</v>
      </c>
      <c r="B31" s="65" t="s">
        <v>58</v>
      </c>
      <c r="C31" s="65" t="n">
        <v>80</v>
      </c>
      <c r="D31" s="65" t="n">
        <v>1000</v>
      </c>
      <c r="E31" s="65" t="s">
        <v>51</v>
      </c>
      <c r="F31" s="66" t="n">
        <f aca="false">M31*D31</f>
        <v>0</v>
      </c>
      <c r="G31" s="65" t="s">
        <v>17</v>
      </c>
      <c r="H31" s="65" t="n">
        <f aca="false">(M31*(C31/1000))*D31</f>
        <v>0</v>
      </c>
      <c r="I31" s="65" t="s">
        <v>59</v>
      </c>
      <c r="J31" s="67" t="n">
        <v>46010</v>
      </c>
      <c r="K31" s="65" t="n">
        <v>2</v>
      </c>
      <c r="L31" s="65" t="n">
        <v>2</v>
      </c>
      <c r="M31" s="65" t="n">
        <f aca="false">K31-L31</f>
        <v>0</v>
      </c>
      <c r="N31" s="68" t="n">
        <f aca="false">H31*3.4</f>
        <v>0</v>
      </c>
      <c r="O31" s="9"/>
    </row>
    <row r="32" customFormat="false" ht="20.25" hidden="true" customHeight="true" outlineLevel="0" collapsed="false">
      <c r="A32" s="65" t="n">
        <v>25</v>
      </c>
      <c r="B32" s="65" t="s">
        <v>54</v>
      </c>
      <c r="C32" s="65" t="n">
        <v>80</v>
      </c>
      <c r="D32" s="65" t="n">
        <v>1000</v>
      </c>
      <c r="E32" s="65" t="s">
        <v>55</v>
      </c>
      <c r="F32" s="66" t="n">
        <f aca="false">M32*D32</f>
        <v>0</v>
      </c>
      <c r="G32" s="65" t="s">
        <v>56</v>
      </c>
      <c r="H32" s="65" t="n">
        <f aca="false">(M32*(C32/1000))*D32</f>
        <v>0</v>
      </c>
      <c r="I32" s="65" t="s">
        <v>57</v>
      </c>
      <c r="J32" s="67" t="n">
        <v>46040</v>
      </c>
      <c r="K32" s="65" t="n">
        <v>1</v>
      </c>
      <c r="L32" s="65" t="n">
        <v>1</v>
      </c>
      <c r="M32" s="65" t="n">
        <f aca="false">K32-L32</f>
        <v>0</v>
      </c>
      <c r="N32" s="68" t="n">
        <f aca="false">H32*4.2</f>
        <v>0</v>
      </c>
    </row>
    <row r="33" customFormat="false" ht="20.25" hidden="true" customHeight="true" outlineLevel="0" collapsed="false">
      <c r="A33" s="61" t="n">
        <v>10</v>
      </c>
      <c r="B33" s="61" t="s">
        <v>62</v>
      </c>
      <c r="C33" s="61" t="n">
        <v>80</v>
      </c>
      <c r="D33" s="61" t="n">
        <v>1500</v>
      </c>
      <c r="E33" s="61" t="s">
        <v>63</v>
      </c>
      <c r="F33" s="62" t="n">
        <f aca="false">M33*D33</f>
        <v>1500</v>
      </c>
      <c r="G33" s="61" t="s">
        <v>17</v>
      </c>
      <c r="H33" s="61" t="n">
        <f aca="false">(M33*(C33/1000))*D33</f>
        <v>120</v>
      </c>
      <c r="I33" s="61" t="s">
        <v>64</v>
      </c>
      <c r="J33" s="63" t="n">
        <v>46121</v>
      </c>
      <c r="K33" s="61" t="n">
        <v>1</v>
      </c>
      <c r="L33" s="61"/>
      <c r="M33" s="61" t="n">
        <f aca="false">K33-L33</f>
        <v>1</v>
      </c>
      <c r="N33" s="64" t="n">
        <f aca="false">H33*3.4</f>
        <v>408</v>
      </c>
    </row>
    <row r="34" customFormat="false" ht="20.25" hidden="true" customHeight="true" outlineLevel="0" collapsed="false">
      <c r="A34" s="65" t="n">
        <v>13</v>
      </c>
      <c r="B34" s="65" t="s">
        <v>62</v>
      </c>
      <c r="C34" s="65" t="n">
        <v>80</v>
      </c>
      <c r="D34" s="65" t="n">
        <v>1500</v>
      </c>
      <c r="E34" s="65" t="s">
        <v>63</v>
      </c>
      <c r="F34" s="66" t="n">
        <f aca="false">M34*D34</f>
        <v>1500</v>
      </c>
      <c r="G34" s="65" t="s">
        <v>17</v>
      </c>
      <c r="H34" s="65" t="n">
        <f aca="false">(M34*(C34/1000))*D34</f>
        <v>120</v>
      </c>
      <c r="I34" s="65" t="s">
        <v>64</v>
      </c>
      <c r="J34" s="67" t="n">
        <v>46121</v>
      </c>
      <c r="K34" s="65" t="n">
        <v>1</v>
      </c>
      <c r="L34" s="65"/>
      <c r="M34" s="65" t="n">
        <f aca="false">K34-L34</f>
        <v>1</v>
      </c>
      <c r="N34" s="68" t="n">
        <f aca="false">H34*3.4</f>
        <v>408</v>
      </c>
    </row>
    <row r="35" customFormat="false" ht="20.25" hidden="true" customHeight="true" outlineLevel="0" collapsed="false">
      <c r="A35" s="61" t="n">
        <v>1</v>
      </c>
      <c r="B35" s="61" t="s">
        <v>62</v>
      </c>
      <c r="C35" s="61" t="n">
        <v>80</v>
      </c>
      <c r="D35" s="61" t="n">
        <v>1500</v>
      </c>
      <c r="E35" s="61" t="s">
        <v>63</v>
      </c>
      <c r="F35" s="62" t="n">
        <f aca="false">M35*D35</f>
        <v>6000</v>
      </c>
      <c r="G35" s="61" t="s">
        <v>17</v>
      </c>
      <c r="H35" s="61" t="n">
        <f aca="false">(M35*(C35/1000))*D35</f>
        <v>480</v>
      </c>
      <c r="I35" s="61" t="s">
        <v>64</v>
      </c>
      <c r="J35" s="63" t="n">
        <v>46121</v>
      </c>
      <c r="K35" s="61" t="n">
        <v>5</v>
      </c>
      <c r="L35" s="61" t="n">
        <v>1</v>
      </c>
      <c r="M35" s="61" t="n">
        <f aca="false">K35-L35</f>
        <v>4</v>
      </c>
      <c r="N35" s="64" t="n">
        <f aca="false">H35*3.4</f>
        <v>1632</v>
      </c>
    </row>
    <row r="36" customFormat="false" ht="20.25" hidden="true" customHeight="true" outlineLevel="0" collapsed="false">
      <c r="A36" s="61" t="n">
        <v>3</v>
      </c>
      <c r="B36" s="61" t="s">
        <v>62</v>
      </c>
      <c r="C36" s="61" t="n">
        <v>80</v>
      </c>
      <c r="D36" s="61" t="n">
        <v>1500</v>
      </c>
      <c r="E36" s="61" t="s">
        <v>63</v>
      </c>
      <c r="F36" s="62" t="n">
        <f aca="false">M36*D36</f>
        <v>1500</v>
      </c>
      <c r="G36" s="61" t="s">
        <v>17</v>
      </c>
      <c r="H36" s="61" t="n">
        <f aca="false">(M36*(C36/1000))*D36</f>
        <v>120</v>
      </c>
      <c r="I36" s="61" t="s">
        <v>64</v>
      </c>
      <c r="J36" s="63" t="n">
        <v>46121</v>
      </c>
      <c r="K36" s="61" t="n">
        <v>2</v>
      </c>
      <c r="L36" s="61" t="n">
        <v>1</v>
      </c>
      <c r="M36" s="61" t="n">
        <f aca="false">K36-L36</f>
        <v>1</v>
      </c>
      <c r="N36" s="64" t="n">
        <f aca="false">H36*3.4</f>
        <v>408</v>
      </c>
    </row>
    <row r="37" customFormat="false" ht="20.25" hidden="false" customHeight="true" outlineLevel="0" collapsed="false">
      <c r="A37" s="65" t="n">
        <v>1</v>
      </c>
      <c r="B37" s="65" t="s">
        <v>58</v>
      </c>
      <c r="C37" s="65" t="n">
        <v>80</v>
      </c>
      <c r="D37" s="65" t="n">
        <v>1000</v>
      </c>
      <c r="E37" s="65" t="s">
        <v>51</v>
      </c>
      <c r="F37" s="66" t="n">
        <f aca="false">M37*D37</f>
        <v>3000</v>
      </c>
      <c r="G37" s="65" t="s">
        <v>17</v>
      </c>
      <c r="H37" s="65" t="n">
        <f aca="false">(M37*(C37/1000))*D37</f>
        <v>240</v>
      </c>
      <c r="I37" s="65" t="s">
        <v>59</v>
      </c>
      <c r="J37" s="67" t="n">
        <v>46201</v>
      </c>
      <c r="K37" s="65" t="n">
        <v>3</v>
      </c>
      <c r="L37" s="65"/>
      <c r="M37" s="65" t="n">
        <f aca="false">K37-L37</f>
        <v>3</v>
      </c>
      <c r="N37" s="68" t="n">
        <f aca="false">H37*3.4</f>
        <v>816</v>
      </c>
    </row>
    <row r="38" customFormat="false" ht="20.25" hidden="false" customHeight="true" outlineLevel="0" collapsed="false">
      <c r="A38" s="61" t="n">
        <v>2</v>
      </c>
      <c r="B38" s="61" t="s">
        <v>58</v>
      </c>
      <c r="C38" s="61" t="n">
        <v>83</v>
      </c>
      <c r="D38" s="61" t="n">
        <v>1000</v>
      </c>
      <c r="E38" s="61" t="s">
        <v>51</v>
      </c>
      <c r="F38" s="62" t="n">
        <f aca="false">M38*D38</f>
        <v>1000</v>
      </c>
      <c r="G38" s="61" t="s">
        <v>17</v>
      </c>
      <c r="H38" s="61" t="n">
        <f aca="false">(M38*(C38/1000))*D38</f>
        <v>83</v>
      </c>
      <c r="I38" s="61" t="s">
        <v>59</v>
      </c>
      <c r="J38" s="63" t="n">
        <v>45882</v>
      </c>
      <c r="K38" s="61" t="n">
        <v>1</v>
      </c>
      <c r="L38" s="61"/>
      <c r="M38" s="61" t="n">
        <f aca="false">K38-L38</f>
        <v>1</v>
      </c>
      <c r="N38" s="64" t="n">
        <f aca="false">H38*3.4</f>
        <v>282.2</v>
      </c>
    </row>
    <row r="39" customFormat="false" ht="20.25" hidden="false" customHeight="true" outlineLevel="0" collapsed="false">
      <c r="A39" s="61" t="n">
        <v>2</v>
      </c>
      <c r="B39" s="61" t="s">
        <v>58</v>
      </c>
      <c r="C39" s="61" t="n">
        <v>83</v>
      </c>
      <c r="D39" s="61" t="n">
        <v>1500</v>
      </c>
      <c r="E39" s="61" t="s">
        <v>51</v>
      </c>
      <c r="F39" s="62" t="n">
        <f aca="false">M39*D39</f>
        <v>1500</v>
      </c>
      <c r="G39" s="61" t="s">
        <v>17</v>
      </c>
      <c r="H39" s="61" t="n">
        <f aca="false">(M39*(C39/1000))*D39</f>
        <v>124.5</v>
      </c>
      <c r="I39" s="61" t="s">
        <v>59</v>
      </c>
      <c r="J39" s="63" t="n">
        <v>46110</v>
      </c>
      <c r="K39" s="61" t="n">
        <v>1</v>
      </c>
      <c r="L39" s="61"/>
      <c r="M39" s="61" t="n">
        <f aca="false">K39-L39</f>
        <v>1</v>
      </c>
      <c r="N39" s="64" t="n">
        <f aca="false">H39*3.4</f>
        <v>423.3</v>
      </c>
      <c r="O39" s="9"/>
    </row>
    <row r="40" customFormat="false" ht="20.25" hidden="false" customHeight="true" outlineLevel="0" collapsed="false">
      <c r="A40" s="65" t="n">
        <v>6</v>
      </c>
      <c r="B40" s="65" t="s">
        <v>58</v>
      </c>
      <c r="C40" s="65" t="n">
        <v>83</v>
      </c>
      <c r="D40" s="65" t="n">
        <v>1500</v>
      </c>
      <c r="E40" s="65" t="s">
        <v>51</v>
      </c>
      <c r="F40" s="66" t="n">
        <f aca="false">M40*D40</f>
        <v>9000</v>
      </c>
      <c r="G40" s="65" t="s">
        <v>17</v>
      </c>
      <c r="H40" s="65" t="n">
        <f aca="false">(M40*(C40/1000))*D40</f>
        <v>747</v>
      </c>
      <c r="I40" s="65" t="s">
        <v>59</v>
      </c>
      <c r="J40" s="67" t="n">
        <v>46110</v>
      </c>
      <c r="K40" s="65" t="n">
        <v>6</v>
      </c>
      <c r="L40" s="65"/>
      <c r="M40" s="65" t="n">
        <f aca="false">K40-L40</f>
        <v>6</v>
      </c>
      <c r="N40" s="68" t="n">
        <f aca="false">H40*3.4</f>
        <v>2539.8</v>
      </c>
      <c r="O40" s="9"/>
    </row>
    <row r="41" customFormat="false" ht="20.25" hidden="true" customHeight="true" outlineLevel="0" collapsed="false">
      <c r="A41" s="61" t="n">
        <v>3</v>
      </c>
      <c r="B41" s="61" t="s">
        <v>62</v>
      </c>
      <c r="C41" s="61" t="n">
        <v>83</v>
      </c>
      <c r="D41" s="61" t="n">
        <v>1500</v>
      </c>
      <c r="E41" s="61" t="s">
        <v>63</v>
      </c>
      <c r="F41" s="62" t="n">
        <f aca="false">M41*D41</f>
        <v>4500</v>
      </c>
      <c r="G41" s="61" t="s">
        <v>17</v>
      </c>
      <c r="H41" s="61" t="n">
        <f aca="false">(M41*(C41/1000))*D41</f>
        <v>373.5</v>
      </c>
      <c r="I41" s="61" t="s">
        <v>64</v>
      </c>
      <c r="J41" s="63" t="n">
        <v>46121</v>
      </c>
      <c r="K41" s="61" t="n">
        <v>3</v>
      </c>
      <c r="L41" s="61"/>
      <c r="M41" s="61" t="n">
        <f aca="false">K41-L41</f>
        <v>3</v>
      </c>
      <c r="N41" s="64" t="n">
        <f aca="false">H41*3.4</f>
        <v>1269.9</v>
      </c>
    </row>
    <row r="42" s="69" customFormat="true" ht="20.25" hidden="false" customHeight="true" outlineLevel="0" collapsed="false">
      <c r="A42" s="65" t="n">
        <v>4</v>
      </c>
      <c r="B42" s="65" t="s">
        <v>58</v>
      </c>
      <c r="C42" s="65" t="n">
        <v>83</v>
      </c>
      <c r="D42" s="65" t="n">
        <v>1000</v>
      </c>
      <c r="E42" s="65" t="s">
        <v>51</v>
      </c>
      <c r="F42" s="66" t="n">
        <f aca="false">M42*D42</f>
        <v>1000</v>
      </c>
      <c r="G42" s="65" t="s">
        <v>17</v>
      </c>
      <c r="H42" s="65" t="n">
        <f aca="false">(M42*(C42/1000))*D42</f>
        <v>83</v>
      </c>
      <c r="I42" s="65" t="s">
        <v>59</v>
      </c>
      <c r="J42" s="67" t="n">
        <v>46110</v>
      </c>
      <c r="K42" s="65" t="n">
        <v>1</v>
      </c>
      <c r="L42" s="65"/>
      <c r="M42" s="65" t="n">
        <f aca="false">K42-L42</f>
        <v>1</v>
      </c>
      <c r="N42" s="68" t="n">
        <f aca="false">H42*3.4</f>
        <v>282.2</v>
      </c>
    </row>
    <row r="43" s="69" customFormat="true" ht="20.25" hidden="false" customHeight="true" outlineLevel="0" collapsed="false">
      <c r="A43" s="65" t="n">
        <v>1</v>
      </c>
      <c r="B43" s="65" t="s">
        <v>58</v>
      </c>
      <c r="C43" s="65" t="n">
        <v>85</v>
      </c>
      <c r="D43" s="65" t="n">
        <v>1000</v>
      </c>
      <c r="E43" s="65" t="s">
        <v>51</v>
      </c>
      <c r="F43" s="66" t="n">
        <f aca="false">M43*D43</f>
        <v>0</v>
      </c>
      <c r="G43" s="65" t="s">
        <v>17</v>
      </c>
      <c r="H43" s="65" t="n">
        <f aca="false">(M43*(C43/1000))*D43</f>
        <v>0</v>
      </c>
      <c r="I43" s="65" t="s">
        <v>59</v>
      </c>
      <c r="J43" s="67" t="s">
        <v>61</v>
      </c>
      <c r="K43" s="65" t="n">
        <v>1</v>
      </c>
      <c r="L43" s="65" t="n">
        <v>1</v>
      </c>
      <c r="M43" s="65" t="n">
        <f aca="false">K43-L43</f>
        <v>0</v>
      </c>
      <c r="N43" s="68" t="n">
        <f aca="false">H43*3.4</f>
        <v>0</v>
      </c>
    </row>
    <row r="44" s="69" customFormat="true" ht="20.25" hidden="false" customHeight="true" outlineLevel="0" collapsed="false">
      <c r="A44" s="65" t="n">
        <v>2</v>
      </c>
      <c r="B44" s="65" t="s">
        <v>58</v>
      </c>
      <c r="C44" s="65" t="n">
        <v>85</v>
      </c>
      <c r="D44" s="65" t="n">
        <v>1000</v>
      </c>
      <c r="E44" s="65" t="s">
        <v>51</v>
      </c>
      <c r="F44" s="66" t="n">
        <f aca="false">M44*D44</f>
        <v>1000</v>
      </c>
      <c r="G44" s="65" t="s">
        <v>17</v>
      </c>
      <c r="H44" s="65" t="n">
        <f aca="false">(M44*(C44/1000))*D44</f>
        <v>85</v>
      </c>
      <c r="I44" s="65" t="s">
        <v>59</v>
      </c>
      <c r="J44" s="67" t="s">
        <v>61</v>
      </c>
      <c r="K44" s="65" t="n">
        <v>1</v>
      </c>
      <c r="L44" s="65"/>
      <c r="M44" s="65" t="n">
        <f aca="false">K44-L44</f>
        <v>1</v>
      </c>
      <c r="N44" s="68" t="n">
        <f aca="false">H44*3.4</f>
        <v>289</v>
      </c>
    </row>
    <row r="45" s="69" customFormat="true" ht="20.25" hidden="true" customHeight="true" outlineLevel="0" collapsed="false">
      <c r="A45" s="61" t="s">
        <v>65</v>
      </c>
      <c r="B45" s="61" t="s">
        <v>62</v>
      </c>
      <c r="C45" s="61" t="n">
        <v>85</v>
      </c>
      <c r="D45" s="61" t="n">
        <v>1500</v>
      </c>
      <c r="E45" s="61" t="s">
        <v>63</v>
      </c>
      <c r="F45" s="62" t="n">
        <f aca="false">M45*D45</f>
        <v>1500</v>
      </c>
      <c r="G45" s="61" t="s">
        <v>17</v>
      </c>
      <c r="H45" s="61" t="n">
        <f aca="false">(M45*(C45/1000))*D45</f>
        <v>127.5</v>
      </c>
      <c r="I45" s="61" t="s">
        <v>64</v>
      </c>
      <c r="J45" s="63"/>
      <c r="K45" s="61" t="n">
        <v>7</v>
      </c>
      <c r="L45" s="61" t="n">
        <v>6</v>
      </c>
      <c r="M45" s="61" t="n">
        <f aca="false">K45-L45</f>
        <v>1</v>
      </c>
      <c r="N45" s="64" t="n">
        <f aca="false">H45*3.4</f>
        <v>433.5</v>
      </c>
    </row>
    <row r="46" s="69" customFormat="true" ht="20.25" hidden="true" customHeight="true" outlineLevel="0" collapsed="false">
      <c r="A46" s="61" t="n">
        <v>3</v>
      </c>
      <c r="B46" s="61" t="s">
        <v>62</v>
      </c>
      <c r="C46" s="61" t="n">
        <v>85</v>
      </c>
      <c r="D46" s="61" t="n">
        <v>1500</v>
      </c>
      <c r="E46" s="61" t="s">
        <v>63</v>
      </c>
      <c r="F46" s="62" t="n">
        <f aca="false">M46*D46</f>
        <v>6000</v>
      </c>
      <c r="G46" s="61" t="s">
        <v>17</v>
      </c>
      <c r="H46" s="61" t="n">
        <f aca="false">(M46*(C46/1000))*D46</f>
        <v>510</v>
      </c>
      <c r="I46" s="61" t="s">
        <v>64</v>
      </c>
      <c r="J46" s="63" t="n">
        <v>46121</v>
      </c>
      <c r="K46" s="61" t="n">
        <v>5</v>
      </c>
      <c r="L46" s="61" t="n">
        <v>1</v>
      </c>
      <c r="M46" s="61" t="n">
        <f aca="false">K46-L46</f>
        <v>4</v>
      </c>
      <c r="N46" s="64" t="n">
        <f aca="false">H46*3.4</f>
        <v>1734</v>
      </c>
    </row>
    <row r="47" s="69" customFormat="true" ht="20.25" hidden="true" customHeight="true" outlineLevel="0" collapsed="false">
      <c r="A47" s="61" t="n">
        <v>1</v>
      </c>
      <c r="B47" s="61" t="s">
        <v>62</v>
      </c>
      <c r="C47" s="61" t="n">
        <v>85</v>
      </c>
      <c r="D47" s="61" t="n">
        <v>1500</v>
      </c>
      <c r="E47" s="61" t="s">
        <v>63</v>
      </c>
      <c r="F47" s="62" t="n">
        <f aca="false">M47*D47</f>
        <v>0</v>
      </c>
      <c r="G47" s="61" t="s">
        <v>17</v>
      </c>
      <c r="H47" s="61" t="n">
        <f aca="false">(M47*(C47/1000))*D47</f>
        <v>0</v>
      </c>
      <c r="I47" s="61" t="s">
        <v>64</v>
      </c>
      <c r="J47" s="63" t="n">
        <v>46121</v>
      </c>
      <c r="K47" s="61" t="n">
        <v>2</v>
      </c>
      <c r="L47" s="61" t="n">
        <v>2</v>
      </c>
      <c r="M47" s="61" t="n">
        <f aca="false">K47-L47</f>
        <v>0</v>
      </c>
      <c r="N47" s="64" t="n">
        <f aca="false">H47*3.4</f>
        <v>0</v>
      </c>
    </row>
    <row r="48" s="69" customFormat="true" ht="20.25" hidden="true" customHeight="true" outlineLevel="0" collapsed="false">
      <c r="A48" s="61" t="n">
        <v>2</v>
      </c>
      <c r="B48" s="61" t="s">
        <v>62</v>
      </c>
      <c r="C48" s="61" t="n">
        <v>85</v>
      </c>
      <c r="D48" s="61" t="n">
        <v>800</v>
      </c>
      <c r="E48" s="61" t="s">
        <v>63</v>
      </c>
      <c r="F48" s="62" t="n">
        <f aca="false">M48*D48</f>
        <v>800</v>
      </c>
      <c r="G48" s="61" t="s">
        <v>17</v>
      </c>
      <c r="H48" s="61" t="n">
        <f aca="false">(M48*(C48/1000))*D48</f>
        <v>68</v>
      </c>
      <c r="I48" s="61" t="s">
        <v>64</v>
      </c>
      <c r="J48" s="63" t="n">
        <v>46121</v>
      </c>
      <c r="K48" s="61" t="n">
        <v>1</v>
      </c>
      <c r="L48" s="61"/>
      <c r="M48" s="61" t="n">
        <f aca="false">K48-L48</f>
        <v>1</v>
      </c>
      <c r="N48" s="64" t="n">
        <f aca="false">H48*3.4</f>
        <v>231.2</v>
      </c>
    </row>
    <row r="49" s="69" customFormat="true" ht="20.25" hidden="false" customHeight="true" outlineLevel="0" collapsed="false">
      <c r="A49" s="61" t="n">
        <v>1</v>
      </c>
      <c r="B49" s="61" t="s">
        <v>58</v>
      </c>
      <c r="C49" s="61" t="n">
        <v>85</v>
      </c>
      <c r="D49" s="65" t="n">
        <v>1000</v>
      </c>
      <c r="E49" s="61" t="s">
        <v>51</v>
      </c>
      <c r="F49" s="62" t="n">
        <f aca="false">M49*D49</f>
        <v>3000</v>
      </c>
      <c r="G49" s="61" t="s">
        <v>17</v>
      </c>
      <c r="H49" s="61" t="n">
        <f aca="false">(M49*(C49/1000))*D49</f>
        <v>255</v>
      </c>
      <c r="I49" s="61" t="s">
        <v>59</v>
      </c>
      <c r="J49" s="67" t="n">
        <v>46201</v>
      </c>
      <c r="K49" s="61" t="n">
        <v>3</v>
      </c>
      <c r="L49" s="61"/>
      <c r="M49" s="61" t="n">
        <f aca="false">K49-L49</f>
        <v>3</v>
      </c>
      <c r="N49" s="64" t="n">
        <f aca="false">H49*3.4</f>
        <v>867</v>
      </c>
    </row>
    <row r="50" s="69" customFormat="true" ht="20.25" hidden="false" customHeight="true" outlineLevel="0" collapsed="false">
      <c r="A50" s="61" t="n">
        <v>3</v>
      </c>
      <c r="B50" s="61" t="s">
        <v>58</v>
      </c>
      <c r="C50" s="61" t="n">
        <v>85</v>
      </c>
      <c r="D50" s="65" t="n">
        <v>1000</v>
      </c>
      <c r="E50" s="61" t="s">
        <v>51</v>
      </c>
      <c r="F50" s="62" t="n">
        <f aca="false">M50*D50</f>
        <v>3000</v>
      </c>
      <c r="G50" s="61" t="s">
        <v>17</v>
      </c>
      <c r="H50" s="61" t="n">
        <f aca="false">(M50*(C50/1000))*D50</f>
        <v>255</v>
      </c>
      <c r="I50" s="61" t="s">
        <v>59</v>
      </c>
      <c r="J50" s="67" t="n">
        <v>46201</v>
      </c>
      <c r="K50" s="61" t="n">
        <v>3</v>
      </c>
      <c r="L50" s="61"/>
      <c r="M50" s="61" t="n">
        <f aca="false">K50-L50</f>
        <v>3</v>
      </c>
      <c r="N50" s="64" t="n">
        <f aca="false">H50*3.4</f>
        <v>867</v>
      </c>
    </row>
    <row r="51" customFormat="false" ht="20.25" hidden="false" customHeight="true" outlineLevel="0" collapsed="false">
      <c r="A51" s="65" t="n">
        <v>18</v>
      </c>
      <c r="B51" s="65" t="s">
        <v>58</v>
      </c>
      <c r="C51" s="65" t="n">
        <v>90</v>
      </c>
      <c r="D51" s="65" t="n">
        <v>1500</v>
      </c>
      <c r="E51" s="65" t="s">
        <v>51</v>
      </c>
      <c r="F51" s="66" t="n">
        <f aca="false">M51*D51</f>
        <v>1500</v>
      </c>
      <c r="G51" s="65" t="s">
        <v>17</v>
      </c>
      <c r="H51" s="65" t="n">
        <f aca="false">(M51*(C51/1000))*D51</f>
        <v>135</v>
      </c>
      <c r="I51" s="65" t="s">
        <v>59</v>
      </c>
      <c r="J51" s="67" t="n">
        <v>46086</v>
      </c>
      <c r="K51" s="65" t="n">
        <v>2</v>
      </c>
      <c r="L51" s="65" t="n">
        <v>1</v>
      </c>
      <c r="M51" s="65" t="n">
        <f aca="false">K51-L51</f>
        <v>1</v>
      </c>
      <c r="N51" s="68" t="n">
        <f aca="false">H51*3.4</f>
        <v>459</v>
      </c>
    </row>
    <row r="52" customFormat="false" ht="20.25" hidden="true" customHeight="true" outlineLevel="0" collapsed="false">
      <c r="A52" s="65" t="n">
        <v>10</v>
      </c>
      <c r="B52" s="65" t="s">
        <v>62</v>
      </c>
      <c r="C52" s="65" t="n">
        <v>90</v>
      </c>
      <c r="D52" s="65" t="n">
        <v>1500</v>
      </c>
      <c r="E52" s="65" t="s">
        <v>63</v>
      </c>
      <c r="F52" s="66" t="n">
        <f aca="false">M52*D52</f>
        <v>3000</v>
      </c>
      <c r="G52" s="65" t="s">
        <v>17</v>
      </c>
      <c r="H52" s="65" t="n">
        <f aca="false">(M52*(C52/1000))*D52</f>
        <v>270</v>
      </c>
      <c r="I52" s="65" t="s">
        <v>64</v>
      </c>
      <c r="J52" s="67" t="n">
        <v>46121</v>
      </c>
      <c r="K52" s="65" t="n">
        <v>3</v>
      </c>
      <c r="L52" s="65" t="n">
        <v>1</v>
      </c>
      <c r="M52" s="65" t="n">
        <f aca="false">K52-L52</f>
        <v>2</v>
      </c>
      <c r="N52" s="68" t="n">
        <f aca="false">H52*3.4</f>
        <v>918</v>
      </c>
    </row>
    <row r="53" customFormat="false" ht="20.25" hidden="true" customHeight="true" outlineLevel="0" collapsed="false">
      <c r="A53" s="61" t="n">
        <v>13</v>
      </c>
      <c r="B53" s="61" t="s">
        <v>62</v>
      </c>
      <c r="C53" s="61" t="n">
        <v>90</v>
      </c>
      <c r="D53" s="61" t="n">
        <v>1500</v>
      </c>
      <c r="E53" s="61" t="s">
        <v>63</v>
      </c>
      <c r="F53" s="62" t="n">
        <f aca="false">M53*D53</f>
        <v>1500</v>
      </c>
      <c r="G53" s="61" t="s">
        <v>17</v>
      </c>
      <c r="H53" s="61" t="n">
        <f aca="false">(M53*(C53/1000))*D53</f>
        <v>135</v>
      </c>
      <c r="I53" s="61" t="s">
        <v>64</v>
      </c>
      <c r="J53" s="63" t="n">
        <v>46121</v>
      </c>
      <c r="K53" s="61" t="n">
        <v>1</v>
      </c>
      <c r="L53" s="61"/>
      <c r="M53" s="61" t="n">
        <f aca="false">K53-L53</f>
        <v>1</v>
      </c>
      <c r="N53" s="64" t="n">
        <f aca="false">H53*3.4</f>
        <v>459</v>
      </c>
    </row>
    <row r="54" customFormat="false" ht="20.25" hidden="true" customHeight="true" outlineLevel="0" collapsed="false">
      <c r="A54" s="61" t="n">
        <v>15</v>
      </c>
      <c r="B54" s="61" t="s">
        <v>62</v>
      </c>
      <c r="C54" s="61" t="n">
        <v>90</v>
      </c>
      <c r="D54" s="61" t="n">
        <v>1500</v>
      </c>
      <c r="E54" s="61" t="s">
        <v>63</v>
      </c>
      <c r="F54" s="62" t="n">
        <f aca="false">M54*D54</f>
        <v>1500</v>
      </c>
      <c r="G54" s="61" t="s">
        <v>17</v>
      </c>
      <c r="H54" s="61" t="n">
        <f aca="false">(M54*(C54/1000))*D54</f>
        <v>135</v>
      </c>
      <c r="I54" s="61" t="s">
        <v>64</v>
      </c>
      <c r="J54" s="63" t="n">
        <v>46121</v>
      </c>
      <c r="K54" s="61" t="n">
        <v>1</v>
      </c>
      <c r="L54" s="61"/>
      <c r="M54" s="61" t="n">
        <f aca="false">K54-L54</f>
        <v>1</v>
      </c>
      <c r="N54" s="64" t="n">
        <f aca="false">H54*3.4</f>
        <v>459</v>
      </c>
    </row>
    <row r="55" customFormat="false" ht="20.25" hidden="false" customHeight="true" outlineLevel="0" collapsed="false">
      <c r="A55" s="61" t="n">
        <v>5</v>
      </c>
      <c r="B55" s="61" t="s">
        <v>58</v>
      </c>
      <c r="C55" s="61" t="n">
        <v>90</v>
      </c>
      <c r="D55" s="65" t="n">
        <v>1000</v>
      </c>
      <c r="E55" s="61" t="s">
        <v>51</v>
      </c>
      <c r="F55" s="62" t="n">
        <f aca="false">M55*D55</f>
        <v>0</v>
      </c>
      <c r="G55" s="61" t="s">
        <v>17</v>
      </c>
      <c r="H55" s="61" t="n">
        <f aca="false">(M55*(C55/1000))*D55</f>
        <v>0</v>
      </c>
      <c r="I55" s="61" t="s">
        <v>59</v>
      </c>
      <c r="J55" s="67" t="n">
        <v>46201</v>
      </c>
      <c r="K55" s="61" t="n">
        <v>1</v>
      </c>
      <c r="L55" s="61" t="n">
        <v>1</v>
      </c>
      <c r="M55" s="61" t="n">
        <f aca="false">K55-L55</f>
        <v>0</v>
      </c>
      <c r="N55" s="64" t="n">
        <f aca="false">H55*3.4</f>
        <v>0</v>
      </c>
    </row>
    <row r="56" customFormat="false" ht="20.25" hidden="false" customHeight="true" outlineLevel="0" collapsed="false">
      <c r="A56" s="65" t="n">
        <v>18</v>
      </c>
      <c r="B56" s="65" t="s">
        <v>58</v>
      </c>
      <c r="C56" s="65" t="n">
        <v>90</v>
      </c>
      <c r="D56" s="65" t="n">
        <v>1500</v>
      </c>
      <c r="E56" s="65" t="s">
        <v>51</v>
      </c>
      <c r="F56" s="66" t="n">
        <f aca="false">M56*D56</f>
        <v>1500</v>
      </c>
      <c r="G56" s="65" t="s">
        <v>17</v>
      </c>
      <c r="H56" s="65" t="n">
        <f aca="false">(M56*(C56/1000))*D56</f>
        <v>135</v>
      </c>
      <c r="I56" s="65" t="s">
        <v>59</v>
      </c>
      <c r="J56" s="67" t="n">
        <v>46086</v>
      </c>
      <c r="K56" s="65" t="n">
        <v>1</v>
      </c>
      <c r="L56" s="65"/>
      <c r="M56" s="65" t="n">
        <f aca="false">K56-L56</f>
        <v>1</v>
      </c>
      <c r="N56" s="68" t="n">
        <f aca="false">H56*3.4</f>
        <v>459</v>
      </c>
    </row>
    <row r="57" customFormat="false" ht="20.25" hidden="false" customHeight="true" outlineLevel="0" collapsed="false">
      <c r="A57" s="61" t="n">
        <v>13</v>
      </c>
      <c r="B57" s="61" t="s">
        <v>58</v>
      </c>
      <c r="C57" s="61" t="n">
        <v>95</v>
      </c>
      <c r="D57" s="61" t="n">
        <v>1500</v>
      </c>
      <c r="E57" s="61" t="s">
        <v>51</v>
      </c>
      <c r="F57" s="62" t="n">
        <f aca="false">M57*D57</f>
        <v>1500</v>
      </c>
      <c r="G57" s="61" t="s">
        <v>17</v>
      </c>
      <c r="H57" s="61" t="n">
        <f aca="false">(M57*(C57/1000))*D57</f>
        <v>142.5</v>
      </c>
      <c r="I57" s="61" t="s">
        <v>59</v>
      </c>
      <c r="J57" s="63" t="n">
        <v>46121</v>
      </c>
      <c r="K57" s="61" t="n">
        <v>1</v>
      </c>
      <c r="L57" s="61"/>
      <c r="M57" s="61" t="n">
        <f aca="false">K57-L57</f>
        <v>1</v>
      </c>
      <c r="N57" s="64" t="n">
        <f aca="false">H57*3.4</f>
        <v>484.5</v>
      </c>
    </row>
    <row r="58" customFormat="false" ht="20.25" hidden="false" customHeight="true" outlineLevel="0" collapsed="false">
      <c r="A58" s="65" t="n">
        <v>2</v>
      </c>
      <c r="B58" s="65" t="s">
        <v>58</v>
      </c>
      <c r="C58" s="65" t="n">
        <v>95</v>
      </c>
      <c r="D58" s="65" t="n">
        <v>1000</v>
      </c>
      <c r="E58" s="65" t="s">
        <v>51</v>
      </c>
      <c r="F58" s="66" t="n">
        <f aca="false">M58*D58</f>
        <v>0</v>
      </c>
      <c r="G58" s="65" t="s">
        <v>17</v>
      </c>
      <c r="H58" s="65" t="n">
        <f aca="false">(M58*(C58/1000))*D58</f>
        <v>0</v>
      </c>
      <c r="I58" s="65" t="s">
        <v>59</v>
      </c>
      <c r="J58" s="67" t="n">
        <v>45621</v>
      </c>
      <c r="K58" s="65" t="n">
        <v>1</v>
      </c>
      <c r="L58" s="65" t="n">
        <v>1</v>
      </c>
      <c r="M58" s="65" t="n">
        <f aca="false">K58-L58</f>
        <v>0</v>
      </c>
      <c r="N58" s="68" t="n">
        <f aca="false">H58*3.4</f>
        <v>0</v>
      </c>
    </row>
    <row r="59" customFormat="false" ht="20.25" hidden="true" customHeight="true" outlineLevel="0" collapsed="false">
      <c r="A59" s="65" t="n">
        <v>27</v>
      </c>
      <c r="B59" s="65" t="s">
        <v>54</v>
      </c>
      <c r="C59" s="65" t="n">
        <v>95</v>
      </c>
      <c r="D59" s="65" t="n">
        <v>1000</v>
      </c>
      <c r="E59" s="65" t="s">
        <v>55</v>
      </c>
      <c r="F59" s="66" t="n">
        <f aca="false">M59*D59</f>
        <v>0</v>
      </c>
      <c r="G59" s="65" t="s">
        <v>56</v>
      </c>
      <c r="H59" s="65" t="n">
        <f aca="false">(M59*(C59/1000))*D59</f>
        <v>0</v>
      </c>
      <c r="I59" s="65" t="s">
        <v>57</v>
      </c>
      <c r="J59" s="67" t="n">
        <v>45980</v>
      </c>
      <c r="K59" s="65" t="n">
        <v>1</v>
      </c>
      <c r="L59" s="65" t="n">
        <v>1</v>
      </c>
      <c r="M59" s="65" t="n">
        <f aca="false">K59-L59</f>
        <v>0</v>
      </c>
      <c r="N59" s="68" t="n">
        <f aca="false">H59*4.2</f>
        <v>0</v>
      </c>
      <c r="O59" s="1" t="s">
        <v>66</v>
      </c>
    </row>
    <row r="60" customFormat="false" ht="20.25" hidden="true" customHeight="true" outlineLevel="0" collapsed="false">
      <c r="A60" s="61" t="n">
        <v>24</v>
      </c>
      <c r="B60" s="61" t="s">
        <v>67</v>
      </c>
      <c r="C60" s="61" t="n">
        <v>95</v>
      </c>
      <c r="D60" s="61" t="n">
        <v>1000</v>
      </c>
      <c r="E60" s="61" t="s">
        <v>68</v>
      </c>
      <c r="F60" s="62" t="n">
        <f aca="false">M60*D60</f>
        <v>1000</v>
      </c>
      <c r="G60" s="61" t="s">
        <v>17</v>
      </c>
      <c r="H60" s="61"/>
      <c r="I60" s="61" t="s">
        <v>69</v>
      </c>
      <c r="J60" s="63" t="n">
        <v>45985</v>
      </c>
      <c r="K60" s="61" t="n">
        <v>1</v>
      </c>
      <c r="L60" s="61"/>
      <c r="M60" s="61" t="n">
        <f aca="false">K60-L60</f>
        <v>1</v>
      </c>
      <c r="N60" s="64"/>
    </row>
    <row r="61" customFormat="false" ht="20.25" hidden="true" customHeight="true" outlineLevel="0" collapsed="false">
      <c r="A61" s="61" t="n">
        <v>4</v>
      </c>
      <c r="B61" s="61" t="s">
        <v>67</v>
      </c>
      <c r="C61" s="61" t="n">
        <v>95</v>
      </c>
      <c r="D61" s="61" t="n">
        <v>1000</v>
      </c>
      <c r="E61" s="61" t="s">
        <v>68</v>
      </c>
      <c r="F61" s="62" t="n">
        <f aca="false">M61*D61</f>
        <v>1000</v>
      </c>
      <c r="G61" s="61" t="s">
        <v>17</v>
      </c>
      <c r="H61" s="61"/>
      <c r="I61" s="61" t="s">
        <v>69</v>
      </c>
      <c r="J61" s="63" t="n">
        <v>45985</v>
      </c>
      <c r="K61" s="61" t="n">
        <v>1</v>
      </c>
      <c r="L61" s="61"/>
      <c r="M61" s="61" t="n">
        <f aca="false">K61-L61</f>
        <v>1</v>
      </c>
      <c r="N61" s="64"/>
    </row>
    <row r="62" customFormat="false" ht="20.25" hidden="false" customHeight="true" outlineLevel="0" collapsed="false">
      <c r="A62" s="65" t="n">
        <v>8</v>
      </c>
      <c r="B62" s="65" t="s">
        <v>58</v>
      </c>
      <c r="C62" s="65" t="n">
        <v>95</v>
      </c>
      <c r="D62" s="65" t="n">
        <v>1500</v>
      </c>
      <c r="E62" s="65" t="s">
        <v>51</v>
      </c>
      <c r="F62" s="66" t="n">
        <f aca="false">M62*D62</f>
        <v>6000</v>
      </c>
      <c r="G62" s="65" t="s">
        <v>17</v>
      </c>
      <c r="H62" s="65" t="n">
        <f aca="false">(M62*(C62/1000))*D62</f>
        <v>570</v>
      </c>
      <c r="I62" s="65" t="s">
        <v>59</v>
      </c>
      <c r="J62" s="67" t="n">
        <v>46057</v>
      </c>
      <c r="K62" s="65" t="n">
        <v>4</v>
      </c>
      <c r="L62" s="65"/>
      <c r="M62" s="65" t="n">
        <f aca="false">K62-L62</f>
        <v>4</v>
      </c>
      <c r="N62" s="68" t="n">
        <f aca="false">H62*3.4</f>
        <v>1938</v>
      </c>
    </row>
    <row r="63" customFormat="false" ht="20.25" hidden="false" customHeight="true" outlineLevel="0" collapsed="false">
      <c r="A63" s="65" t="n">
        <v>18</v>
      </c>
      <c r="B63" s="65" t="s">
        <v>58</v>
      </c>
      <c r="C63" s="65" t="n">
        <v>95</v>
      </c>
      <c r="D63" s="65" t="n">
        <v>1500</v>
      </c>
      <c r="E63" s="65" t="s">
        <v>51</v>
      </c>
      <c r="F63" s="66" t="n">
        <f aca="false">M63*D63</f>
        <v>4500</v>
      </c>
      <c r="G63" s="65" t="s">
        <v>17</v>
      </c>
      <c r="H63" s="65" t="n">
        <f aca="false">(M63*(C63/1000))*D63</f>
        <v>427.5</v>
      </c>
      <c r="I63" s="65" t="s">
        <v>59</v>
      </c>
      <c r="J63" s="67" t="n">
        <v>46086</v>
      </c>
      <c r="K63" s="65" t="n">
        <v>3</v>
      </c>
      <c r="L63" s="65"/>
      <c r="M63" s="65" t="n">
        <f aca="false">K63-L63</f>
        <v>3</v>
      </c>
      <c r="N63" s="68" t="n">
        <f aca="false">H63*3.4</f>
        <v>1453.5</v>
      </c>
    </row>
    <row r="64" customFormat="false" ht="20.25" hidden="true" customHeight="true" outlineLevel="0" collapsed="false">
      <c r="A64" s="70" t="n">
        <v>11</v>
      </c>
      <c r="B64" s="70" t="s">
        <v>62</v>
      </c>
      <c r="C64" s="70" t="n">
        <v>95</v>
      </c>
      <c r="D64" s="70" t="n">
        <v>1500</v>
      </c>
      <c r="E64" s="70" t="s">
        <v>63</v>
      </c>
      <c r="F64" s="71" t="n">
        <f aca="false">M64*D64</f>
        <v>4500</v>
      </c>
      <c r="G64" s="70" t="s">
        <v>17</v>
      </c>
      <c r="H64" s="70" t="n">
        <f aca="false">(M64*(C64/1000))*D64</f>
        <v>427.5</v>
      </c>
      <c r="I64" s="70" t="s">
        <v>64</v>
      </c>
      <c r="J64" s="72" t="n">
        <v>46121</v>
      </c>
      <c r="K64" s="70" t="n">
        <v>3</v>
      </c>
      <c r="L64" s="70"/>
      <c r="M64" s="61" t="n">
        <f aca="false">K64-L64</f>
        <v>3</v>
      </c>
      <c r="N64" s="64" t="n">
        <f aca="false">H64*3.4</f>
        <v>1453.5</v>
      </c>
    </row>
    <row r="65" customFormat="false" ht="20.25" hidden="false" customHeight="true" outlineLevel="0" collapsed="false">
      <c r="A65" s="73" t="n">
        <v>6</v>
      </c>
      <c r="B65" s="73" t="s">
        <v>58</v>
      </c>
      <c r="C65" s="73" t="n">
        <v>97</v>
      </c>
      <c r="D65" s="73" t="n">
        <v>1000</v>
      </c>
      <c r="E65" s="73" t="s">
        <v>51</v>
      </c>
      <c r="F65" s="74" t="n">
        <f aca="false">M65*D65</f>
        <v>1000</v>
      </c>
      <c r="G65" s="73" t="s">
        <v>17</v>
      </c>
      <c r="H65" s="73" t="n">
        <f aca="false">(M65*(C65/1000))*D65</f>
        <v>97</v>
      </c>
      <c r="I65" s="73" t="s">
        <v>59</v>
      </c>
      <c r="J65" s="75" t="n">
        <v>45627</v>
      </c>
      <c r="K65" s="73" t="n">
        <v>1</v>
      </c>
      <c r="L65" s="73"/>
      <c r="M65" s="65" t="n">
        <f aca="false">K65-L65</f>
        <v>1</v>
      </c>
      <c r="N65" s="68" t="n">
        <f aca="false">H65*3.4</f>
        <v>329.8</v>
      </c>
      <c r="O65" s="9"/>
    </row>
    <row r="66" customFormat="false" ht="20.25" hidden="false" customHeight="true" outlineLevel="0" collapsed="false">
      <c r="A66" s="65" t="n">
        <v>2</v>
      </c>
      <c r="B66" s="65" t="s">
        <v>58</v>
      </c>
      <c r="C66" s="65" t="n">
        <v>97</v>
      </c>
      <c r="D66" s="65" t="n">
        <v>1000</v>
      </c>
      <c r="E66" s="65" t="s">
        <v>51</v>
      </c>
      <c r="F66" s="66" t="n">
        <f aca="false">M66*D66</f>
        <v>1000</v>
      </c>
      <c r="G66" s="65" t="s">
        <v>17</v>
      </c>
      <c r="H66" s="65" t="n">
        <f aca="false">(M66*(C66/1000))*D66</f>
        <v>97</v>
      </c>
      <c r="I66" s="65" t="s">
        <v>59</v>
      </c>
      <c r="J66" s="67" t="n">
        <v>45637</v>
      </c>
      <c r="K66" s="65" t="n">
        <v>1</v>
      </c>
      <c r="L66" s="65"/>
      <c r="M66" s="65" t="n">
        <f aca="false">K66-L66</f>
        <v>1</v>
      </c>
      <c r="N66" s="68" t="n">
        <f aca="false">H66*3.4</f>
        <v>329.8</v>
      </c>
    </row>
    <row r="67" customFormat="false" ht="20.25" hidden="false" customHeight="true" outlineLevel="0" collapsed="false">
      <c r="A67" s="65" t="n">
        <v>5</v>
      </c>
      <c r="B67" s="65" t="s">
        <v>58</v>
      </c>
      <c r="C67" s="65" t="n">
        <v>97</v>
      </c>
      <c r="D67" s="65" t="n">
        <v>1000</v>
      </c>
      <c r="E67" s="65" t="s">
        <v>51</v>
      </c>
      <c r="F67" s="66" t="n">
        <f aca="false">M67*D67</f>
        <v>0</v>
      </c>
      <c r="G67" s="65" t="s">
        <v>17</v>
      </c>
      <c r="H67" s="65" t="n">
        <f aca="false">(M67*(C67/1000))*D67</f>
        <v>0</v>
      </c>
      <c r="I67" s="65" t="s">
        <v>59</v>
      </c>
      <c r="J67" s="67" t="n">
        <v>45627</v>
      </c>
      <c r="K67" s="65" t="n">
        <v>1</v>
      </c>
      <c r="L67" s="65" t="n">
        <v>1</v>
      </c>
      <c r="M67" s="65" t="n">
        <f aca="false">K67-L67</f>
        <v>0</v>
      </c>
      <c r="N67" s="68" t="n">
        <f aca="false">H67*3.4</f>
        <v>0</v>
      </c>
      <c r="O67" s="9"/>
    </row>
    <row r="68" customFormat="false" ht="20.25" hidden="false" customHeight="true" outlineLevel="0" collapsed="false">
      <c r="A68" s="65" t="n">
        <v>25</v>
      </c>
      <c r="B68" s="65" t="s">
        <v>58</v>
      </c>
      <c r="C68" s="65" t="n">
        <v>97</v>
      </c>
      <c r="D68" s="65" t="n">
        <v>1000</v>
      </c>
      <c r="E68" s="65" t="s">
        <v>51</v>
      </c>
      <c r="F68" s="66" t="n">
        <f aca="false">M68*D68</f>
        <v>3000</v>
      </c>
      <c r="G68" s="65" t="s">
        <v>17</v>
      </c>
      <c r="H68" s="65" t="n">
        <f aca="false">(M68*(C68/1000))*D68</f>
        <v>291</v>
      </c>
      <c r="I68" s="65" t="s">
        <v>59</v>
      </c>
      <c r="J68" s="67" t="n">
        <v>46201</v>
      </c>
      <c r="K68" s="65" t="n">
        <v>3</v>
      </c>
      <c r="L68" s="65"/>
      <c r="M68" s="65" t="n">
        <f aca="false">K68-L68</f>
        <v>3</v>
      </c>
      <c r="N68" s="68" t="n">
        <f aca="false">H68*3.4</f>
        <v>989.4</v>
      </c>
    </row>
    <row r="69" customFormat="false" ht="20.25" hidden="false" customHeight="true" outlineLevel="0" collapsed="false">
      <c r="A69" s="65" t="n">
        <v>15</v>
      </c>
      <c r="B69" s="65" t="s">
        <v>58</v>
      </c>
      <c r="C69" s="65" t="n">
        <v>100</v>
      </c>
      <c r="D69" s="65" t="n">
        <v>1500</v>
      </c>
      <c r="E69" s="65" t="s">
        <v>51</v>
      </c>
      <c r="F69" s="66" t="n">
        <f aca="false">M69*D69</f>
        <v>4500</v>
      </c>
      <c r="G69" s="65" t="s">
        <v>17</v>
      </c>
      <c r="H69" s="65" t="n">
        <f aca="false">(M69*(C69/1000))*D69</f>
        <v>450</v>
      </c>
      <c r="I69" s="65" t="s">
        <v>59</v>
      </c>
      <c r="J69" s="67" t="n">
        <v>46086</v>
      </c>
      <c r="K69" s="65" t="n">
        <v>3</v>
      </c>
      <c r="L69" s="65"/>
      <c r="M69" s="65" t="n">
        <f aca="false">K69-L69</f>
        <v>3</v>
      </c>
      <c r="N69" s="68" t="n">
        <f aca="false">H69*3.4</f>
        <v>1530</v>
      </c>
    </row>
    <row r="70" customFormat="false" ht="20.25" hidden="true" customHeight="true" outlineLevel="0" collapsed="false">
      <c r="A70" s="61" t="n">
        <v>8</v>
      </c>
      <c r="B70" s="61" t="s">
        <v>62</v>
      </c>
      <c r="C70" s="61" t="n">
        <v>100</v>
      </c>
      <c r="D70" s="61" t="n">
        <v>1500</v>
      </c>
      <c r="E70" s="61" t="s">
        <v>63</v>
      </c>
      <c r="F70" s="62" t="n">
        <f aca="false">M70*D70</f>
        <v>4500</v>
      </c>
      <c r="G70" s="61" t="s">
        <v>17</v>
      </c>
      <c r="H70" s="61" t="n">
        <f aca="false">(M70*(C70/1000))*D70</f>
        <v>450</v>
      </c>
      <c r="I70" s="61" t="s">
        <v>64</v>
      </c>
      <c r="J70" s="63" t="n">
        <v>46121</v>
      </c>
      <c r="K70" s="61" t="n">
        <v>4</v>
      </c>
      <c r="L70" s="61" t="n">
        <v>1</v>
      </c>
      <c r="M70" s="61" t="n">
        <f aca="false">K70-L70</f>
        <v>3</v>
      </c>
      <c r="N70" s="64" t="n">
        <f aca="false">H70*3.4</f>
        <v>1530</v>
      </c>
    </row>
    <row r="71" customFormat="false" ht="20.25" hidden="false" customHeight="true" outlineLevel="0" collapsed="false">
      <c r="A71" s="61" t="n">
        <v>4</v>
      </c>
      <c r="B71" s="61" t="s">
        <v>58</v>
      </c>
      <c r="C71" s="61" t="n">
        <v>100</v>
      </c>
      <c r="D71" s="61" t="n">
        <v>1000</v>
      </c>
      <c r="E71" s="61" t="s">
        <v>51</v>
      </c>
      <c r="F71" s="62" t="n">
        <f aca="false">M71*D71</f>
        <v>3000</v>
      </c>
      <c r="G71" s="61" t="s">
        <v>17</v>
      </c>
      <c r="H71" s="61" t="n">
        <f aca="false">(M71*(C71/1000))*D71</f>
        <v>300</v>
      </c>
      <c r="I71" s="61" t="s">
        <v>59</v>
      </c>
      <c r="J71" s="63" t="n">
        <v>46191</v>
      </c>
      <c r="K71" s="61" t="n">
        <v>6</v>
      </c>
      <c r="L71" s="61" t="n">
        <v>3</v>
      </c>
      <c r="M71" s="61" t="n">
        <f aca="false">K71-L71</f>
        <v>3</v>
      </c>
      <c r="N71" s="64" t="n">
        <f aca="false">H71*3.4</f>
        <v>1020</v>
      </c>
    </row>
    <row r="72" customFormat="false" ht="20.25" hidden="false" customHeight="true" outlineLevel="0" collapsed="false">
      <c r="A72" s="61" t="n">
        <v>5</v>
      </c>
      <c r="B72" s="61" t="s">
        <v>58</v>
      </c>
      <c r="C72" s="61" t="n">
        <v>100</v>
      </c>
      <c r="D72" s="61" t="n">
        <v>1000</v>
      </c>
      <c r="E72" s="61" t="s">
        <v>51</v>
      </c>
      <c r="F72" s="62" t="n">
        <f aca="false">M72*D72</f>
        <v>4000</v>
      </c>
      <c r="G72" s="61" t="s">
        <v>17</v>
      </c>
      <c r="H72" s="61" t="n">
        <f aca="false">(M72*(C72/1000))*D72</f>
        <v>400</v>
      </c>
      <c r="I72" s="61" t="s">
        <v>59</v>
      </c>
      <c r="J72" s="63" t="n">
        <v>46191</v>
      </c>
      <c r="K72" s="61" t="n">
        <v>4</v>
      </c>
      <c r="L72" s="61"/>
      <c r="M72" s="61" t="n">
        <f aca="false">K72-L72</f>
        <v>4</v>
      </c>
      <c r="N72" s="64" t="n">
        <f aca="false">H72*3.4</f>
        <v>1360</v>
      </c>
    </row>
    <row r="73" customFormat="false" ht="20.25" hidden="false" customHeight="true" outlineLevel="0" collapsed="false">
      <c r="A73" s="61" t="n">
        <v>6</v>
      </c>
      <c r="B73" s="61" t="s">
        <v>58</v>
      </c>
      <c r="C73" s="61" t="n">
        <v>100</v>
      </c>
      <c r="D73" s="61" t="n">
        <v>1000</v>
      </c>
      <c r="E73" s="61" t="s">
        <v>51</v>
      </c>
      <c r="F73" s="62" t="n">
        <f aca="false">M73*D73</f>
        <v>5000</v>
      </c>
      <c r="G73" s="61" t="s">
        <v>17</v>
      </c>
      <c r="H73" s="61" t="n">
        <f aca="false">(M73*(C73/1000))*D73</f>
        <v>500</v>
      </c>
      <c r="I73" s="61" t="s">
        <v>59</v>
      </c>
      <c r="J73" s="63" t="n">
        <v>46191</v>
      </c>
      <c r="K73" s="61" t="n">
        <v>5</v>
      </c>
      <c r="L73" s="61"/>
      <c r="M73" s="61" t="n">
        <f aca="false">K73-L73</f>
        <v>5</v>
      </c>
      <c r="N73" s="64" t="n">
        <f aca="false">H73*3.4</f>
        <v>1700</v>
      </c>
    </row>
    <row r="74" customFormat="false" ht="20.25" hidden="false" customHeight="true" outlineLevel="0" collapsed="false">
      <c r="A74" s="65" t="n">
        <v>9</v>
      </c>
      <c r="B74" s="65" t="s">
        <v>58</v>
      </c>
      <c r="C74" s="65" t="n">
        <v>103</v>
      </c>
      <c r="D74" s="65" t="n">
        <v>1000</v>
      </c>
      <c r="E74" s="65" t="s">
        <v>51</v>
      </c>
      <c r="F74" s="66" t="n">
        <f aca="false">M74*D74</f>
        <v>3000</v>
      </c>
      <c r="G74" s="65" t="s">
        <v>17</v>
      </c>
      <c r="H74" s="65" t="n">
        <f aca="false">(M74*(C74/1000))*D74</f>
        <v>309</v>
      </c>
      <c r="I74" s="65" t="s">
        <v>59</v>
      </c>
      <c r="J74" s="67" t="n">
        <v>46035</v>
      </c>
      <c r="K74" s="65" t="n">
        <v>5</v>
      </c>
      <c r="L74" s="65" t="n">
        <v>2</v>
      </c>
      <c r="M74" s="65" t="n">
        <f aca="false">K74-L74</f>
        <v>3</v>
      </c>
      <c r="N74" s="68" t="n">
        <f aca="false">H74*3.4</f>
        <v>1050.6</v>
      </c>
    </row>
    <row r="75" customFormat="false" ht="20.25" hidden="false" customHeight="true" outlineLevel="0" collapsed="false">
      <c r="A75" s="61" t="n">
        <v>7</v>
      </c>
      <c r="B75" s="61" t="s">
        <v>58</v>
      </c>
      <c r="C75" s="61" t="n">
        <v>103</v>
      </c>
      <c r="D75" s="61" t="n">
        <v>1000</v>
      </c>
      <c r="E75" s="61" t="s">
        <v>51</v>
      </c>
      <c r="F75" s="62" t="n">
        <f aca="false">M75*D75</f>
        <v>5000</v>
      </c>
      <c r="G75" s="61" t="s">
        <v>17</v>
      </c>
      <c r="H75" s="61" t="n">
        <f aca="false">(M75*(C75/1000))*D75</f>
        <v>515</v>
      </c>
      <c r="I75" s="61" t="s">
        <v>59</v>
      </c>
      <c r="J75" s="63" t="n">
        <v>46036</v>
      </c>
      <c r="K75" s="61" t="n">
        <v>5</v>
      </c>
      <c r="L75" s="61"/>
      <c r="M75" s="61" t="n">
        <f aca="false">K75-L75</f>
        <v>5</v>
      </c>
      <c r="N75" s="64" t="n">
        <f aca="false">H75*3.4</f>
        <v>1751</v>
      </c>
    </row>
    <row r="76" customFormat="false" ht="20.25" hidden="false" customHeight="true" outlineLevel="0" collapsed="false">
      <c r="A76" s="65" t="n">
        <v>14</v>
      </c>
      <c r="B76" s="65" t="s">
        <v>58</v>
      </c>
      <c r="C76" s="65" t="n">
        <v>105</v>
      </c>
      <c r="D76" s="65" t="n">
        <v>1500</v>
      </c>
      <c r="E76" s="65" t="s">
        <v>51</v>
      </c>
      <c r="F76" s="66" t="n">
        <f aca="false">M76*D76</f>
        <v>1500</v>
      </c>
      <c r="G76" s="65" t="s">
        <v>17</v>
      </c>
      <c r="H76" s="65" t="n">
        <f aca="false">(M76*(C76/1000))*D76</f>
        <v>157.5</v>
      </c>
      <c r="I76" s="65" t="s">
        <v>59</v>
      </c>
      <c r="J76" s="67" t="n">
        <v>46086</v>
      </c>
      <c r="K76" s="65" t="n">
        <v>1</v>
      </c>
      <c r="L76" s="65"/>
      <c r="M76" s="65" t="n">
        <f aca="false">K76-L76</f>
        <v>1</v>
      </c>
      <c r="N76" s="68" t="n">
        <f aca="false">H76*3.4</f>
        <v>535.5</v>
      </c>
    </row>
    <row r="77" customFormat="false" ht="20.25" hidden="true" customHeight="true" outlineLevel="0" collapsed="false">
      <c r="A77" s="65" t="n">
        <v>27</v>
      </c>
      <c r="B77" s="65" t="s">
        <v>54</v>
      </c>
      <c r="C77" s="65" t="n">
        <v>105</v>
      </c>
      <c r="D77" s="65" t="n">
        <v>1000</v>
      </c>
      <c r="E77" s="65" t="s">
        <v>55</v>
      </c>
      <c r="F77" s="66" t="n">
        <f aca="false">M77*D77</f>
        <v>0</v>
      </c>
      <c r="G77" s="65" t="s">
        <v>56</v>
      </c>
      <c r="H77" s="65" t="n">
        <f aca="false">(M77*(C77/1000))*D77</f>
        <v>0</v>
      </c>
      <c r="I77" s="65" t="s">
        <v>70</v>
      </c>
      <c r="J77" s="67" t="n">
        <v>45867</v>
      </c>
      <c r="K77" s="65" t="n">
        <v>2</v>
      </c>
      <c r="L77" s="65" t="n">
        <v>2</v>
      </c>
      <c r="M77" s="65" t="n">
        <f aca="false">K77-L77</f>
        <v>0</v>
      </c>
      <c r="N77" s="68" t="n">
        <f aca="false">H77*4.2</f>
        <v>0</v>
      </c>
      <c r="O77" s="69"/>
    </row>
    <row r="78" customFormat="false" ht="20.25" hidden="true" customHeight="true" outlineLevel="0" collapsed="false">
      <c r="A78" s="65" t="n">
        <v>29</v>
      </c>
      <c r="B78" s="65" t="s">
        <v>54</v>
      </c>
      <c r="C78" s="65" t="n">
        <v>105</v>
      </c>
      <c r="D78" s="65" t="n">
        <v>1000</v>
      </c>
      <c r="E78" s="65" t="s">
        <v>55</v>
      </c>
      <c r="F78" s="66" t="n">
        <f aca="false">M78*D78</f>
        <v>1000</v>
      </c>
      <c r="G78" s="65" t="s">
        <v>56</v>
      </c>
      <c r="H78" s="65" t="n">
        <f aca="false">(M78*(C78/1000))*D78</f>
        <v>105</v>
      </c>
      <c r="I78" s="65" t="s">
        <v>57</v>
      </c>
      <c r="J78" s="67" t="n">
        <v>45867</v>
      </c>
      <c r="K78" s="65" t="n">
        <v>1</v>
      </c>
      <c r="L78" s="65"/>
      <c r="M78" s="65" t="n">
        <f aca="false">K78-L78</f>
        <v>1</v>
      </c>
      <c r="N78" s="68" t="n">
        <f aca="false">H78*4.2</f>
        <v>441</v>
      </c>
    </row>
    <row r="79" customFormat="false" ht="20.25" hidden="true" customHeight="true" outlineLevel="0" collapsed="false">
      <c r="A79" s="65" t="n">
        <v>30</v>
      </c>
      <c r="B79" s="65" t="s">
        <v>54</v>
      </c>
      <c r="C79" s="65" t="n">
        <v>105</v>
      </c>
      <c r="D79" s="65" t="n">
        <v>1000</v>
      </c>
      <c r="E79" s="65" t="s">
        <v>55</v>
      </c>
      <c r="F79" s="66" t="n">
        <f aca="false">M79*D79</f>
        <v>5000</v>
      </c>
      <c r="G79" s="65" t="s">
        <v>56</v>
      </c>
      <c r="H79" s="65" t="n">
        <f aca="false">(M79*(C79/1000))*D79</f>
        <v>525</v>
      </c>
      <c r="I79" s="65" t="s">
        <v>57</v>
      </c>
      <c r="J79" s="67" t="n">
        <v>45867</v>
      </c>
      <c r="K79" s="65" t="n">
        <v>5</v>
      </c>
      <c r="L79" s="65"/>
      <c r="M79" s="65" t="n">
        <f aca="false">K79-L79</f>
        <v>5</v>
      </c>
      <c r="N79" s="68" t="n">
        <f aca="false">H79*4.2</f>
        <v>2205</v>
      </c>
      <c r="O79" s="69"/>
    </row>
    <row r="80" customFormat="false" ht="20.25" hidden="true" customHeight="true" outlineLevel="0" collapsed="false">
      <c r="A80" s="61" t="n">
        <v>25</v>
      </c>
      <c r="B80" s="61" t="s">
        <v>54</v>
      </c>
      <c r="C80" s="61" t="n">
        <v>105</v>
      </c>
      <c r="D80" s="61" t="n">
        <v>1000</v>
      </c>
      <c r="E80" s="61" t="s">
        <v>55</v>
      </c>
      <c r="F80" s="62" t="n">
        <f aca="false">M80*D80</f>
        <v>4000</v>
      </c>
      <c r="G80" s="61" t="s">
        <v>56</v>
      </c>
      <c r="H80" s="61" t="n">
        <f aca="false">(M80*(C80/1000))*D80</f>
        <v>420</v>
      </c>
      <c r="I80" s="61" t="s">
        <v>57</v>
      </c>
      <c r="J80" s="63" t="n">
        <v>45867</v>
      </c>
      <c r="K80" s="61" t="n">
        <v>4</v>
      </c>
      <c r="L80" s="61"/>
      <c r="M80" s="61" t="n">
        <f aca="false">K80-L80</f>
        <v>4</v>
      </c>
      <c r="N80" s="64" t="n">
        <f aca="false">H80*4.2</f>
        <v>1764</v>
      </c>
    </row>
    <row r="81" customFormat="false" ht="20.25" hidden="true" customHeight="true" outlineLevel="0" collapsed="false">
      <c r="A81" s="65" t="n">
        <v>31</v>
      </c>
      <c r="B81" s="65" t="s">
        <v>54</v>
      </c>
      <c r="C81" s="65" t="n">
        <v>105</v>
      </c>
      <c r="D81" s="65" t="n">
        <v>1000</v>
      </c>
      <c r="E81" s="65" t="s">
        <v>55</v>
      </c>
      <c r="F81" s="66" t="n">
        <f aca="false">M81*D81</f>
        <v>3000</v>
      </c>
      <c r="G81" s="65" t="s">
        <v>56</v>
      </c>
      <c r="H81" s="65" t="n">
        <f aca="false">(M81*(C81/1000))*D81</f>
        <v>315</v>
      </c>
      <c r="I81" s="65" t="s">
        <v>57</v>
      </c>
      <c r="J81" s="67" t="n">
        <v>45980</v>
      </c>
      <c r="K81" s="65" t="n">
        <v>3</v>
      </c>
      <c r="L81" s="65"/>
      <c r="M81" s="65" t="n">
        <f aca="false">K81-L81</f>
        <v>3</v>
      </c>
      <c r="N81" s="68" t="n">
        <f aca="false">H81*4.2</f>
        <v>1323</v>
      </c>
      <c r="O81" s="9"/>
    </row>
    <row r="82" customFormat="false" ht="20.25" hidden="false" customHeight="true" outlineLevel="0" collapsed="false">
      <c r="A82" s="61" t="n">
        <v>13</v>
      </c>
      <c r="B82" s="61" t="s">
        <v>58</v>
      </c>
      <c r="C82" s="61" t="n">
        <v>105</v>
      </c>
      <c r="D82" s="61" t="n">
        <v>1500</v>
      </c>
      <c r="E82" s="61" t="s">
        <v>51</v>
      </c>
      <c r="F82" s="62" t="n">
        <f aca="false">M82*D82</f>
        <v>6000</v>
      </c>
      <c r="G82" s="61" t="s">
        <v>17</v>
      </c>
      <c r="H82" s="61" t="n">
        <f aca="false">(M82*(C82/1000))*D82</f>
        <v>630</v>
      </c>
      <c r="I82" s="61" t="s">
        <v>59</v>
      </c>
      <c r="J82" s="63" t="n">
        <v>46086</v>
      </c>
      <c r="K82" s="61" t="n">
        <v>4</v>
      </c>
      <c r="L82" s="61"/>
      <c r="M82" s="61" t="n">
        <f aca="false">K82-L82</f>
        <v>4</v>
      </c>
      <c r="N82" s="64" t="n">
        <f aca="false">H82*3.4</f>
        <v>2142</v>
      </c>
      <c r="O82" s="1" t="n">
        <v>3</v>
      </c>
    </row>
    <row r="83" customFormat="false" ht="20.25" hidden="false" customHeight="true" outlineLevel="0" collapsed="false">
      <c r="A83" s="65" t="n">
        <v>24</v>
      </c>
      <c r="B83" s="65" t="s">
        <v>58</v>
      </c>
      <c r="C83" s="65" t="n">
        <v>105</v>
      </c>
      <c r="D83" s="65" t="n">
        <v>1500</v>
      </c>
      <c r="E83" s="65" t="s">
        <v>51</v>
      </c>
      <c r="F83" s="66" t="n">
        <f aca="false">M83*D83</f>
        <v>0</v>
      </c>
      <c r="G83" s="65" t="s">
        <v>17</v>
      </c>
      <c r="H83" s="65" t="n">
        <f aca="false">(M83*(C83/1000))*D83</f>
        <v>0</v>
      </c>
      <c r="I83" s="65" t="s">
        <v>59</v>
      </c>
      <c r="J83" s="67" t="n">
        <v>46086</v>
      </c>
      <c r="K83" s="65" t="n">
        <v>1</v>
      </c>
      <c r="L83" s="65" t="n">
        <v>1</v>
      </c>
      <c r="M83" s="65" t="n">
        <f aca="false">K83-L83</f>
        <v>0</v>
      </c>
      <c r="N83" s="68" t="n">
        <f aca="false">H83*3.4</f>
        <v>0</v>
      </c>
    </row>
    <row r="84" customFormat="false" ht="20.25" hidden="false" customHeight="true" outlineLevel="0" collapsed="false">
      <c r="A84" s="65" t="n">
        <v>15</v>
      </c>
      <c r="B84" s="65" t="s">
        <v>58</v>
      </c>
      <c r="C84" s="65" t="n">
        <v>105</v>
      </c>
      <c r="D84" s="65" t="n">
        <v>1500</v>
      </c>
      <c r="E84" s="65" t="s">
        <v>51</v>
      </c>
      <c r="F84" s="66" t="n">
        <f aca="false">M84*D84</f>
        <v>0</v>
      </c>
      <c r="G84" s="65" t="s">
        <v>17</v>
      </c>
      <c r="H84" s="65" t="n">
        <f aca="false">(M84*(C84/1000))*D84</f>
        <v>0</v>
      </c>
      <c r="I84" s="65" t="s">
        <v>59</v>
      </c>
      <c r="J84" s="67" t="n">
        <v>46091</v>
      </c>
      <c r="K84" s="65" t="n">
        <v>1</v>
      </c>
      <c r="L84" s="65" t="n">
        <v>1</v>
      </c>
      <c r="M84" s="65" t="n">
        <f aca="false">K84-L84</f>
        <v>0</v>
      </c>
      <c r="N84" s="68" t="n">
        <f aca="false">H84*3.4</f>
        <v>0</v>
      </c>
    </row>
    <row r="85" customFormat="false" ht="20.25" hidden="true" customHeight="true" outlineLevel="0" collapsed="false">
      <c r="A85" s="61" t="n">
        <v>19</v>
      </c>
      <c r="B85" s="61" t="s">
        <v>62</v>
      </c>
      <c r="C85" s="61" t="n">
        <v>105</v>
      </c>
      <c r="D85" s="61" t="n">
        <v>1500</v>
      </c>
      <c r="E85" s="61" t="s">
        <v>63</v>
      </c>
      <c r="F85" s="62" t="n">
        <f aca="false">M85*D85</f>
        <v>3000</v>
      </c>
      <c r="G85" s="61" t="s">
        <v>17</v>
      </c>
      <c r="H85" s="61" t="n">
        <f aca="false">(M85*(C85/1000))*D85</f>
        <v>315</v>
      </c>
      <c r="I85" s="61" t="s">
        <v>64</v>
      </c>
      <c r="J85" s="63" t="n">
        <v>46121</v>
      </c>
      <c r="K85" s="61" t="n">
        <v>2</v>
      </c>
      <c r="L85" s="61"/>
      <c r="M85" s="61" t="n">
        <f aca="false">K85-L85</f>
        <v>2</v>
      </c>
      <c r="N85" s="64" t="n">
        <f aca="false">H85*3.4</f>
        <v>1071</v>
      </c>
    </row>
    <row r="86" customFormat="false" ht="20.25" hidden="true" customHeight="true" outlineLevel="0" collapsed="false">
      <c r="A86" s="65" t="n">
        <v>19</v>
      </c>
      <c r="B86" s="65" t="s">
        <v>62</v>
      </c>
      <c r="C86" s="65" t="n">
        <v>105</v>
      </c>
      <c r="D86" s="65" t="n">
        <v>1500</v>
      </c>
      <c r="E86" s="65" t="s">
        <v>63</v>
      </c>
      <c r="F86" s="66" t="n">
        <f aca="false">M86*D86</f>
        <v>1500</v>
      </c>
      <c r="G86" s="65" t="s">
        <v>17</v>
      </c>
      <c r="H86" s="65" t="n">
        <f aca="false">(M86*(C86/1000))*D86</f>
        <v>157.5</v>
      </c>
      <c r="I86" s="65" t="s">
        <v>64</v>
      </c>
      <c r="J86" s="67" t="n">
        <v>46121</v>
      </c>
      <c r="K86" s="65" t="n">
        <v>1</v>
      </c>
      <c r="L86" s="65"/>
      <c r="M86" s="65" t="n">
        <f aca="false">K86-L86</f>
        <v>1</v>
      </c>
      <c r="N86" s="68" t="n">
        <f aca="false">H86*3.4</f>
        <v>535.5</v>
      </c>
    </row>
    <row r="87" customFormat="false" ht="20.25" hidden="true" customHeight="true" outlineLevel="0" collapsed="false">
      <c r="A87" s="61" t="n">
        <v>19</v>
      </c>
      <c r="B87" s="61" t="s">
        <v>62</v>
      </c>
      <c r="C87" s="61" t="n">
        <v>105</v>
      </c>
      <c r="D87" s="61" t="n">
        <v>1500</v>
      </c>
      <c r="E87" s="61" t="s">
        <v>63</v>
      </c>
      <c r="F87" s="62" t="n">
        <f aca="false">M87*D87</f>
        <v>3000</v>
      </c>
      <c r="G87" s="61" t="s">
        <v>17</v>
      </c>
      <c r="H87" s="61" t="n">
        <f aca="false">(M87*(C87/1000))*D87</f>
        <v>315</v>
      </c>
      <c r="I87" s="61" t="s">
        <v>64</v>
      </c>
      <c r="J87" s="63" t="n">
        <v>46121</v>
      </c>
      <c r="K87" s="61" t="n">
        <v>2</v>
      </c>
      <c r="L87" s="61"/>
      <c r="M87" s="61" t="n">
        <f aca="false">K87-L87</f>
        <v>2</v>
      </c>
      <c r="N87" s="64" t="n">
        <f aca="false">H87*3.4</f>
        <v>1071</v>
      </c>
    </row>
    <row r="88" customFormat="false" ht="20.25" hidden="true" customHeight="true" outlineLevel="0" collapsed="false">
      <c r="A88" s="61" t="n">
        <v>18</v>
      </c>
      <c r="B88" s="61" t="s">
        <v>62</v>
      </c>
      <c r="C88" s="61" t="n">
        <v>105</v>
      </c>
      <c r="D88" s="61" t="n">
        <v>1000</v>
      </c>
      <c r="E88" s="61" t="s">
        <v>63</v>
      </c>
      <c r="F88" s="62" t="n">
        <f aca="false">M88*D88</f>
        <v>0</v>
      </c>
      <c r="G88" s="61" t="s">
        <v>17</v>
      </c>
      <c r="H88" s="61" t="n">
        <f aca="false">(M88*(C88/1000))*D88</f>
        <v>0</v>
      </c>
      <c r="I88" s="61" t="s">
        <v>64</v>
      </c>
      <c r="J88" s="63" t="n">
        <v>46121</v>
      </c>
      <c r="K88" s="61" t="n">
        <v>3</v>
      </c>
      <c r="L88" s="61" t="n">
        <v>3</v>
      </c>
      <c r="M88" s="61" t="n">
        <f aca="false">K88-L88</f>
        <v>0</v>
      </c>
      <c r="N88" s="64" t="n">
        <f aca="false">H88*3.4</f>
        <v>0</v>
      </c>
    </row>
    <row r="89" customFormat="false" ht="20.25" hidden="true" customHeight="true" outlineLevel="0" collapsed="false">
      <c r="A89" s="61" t="n">
        <v>30</v>
      </c>
      <c r="B89" s="61" t="s">
        <v>62</v>
      </c>
      <c r="C89" s="61" t="n">
        <v>105</v>
      </c>
      <c r="D89" s="61" t="n">
        <v>1500</v>
      </c>
      <c r="E89" s="61" t="s">
        <v>63</v>
      </c>
      <c r="F89" s="62" t="n">
        <f aca="false">M89*D89</f>
        <v>1500</v>
      </c>
      <c r="G89" s="61" t="s">
        <v>17</v>
      </c>
      <c r="H89" s="61" t="n">
        <f aca="false">(M89*(C89/1000))*D89</f>
        <v>157.5</v>
      </c>
      <c r="I89" s="61" t="s">
        <v>64</v>
      </c>
      <c r="J89" s="63" t="n">
        <v>46121</v>
      </c>
      <c r="K89" s="61" t="n">
        <v>1</v>
      </c>
      <c r="L89" s="61"/>
      <c r="M89" s="61" t="n">
        <f aca="false">K89-L89</f>
        <v>1</v>
      </c>
      <c r="N89" s="64" t="n">
        <f aca="false">H89*3.4</f>
        <v>535.5</v>
      </c>
    </row>
    <row r="90" customFormat="false" ht="20.25" hidden="true" customHeight="true" outlineLevel="0" collapsed="false">
      <c r="A90" s="61" t="n">
        <v>29</v>
      </c>
      <c r="B90" s="61" t="s">
        <v>62</v>
      </c>
      <c r="C90" s="61" t="n">
        <v>105</v>
      </c>
      <c r="D90" s="61" t="n">
        <v>1500</v>
      </c>
      <c r="E90" s="61" t="s">
        <v>63</v>
      </c>
      <c r="F90" s="62" t="n">
        <f aca="false">M90*D90</f>
        <v>1500</v>
      </c>
      <c r="G90" s="61" t="s">
        <v>17</v>
      </c>
      <c r="H90" s="61" t="n">
        <f aca="false">(M90*(C90/1000))*D90</f>
        <v>157.5</v>
      </c>
      <c r="I90" s="61" t="s">
        <v>64</v>
      </c>
      <c r="J90" s="63" t="n">
        <v>46121</v>
      </c>
      <c r="K90" s="61" t="n">
        <v>1</v>
      </c>
      <c r="L90" s="61"/>
      <c r="M90" s="61" t="n">
        <f aca="false">K90-L90</f>
        <v>1</v>
      </c>
      <c r="N90" s="64" t="n">
        <f aca="false">H90*3.4</f>
        <v>535.5</v>
      </c>
    </row>
    <row r="91" customFormat="false" ht="20.25" hidden="true" customHeight="true" outlineLevel="0" collapsed="false">
      <c r="A91" s="61" t="n">
        <v>15</v>
      </c>
      <c r="B91" s="61" t="s">
        <v>62</v>
      </c>
      <c r="C91" s="61" t="n">
        <v>105</v>
      </c>
      <c r="D91" s="61" t="n">
        <v>1500</v>
      </c>
      <c r="E91" s="61" t="s">
        <v>63</v>
      </c>
      <c r="F91" s="62" t="n">
        <f aca="false">M91*D91</f>
        <v>1500</v>
      </c>
      <c r="G91" s="61" t="s">
        <v>17</v>
      </c>
      <c r="H91" s="61" t="n">
        <f aca="false">(M91*(C91/1000))*D91</f>
        <v>157.5</v>
      </c>
      <c r="I91" s="61" t="s">
        <v>64</v>
      </c>
      <c r="J91" s="63" t="n">
        <v>46174</v>
      </c>
      <c r="K91" s="61" t="n">
        <v>1</v>
      </c>
      <c r="L91" s="61"/>
      <c r="M91" s="61" t="n">
        <f aca="false">K91-L91</f>
        <v>1</v>
      </c>
      <c r="N91" s="64" t="n">
        <f aca="false">H91*3.4</f>
        <v>535.5</v>
      </c>
    </row>
    <row r="92" customFormat="false" ht="20.25" hidden="false" customHeight="true" outlineLevel="0" collapsed="false">
      <c r="A92" s="61" t="n">
        <v>27</v>
      </c>
      <c r="B92" s="61" t="s">
        <v>58</v>
      </c>
      <c r="C92" s="61" t="n">
        <v>105</v>
      </c>
      <c r="D92" s="61" t="n">
        <v>1000</v>
      </c>
      <c r="E92" s="61" t="s">
        <v>51</v>
      </c>
      <c r="F92" s="62" t="n">
        <f aca="false">M92*D92</f>
        <v>9000</v>
      </c>
      <c r="G92" s="61" t="s">
        <v>17</v>
      </c>
      <c r="H92" s="61" t="n">
        <f aca="false">(M92*(C92/1000))*D92</f>
        <v>945</v>
      </c>
      <c r="I92" s="61" t="s">
        <v>59</v>
      </c>
      <c r="J92" s="67" t="n">
        <v>46201</v>
      </c>
      <c r="K92" s="61" t="n">
        <v>10</v>
      </c>
      <c r="L92" s="61" t="n">
        <v>1</v>
      </c>
      <c r="M92" s="61" t="n">
        <f aca="false">K92-L92</f>
        <v>9</v>
      </c>
      <c r="N92" s="64" t="n">
        <f aca="false">H92*3.4</f>
        <v>3213</v>
      </c>
    </row>
    <row r="93" customFormat="false" ht="20.25" hidden="true" customHeight="true" outlineLevel="0" collapsed="false">
      <c r="A93" s="61" t="n">
        <v>33</v>
      </c>
      <c r="B93" s="61" t="s">
        <v>54</v>
      </c>
      <c r="C93" s="61" t="n">
        <v>110</v>
      </c>
      <c r="D93" s="61" t="n">
        <v>1000</v>
      </c>
      <c r="E93" s="61" t="s">
        <v>55</v>
      </c>
      <c r="F93" s="62" t="n">
        <f aca="false">M93*D93</f>
        <v>0</v>
      </c>
      <c r="G93" s="61" t="s">
        <v>56</v>
      </c>
      <c r="H93" s="61" t="n">
        <f aca="false">(M93*(C93/1000))*D93</f>
        <v>0</v>
      </c>
      <c r="I93" s="61" t="s">
        <v>57</v>
      </c>
      <c r="J93" s="63" t="n">
        <v>45980</v>
      </c>
      <c r="K93" s="61" t="n">
        <v>1</v>
      </c>
      <c r="L93" s="61" t="n">
        <v>1</v>
      </c>
      <c r="M93" s="61" t="n">
        <f aca="false">K93-L93</f>
        <v>0</v>
      </c>
      <c r="N93" s="64" t="n">
        <f aca="false">H93*4.2</f>
        <v>0</v>
      </c>
    </row>
    <row r="94" customFormat="false" ht="20.25" hidden="true" customHeight="true" outlineLevel="0" collapsed="false">
      <c r="A94" s="65" t="n">
        <v>31</v>
      </c>
      <c r="B94" s="65" t="s">
        <v>54</v>
      </c>
      <c r="C94" s="65" t="n">
        <v>110</v>
      </c>
      <c r="D94" s="65" t="n">
        <v>1000</v>
      </c>
      <c r="E94" s="65" t="s">
        <v>55</v>
      </c>
      <c r="F94" s="66" t="n">
        <f aca="false">M94*D94</f>
        <v>3000</v>
      </c>
      <c r="G94" s="65" t="s">
        <v>56</v>
      </c>
      <c r="H94" s="65" t="n">
        <f aca="false">(M94*(C94/1000))*D94</f>
        <v>330</v>
      </c>
      <c r="I94" s="65" t="s">
        <v>57</v>
      </c>
      <c r="J94" s="67" t="n">
        <v>45987</v>
      </c>
      <c r="K94" s="65" t="n">
        <v>3</v>
      </c>
      <c r="L94" s="65"/>
      <c r="M94" s="65" t="n">
        <f aca="false">K94-L94</f>
        <v>3</v>
      </c>
      <c r="N94" s="68" t="n">
        <f aca="false">H94*4.2</f>
        <v>1386</v>
      </c>
    </row>
    <row r="95" customFormat="false" ht="20.25" hidden="true" customHeight="true" outlineLevel="0" collapsed="false">
      <c r="A95" s="65" t="n">
        <v>30</v>
      </c>
      <c r="B95" s="65" t="s">
        <v>54</v>
      </c>
      <c r="C95" s="65" t="n">
        <v>110</v>
      </c>
      <c r="D95" s="65" t="n">
        <v>1500</v>
      </c>
      <c r="E95" s="65" t="s">
        <v>55</v>
      </c>
      <c r="F95" s="66" t="n">
        <f aca="false">M95*D95</f>
        <v>1500</v>
      </c>
      <c r="G95" s="65" t="s">
        <v>56</v>
      </c>
      <c r="H95" s="65" t="n">
        <f aca="false">(M95*(C95/1000))*D95</f>
        <v>165</v>
      </c>
      <c r="I95" s="65" t="s">
        <v>57</v>
      </c>
      <c r="J95" s="67" t="n">
        <v>45989</v>
      </c>
      <c r="K95" s="65" t="n">
        <v>1</v>
      </c>
      <c r="L95" s="65"/>
      <c r="M95" s="65" t="n">
        <f aca="false">K95-L95</f>
        <v>1</v>
      </c>
      <c r="N95" s="68" t="n">
        <f aca="false">H95*4.2</f>
        <v>693</v>
      </c>
    </row>
    <row r="96" customFormat="false" ht="20.25" hidden="true" customHeight="true" outlineLevel="0" collapsed="false">
      <c r="A96" s="65" t="n">
        <v>30</v>
      </c>
      <c r="B96" s="65" t="s">
        <v>54</v>
      </c>
      <c r="C96" s="65" t="n">
        <v>110</v>
      </c>
      <c r="D96" s="65" t="n">
        <v>1000</v>
      </c>
      <c r="E96" s="65" t="s">
        <v>55</v>
      </c>
      <c r="F96" s="66" t="n">
        <f aca="false">M96*D96</f>
        <v>1000</v>
      </c>
      <c r="G96" s="65" t="s">
        <v>56</v>
      </c>
      <c r="H96" s="65" t="n">
        <f aca="false">(M96*(C96/1000))*D96</f>
        <v>110</v>
      </c>
      <c r="I96" s="65" t="s">
        <v>57</v>
      </c>
      <c r="J96" s="67" t="n">
        <v>46040</v>
      </c>
      <c r="K96" s="65" t="n">
        <v>1</v>
      </c>
      <c r="L96" s="65"/>
      <c r="M96" s="65" t="n">
        <f aca="false">K96-L96</f>
        <v>1</v>
      </c>
      <c r="N96" s="68" t="n">
        <f aca="false">H96*4.2</f>
        <v>462</v>
      </c>
    </row>
    <row r="97" customFormat="false" ht="20.25" hidden="false" customHeight="true" outlineLevel="0" collapsed="false">
      <c r="A97" s="65" t="n">
        <v>10</v>
      </c>
      <c r="B97" s="65" t="s">
        <v>58</v>
      </c>
      <c r="C97" s="65" t="n">
        <v>110</v>
      </c>
      <c r="D97" s="65" t="n">
        <v>1000</v>
      </c>
      <c r="E97" s="65" t="s">
        <v>51</v>
      </c>
      <c r="F97" s="66" t="n">
        <f aca="false">M97*D97</f>
        <v>0</v>
      </c>
      <c r="G97" s="65" t="s">
        <v>17</v>
      </c>
      <c r="H97" s="65" t="n">
        <f aca="false">(M97*(C97/1000))*D97</f>
        <v>0</v>
      </c>
      <c r="I97" s="65" t="s">
        <v>59</v>
      </c>
      <c r="J97" s="67" t="n">
        <v>46191</v>
      </c>
      <c r="K97" s="65" t="n">
        <v>1</v>
      </c>
      <c r="L97" s="65" t="n">
        <v>1</v>
      </c>
      <c r="M97" s="65" t="n">
        <f aca="false">K97-L97</f>
        <v>0</v>
      </c>
      <c r="N97" s="68" t="n">
        <f aca="false">H97*3.4</f>
        <v>0</v>
      </c>
    </row>
    <row r="98" customFormat="false" ht="20.25" hidden="false" customHeight="true" outlineLevel="0" collapsed="false">
      <c r="A98" s="65" t="n">
        <v>19</v>
      </c>
      <c r="B98" s="65" t="s">
        <v>58</v>
      </c>
      <c r="C98" s="65" t="n">
        <v>115</v>
      </c>
      <c r="D98" s="65" t="n">
        <v>500</v>
      </c>
      <c r="E98" s="65" t="s">
        <v>51</v>
      </c>
      <c r="F98" s="66" t="n">
        <f aca="false">M98*D98</f>
        <v>500</v>
      </c>
      <c r="G98" s="65" t="s">
        <v>17</v>
      </c>
      <c r="H98" s="65" t="n">
        <f aca="false">(M98*(C98/1000))*D98</f>
        <v>57.5</v>
      </c>
      <c r="I98" s="65" t="s">
        <v>59</v>
      </c>
      <c r="J98" s="67" t="n">
        <v>46109</v>
      </c>
      <c r="K98" s="65" t="n">
        <v>1</v>
      </c>
      <c r="L98" s="65"/>
      <c r="M98" s="65" t="n">
        <f aca="false">K98-L98</f>
        <v>1</v>
      </c>
      <c r="N98" s="68" t="n">
        <f aca="false">H98*3.4</f>
        <v>195.5</v>
      </c>
      <c r="O98" s="69" t="s">
        <v>71</v>
      </c>
    </row>
    <row r="99" customFormat="false" ht="20.25" hidden="false" customHeight="true" outlineLevel="0" collapsed="false">
      <c r="A99" s="65" t="n">
        <v>32</v>
      </c>
      <c r="B99" s="65" t="s">
        <v>58</v>
      </c>
      <c r="C99" s="65" t="n">
        <v>115</v>
      </c>
      <c r="D99" s="65" t="n">
        <v>1000</v>
      </c>
      <c r="E99" s="65" t="s">
        <v>51</v>
      </c>
      <c r="F99" s="66" t="n">
        <f aca="false">M99*D99</f>
        <v>1000</v>
      </c>
      <c r="G99" s="65" t="s">
        <v>17</v>
      </c>
      <c r="H99" s="65" t="n">
        <f aca="false">(M99*(C99/1000))*D99</f>
        <v>115</v>
      </c>
      <c r="I99" s="65" t="s">
        <v>59</v>
      </c>
      <c r="J99" s="67" t="n">
        <v>46036</v>
      </c>
      <c r="K99" s="65" t="n">
        <v>1</v>
      </c>
      <c r="L99" s="65"/>
      <c r="M99" s="65" t="n">
        <f aca="false">K99-L99</f>
        <v>1</v>
      </c>
      <c r="N99" s="68" t="n">
        <f aca="false">H99*3.4</f>
        <v>391</v>
      </c>
      <c r="O99" s="9"/>
    </row>
    <row r="100" customFormat="false" ht="20.25" hidden="false" customHeight="true" outlineLevel="0" collapsed="false">
      <c r="A100" s="65" t="n">
        <v>20</v>
      </c>
      <c r="B100" s="65" t="s">
        <v>58</v>
      </c>
      <c r="C100" s="65" t="n">
        <v>115</v>
      </c>
      <c r="D100" s="65" t="n">
        <v>1000</v>
      </c>
      <c r="E100" s="65" t="s">
        <v>51</v>
      </c>
      <c r="F100" s="66" t="n">
        <f aca="false">M100*D100</f>
        <v>0</v>
      </c>
      <c r="G100" s="65" t="s">
        <v>17</v>
      </c>
      <c r="H100" s="65" t="n">
        <f aca="false">(M100*(C100/1000))*D100</f>
        <v>0</v>
      </c>
      <c r="I100" s="65" t="s">
        <v>59</v>
      </c>
      <c r="J100" s="67" t="n">
        <v>46036</v>
      </c>
      <c r="K100" s="65" t="n">
        <v>1</v>
      </c>
      <c r="L100" s="65" t="n">
        <v>1</v>
      </c>
      <c r="M100" s="65" t="n">
        <f aca="false">K100-L100</f>
        <v>0</v>
      </c>
      <c r="N100" s="68" t="n">
        <f aca="false">H100*3.4</f>
        <v>0</v>
      </c>
    </row>
    <row r="101" customFormat="false" ht="20.25" hidden="false" customHeight="true" outlineLevel="0" collapsed="false">
      <c r="A101" s="65" t="n">
        <v>24</v>
      </c>
      <c r="B101" s="65" t="s">
        <v>58</v>
      </c>
      <c r="C101" s="65" t="n">
        <v>115</v>
      </c>
      <c r="D101" s="65" t="n">
        <v>1000</v>
      </c>
      <c r="E101" s="65" t="s">
        <v>51</v>
      </c>
      <c r="F101" s="66" t="n">
        <f aca="false">M101*D101</f>
        <v>1000</v>
      </c>
      <c r="G101" s="65" t="s">
        <v>17</v>
      </c>
      <c r="H101" s="65" t="n">
        <f aca="false">(M101*(C101/1000))*D101</f>
        <v>115</v>
      </c>
      <c r="I101" s="65" t="s">
        <v>59</v>
      </c>
      <c r="J101" s="67" t="n">
        <v>46036</v>
      </c>
      <c r="K101" s="65" t="n">
        <v>1</v>
      </c>
      <c r="L101" s="65"/>
      <c r="M101" s="65" t="n">
        <f aca="false">K101-L101</f>
        <v>1</v>
      </c>
      <c r="N101" s="68" t="n">
        <f aca="false">H101*3.4</f>
        <v>391</v>
      </c>
    </row>
    <row r="102" customFormat="false" ht="20.25" hidden="false" customHeight="true" outlineLevel="0" collapsed="false">
      <c r="A102" s="61" t="n">
        <v>18</v>
      </c>
      <c r="B102" s="61" t="s">
        <v>58</v>
      </c>
      <c r="C102" s="61" t="n">
        <v>115</v>
      </c>
      <c r="D102" s="61" t="n">
        <v>1500</v>
      </c>
      <c r="E102" s="61" t="s">
        <v>51</v>
      </c>
      <c r="F102" s="62" t="n">
        <f aca="false">M102*D102</f>
        <v>4500</v>
      </c>
      <c r="G102" s="61" t="s">
        <v>17</v>
      </c>
      <c r="H102" s="61" t="n">
        <f aca="false">(M102*(C102/1000))*D102</f>
        <v>517.5</v>
      </c>
      <c r="I102" s="61" t="s">
        <v>59</v>
      </c>
      <c r="J102" s="63" t="n">
        <v>46086</v>
      </c>
      <c r="K102" s="61" t="n">
        <v>3</v>
      </c>
      <c r="L102" s="61"/>
      <c r="M102" s="61" t="n">
        <f aca="false">K102-L102</f>
        <v>3</v>
      </c>
      <c r="N102" s="64" t="n">
        <f aca="false">H102*3.4</f>
        <v>1759.5</v>
      </c>
    </row>
    <row r="103" customFormat="false" ht="20.25" hidden="false" customHeight="true" outlineLevel="0" collapsed="false">
      <c r="A103" s="65" t="n">
        <v>17</v>
      </c>
      <c r="B103" s="65" t="s">
        <v>58</v>
      </c>
      <c r="C103" s="65" t="n">
        <v>115</v>
      </c>
      <c r="D103" s="65" t="n">
        <v>1500</v>
      </c>
      <c r="E103" s="65" t="s">
        <v>51</v>
      </c>
      <c r="F103" s="66" t="n">
        <f aca="false">M103*D103</f>
        <v>7500</v>
      </c>
      <c r="G103" s="65" t="s">
        <v>17</v>
      </c>
      <c r="H103" s="65" t="n">
        <f aca="false">(M103*(C103/1000))*D103</f>
        <v>862.5</v>
      </c>
      <c r="I103" s="65" t="s">
        <v>59</v>
      </c>
      <c r="J103" s="67" t="n">
        <v>46086</v>
      </c>
      <c r="K103" s="65" t="n">
        <v>5</v>
      </c>
      <c r="L103" s="65"/>
      <c r="M103" s="65" t="n">
        <f aca="false">K103-L103</f>
        <v>5</v>
      </c>
      <c r="N103" s="68" t="n">
        <f aca="false">H103*3.4</f>
        <v>2932.5</v>
      </c>
    </row>
    <row r="104" customFormat="false" ht="20.25" hidden="false" customHeight="true" outlineLevel="0" collapsed="false">
      <c r="A104" s="61" t="n">
        <v>20</v>
      </c>
      <c r="B104" s="61" t="s">
        <v>58</v>
      </c>
      <c r="C104" s="61" t="n">
        <v>115</v>
      </c>
      <c r="D104" s="61" t="n">
        <v>1500</v>
      </c>
      <c r="E104" s="61" t="s">
        <v>51</v>
      </c>
      <c r="F104" s="62" t="n">
        <f aca="false">M104*D104</f>
        <v>1500</v>
      </c>
      <c r="G104" s="61" t="s">
        <v>17</v>
      </c>
      <c r="H104" s="61" t="n">
        <f aca="false">(M104*(C104/1000))*D104</f>
        <v>172.5</v>
      </c>
      <c r="I104" s="61" t="s">
        <v>59</v>
      </c>
      <c r="J104" s="63" t="n">
        <v>46086</v>
      </c>
      <c r="K104" s="61" t="n">
        <v>1</v>
      </c>
      <c r="L104" s="61"/>
      <c r="M104" s="61" t="n">
        <f aca="false">K104-L104</f>
        <v>1</v>
      </c>
      <c r="N104" s="64" t="n">
        <f aca="false">H104*3.4</f>
        <v>586.5</v>
      </c>
    </row>
    <row r="105" customFormat="false" ht="20.25" hidden="false" customHeight="true" outlineLevel="0" collapsed="false">
      <c r="A105" s="61" t="n">
        <v>16</v>
      </c>
      <c r="B105" s="61" t="s">
        <v>58</v>
      </c>
      <c r="C105" s="61" t="n">
        <v>115</v>
      </c>
      <c r="D105" s="61" t="n">
        <v>1500</v>
      </c>
      <c r="E105" s="61" t="s">
        <v>51</v>
      </c>
      <c r="F105" s="62" t="n">
        <f aca="false">M105*D105</f>
        <v>1500</v>
      </c>
      <c r="G105" s="61" t="s">
        <v>17</v>
      </c>
      <c r="H105" s="61" t="n">
        <f aca="false">(M105*(C105/1000))*D105</f>
        <v>172.5</v>
      </c>
      <c r="I105" s="61" t="s">
        <v>59</v>
      </c>
      <c r="J105" s="63" t="n">
        <v>46109</v>
      </c>
      <c r="K105" s="61" t="n">
        <v>1</v>
      </c>
      <c r="L105" s="61"/>
      <c r="M105" s="61" t="n">
        <f aca="false">K105-L105</f>
        <v>1</v>
      </c>
      <c r="N105" s="64" t="n">
        <f aca="false">H105*3.4</f>
        <v>586.5</v>
      </c>
      <c r="O105" s="1" t="n">
        <v>15</v>
      </c>
    </row>
    <row r="106" customFormat="false" ht="20.25" hidden="false" customHeight="true" outlineLevel="0" collapsed="false">
      <c r="A106" s="65" t="n">
        <v>20</v>
      </c>
      <c r="B106" s="65" t="s">
        <v>58</v>
      </c>
      <c r="C106" s="65" t="n">
        <v>115</v>
      </c>
      <c r="D106" s="65" t="n">
        <v>1000</v>
      </c>
      <c r="E106" s="65" t="s">
        <v>51</v>
      </c>
      <c r="F106" s="66" t="n">
        <f aca="false">M106*D106</f>
        <v>1000</v>
      </c>
      <c r="G106" s="65" t="s">
        <v>17</v>
      </c>
      <c r="H106" s="65" t="n">
        <f aca="false">(M106*(C106/1000))*D106</f>
        <v>115</v>
      </c>
      <c r="I106" s="65" t="s">
        <v>59</v>
      </c>
      <c r="J106" s="67"/>
      <c r="K106" s="65" t="n">
        <v>1</v>
      </c>
      <c r="L106" s="65"/>
      <c r="M106" s="65" t="n">
        <f aca="false">K106-L106</f>
        <v>1</v>
      </c>
      <c r="N106" s="68" t="n">
        <f aca="false">H106*3.4</f>
        <v>391</v>
      </c>
    </row>
    <row r="107" customFormat="false" ht="20.25" hidden="false" customHeight="true" outlineLevel="0" collapsed="false">
      <c r="A107" s="61" t="n">
        <v>19</v>
      </c>
      <c r="B107" s="61" t="s">
        <v>58</v>
      </c>
      <c r="C107" s="61" t="n">
        <v>120</v>
      </c>
      <c r="D107" s="61" t="n">
        <v>500</v>
      </c>
      <c r="E107" s="61" t="s">
        <v>51</v>
      </c>
      <c r="F107" s="62" t="n">
        <f aca="false">M107*D107</f>
        <v>500</v>
      </c>
      <c r="G107" s="61" t="s">
        <v>17</v>
      </c>
      <c r="H107" s="61" t="n">
        <f aca="false">(M107*(C107/1000))*D107</f>
        <v>60</v>
      </c>
      <c r="I107" s="61" t="s">
        <v>59</v>
      </c>
      <c r="J107" s="63"/>
      <c r="K107" s="61" t="n">
        <v>1</v>
      </c>
      <c r="L107" s="61"/>
      <c r="M107" s="61" t="n">
        <f aca="false">K107-L107</f>
        <v>1</v>
      </c>
      <c r="N107" s="64" t="n">
        <f aca="false">H107*3.4</f>
        <v>204</v>
      </c>
    </row>
    <row r="108" customFormat="false" ht="20.25" hidden="true" customHeight="true" outlineLevel="0" collapsed="false">
      <c r="A108" s="61" t="n">
        <v>16</v>
      </c>
      <c r="B108" s="61" t="s">
        <v>67</v>
      </c>
      <c r="C108" s="61" t="n">
        <v>120</v>
      </c>
      <c r="D108" s="61" t="n">
        <v>1000</v>
      </c>
      <c r="E108" s="61" t="s">
        <v>68</v>
      </c>
      <c r="F108" s="62" t="n">
        <f aca="false">M108*D108</f>
        <v>0</v>
      </c>
      <c r="G108" s="61" t="s">
        <v>17</v>
      </c>
      <c r="H108" s="61"/>
      <c r="I108" s="61" t="s">
        <v>69</v>
      </c>
      <c r="J108" s="63" t="n">
        <v>45582</v>
      </c>
      <c r="K108" s="61" t="n">
        <v>1</v>
      </c>
      <c r="L108" s="61" t="n">
        <v>1</v>
      </c>
      <c r="M108" s="61" t="n">
        <f aca="false">K108-L108</f>
        <v>0</v>
      </c>
      <c r="N108" s="64"/>
    </row>
    <row r="109" customFormat="false" ht="20.25" hidden="false" customHeight="true" outlineLevel="0" collapsed="false">
      <c r="A109" s="61" t="n">
        <v>10</v>
      </c>
      <c r="B109" s="61" t="s">
        <v>58</v>
      </c>
      <c r="C109" s="61" t="n">
        <v>120</v>
      </c>
      <c r="D109" s="61" t="n">
        <v>1500</v>
      </c>
      <c r="E109" s="61" t="s">
        <v>51</v>
      </c>
      <c r="F109" s="62" t="n">
        <f aca="false">M109*D109</f>
        <v>0</v>
      </c>
      <c r="G109" s="61" t="s">
        <v>17</v>
      </c>
      <c r="H109" s="61" t="n">
        <f aca="false">(M109*(C109/1000))*D109</f>
        <v>0</v>
      </c>
      <c r="I109" s="61" t="s">
        <v>59</v>
      </c>
      <c r="J109" s="63" t="n">
        <v>45839</v>
      </c>
      <c r="K109" s="61" t="n">
        <v>1</v>
      </c>
      <c r="L109" s="61" t="n">
        <v>1</v>
      </c>
      <c r="M109" s="61" t="n">
        <f aca="false">K109-L109</f>
        <v>0</v>
      </c>
      <c r="N109" s="64" t="n">
        <f aca="false">H109*3.4</f>
        <v>0</v>
      </c>
      <c r="O109" s="69"/>
    </row>
    <row r="110" customFormat="false" ht="20.25" hidden="false" customHeight="true" outlineLevel="0" collapsed="false">
      <c r="A110" s="61" t="n">
        <v>2</v>
      </c>
      <c r="B110" s="61" t="s">
        <v>58</v>
      </c>
      <c r="C110" s="61" t="n">
        <v>120</v>
      </c>
      <c r="D110" s="61" t="n">
        <v>1000</v>
      </c>
      <c r="E110" s="61" t="s">
        <v>51</v>
      </c>
      <c r="F110" s="62" t="n">
        <f aca="false">M110*D110</f>
        <v>2000</v>
      </c>
      <c r="G110" s="61" t="s">
        <v>17</v>
      </c>
      <c r="H110" s="61" t="n">
        <f aca="false">(M110*(C110/1000))*D110</f>
        <v>240</v>
      </c>
      <c r="I110" s="61" t="s">
        <v>59</v>
      </c>
      <c r="J110" s="63" t="n">
        <v>45919</v>
      </c>
      <c r="K110" s="61" t="n">
        <v>2</v>
      </c>
      <c r="L110" s="61"/>
      <c r="M110" s="61" t="n">
        <f aca="false">K110-L110</f>
        <v>2</v>
      </c>
      <c r="N110" s="64" t="n">
        <f aca="false">H110*3.4</f>
        <v>816</v>
      </c>
    </row>
    <row r="111" customFormat="false" ht="20.25" hidden="false" customHeight="true" outlineLevel="0" collapsed="false">
      <c r="A111" s="61" t="n">
        <v>9</v>
      </c>
      <c r="B111" s="61" t="s">
        <v>58</v>
      </c>
      <c r="C111" s="61" t="n">
        <v>120</v>
      </c>
      <c r="D111" s="61" t="n">
        <v>1000</v>
      </c>
      <c r="E111" s="61" t="s">
        <v>51</v>
      </c>
      <c r="F111" s="62" t="n">
        <f aca="false">M111*D111</f>
        <v>5000</v>
      </c>
      <c r="G111" s="61" t="s">
        <v>17</v>
      </c>
      <c r="H111" s="61" t="n">
        <f aca="false">(M111*(C111/1000))*D111</f>
        <v>600</v>
      </c>
      <c r="I111" s="61" t="s">
        <v>59</v>
      </c>
      <c r="J111" s="63" t="n">
        <v>45943</v>
      </c>
      <c r="K111" s="61" t="n">
        <v>5</v>
      </c>
      <c r="L111" s="61"/>
      <c r="M111" s="61" t="n">
        <f aca="false">K111-L111</f>
        <v>5</v>
      </c>
      <c r="N111" s="64" t="n">
        <f aca="false">H111*3.4</f>
        <v>2040</v>
      </c>
    </row>
    <row r="112" customFormat="false" ht="20.25" hidden="false" customHeight="true" outlineLevel="0" collapsed="false">
      <c r="A112" s="65" t="n">
        <v>8</v>
      </c>
      <c r="B112" s="65" t="s">
        <v>58</v>
      </c>
      <c r="C112" s="65" t="n">
        <v>120</v>
      </c>
      <c r="D112" s="65" t="n">
        <v>1000</v>
      </c>
      <c r="E112" s="65" t="s">
        <v>51</v>
      </c>
      <c r="F112" s="66" t="n">
        <f aca="false">M112*D112</f>
        <v>1000</v>
      </c>
      <c r="G112" s="65" t="s">
        <v>17</v>
      </c>
      <c r="H112" s="65" t="n">
        <f aca="false">(M112*(C112/1000))*D112</f>
        <v>120</v>
      </c>
      <c r="I112" s="65" t="s">
        <v>59</v>
      </c>
      <c r="J112" s="67" t="n">
        <v>45944</v>
      </c>
      <c r="K112" s="65" t="n">
        <v>1</v>
      </c>
      <c r="L112" s="65"/>
      <c r="M112" s="65" t="n">
        <f aca="false">K112-L112</f>
        <v>1</v>
      </c>
      <c r="N112" s="68" t="n">
        <f aca="false">H112*3.4</f>
        <v>408</v>
      </c>
    </row>
    <row r="113" customFormat="false" ht="20.25" hidden="true" customHeight="true" outlineLevel="0" collapsed="false">
      <c r="A113" s="65" t="n">
        <v>16</v>
      </c>
      <c r="B113" s="65" t="s">
        <v>67</v>
      </c>
      <c r="C113" s="65" t="n">
        <v>120</v>
      </c>
      <c r="D113" s="65" t="n">
        <v>1000</v>
      </c>
      <c r="E113" s="65" t="s">
        <v>68</v>
      </c>
      <c r="F113" s="66" t="n">
        <f aca="false">M113*D113</f>
        <v>1000</v>
      </c>
      <c r="G113" s="65" t="s">
        <v>17</v>
      </c>
      <c r="H113" s="65"/>
      <c r="I113" s="65" t="s">
        <v>69</v>
      </c>
      <c r="J113" s="67" t="n">
        <v>45947</v>
      </c>
      <c r="K113" s="65" t="n">
        <v>1</v>
      </c>
      <c r="L113" s="65"/>
      <c r="M113" s="65" t="n">
        <f aca="false">K113-L113</f>
        <v>1</v>
      </c>
      <c r="N113" s="68"/>
    </row>
    <row r="114" customFormat="false" ht="20.25" hidden="true" customHeight="true" outlineLevel="0" collapsed="false">
      <c r="A114" s="65" t="n">
        <v>25</v>
      </c>
      <c r="B114" s="65" t="s">
        <v>54</v>
      </c>
      <c r="C114" s="65" t="n">
        <v>120</v>
      </c>
      <c r="D114" s="65" t="n">
        <v>1000</v>
      </c>
      <c r="E114" s="65" t="s">
        <v>55</v>
      </c>
      <c r="F114" s="66" t="n">
        <f aca="false">M114*D114</f>
        <v>1000</v>
      </c>
      <c r="G114" s="65" t="s">
        <v>56</v>
      </c>
      <c r="H114" s="65" t="n">
        <f aca="false">(M114*(C114/1000))*D114</f>
        <v>120</v>
      </c>
      <c r="I114" s="65" t="s">
        <v>57</v>
      </c>
      <c r="J114" s="67" t="n">
        <v>45979</v>
      </c>
      <c r="K114" s="65" t="n">
        <v>1</v>
      </c>
      <c r="L114" s="65"/>
      <c r="M114" s="65" t="n">
        <f aca="false">K114-L114</f>
        <v>1</v>
      </c>
      <c r="N114" s="68" t="n">
        <f aca="false">H114*4.2</f>
        <v>504</v>
      </c>
    </row>
    <row r="115" customFormat="false" ht="20.25" hidden="false" customHeight="true" outlineLevel="0" collapsed="false">
      <c r="A115" s="61" t="n">
        <v>7</v>
      </c>
      <c r="B115" s="61" t="s">
        <v>58</v>
      </c>
      <c r="C115" s="61" t="n">
        <v>120</v>
      </c>
      <c r="D115" s="61" t="n">
        <v>1000</v>
      </c>
      <c r="E115" s="61" t="s">
        <v>51</v>
      </c>
      <c r="F115" s="62" t="n">
        <f aca="false">M115*D115</f>
        <v>1000</v>
      </c>
      <c r="G115" s="61" t="s">
        <v>17</v>
      </c>
      <c r="H115" s="61" t="n">
        <f aca="false">(M115*(C115/1000))*D115</f>
        <v>120</v>
      </c>
      <c r="I115" s="61" t="s">
        <v>59</v>
      </c>
      <c r="J115" s="63" t="n">
        <v>46010</v>
      </c>
      <c r="K115" s="61" t="n">
        <v>1</v>
      </c>
      <c r="L115" s="61"/>
      <c r="M115" s="61" t="n">
        <f aca="false">K115-L115</f>
        <v>1</v>
      </c>
      <c r="N115" s="64" t="n">
        <f aca="false">H115*3.4</f>
        <v>408</v>
      </c>
    </row>
    <row r="116" customFormat="false" ht="20.25" hidden="false" customHeight="true" outlineLevel="0" collapsed="false">
      <c r="A116" s="65" t="n">
        <v>9</v>
      </c>
      <c r="B116" s="65" t="s">
        <v>58</v>
      </c>
      <c r="C116" s="65" t="n">
        <v>120</v>
      </c>
      <c r="D116" s="65" t="n">
        <v>1000</v>
      </c>
      <c r="E116" s="65" t="s">
        <v>51</v>
      </c>
      <c r="F116" s="66" t="n">
        <f aca="false">M116*D116</f>
        <v>1000</v>
      </c>
      <c r="G116" s="65" t="s">
        <v>17</v>
      </c>
      <c r="H116" s="65" t="n">
        <f aca="false">(M116*(C116/1000))*D116</f>
        <v>120</v>
      </c>
      <c r="I116" s="65" t="s">
        <v>59</v>
      </c>
      <c r="J116" s="67" t="n">
        <v>46010</v>
      </c>
      <c r="K116" s="65" t="n">
        <v>1</v>
      </c>
      <c r="L116" s="65"/>
      <c r="M116" s="65" t="n">
        <f aca="false">K116-L116</f>
        <v>1</v>
      </c>
      <c r="N116" s="68" t="n">
        <f aca="false">H116*3.4</f>
        <v>408</v>
      </c>
      <c r="O116" s="69"/>
    </row>
    <row r="117" customFormat="false" ht="20.25" hidden="true" customHeight="true" outlineLevel="0" collapsed="false">
      <c r="A117" s="61" t="n">
        <v>12</v>
      </c>
      <c r="B117" s="61" t="s">
        <v>58</v>
      </c>
      <c r="C117" s="61" t="n">
        <v>120</v>
      </c>
      <c r="D117" s="61" t="n">
        <v>1500</v>
      </c>
      <c r="E117" s="61" t="s">
        <v>51</v>
      </c>
      <c r="F117" s="62" t="n">
        <f aca="false">M117*D117</f>
        <v>3000</v>
      </c>
      <c r="G117" s="61" t="s">
        <v>17</v>
      </c>
      <c r="H117" s="61" t="n">
        <f aca="false">(M117*(C117/1000))*D117</f>
        <v>360</v>
      </c>
      <c r="I117" s="61" t="s">
        <v>72</v>
      </c>
      <c r="J117" s="63" t="n">
        <v>46284</v>
      </c>
      <c r="K117" s="61" t="n">
        <v>2</v>
      </c>
      <c r="L117" s="61"/>
      <c r="M117" s="61" t="n">
        <f aca="false">K117-L117</f>
        <v>2</v>
      </c>
      <c r="N117" s="64" t="n">
        <f aca="false">H117*3.4</f>
        <v>1224</v>
      </c>
      <c r="O117" s="9"/>
    </row>
    <row r="118" customFormat="false" ht="20.25" hidden="false" customHeight="true" outlineLevel="0" collapsed="false">
      <c r="A118" s="61" t="n">
        <v>19</v>
      </c>
      <c r="B118" s="61" t="s">
        <v>58</v>
      </c>
      <c r="C118" s="61" t="n">
        <v>125</v>
      </c>
      <c r="D118" s="61" t="n">
        <v>1500</v>
      </c>
      <c r="E118" s="61" t="s">
        <v>51</v>
      </c>
      <c r="F118" s="62" t="n">
        <f aca="false">M118*D118</f>
        <v>1500</v>
      </c>
      <c r="G118" s="61" t="s">
        <v>17</v>
      </c>
      <c r="H118" s="61" t="n">
        <f aca="false">(M118*(C118/1000))*D118</f>
        <v>187.5</v>
      </c>
      <c r="I118" s="61" t="s">
        <v>59</v>
      </c>
      <c r="J118" s="63" t="n">
        <v>46121</v>
      </c>
      <c r="K118" s="61" t="n">
        <v>1</v>
      </c>
      <c r="L118" s="61"/>
      <c r="M118" s="61" t="n">
        <f aca="false">K118-L118</f>
        <v>1</v>
      </c>
      <c r="N118" s="64" t="n">
        <f aca="false">H118*3.4</f>
        <v>637.5</v>
      </c>
    </row>
    <row r="119" customFormat="false" ht="20.25" hidden="true" customHeight="true" outlineLevel="0" collapsed="false">
      <c r="A119" s="61" t="n">
        <v>19</v>
      </c>
      <c r="B119" s="61" t="s">
        <v>62</v>
      </c>
      <c r="C119" s="61" t="n">
        <v>125</v>
      </c>
      <c r="D119" s="61" t="n">
        <v>500</v>
      </c>
      <c r="E119" s="61" t="s">
        <v>63</v>
      </c>
      <c r="F119" s="62" t="n">
        <f aca="false">M119*D119</f>
        <v>500</v>
      </c>
      <c r="G119" s="61" t="s">
        <v>17</v>
      </c>
      <c r="H119" s="61" t="n">
        <f aca="false">(M119*(C119/1000))*D119</f>
        <v>62.5</v>
      </c>
      <c r="I119" s="61" t="s">
        <v>64</v>
      </c>
      <c r="J119" s="63" t="n">
        <v>46121</v>
      </c>
      <c r="K119" s="61" t="n">
        <v>1</v>
      </c>
      <c r="L119" s="61"/>
      <c r="M119" s="61" t="n">
        <f aca="false">K119-L119</f>
        <v>1</v>
      </c>
      <c r="N119" s="64" t="n">
        <f aca="false">H119*3.4</f>
        <v>212.5</v>
      </c>
    </row>
    <row r="120" customFormat="false" ht="20.25" hidden="false" customHeight="true" outlineLevel="0" collapsed="false">
      <c r="A120" s="61" t="n">
        <v>16</v>
      </c>
      <c r="B120" s="61" t="s">
        <v>58</v>
      </c>
      <c r="C120" s="61" t="n">
        <v>125</v>
      </c>
      <c r="D120" s="65" t="n">
        <v>1000</v>
      </c>
      <c r="E120" s="61" t="s">
        <v>51</v>
      </c>
      <c r="F120" s="62" t="n">
        <f aca="false">M120*D120</f>
        <v>2000</v>
      </c>
      <c r="G120" s="61" t="s">
        <v>17</v>
      </c>
      <c r="H120" s="61" t="n">
        <f aca="false">(M120*(C120/1000))*D120</f>
        <v>250</v>
      </c>
      <c r="I120" s="61" t="s">
        <v>59</v>
      </c>
      <c r="J120" s="67" t="n">
        <v>46201</v>
      </c>
      <c r="K120" s="61" t="n">
        <v>2</v>
      </c>
      <c r="L120" s="61"/>
      <c r="M120" s="61" t="n">
        <f aca="false">K120-L120</f>
        <v>2</v>
      </c>
      <c r="N120" s="64" t="n">
        <f aca="false">H120*3.4</f>
        <v>850</v>
      </c>
    </row>
    <row r="121" customFormat="false" ht="20.25" hidden="false" customHeight="true" outlineLevel="0" collapsed="false">
      <c r="A121" s="61" t="n">
        <v>7</v>
      </c>
      <c r="B121" s="61" t="s">
        <v>58</v>
      </c>
      <c r="C121" s="61" t="n">
        <v>125</v>
      </c>
      <c r="D121" s="61" t="n">
        <v>1000</v>
      </c>
      <c r="E121" s="61" t="s">
        <v>51</v>
      </c>
      <c r="F121" s="62" t="n">
        <f aca="false">M121*D121</f>
        <v>0</v>
      </c>
      <c r="G121" s="61" t="s">
        <v>17</v>
      </c>
      <c r="H121" s="61" t="n">
        <f aca="false">(M121*(C121/1000))*D121</f>
        <v>0</v>
      </c>
      <c r="I121" s="61" t="s">
        <v>59</v>
      </c>
      <c r="J121" s="63"/>
      <c r="K121" s="61" t="n">
        <v>1</v>
      </c>
      <c r="L121" s="61" t="n">
        <v>1</v>
      </c>
      <c r="M121" s="61" t="n">
        <f aca="false">K121-L121</f>
        <v>0</v>
      </c>
      <c r="N121" s="64" t="n">
        <f aca="false">H121*3.4</f>
        <v>0</v>
      </c>
    </row>
    <row r="122" customFormat="false" ht="20.25" hidden="false" customHeight="true" outlineLevel="0" collapsed="false">
      <c r="A122" s="65" t="n">
        <v>24</v>
      </c>
      <c r="B122" s="65" t="s">
        <v>58</v>
      </c>
      <c r="C122" s="65" t="n">
        <v>125</v>
      </c>
      <c r="D122" s="65" t="n">
        <v>1000</v>
      </c>
      <c r="E122" s="65" t="s">
        <v>51</v>
      </c>
      <c r="F122" s="66" t="n">
        <f aca="false">M122*D122</f>
        <v>1000</v>
      </c>
      <c r="G122" s="65" t="s">
        <v>17</v>
      </c>
      <c r="H122" s="65" t="n">
        <f aca="false">(M122*(C122/1000))*D122</f>
        <v>125</v>
      </c>
      <c r="I122" s="65" t="s">
        <v>59</v>
      </c>
      <c r="J122" s="67"/>
      <c r="K122" s="65" t="n">
        <v>1</v>
      </c>
      <c r="L122" s="65"/>
      <c r="M122" s="65" t="n">
        <f aca="false">K122-L122</f>
        <v>1</v>
      </c>
      <c r="N122" s="68" t="n">
        <f aca="false">H122*3.4</f>
        <v>425</v>
      </c>
    </row>
    <row r="123" customFormat="false" ht="20.25" hidden="true" customHeight="true" outlineLevel="0" collapsed="false">
      <c r="A123" s="61" t="s">
        <v>65</v>
      </c>
      <c r="B123" s="61" t="s">
        <v>62</v>
      </c>
      <c r="C123" s="61" t="n">
        <v>125</v>
      </c>
      <c r="D123" s="61" t="n">
        <v>1500</v>
      </c>
      <c r="E123" s="61" t="s">
        <v>63</v>
      </c>
      <c r="F123" s="62" t="n">
        <f aca="false">M123*D123</f>
        <v>3000</v>
      </c>
      <c r="G123" s="61" t="s">
        <v>17</v>
      </c>
      <c r="H123" s="61" t="n">
        <f aca="false">(M123*(C123/1000))*D123</f>
        <v>375</v>
      </c>
      <c r="I123" s="61" t="s">
        <v>64</v>
      </c>
      <c r="J123" s="63"/>
      <c r="K123" s="61" t="n">
        <v>7</v>
      </c>
      <c r="L123" s="61" t="n">
        <v>5</v>
      </c>
      <c r="M123" s="61" t="n">
        <f aca="false">K123-L123</f>
        <v>2</v>
      </c>
      <c r="N123" s="64" t="n">
        <f aca="false">H123*3.4</f>
        <v>1275</v>
      </c>
    </row>
    <row r="124" customFormat="false" ht="20.25" hidden="true" customHeight="true" outlineLevel="0" collapsed="false">
      <c r="A124" s="61" t="n">
        <v>19</v>
      </c>
      <c r="B124" s="61" t="s">
        <v>62</v>
      </c>
      <c r="C124" s="61" t="n">
        <v>125</v>
      </c>
      <c r="D124" s="61" t="n">
        <v>1500</v>
      </c>
      <c r="E124" s="61" t="s">
        <v>63</v>
      </c>
      <c r="F124" s="62" t="n">
        <f aca="false">M124*D124</f>
        <v>0</v>
      </c>
      <c r="G124" s="61" t="s">
        <v>17</v>
      </c>
      <c r="H124" s="61" t="n">
        <f aca="false">(M124*(C124/1000))*D124</f>
        <v>0</v>
      </c>
      <c r="I124" s="61" t="s">
        <v>64</v>
      </c>
      <c r="J124" s="63" t="n">
        <v>46121</v>
      </c>
      <c r="K124" s="61" t="n">
        <v>4</v>
      </c>
      <c r="L124" s="61" t="n">
        <v>4</v>
      </c>
      <c r="M124" s="61" t="n">
        <f aca="false">K124-L124</f>
        <v>0</v>
      </c>
      <c r="N124" s="64" t="n">
        <f aca="false">H124*3.4</f>
        <v>0</v>
      </c>
    </row>
    <row r="125" customFormat="false" ht="20.25" hidden="false" customHeight="true" outlineLevel="0" collapsed="false">
      <c r="A125" s="61" t="n">
        <v>22</v>
      </c>
      <c r="B125" s="61" t="s">
        <v>58</v>
      </c>
      <c r="C125" s="61" t="n">
        <v>125</v>
      </c>
      <c r="D125" s="61" t="n">
        <v>1000</v>
      </c>
      <c r="E125" s="61" t="s">
        <v>51</v>
      </c>
      <c r="F125" s="62" t="n">
        <f aca="false">M125*D125</f>
        <v>3000</v>
      </c>
      <c r="G125" s="61" t="s">
        <v>17</v>
      </c>
      <c r="H125" s="61" t="n">
        <f aca="false">(M125*(C125/1000))*D125</f>
        <v>375</v>
      </c>
      <c r="I125" s="61" t="s">
        <v>59</v>
      </c>
      <c r="J125" s="67" t="n">
        <v>46201</v>
      </c>
      <c r="K125" s="61" t="n">
        <v>3</v>
      </c>
      <c r="L125" s="61"/>
      <c r="M125" s="61" t="n">
        <f aca="false">K125-L125</f>
        <v>3</v>
      </c>
      <c r="N125" s="64" t="n">
        <f aca="false">H125*3.4</f>
        <v>1275</v>
      </c>
    </row>
    <row r="126" customFormat="false" ht="20.25" hidden="true" customHeight="true" outlineLevel="0" collapsed="false">
      <c r="A126" s="61" t="n">
        <v>14</v>
      </c>
      <c r="B126" s="61" t="s">
        <v>62</v>
      </c>
      <c r="C126" s="61" t="n">
        <v>130</v>
      </c>
      <c r="D126" s="61" t="n">
        <v>1500</v>
      </c>
      <c r="E126" s="61" t="s">
        <v>63</v>
      </c>
      <c r="F126" s="62" t="n">
        <f aca="false">M126*D126</f>
        <v>1500</v>
      </c>
      <c r="G126" s="61" t="s">
        <v>17</v>
      </c>
      <c r="H126" s="61" t="n">
        <f aca="false">(M126*(C126/1000))*D126</f>
        <v>195</v>
      </c>
      <c r="I126" s="61" t="s">
        <v>64</v>
      </c>
      <c r="J126" s="63" t="n">
        <v>46121</v>
      </c>
      <c r="K126" s="61" t="n">
        <v>1</v>
      </c>
      <c r="L126" s="61"/>
      <c r="M126" s="61" t="n">
        <f aca="false">K126-L126</f>
        <v>1</v>
      </c>
      <c r="N126" s="64" t="n">
        <f aca="false">H126*3.4</f>
        <v>663</v>
      </c>
    </row>
    <row r="127" customFormat="false" ht="20.25" hidden="true" customHeight="true" outlineLevel="0" collapsed="false">
      <c r="A127" s="65" t="n">
        <v>11</v>
      </c>
      <c r="B127" s="65" t="s">
        <v>62</v>
      </c>
      <c r="C127" s="65" t="n">
        <v>130</v>
      </c>
      <c r="D127" s="65" t="n">
        <v>1500</v>
      </c>
      <c r="E127" s="65" t="s">
        <v>63</v>
      </c>
      <c r="F127" s="66" t="n">
        <f aca="false">M127*D127</f>
        <v>1500</v>
      </c>
      <c r="G127" s="65" t="s">
        <v>17</v>
      </c>
      <c r="H127" s="65" t="n">
        <f aca="false">(M127*(C127/1000))*D127</f>
        <v>195</v>
      </c>
      <c r="I127" s="65" t="s">
        <v>64</v>
      </c>
      <c r="J127" s="67" t="n">
        <v>46121</v>
      </c>
      <c r="K127" s="65" t="n">
        <v>1</v>
      </c>
      <c r="L127" s="65"/>
      <c r="M127" s="65" t="n">
        <f aca="false">K127-L127</f>
        <v>1</v>
      </c>
      <c r="N127" s="68" t="n">
        <f aca="false">H127*3.4</f>
        <v>663</v>
      </c>
    </row>
    <row r="128" customFormat="false" ht="20.25" hidden="true" customHeight="true" outlineLevel="0" collapsed="false">
      <c r="A128" s="61" t="n">
        <v>12</v>
      </c>
      <c r="B128" s="61" t="s">
        <v>62</v>
      </c>
      <c r="C128" s="61" t="n">
        <v>130</v>
      </c>
      <c r="D128" s="61" t="n">
        <v>1500</v>
      </c>
      <c r="E128" s="61" t="s">
        <v>63</v>
      </c>
      <c r="F128" s="62" t="n">
        <f aca="false">M128*D128</f>
        <v>1500</v>
      </c>
      <c r="G128" s="61" t="s">
        <v>17</v>
      </c>
      <c r="H128" s="61" t="n">
        <f aca="false">(M128*(C128/1000))*D128</f>
        <v>195</v>
      </c>
      <c r="I128" s="61" t="s">
        <v>64</v>
      </c>
      <c r="J128" s="63" t="n">
        <v>46121</v>
      </c>
      <c r="K128" s="61" t="n">
        <v>1</v>
      </c>
      <c r="L128" s="61"/>
      <c r="M128" s="61" t="n">
        <f aca="false">K128-L128</f>
        <v>1</v>
      </c>
      <c r="N128" s="64" t="n">
        <f aca="false">H128*3.4</f>
        <v>663</v>
      </c>
    </row>
    <row r="129" customFormat="false" ht="20.25" hidden="true" customHeight="true" outlineLevel="0" collapsed="false">
      <c r="A129" s="61" t="n">
        <v>15</v>
      </c>
      <c r="B129" s="61" t="s">
        <v>62</v>
      </c>
      <c r="C129" s="61" t="n">
        <v>130</v>
      </c>
      <c r="D129" s="61" t="n">
        <v>1500</v>
      </c>
      <c r="E129" s="61" t="s">
        <v>63</v>
      </c>
      <c r="F129" s="62" t="n">
        <f aca="false">M129*D129</f>
        <v>3000</v>
      </c>
      <c r="G129" s="61" t="s">
        <v>17</v>
      </c>
      <c r="H129" s="61" t="n">
        <f aca="false">(M129*(C129/1000))*D129</f>
        <v>390</v>
      </c>
      <c r="I129" s="61" t="s">
        <v>64</v>
      </c>
      <c r="J129" s="63" t="n">
        <v>46121</v>
      </c>
      <c r="K129" s="61" t="n">
        <v>3</v>
      </c>
      <c r="L129" s="61" t="n">
        <v>1</v>
      </c>
      <c r="M129" s="61" t="n">
        <f aca="false">K129-L129</f>
        <v>2</v>
      </c>
      <c r="N129" s="64" t="n">
        <f aca="false">H129*3.4</f>
        <v>1326</v>
      </c>
    </row>
    <row r="130" customFormat="false" ht="20.25" hidden="true" customHeight="true" outlineLevel="0" collapsed="false">
      <c r="A130" s="61" t="n">
        <v>18</v>
      </c>
      <c r="B130" s="61" t="s">
        <v>62</v>
      </c>
      <c r="C130" s="61" t="n">
        <v>130</v>
      </c>
      <c r="D130" s="61" t="n">
        <v>1000</v>
      </c>
      <c r="E130" s="61" t="s">
        <v>63</v>
      </c>
      <c r="F130" s="62" t="n">
        <f aca="false">M130*D130</f>
        <v>0</v>
      </c>
      <c r="G130" s="61" t="s">
        <v>17</v>
      </c>
      <c r="H130" s="61" t="n">
        <f aca="false">(M130*(C130/1000))*D130</f>
        <v>0</v>
      </c>
      <c r="I130" s="61" t="s">
        <v>64</v>
      </c>
      <c r="J130" s="63" t="n">
        <v>46121</v>
      </c>
      <c r="K130" s="61" t="n">
        <v>2</v>
      </c>
      <c r="L130" s="61" t="n">
        <v>2</v>
      </c>
      <c r="M130" s="61" t="n">
        <f aca="false">K130-L130</f>
        <v>0</v>
      </c>
      <c r="N130" s="64" t="n">
        <f aca="false">H130*3.4</f>
        <v>0</v>
      </c>
    </row>
    <row r="131" customFormat="false" ht="20.25" hidden="true" customHeight="true" outlineLevel="0" collapsed="false">
      <c r="A131" s="61" t="n">
        <v>21</v>
      </c>
      <c r="B131" s="61" t="s">
        <v>62</v>
      </c>
      <c r="C131" s="61" t="n">
        <v>130</v>
      </c>
      <c r="D131" s="61" t="n">
        <v>1500</v>
      </c>
      <c r="E131" s="61" t="s">
        <v>63</v>
      </c>
      <c r="F131" s="62" t="n">
        <f aca="false">M131*D131</f>
        <v>4500</v>
      </c>
      <c r="G131" s="61" t="s">
        <v>17</v>
      </c>
      <c r="H131" s="61" t="n">
        <f aca="false">(M131*(C131/1000))*D131</f>
        <v>585</v>
      </c>
      <c r="I131" s="61" t="s">
        <v>64</v>
      </c>
      <c r="J131" s="63" t="n">
        <v>46174</v>
      </c>
      <c r="K131" s="61" t="n">
        <v>3</v>
      </c>
      <c r="L131" s="61"/>
      <c r="M131" s="61" t="n">
        <f aca="false">K131-L131</f>
        <v>3</v>
      </c>
      <c r="N131" s="64" t="n">
        <f aca="false">H131*3.4</f>
        <v>1989</v>
      </c>
    </row>
    <row r="132" customFormat="false" ht="20.25" hidden="true" customHeight="true" outlineLevel="0" collapsed="false">
      <c r="A132" s="61" t="n">
        <v>7</v>
      </c>
      <c r="B132" s="61" t="s">
        <v>62</v>
      </c>
      <c r="C132" s="61" t="n">
        <v>130</v>
      </c>
      <c r="D132" s="61" t="n">
        <v>1500</v>
      </c>
      <c r="E132" s="61" t="s">
        <v>63</v>
      </c>
      <c r="F132" s="62" t="n">
        <f aca="false">M132*D132</f>
        <v>6000</v>
      </c>
      <c r="G132" s="61" t="s">
        <v>17</v>
      </c>
      <c r="H132" s="61" t="n">
        <f aca="false">(M132*(C132/1000))*D132</f>
        <v>780</v>
      </c>
      <c r="I132" s="61" t="s">
        <v>64</v>
      </c>
      <c r="J132" s="63" t="n">
        <v>46162</v>
      </c>
      <c r="K132" s="61" t="n">
        <v>4</v>
      </c>
      <c r="L132" s="61"/>
      <c r="M132" s="61" t="n">
        <f aca="false">K132-L132</f>
        <v>4</v>
      </c>
      <c r="N132" s="64" t="n">
        <f aca="false">H132*3.4</f>
        <v>2652</v>
      </c>
    </row>
    <row r="133" customFormat="false" ht="20.25" hidden="true" customHeight="true" outlineLevel="0" collapsed="false">
      <c r="A133" s="61" t="n">
        <v>19</v>
      </c>
      <c r="B133" s="61" t="s">
        <v>62</v>
      </c>
      <c r="C133" s="61" t="n">
        <v>130</v>
      </c>
      <c r="D133" s="61" t="n">
        <v>1500</v>
      </c>
      <c r="E133" s="61" t="s">
        <v>63</v>
      </c>
      <c r="F133" s="62" t="n">
        <f aca="false">M133*D133</f>
        <v>1500</v>
      </c>
      <c r="G133" s="61" t="s">
        <v>17</v>
      </c>
      <c r="H133" s="61" t="n">
        <f aca="false">(M133*(C133/1000))*D133</f>
        <v>195</v>
      </c>
      <c r="I133" s="61" t="s">
        <v>64</v>
      </c>
      <c r="J133" s="63" t="n">
        <v>46121</v>
      </c>
      <c r="K133" s="61" t="n">
        <v>2</v>
      </c>
      <c r="L133" s="61" t="n">
        <v>1</v>
      </c>
      <c r="M133" s="61" t="n">
        <f aca="false">K133-L133</f>
        <v>1</v>
      </c>
      <c r="N133" s="64" t="n">
        <f aca="false">H133*3.4</f>
        <v>663</v>
      </c>
    </row>
    <row r="134" customFormat="false" ht="20.25" hidden="false" customHeight="true" outlineLevel="0" collapsed="false">
      <c r="A134" s="61" t="n">
        <v>26</v>
      </c>
      <c r="B134" s="61" t="s">
        <v>58</v>
      </c>
      <c r="C134" s="61" t="n">
        <v>130</v>
      </c>
      <c r="D134" s="61" t="n">
        <v>1000</v>
      </c>
      <c r="E134" s="61" t="s">
        <v>51</v>
      </c>
      <c r="F134" s="62" t="n">
        <f aca="false">M134*D134</f>
        <v>2000</v>
      </c>
      <c r="G134" s="61" t="s">
        <v>17</v>
      </c>
      <c r="H134" s="61" t="n">
        <f aca="false">(M134*(C134/1000))*D134</f>
        <v>260</v>
      </c>
      <c r="I134" s="61" t="s">
        <v>59</v>
      </c>
      <c r="J134" s="67" t="n">
        <v>46201</v>
      </c>
      <c r="K134" s="61" t="n">
        <v>4</v>
      </c>
      <c r="L134" s="61" t="n">
        <v>2</v>
      </c>
      <c r="M134" s="61" t="n">
        <f aca="false">K134-L134</f>
        <v>2</v>
      </c>
      <c r="N134" s="64" t="n">
        <f aca="false">H134*3.4</f>
        <v>884</v>
      </c>
    </row>
    <row r="135" customFormat="false" ht="20.25" hidden="false" customHeight="true" outlineLevel="0" collapsed="false">
      <c r="A135" s="61" t="n">
        <v>29</v>
      </c>
      <c r="B135" s="61" t="s">
        <v>58</v>
      </c>
      <c r="C135" s="61" t="n">
        <v>130</v>
      </c>
      <c r="D135" s="61" t="n">
        <v>1000</v>
      </c>
      <c r="E135" s="61" t="s">
        <v>51</v>
      </c>
      <c r="F135" s="62" t="n">
        <f aca="false">M135*D135</f>
        <v>6000</v>
      </c>
      <c r="G135" s="61" t="s">
        <v>17</v>
      </c>
      <c r="H135" s="61" t="n">
        <f aca="false">(M135*(C135/1000))*D135</f>
        <v>780</v>
      </c>
      <c r="I135" s="61" t="s">
        <v>59</v>
      </c>
      <c r="J135" s="67" t="n">
        <v>46201</v>
      </c>
      <c r="K135" s="61" t="n">
        <v>6</v>
      </c>
      <c r="L135" s="61"/>
      <c r="M135" s="61" t="n">
        <f aca="false">K135-L135</f>
        <v>6</v>
      </c>
      <c r="N135" s="64" t="n">
        <f aca="false">H135*3.4</f>
        <v>2652</v>
      </c>
    </row>
    <row r="136" customFormat="false" ht="20.25" hidden="false" customHeight="true" outlineLevel="0" collapsed="false">
      <c r="A136" s="61" t="n">
        <v>13</v>
      </c>
      <c r="B136" s="61" t="s">
        <v>58</v>
      </c>
      <c r="C136" s="61" t="n">
        <v>135</v>
      </c>
      <c r="D136" s="61" t="n">
        <v>1000</v>
      </c>
      <c r="E136" s="61" t="s">
        <v>51</v>
      </c>
      <c r="F136" s="62" t="n">
        <f aca="false">M136*D136</f>
        <v>1000</v>
      </c>
      <c r="G136" s="61" t="s">
        <v>17</v>
      </c>
      <c r="H136" s="61" t="n">
        <f aca="false">(M136*(C136/1000))*D136</f>
        <v>135</v>
      </c>
      <c r="I136" s="61" t="s">
        <v>59</v>
      </c>
      <c r="J136" s="63" t="n">
        <v>46110</v>
      </c>
      <c r="K136" s="61" t="n">
        <v>1</v>
      </c>
      <c r="L136" s="61"/>
      <c r="M136" s="61" t="n">
        <f aca="false">K136-L136</f>
        <v>1</v>
      </c>
      <c r="N136" s="64" t="n">
        <f aca="false">H136*3.4</f>
        <v>459</v>
      </c>
      <c r="O136" s="9"/>
    </row>
    <row r="137" customFormat="false" ht="20.25" hidden="false" customHeight="true" outlineLevel="0" collapsed="false">
      <c r="A137" s="61" t="n">
        <v>14</v>
      </c>
      <c r="B137" s="61" t="s">
        <v>58</v>
      </c>
      <c r="C137" s="61" t="n">
        <v>135</v>
      </c>
      <c r="D137" s="61" t="n">
        <v>1000</v>
      </c>
      <c r="E137" s="61" t="s">
        <v>51</v>
      </c>
      <c r="F137" s="62" t="n">
        <f aca="false">M137*D137</f>
        <v>0</v>
      </c>
      <c r="G137" s="61" t="s">
        <v>17</v>
      </c>
      <c r="H137" s="61" t="n">
        <f aca="false">(M137*(C137/1000))*D137</f>
        <v>0</v>
      </c>
      <c r="I137" s="61" t="s">
        <v>59</v>
      </c>
      <c r="J137" s="63" t="n">
        <v>46110</v>
      </c>
      <c r="K137" s="61" t="n">
        <v>1</v>
      </c>
      <c r="L137" s="61" t="n">
        <v>1</v>
      </c>
      <c r="M137" s="61" t="n">
        <f aca="false">K137-L137</f>
        <v>0</v>
      </c>
      <c r="N137" s="64" t="n">
        <f aca="false">H137*3.4</f>
        <v>0</v>
      </c>
    </row>
    <row r="138" customFormat="false" ht="20.25" hidden="false" customHeight="true" outlineLevel="0" collapsed="false">
      <c r="A138" s="65" t="n">
        <v>19</v>
      </c>
      <c r="B138" s="65" t="s">
        <v>58</v>
      </c>
      <c r="C138" s="65" t="n">
        <v>135</v>
      </c>
      <c r="D138" s="65" t="n">
        <v>600</v>
      </c>
      <c r="E138" s="65" t="s">
        <v>51</v>
      </c>
      <c r="F138" s="66" t="n">
        <f aca="false">M138*D138</f>
        <v>600</v>
      </c>
      <c r="G138" s="65" t="s">
        <v>17</v>
      </c>
      <c r="H138" s="65" t="n">
        <f aca="false">(M138*(C138/1000))*D138</f>
        <v>81</v>
      </c>
      <c r="I138" s="65" t="s">
        <v>59</v>
      </c>
      <c r="J138" s="67" t="n">
        <v>46010</v>
      </c>
      <c r="K138" s="65" t="n">
        <v>1</v>
      </c>
      <c r="L138" s="65"/>
      <c r="M138" s="65" t="n">
        <f aca="false">K138-L138</f>
        <v>1</v>
      </c>
      <c r="N138" s="68" t="n">
        <f aca="false">H138*3.4</f>
        <v>275.4</v>
      </c>
    </row>
    <row r="139" customFormat="false" ht="20.25" hidden="false" customHeight="true" outlineLevel="0" collapsed="false">
      <c r="A139" s="65" t="n">
        <v>10</v>
      </c>
      <c r="B139" s="65" t="s">
        <v>58</v>
      </c>
      <c r="C139" s="65" t="n">
        <v>135</v>
      </c>
      <c r="D139" s="65" t="n">
        <v>1000</v>
      </c>
      <c r="E139" s="65" t="s">
        <v>51</v>
      </c>
      <c r="F139" s="66" t="n">
        <f aca="false">M139*D139</f>
        <v>1000</v>
      </c>
      <c r="G139" s="65" t="s">
        <v>17</v>
      </c>
      <c r="H139" s="65" t="n">
        <f aca="false">(M139*(C139/1000))*D139</f>
        <v>135</v>
      </c>
      <c r="I139" s="65" t="s">
        <v>59</v>
      </c>
      <c r="J139" s="67" t="n">
        <v>45944</v>
      </c>
      <c r="K139" s="65" t="n">
        <v>1</v>
      </c>
      <c r="L139" s="65"/>
      <c r="M139" s="65" t="n">
        <f aca="false">K139-L139</f>
        <v>1</v>
      </c>
      <c r="N139" s="68" t="n">
        <f aca="false">H139*3.4</f>
        <v>459</v>
      </c>
    </row>
    <row r="140" customFormat="false" ht="20.25" hidden="false" customHeight="true" outlineLevel="0" collapsed="false">
      <c r="A140" s="61" t="n">
        <v>8</v>
      </c>
      <c r="B140" s="61" t="s">
        <v>58</v>
      </c>
      <c r="C140" s="61" t="n">
        <v>135</v>
      </c>
      <c r="D140" s="61" t="n">
        <v>1000</v>
      </c>
      <c r="E140" s="61" t="s">
        <v>51</v>
      </c>
      <c r="F140" s="62" t="n">
        <f aca="false">M140*D140</f>
        <v>2000</v>
      </c>
      <c r="G140" s="61" t="s">
        <v>17</v>
      </c>
      <c r="H140" s="61" t="n">
        <f aca="false">(M140*(C140/1000))*D140</f>
        <v>270</v>
      </c>
      <c r="I140" s="61" t="s">
        <v>59</v>
      </c>
      <c r="J140" s="63" t="n">
        <v>45944</v>
      </c>
      <c r="K140" s="61" t="n">
        <v>2</v>
      </c>
      <c r="L140" s="61"/>
      <c r="M140" s="61" t="n">
        <f aca="false">K140-L140</f>
        <v>2</v>
      </c>
      <c r="N140" s="64" t="n">
        <f aca="false">H140*3.4</f>
        <v>918</v>
      </c>
    </row>
    <row r="141" customFormat="false" ht="20.25" hidden="false" customHeight="true" outlineLevel="0" collapsed="false">
      <c r="A141" s="61" t="n">
        <v>13</v>
      </c>
      <c r="B141" s="61" t="s">
        <v>58</v>
      </c>
      <c r="C141" s="61" t="n">
        <v>135</v>
      </c>
      <c r="D141" s="61" t="n">
        <v>1000</v>
      </c>
      <c r="E141" s="61" t="s">
        <v>51</v>
      </c>
      <c r="F141" s="62" t="n">
        <f aca="false">M141*D141</f>
        <v>1000</v>
      </c>
      <c r="G141" s="61" t="s">
        <v>17</v>
      </c>
      <c r="H141" s="61" t="n">
        <f aca="false">(M141*(C141/1000))*D141</f>
        <v>135</v>
      </c>
      <c r="I141" s="61" t="s">
        <v>59</v>
      </c>
      <c r="J141" s="63" t="n">
        <v>45958</v>
      </c>
      <c r="K141" s="61" t="n">
        <v>1</v>
      </c>
      <c r="L141" s="61"/>
      <c r="M141" s="61" t="n">
        <f aca="false">K141-L141</f>
        <v>1</v>
      </c>
      <c r="N141" s="64" t="n">
        <f aca="false">H141*3.4</f>
        <v>459</v>
      </c>
    </row>
    <row r="142" customFormat="false" ht="20.25" hidden="false" customHeight="true" outlineLevel="0" collapsed="false">
      <c r="A142" s="65" t="s">
        <v>20</v>
      </c>
      <c r="B142" s="65" t="s">
        <v>58</v>
      </c>
      <c r="C142" s="65" t="n">
        <v>135</v>
      </c>
      <c r="D142" s="65" t="n">
        <v>1500</v>
      </c>
      <c r="E142" s="65" t="s">
        <v>51</v>
      </c>
      <c r="F142" s="66" t="n">
        <f aca="false">M142*D142</f>
        <v>1500</v>
      </c>
      <c r="G142" s="65" t="s">
        <v>17</v>
      </c>
      <c r="H142" s="65" t="n">
        <f aca="false">(M142*(C142/1000))*D142</f>
        <v>202.5</v>
      </c>
      <c r="I142" s="65" t="s">
        <v>59</v>
      </c>
      <c r="J142" s="67" t="n">
        <v>46110</v>
      </c>
      <c r="K142" s="65" t="n">
        <v>2</v>
      </c>
      <c r="L142" s="65" t="n">
        <v>1</v>
      </c>
      <c r="M142" s="65" t="n">
        <f aca="false">K142-L142</f>
        <v>1</v>
      </c>
      <c r="N142" s="68" t="n">
        <f aca="false">H142*3.4</f>
        <v>688.5</v>
      </c>
    </row>
    <row r="143" customFormat="false" ht="20.25" hidden="false" customHeight="true" outlineLevel="0" collapsed="false">
      <c r="A143" s="65" t="n">
        <v>21</v>
      </c>
      <c r="B143" s="65" t="s">
        <v>58</v>
      </c>
      <c r="C143" s="65" t="n">
        <v>135</v>
      </c>
      <c r="D143" s="65" t="n">
        <v>1500</v>
      </c>
      <c r="E143" s="65" t="s">
        <v>51</v>
      </c>
      <c r="F143" s="66" t="n">
        <f aca="false">M143*D143</f>
        <v>1500</v>
      </c>
      <c r="G143" s="65" t="s">
        <v>17</v>
      </c>
      <c r="H143" s="65" t="n">
        <f aca="false">(M143*(C143/1000))*D143</f>
        <v>202.5</v>
      </c>
      <c r="I143" s="65" t="s">
        <v>59</v>
      </c>
      <c r="J143" s="67" t="n">
        <v>46110</v>
      </c>
      <c r="K143" s="65" t="n">
        <v>1</v>
      </c>
      <c r="L143" s="65"/>
      <c r="M143" s="65" t="n">
        <f aca="false">K143-L143</f>
        <v>1</v>
      </c>
      <c r="N143" s="68" t="n">
        <f aca="false">H143*3.4</f>
        <v>688.5</v>
      </c>
    </row>
    <row r="144" customFormat="false" ht="20.25" hidden="false" customHeight="true" outlineLevel="0" collapsed="false">
      <c r="A144" s="65" t="n">
        <v>22</v>
      </c>
      <c r="B144" s="65" t="s">
        <v>58</v>
      </c>
      <c r="C144" s="65" t="n">
        <v>135</v>
      </c>
      <c r="D144" s="65" t="n">
        <v>1500</v>
      </c>
      <c r="E144" s="65" t="s">
        <v>51</v>
      </c>
      <c r="F144" s="66" t="n">
        <f aca="false">M144*D144</f>
        <v>3000</v>
      </c>
      <c r="G144" s="65" t="s">
        <v>17</v>
      </c>
      <c r="H144" s="65" t="n">
        <f aca="false">(M144*(C144/1000))*D144</f>
        <v>405</v>
      </c>
      <c r="I144" s="65" t="s">
        <v>59</v>
      </c>
      <c r="J144" s="67" t="n">
        <v>46110</v>
      </c>
      <c r="K144" s="65" t="n">
        <v>2</v>
      </c>
      <c r="L144" s="65"/>
      <c r="M144" s="65" t="n">
        <f aca="false">K144-L144</f>
        <v>2</v>
      </c>
      <c r="N144" s="68" t="n">
        <f aca="false">H144*3.4</f>
        <v>1377</v>
      </c>
    </row>
    <row r="145" customFormat="false" ht="20.25" hidden="true" customHeight="true" outlineLevel="0" collapsed="false">
      <c r="A145" s="61" t="n">
        <v>26</v>
      </c>
      <c r="B145" s="61" t="s">
        <v>58</v>
      </c>
      <c r="C145" s="61" t="n">
        <v>135</v>
      </c>
      <c r="D145" s="61" t="n">
        <v>1000</v>
      </c>
      <c r="E145" s="61" t="s">
        <v>51</v>
      </c>
      <c r="F145" s="62" t="n">
        <f aca="false">M145*D145</f>
        <v>1000</v>
      </c>
      <c r="G145" s="61" t="s">
        <v>17</v>
      </c>
      <c r="H145" s="61" t="n">
        <f aca="false">(M145*(C145/1000))*D145</f>
        <v>135</v>
      </c>
      <c r="I145" s="61" t="s">
        <v>72</v>
      </c>
      <c r="J145" s="67" t="n">
        <v>46201</v>
      </c>
      <c r="K145" s="61" t="n">
        <v>1</v>
      </c>
      <c r="L145" s="61"/>
      <c r="M145" s="61" t="n">
        <f aca="false">K145-L145</f>
        <v>1</v>
      </c>
      <c r="N145" s="64" t="n">
        <f aca="false">H145*3.4</f>
        <v>459</v>
      </c>
    </row>
    <row r="146" customFormat="false" ht="20.25" hidden="false" customHeight="true" outlineLevel="0" collapsed="false">
      <c r="A146" s="61" t="n">
        <v>30</v>
      </c>
      <c r="B146" s="61" t="s">
        <v>58</v>
      </c>
      <c r="C146" s="61" t="n">
        <v>135</v>
      </c>
      <c r="D146" s="61" t="n">
        <v>1000</v>
      </c>
      <c r="E146" s="61" t="s">
        <v>51</v>
      </c>
      <c r="F146" s="62" t="n">
        <f aca="false">M146*D146</f>
        <v>3000</v>
      </c>
      <c r="G146" s="61" t="s">
        <v>17</v>
      </c>
      <c r="H146" s="61" t="n">
        <f aca="false">(M146*(C146/1000))*D146</f>
        <v>405</v>
      </c>
      <c r="I146" s="61" t="s">
        <v>59</v>
      </c>
      <c r="J146" s="67" t="n">
        <v>46201</v>
      </c>
      <c r="K146" s="61" t="n">
        <v>3</v>
      </c>
      <c r="L146" s="61"/>
      <c r="M146" s="61" t="n">
        <f aca="false">K146-L146</f>
        <v>3</v>
      </c>
      <c r="N146" s="64" t="n">
        <f aca="false">H146*3.4</f>
        <v>1377</v>
      </c>
    </row>
    <row r="147" customFormat="false" ht="20.25" hidden="true" customHeight="true" outlineLevel="0" collapsed="false">
      <c r="A147" s="61" t="n">
        <v>14</v>
      </c>
      <c r="B147" s="61" t="s">
        <v>58</v>
      </c>
      <c r="C147" s="61" t="n">
        <v>138</v>
      </c>
      <c r="D147" s="61" t="n">
        <v>500</v>
      </c>
      <c r="E147" s="61" t="s">
        <v>51</v>
      </c>
      <c r="F147" s="62" t="n">
        <f aca="false">M147*D147</f>
        <v>0</v>
      </c>
      <c r="G147" s="61" t="s">
        <v>17</v>
      </c>
      <c r="H147" s="61" t="n">
        <f aca="false">(M147*(C147/1000))*D147</f>
        <v>0</v>
      </c>
      <c r="I147" s="61"/>
      <c r="J147" s="63"/>
      <c r="K147" s="61" t="n">
        <v>1</v>
      </c>
      <c r="L147" s="61" t="n">
        <v>1</v>
      </c>
      <c r="M147" s="61" t="n">
        <f aca="false">K147-L147</f>
        <v>0</v>
      </c>
      <c r="N147" s="64" t="n">
        <f aca="false">H147*3.4</f>
        <v>0</v>
      </c>
    </row>
    <row r="148" customFormat="false" ht="20.25" hidden="false" customHeight="true" outlineLevel="0" collapsed="false">
      <c r="A148" s="65" t="n">
        <v>19</v>
      </c>
      <c r="B148" s="65" t="s">
        <v>58</v>
      </c>
      <c r="C148" s="65" t="n">
        <v>140</v>
      </c>
      <c r="D148" s="65" t="n">
        <v>1500</v>
      </c>
      <c r="E148" s="65" t="s">
        <v>51</v>
      </c>
      <c r="F148" s="66" t="n">
        <f aca="false">M148*D148</f>
        <v>1500</v>
      </c>
      <c r="G148" s="65" t="s">
        <v>17</v>
      </c>
      <c r="H148" s="65" t="n">
        <f aca="false">(M148*(C148/1000))*D148</f>
        <v>210</v>
      </c>
      <c r="I148" s="65" t="s">
        <v>59</v>
      </c>
      <c r="J148" s="67" t="n">
        <v>46057</v>
      </c>
      <c r="K148" s="65" t="n">
        <v>1</v>
      </c>
      <c r="L148" s="65"/>
      <c r="M148" s="65" t="n">
        <f aca="false">K148-L148</f>
        <v>1</v>
      </c>
      <c r="N148" s="68" t="n">
        <f aca="false">H148*3.4</f>
        <v>714</v>
      </c>
    </row>
    <row r="149" customFormat="false" ht="20.25" hidden="false" customHeight="true" outlineLevel="0" collapsed="false">
      <c r="A149" s="61" t="n">
        <v>19</v>
      </c>
      <c r="B149" s="61" t="s">
        <v>58</v>
      </c>
      <c r="C149" s="61" t="n">
        <v>140</v>
      </c>
      <c r="D149" s="61" t="n">
        <v>1000</v>
      </c>
      <c r="E149" s="61" t="s">
        <v>51</v>
      </c>
      <c r="F149" s="62" t="n">
        <f aca="false">M149*D149</f>
        <v>1000</v>
      </c>
      <c r="G149" s="61" t="s">
        <v>17</v>
      </c>
      <c r="H149" s="61" t="n">
        <f aca="false">(M149*(C149/1000))*D149</f>
        <v>140</v>
      </c>
      <c r="I149" s="61" t="s">
        <v>59</v>
      </c>
      <c r="J149" s="63" t="n">
        <v>46057</v>
      </c>
      <c r="K149" s="61" t="n">
        <v>1</v>
      </c>
      <c r="L149" s="61"/>
      <c r="M149" s="61" t="n">
        <f aca="false">K149-L149</f>
        <v>1</v>
      </c>
      <c r="N149" s="64" t="n">
        <f aca="false">H149*3.4</f>
        <v>476</v>
      </c>
    </row>
    <row r="150" customFormat="false" ht="20.25" hidden="false" customHeight="true" outlineLevel="0" collapsed="false">
      <c r="A150" s="65" t="n">
        <v>24</v>
      </c>
      <c r="B150" s="65" t="s">
        <v>58</v>
      </c>
      <c r="C150" s="65" t="n">
        <v>140</v>
      </c>
      <c r="D150" s="65" t="n">
        <v>1500</v>
      </c>
      <c r="E150" s="65" t="s">
        <v>51</v>
      </c>
      <c r="F150" s="66" t="n">
        <f aca="false">M150*D150</f>
        <v>3000</v>
      </c>
      <c r="G150" s="65" t="s">
        <v>17</v>
      </c>
      <c r="H150" s="65" t="n">
        <f aca="false">(M150*(C150/1000))*D150</f>
        <v>420</v>
      </c>
      <c r="I150" s="65" t="s">
        <v>59</v>
      </c>
      <c r="J150" s="67" t="n">
        <v>46057</v>
      </c>
      <c r="K150" s="65" t="n">
        <v>2</v>
      </c>
      <c r="L150" s="65"/>
      <c r="M150" s="65" t="n">
        <f aca="false">K150-L150</f>
        <v>2</v>
      </c>
      <c r="N150" s="68" t="n">
        <f aca="false">H150*3.4</f>
        <v>1428</v>
      </c>
    </row>
    <row r="151" customFormat="false" ht="37.5" hidden="false" customHeight="true" outlineLevel="0" collapsed="false">
      <c r="A151" s="61" t="n">
        <v>14</v>
      </c>
      <c r="B151" s="61" t="s">
        <v>58</v>
      </c>
      <c r="C151" s="61" t="n">
        <v>140</v>
      </c>
      <c r="D151" s="61" t="n">
        <v>1500</v>
      </c>
      <c r="E151" s="61" t="s">
        <v>51</v>
      </c>
      <c r="F151" s="62" t="n">
        <f aca="false">M151*D151</f>
        <v>3000</v>
      </c>
      <c r="G151" s="61" t="s">
        <v>17</v>
      </c>
      <c r="H151" s="61" t="n">
        <f aca="false">(M151*(C151/1000))*D151</f>
        <v>420</v>
      </c>
      <c r="I151" s="65" t="s">
        <v>59</v>
      </c>
      <c r="J151" s="63" t="n">
        <v>46110</v>
      </c>
      <c r="K151" s="61" t="n">
        <v>2</v>
      </c>
      <c r="L151" s="61"/>
      <c r="M151" s="61" t="n">
        <f aca="false">K151-L151</f>
        <v>2</v>
      </c>
      <c r="N151" s="64" t="n">
        <f aca="false">H151*3.4</f>
        <v>1428</v>
      </c>
    </row>
    <row r="152" customFormat="false" ht="20.25" hidden="false" customHeight="true" outlineLevel="0" collapsed="false">
      <c r="A152" s="65" t="n">
        <v>16</v>
      </c>
      <c r="B152" s="65" t="s">
        <v>58</v>
      </c>
      <c r="C152" s="65" t="n">
        <v>140</v>
      </c>
      <c r="D152" s="65" t="n">
        <v>1500</v>
      </c>
      <c r="E152" s="65" t="s">
        <v>51</v>
      </c>
      <c r="F152" s="66" t="n">
        <f aca="false">M152*D152</f>
        <v>3000</v>
      </c>
      <c r="G152" s="65" t="s">
        <v>17</v>
      </c>
      <c r="H152" s="65" t="n">
        <f aca="false">(M152*(C152/1000))*D152</f>
        <v>420</v>
      </c>
      <c r="I152" s="65" t="s">
        <v>59</v>
      </c>
      <c r="J152" s="67" t="n">
        <v>46110</v>
      </c>
      <c r="K152" s="65" t="n">
        <v>2</v>
      </c>
      <c r="L152" s="65"/>
      <c r="M152" s="65" t="n">
        <f aca="false">K152-L152</f>
        <v>2</v>
      </c>
      <c r="N152" s="68" t="n">
        <f aca="false">H152*3.4</f>
        <v>1428</v>
      </c>
    </row>
    <row r="153" customFormat="false" ht="20.25" hidden="false" customHeight="true" outlineLevel="0" collapsed="false">
      <c r="A153" s="65" t="n">
        <v>18</v>
      </c>
      <c r="B153" s="65" t="s">
        <v>58</v>
      </c>
      <c r="C153" s="65" t="n">
        <v>140</v>
      </c>
      <c r="D153" s="65" t="n">
        <v>1000</v>
      </c>
      <c r="E153" s="65" t="s">
        <v>51</v>
      </c>
      <c r="F153" s="66" t="n">
        <f aca="false">M153*D153</f>
        <v>1000</v>
      </c>
      <c r="G153" s="65" t="s">
        <v>17</v>
      </c>
      <c r="H153" s="65" t="n">
        <f aca="false">(M153*(C153/1000))*D153</f>
        <v>140</v>
      </c>
      <c r="I153" s="65" t="s">
        <v>59</v>
      </c>
      <c r="J153" s="67" t="n">
        <v>46201</v>
      </c>
      <c r="K153" s="65" t="n">
        <v>1</v>
      </c>
      <c r="L153" s="65"/>
      <c r="M153" s="65" t="n">
        <f aca="false">K153-L153</f>
        <v>1</v>
      </c>
      <c r="N153" s="68" t="n">
        <f aca="false">H153*3.4</f>
        <v>476</v>
      </c>
    </row>
    <row r="154" customFormat="false" ht="20.25" hidden="false" customHeight="true" outlineLevel="0" collapsed="false">
      <c r="A154" s="65" t="n">
        <v>20</v>
      </c>
      <c r="B154" s="65" t="s">
        <v>58</v>
      </c>
      <c r="C154" s="65" t="n">
        <v>140</v>
      </c>
      <c r="D154" s="65" t="n">
        <v>1000</v>
      </c>
      <c r="E154" s="65" t="s">
        <v>51</v>
      </c>
      <c r="F154" s="66" t="n">
        <f aca="false">M154*D154</f>
        <v>0</v>
      </c>
      <c r="G154" s="65" t="s">
        <v>17</v>
      </c>
      <c r="H154" s="65" t="n">
        <f aca="false">(M154*(C154/1000))*D154</f>
        <v>0</v>
      </c>
      <c r="I154" s="65" t="s">
        <v>59</v>
      </c>
      <c r="J154" s="67" t="n">
        <v>46201</v>
      </c>
      <c r="K154" s="65" t="n">
        <v>1</v>
      </c>
      <c r="L154" s="65" t="n">
        <v>1</v>
      </c>
      <c r="M154" s="65" t="n">
        <f aca="false">K154-L154</f>
        <v>0</v>
      </c>
      <c r="N154" s="68" t="n">
        <f aca="false">H154*3.4</f>
        <v>0</v>
      </c>
    </row>
    <row r="155" customFormat="false" ht="20.25" hidden="false" customHeight="true" outlineLevel="0" collapsed="false">
      <c r="A155" s="61" t="n">
        <v>21</v>
      </c>
      <c r="B155" s="61" t="s">
        <v>58</v>
      </c>
      <c r="C155" s="61" t="n">
        <v>140</v>
      </c>
      <c r="D155" s="61" t="n">
        <v>1000</v>
      </c>
      <c r="E155" s="61" t="s">
        <v>51</v>
      </c>
      <c r="F155" s="62" t="n">
        <f aca="false">M155*D155</f>
        <v>1000</v>
      </c>
      <c r="G155" s="61" t="s">
        <v>17</v>
      </c>
      <c r="H155" s="61" t="n">
        <f aca="false">(M155*(C155/1000))*D155</f>
        <v>140</v>
      </c>
      <c r="I155" s="61" t="s">
        <v>59</v>
      </c>
      <c r="J155" s="67" t="n">
        <v>46201</v>
      </c>
      <c r="K155" s="61" t="n">
        <v>1</v>
      </c>
      <c r="L155" s="61"/>
      <c r="M155" s="61" t="n">
        <f aca="false">K155-L155</f>
        <v>1</v>
      </c>
      <c r="N155" s="64" t="n">
        <f aca="false">H155*3.4</f>
        <v>476</v>
      </c>
    </row>
    <row r="156" customFormat="false" ht="20.25" hidden="false" customHeight="true" outlineLevel="0" collapsed="false">
      <c r="A156" s="61" t="n">
        <v>14</v>
      </c>
      <c r="B156" s="61" t="s">
        <v>58</v>
      </c>
      <c r="C156" s="61" t="n">
        <v>145</v>
      </c>
      <c r="D156" s="61" t="n">
        <v>1000</v>
      </c>
      <c r="E156" s="61" t="s">
        <v>51</v>
      </c>
      <c r="F156" s="62" t="n">
        <f aca="false">M156*D156</f>
        <v>1000</v>
      </c>
      <c r="G156" s="61" t="s">
        <v>17</v>
      </c>
      <c r="H156" s="61" t="n">
        <f aca="false">(M156*(C156/1000))*D156</f>
        <v>145</v>
      </c>
      <c r="I156" s="61" t="s">
        <v>59</v>
      </c>
      <c r="J156" s="63" t="n">
        <v>45593</v>
      </c>
      <c r="K156" s="61" t="n">
        <v>1</v>
      </c>
      <c r="L156" s="61"/>
      <c r="M156" s="61" t="n">
        <f aca="false">K156-L156</f>
        <v>1</v>
      </c>
      <c r="N156" s="64" t="n">
        <f aca="false">H156*3.4</f>
        <v>493</v>
      </c>
    </row>
    <row r="157" customFormat="false" ht="20.25" hidden="false" customHeight="true" outlineLevel="0" collapsed="false">
      <c r="A157" s="65" t="n">
        <v>23</v>
      </c>
      <c r="B157" s="65" t="s">
        <v>58</v>
      </c>
      <c r="C157" s="65" t="n">
        <v>145</v>
      </c>
      <c r="D157" s="65" t="n">
        <v>1500</v>
      </c>
      <c r="E157" s="65" t="s">
        <v>51</v>
      </c>
      <c r="F157" s="66" t="n">
        <f aca="false">M157*D157</f>
        <v>1500</v>
      </c>
      <c r="G157" s="65" t="s">
        <v>17</v>
      </c>
      <c r="H157" s="65" t="n">
        <f aca="false">(M157*(C157/1000))*D157</f>
        <v>217.5</v>
      </c>
      <c r="I157" s="65" t="s">
        <v>59</v>
      </c>
      <c r="J157" s="67" t="n">
        <v>45839</v>
      </c>
      <c r="K157" s="65" t="n">
        <v>1</v>
      </c>
      <c r="L157" s="65"/>
      <c r="M157" s="65" t="n">
        <f aca="false">K157-L157</f>
        <v>1</v>
      </c>
      <c r="N157" s="68" t="n">
        <f aca="false">H157*3.4</f>
        <v>739.5</v>
      </c>
    </row>
    <row r="158" customFormat="false" ht="20.25" hidden="false" customHeight="true" outlineLevel="0" collapsed="false">
      <c r="A158" s="65" t="n">
        <v>15</v>
      </c>
      <c r="B158" s="65" t="s">
        <v>58</v>
      </c>
      <c r="C158" s="65" t="n">
        <v>145</v>
      </c>
      <c r="D158" s="65" t="n">
        <v>1500</v>
      </c>
      <c r="E158" s="65" t="s">
        <v>51</v>
      </c>
      <c r="F158" s="66" t="n">
        <f aca="false">M158*D158</f>
        <v>1500</v>
      </c>
      <c r="G158" s="65" t="s">
        <v>17</v>
      </c>
      <c r="H158" s="65" t="n">
        <f aca="false">(M158*(C158/1000))*D158</f>
        <v>217.5</v>
      </c>
      <c r="I158" s="65" t="s">
        <v>59</v>
      </c>
      <c r="J158" s="67" t="n">
        <v>45879</v>
      </c>
      <c r="K158" s="65" t="n">
        <v>1</v>
      </c>
      <c r="L158" s="65"/>
      <c r="M158" s="65" t="n">
        <f aca="false">K158-L158</f>
        <v>1</v>
      </c>
      <c r="N158" s="68" t="n">
        <f aca="false">H158*3.4</f>
        <v>739.5</v>
      </c>
    </row>
    <row r="159" customFormat="false" ht="20.25" hidden="false" customHeight="true" outlineLevel="0" collapsed="false">
      <c r="A159" s="61" t="n">
        <v>15</v>
      </c>
      <c r="B159" s="61" t="s">
        <v>58</v>
      </c>
      <c r="C159" s="61" t="n">
        <v>145</v>
      </c>
      <c r="D159" s="61" t="n">
        <v>1000</v>
      </c>
      <c r="E159" s="61" t="s">
        <v>51</v>
      </c>
      <c r="F159" s="62" t="n">
        <f aca="false">M159*D159</f>
        <v>2000</v>
      </c>
      <c r="G159" s="61" t="s">
        <v>17</v>
      </c>
      <c r="H159" s="61" t="n">
        <f aca="false">(M159*(C159/1000))*D159</f>
        <v>290</v>
      </c>
      <c r="I159" s="61" t="s">
        <v>59</v>
      </c>
      <c r="J159" s="63" t="n">
        <v>45958</v>
      </c>
      <c r="K159" s="61" t="n">
        <v>2</v>
      </c>
      <c r="L159" s="61"/>
      <c r="M159" s="61" t="n">
        <f aca="false">K159-L159</f>
        <v>2</v>
      </c>
      <c r="N159" s="64" t="n">
        <f aca="false">H159*3.4</f>
        <v>986</v>
      </c>
    </row>
    <row r="160" customFormat="false" ht="20.25" hidden="false" customHeight="true" outlineLevel="0" collapsed="false">
      <c r="A160" s="61" t="n">
        <v>11</v>
      </c>
      <c r="B160" s="61" t="s">
        <v>58</v>
      </c>
      <c r="C160" s="61" t="n">
        <v>145</v>
      </c>
      <c r="D160" s="61" t="n">
        <v>1000</v>
      </c>
      <c r="E160" s="61" t="s">
        <v>51</v>
      </c>
      <c r="F160" s="62" t="n">
        <f aca="false">M160*D160</f>
        <v>3000</v>
      </c>
      <c r="G160" s="61" t="s">
        <v>17</v>
      </c>
      <c r="H160" s="61" t="n">
        <f aca="false">(M160*(C160/1000))*D160</f>
        <v>435</v>
      </c>
      <c r="I160" s="61" t="s">
        <v>59</v>
      </c>
      <c r="J160" s="63" t="n">
        <v>46010</v>
      </c>
      <c r="K160" s="61" t="n">
        <v>3</v>
      </c>
      <c r="L160" s="61"/>
      <c r="M160" s="61" t="n">
        <f aca="false">K160-L160</f>
        <v>3</v>
      </c>
      <c r="N160" s="64" t="n">
        <f aca="false">H160*3.4</f>
        <v>1479</v>
      </c>
      <c r="O160" s="9"/>
    </row>
    <row r="161" customFormat="false" ht="20.25" hidden="false" customHeight="true" outlineLevel="0" collapsed="false">
      <c r="A161" s="65" t="n">
        <v>22</v>
      </c>
      <c r="B161" s="65" t="s">
        <v>58</v>
      </c>
      <c r="C161" s="65" t="n">
        <v>145</v>
      </c>
      <c r="D161" s="65" t="n">
        <v>1000</v>
      </c>
      <c r="E161" s="65" t="s">
        <v>51</v>
      </c>
      <c r="F161" s="66" t="n">
        <f aca="false">M161*D161</f>
        <v>1000</v>
      </c>
      <c r="G161" s="65" t="s">
        <v>17</v>
      </c>
      <c r="H161" s="65" t="n">
        <f aca="false">(M161*(C161/1000))*D161</f>
        <v>145</v>
      </c>
      <c r="I161" s="65" t="s">
        <v>59</v>
      </c>
      <c r="J161" s="67" t="n">
        <v>46010</v>
      </c>
      <c r="K161" s="65" t="n">
        <v>2</v>
      </c>
      <c r="L161" s="65" t="n">
        <v>1</v>
      </c>
      <c r="M161" s="65" t="n">
        <f aca="false">K161-L161</f>
        <v>1</v>
      </c>
      <c r="N161" s="68" t="n">
        <f aca="false">H161*3.4</f>
        <v>493</v>
      </c>
    </row>
    <row r="162" customFormat="false" ht="20.25" hidden="true" customHeight="true" outlineLevel="0" collapsed="false">
      <c r="A162" s="61" t="n">
        <v>12</v>
      </c>
      <c r="B162" s="61" t="s">
        <v>62</v>
      </c>
      <c r="C162" s="61" t="n">
        <v>145</v>
      </c>
      <c r="D162" s="61" t="n">
        <v>1500</v>
      </c>
      <c r="E162" s="61" t="s">
        <v>63</v>
      </c>
      <c r="F162" s="62" t="n">
        <f aca="false">M162*D162</f>
        <v>6000</v>
      </c>
      <c r="G162" s="61" t="s">
        <v>17</v>
      </c>
      <c r="H162" s="61" t="n">
        <f aca="false">(M162*(C162/1000))*D162</f>
        <v>870</v>
      </c>
      <c r="I162" s="61" t="s">
        <v>64</v>
      </c>
      <c r="J162" s="63" t="n">
        <v>46121</v>
      </c>
      <c r="K162" s="61" t="n">
        <v>4</v>
      </c>
      <c r="L162" s="61"/>
      <c r="M162" s="61" t="n">
        <f aca="false">K162-L162</f>
        <v>4</v>
      </c>
      <c r="N162" s="64" t="n">
        <f aca="false">H162*3.4</f>
        <v>2958</v>
      </c>
    </row>
    <row r="163" customFormat="false" ht="20.25" hidden="false" customHeight="true" outlineLevel="0" collapsed="false">
      <c r="A163" s="65" t="n">
        <v>10</v>
      </c>
      <c r="B163" s="65" t="s">
        <v>58</v>
      </c>
      <c r="C163" s="65" t="n">
        <v>145</v>
      </c>
      <c r="D163" s="65" t="n">
        <v>800</v>
      </c>
      <c r="E163" s="65" t="s">
        <v>51</v>
      </c>
      <c r="F163" s="66" t="n">
        <f aca="false">M163*D163</f>
        <v>0</v>
      </c>
      <c r="G163" s="65" t="s">
        <v>17</v>
      </c>
      <c r="H163" s="65" t="n">
        <f aca="false">(M163*(C163/1000))*D163</f>
        <v>0</v>
      </c>
      <c r="I163" s="65" t="s">
        <v>59</v>
      </c>
      <c r="J163" s="67"/>
      <c r="K163" s="65" t="n">
        <v>1</v>
      </c>
      <c r="L163" s="65" t="n">
        <v>1</v>
      </c>
      <c r="M163" s="65" t="n">
        <f aca="false">K163-L163</f>
        <v>0</v>
      </c>
      <c r="N163" s="68" t="n">
        <f aca="false">H163*3.4</f>
        <v>0</v>
      </c>
    </row>
    <row r="164" customFormat="false" ht="20.25" hidden="true" customHeight="true" outlineLevel="0" collapsed="false">
      <c r="A164" s="65" t="n">
        <v>24</v>
      </c>
      <c r="B164" s="65" t="s">
        <v>58</v>
      </c>
      <c r="C164" s="65" t="n">
        <v>150</v>
      </c>
      <c r="D164" s="65" t="n">
        <v>1000</v>
      </c>
      <c r="E164" s="65" t="s">
        <v>51</v>
      </c>
      <c r="F164" s="66" t="n">
        <f aca="false">M164*D164</f>
        <v>2000</v>
      </c>
      <c r="G164" s="65" t="s">
        <v>17</v>
      </c>
      <c r="H164" s="65" t="n">
        <f aca="false">(M164*(C164/1000))*D164</f>
        <v>300</v>
      </c>
      <c r="I164" s="65" t="s">
        <v>72</v>
      </c>
      <c r="J164" s="67" t="n">
        <v>46086</v>
      </c>
      <c r="K164" s="65" t="n">
        <v>2</v>
      </c>
      <c r="L164" s="65"/>
      <c r="M164" s="65" t="n">
        <f aca="false">K164-L164</f>
        <v>2</v>
      </c>
      <c r="N164" s="68" t="n">
        <f aca="false">H164*3.4</f>
        <v>1020</v>
      </c>
    </row>
    <row r="165" customFormat="false" ht="20.25" hidden="false" customHeight="true" outlineLevel="0" collapsed="false">
      <c r="A165" s="65" t="n">
        <v>15</v>
      </c>
      <c r="B165" s="65" t="s">
        <v>58</v>
      </c>
      <c r="C165" s="65" t="n">
        <v>150</v>
      </c>
      <c r="D165" s="65" t="n">
        <v>1500</v>
      </c>
      <c r="E165" s="65" t="s">
        <v>51</v>
      </c>
      <c r="F165" s="66" t="n">
        <f aca="false">M165*D165</f>
        <v>1500</v>
      </c>
      <c r="G165" s="65" t="s">
        <v>17</v>
      </c>
      <c r="H165" s="65" t="n">
        <f aca="false">(M165*(C165/1000))*D165</f>
        <v>225</v>
      </c>
      <c r="I165" s="65" t="s">
        <v>59</v>
      </c>
      <c r="J165" s="67" t="n">
        <v>46091</v>
      </c>
      <c r="K165" s="65" t="n">
        <v>1</v>
      </c>
      <c r="L165" s="65"/>
      <c r="M165" s="65" t="n">
        <f aca="false">K165-L165</f>
        <v>1</v>
      </c>
      <c r="N165" s="68" t="n">
        <f aca="false">H165*3.4</f>
        <v>765</v>
      </c>
    </row>
    <row r="166" customFormat="false" ht="20.25" hidden="false" customHeight="true" outlineLevel="0" collapsed="false">
      <c r="A166" s="65" t="n">
        <v>13</v>
      </c>
      <c r="B166" s="65" t="s">
        <v>58</v>
      </c>
      <c r="C166" s="65" t="n">
        <v>155</v>
      </c>
      <c r="D166" s="65" t="n">
        <v>1000</v>
      </c>
      <c r="E166" s="65" t="s">
        <v>51</v>
      </c>
      <c r="F166" s="66" t="n">
        <f aca="false">M166*D166</f>
        <v>1000</v>
      </c>
      <c r="G166" s="65" t="s">
        <v>17</v>
      </c>
      <c r="H166" s="65" t="n">
        <f aca="false">(M166*(C166/1000))*D166</f>
        <v>155</v>
      </c>
      <c r="I166" s="65" t="s">
        <v>59</v>
      </c>
      <c r="J166" s="67" t="n">
        <v>45980</v>
      </c>
      <c r="K166" s="65" t="n">
        <v>3</v>
      </c>
      <c r="L166" s="65" t="n">
        <v>2</v>
      </c>
      <c r="M166" s="65" t="n">
        <f aca="false">K166-L166</f>
        <v>1</v>
      </c>
      <c r="N166" s="68" t="n">
        <f aca="false">H166*3.4</f>
        <v>527</v>
      </c>
    </row>
    <row r="167" customFormat="false" ht="20.25" hidden="false" customHeight="true" outlineLevel="0" collapsed="false">
      <c r="A167" s="61" t="n">
        <v>11</v>
      </c>
      <c r="B167" s="61" t="s">
        <v>58</v>
      </c>
      <c r="C167" s="61" t="n">
        <v>155</v>
      </c>
      <c r="D167" s="61" t="n">
        <v>1000</v>
      </c>
      <c r="E167" s="61" t="s">
        <v>51</v>
      </c>
      <c r="F167" s="62" t="n">
        <f aca="false">M167*D167</f>
        <v>0</v>
      </c>
      <c r="G167" s="61" t="s">
        <v>17</v>
      </c>
      <c r="H167" s="61" t="n">
        <f aca="false">(M167*(C167/1000))*D167</f>
        <v>0</v>
      </c>
      <c r="I167" s="61" t="s">
        <v>59</v>
      </c>
      <c r="J167" s="63" t="n">
        <v>45981</v>
      </c>
      <c r="K167" s="61" t="n">
        <v>1</v>
      </c>
      <c r="L167" s="61" t="n">
        <v>1</v>
      </c>
      <c r="M167" s="61" t="n">
        <f aca="false">K167-L167</f>
        <v>0</v>
      </c>
      <c r="N167" s="64" t="n">
        <f aca="false">H167*3.4</f>
        <v>0</v>
      </c>
    </row>
    <row r="168" customFormat="false" ht="20.25" hidden="false" customHeight="true" outlineLevel="0" collapsed="false">
      <c r="A168" s="61" t="n">
        <v>16</v>
      </c>
      <c r="B168" s="61" t="s">
        <v>58</v>
      </c>
      <c r="C168" s="61" t="n">
        <v>155</v>
      </c>
      <c r="D168" s="61" t="n">
        <v>1000</v>
      </c>
      <c r="E168" s="61" t="s">
        <v>51</v>
      </c>
      <c r="F168" s="62" t="n">
        <f aca="false">M168*D168</f>
        <v>1000</v>
      </c>
      <c r="G168" s="61" t="s">
        <v>17</v>
      </c>
      <c r="H168" s="61" t="n">
        <f aca="false">(M168*(C168/1000))*D168</f>
        <v>155</v>
      </c>
      <c r="I168" s="61" t="s">
        <v>59</v>
      </c>
      <c r="J168" s="63" t="n">
        <v>46010</v>
      </c>
      <c r="K168" s="61" t="n">
        <v>1</v>
      </c>
      <c r="L168" s="61"/>
      <c r="M168" s="61" t="n">
        <f aca="false">K168-L168</f>
        <v>1</v>
      </c>
      <c r="N168" s="64" t="n">
        <f aca="false">H168*3.4</f>
        <v>527</v>
      </c>
    </row>
    <row r="169" customFormat="false" ht="20.25" hidden="false" customHeight="true" outlineLevel="0" collapsed="false">
      <c r="A169" s="65" t="n">
        <v>20</v>
      </c>
      <c r="B169" s="65" t="s">
        <v>58</v>
      </c>
      <c r="C169" s="65" t="n">
        <v>155</v>
      </c>
      <c r="D169" s="65" t="n">
        <v>1000</v>
      </c>
      <c r="E169" s="65" t="s">
        <v>51</v>
      </c>
      <c r="F169" s="66" t="n">
        <f aca="false">M169*D169</f>
        <v>3000</v>
      </c>
      <c r="G169" s="65" t="s">
        <v>17</v>
      </c>
      <c r="H169" s="65" t="n">
        <f aca="false">(M169*(C169/1000))*D169</f>
        <v>465</v>
      </c>
      <c r="I169" s="65" t="s">
        <v>59</v>
      </c>
      <c r="J169" s="67" t="n">
        <v>46010</v>
      </c>
      <c r="K169" s="65" t="n">
        <v>3</v>
      </c>
      <c r="L169" s="65"/>
      <c r="M169" s="65" t="n">
        <f aca="false">K169-L169</f>
        <v>3</v>
      </c>
      <c r="N169" s="68" t="n">
        <f aca="false">H169*3.4</f>
        <v>1581</v>
      </c>
    </row>
    <row r="170" customFormat="false" ht="20.25" hidden="false" customHeight="true" outlineLevel="0" collapsed="false">
      <c r="A170" s="61" t="n">
        <v>21</v>
      </c>
      <c r="B170" s="61" t="s">
        <v>58</v>
      </c>
      <c r="C170" s="61" t="n">
        <v>155</v>
      </c>
      <c r="D170" s="61" t="n">
        <v>1000</v>
      </c>
      <c r="E170" s="61" t="s">
        <v>51</v>
      </c>
      <c r="F170" s="62" t="n">
        <f aca="false">M170*D170</f>
        <v>3000</v>
      </c>
      <c r="G170" s="61" t="s">
        <v>17</v>
      </c>
      <c r="H170" s="61" t="n">
        <f aca="false">(M170*(C170/1000))*D170</f>
        <v>465</v>
      </c>
      <c r="I170" s="61" t="s">
        <v>59</v>
      </c>
      <c r="J170" s="63" t="n">
        <v>46010</v>
      </c>
      <c r="K170" s="61" t="n">
        <v>3</v>
      </c>
      <c r="L170" s="61"/>
      <c r="M170" s="61" t="n">
        <f aca="false">K170-L170</f>
        <v>3</v>
      </c>
      <c r="N170" s="64" t="n">
        <f aca="false">H170*3.4</f>
        <v>1581</v>
      </c>
    </row>
    <row r="171" customFormat="false" ht="20.25" hidden="false" customHeight="true" outlineLevel="0" collapsed="false">
      <c r="A171" s="65" t="n">
        <v>23</v>
      </c>
      <c r="B171" s="65" t="s">
        <v>58</v>
      </c>
      <c r="C171" s="65" t="n">
        <v>155</v>
      </c>
      <c r="D171" s="65" t="n">
        <v>500</v>
      </c>
      <c r="E171" s="65" t="s">
        <v>51</v>
      </c>
      <c r="F171" s="66" t="n">
        <f aca="false">M171*D171</f>
        <v>500</v>
      </c>
      <c r="G171" s="65" t="s">
        <v>17</v>
      </c>
      <c r="H171" s="65" t="n">
        <f aca="false">(M171*(C171/1000))*D171</f>
        <v>77.5</v>
      </c>
      <c r="I171" s="65" t="s">
        <v>59</v>
      </c>
      <c r="J171" s="67"/>
      <c r="K171" s="65" t="n">
        <v>1</v>
      </c>
      <c r="L171" s="65"/>
      <c r="M171" s="65" t="n">
        <f aca="false">K171-L171</f>
        <v>1</v>
      </c>
      <c r="N171" s="68" t="n">
        <f aca="false">H171*3.4</f>
        <v>263.5</v>
      </c>
    </row>
    <row r="172" customFormat="false" ht="20.25" hidden="false" customHeight="true" outlineLevel="0" collapsed="false">
      <c r="A172" s="61" t="n">
        <v>14</v>
      </c>
      <c r="B172" s="61" t="s">
        <v>58</v>
      </c>
      <c r="C172" s="61" t="n">
        <v>158</v>
      </c>
      <c r="D172" s="65" t="n">
        <v>1000</v>
      </c>
      <c r="E172" s="61" t="s">
        <v>51</v>
      </c>
      <c r="F172" s="62" t="n">
        <f aca="false">M172*D172</f>
        <v>1000</v>
      </c>
      <c r="G172" s="61" t="s">
        <v>17</v>
      </c>
      <c r="H172" s="61" t="n">
        <f aca="false">(M172*(C172/1000))*D172</f>
        <v>158</v>
      </c>
      <c r="I172" s="61" t="s">
        <v>59</v>
      </c>
      <c r="J172" s="67" t="n">
        <v>46201</v>
      </c>
      <c r="K172" s="61" t="n">
        <v>1</v>
      </c>
      <c r="L172" s="61"/>
      <c r="M172" s="61" t="n">
        <f aca="false">K172-L172</f>
        <v>1</v>
      </c>
      <c r="N172" s="64" t="n">
        <f aca="false">H172*3.4</f>
        <v>537.2</v>
      </c>
    </row>
    <row r="173" customFormat="false" ht="20.25" hidden="false" customHeight="true" outlineLevel="0" collapsed="false">
      <c r="A173" s="65" t="n">
        <v>15</v>
      </c>
      <c r="B173" s="65" t="s">
        <v>58</v>
      </c>
      <c r="C173" s="65" t="n">
        <v>158</v>
      </c>
      <c r="D173" s="65" t="n">
        <v>1000</v>
      </c>
      <c r="E173" s="65" t="s">
        <v>51</v>
      </c>
      <c r="F173" s="66" t="n">
        <f aca="false">M173*D173</f>
        <v>4000</v>
      </c>
      <c r="G173" s="65" t="s">
        <v>17</v>
      </c>
      <c r="H173" s="65" t="n">
        <f aca="false">(M173*(C173/1000))*D173</f>
        <v>632</v>
      </c>
      <c r="I173" s="65" t="s">
        <v>59</v>
      </c>
      <c r="J173" s="67" t="n">
        <v>46201</v>
      </c>
      <c r="K173" s="65" t="n">
        <v>4</v>
      </c>
      <c r="L173" s="65"/>
      <c r="M173" s="65" t="n">
        <f aca="false">K173-L173</f>
        <v>4</v>
      </c>
      <c r="N173" s="68" t="n">
        <f aca="false">H173*3.4</f>
        <v>2148.8</v>
      </c>
    </row>
    <row r="174" customFormat="false" ht="20.25" hidden="false" customHeight="true" outlineLevel="0" collapsed="false">
      <c r="A174" s="61" t="n">
        <v>18</v>
      </c>
      <c r="B174" s="61" t="s">
        <v>58</v>
      </c>
      <c r="C174" s="61" t="n">
        <v>158</v>
      </c>
      <c r="D174" s="65" t="n">
        <v>1000</v>
      </c>
      <c r="E174" s="61" t="s">
        <v>51</v>
      </c>
      <c r="F174" s="62" t="n">
        <f aca="false">M174*D174</f>
        <v>3000</v>
      </c>
      <c r="G174" s="61" t="s">
        <v>17</v>
      </c>
      <c r="H174" s="61" t="n">
        <f aca="false">(M174*(C174/1000))*D174</f>
        <v>474</v>
      </c>
      <c r="I174" s="61" t="s">
        <v>59</v>
      </c>
      <c r="J174" s="67" t="n">
        <v>46201</v>
      </c>
      <c r="K174" s="61" t="n">
        <v>3</v>
      </c>
      <c r="L174" s="61"/>
      <c r="M174" s="61" t="n">
        <f aca="false">K174-L174</f>
        <v>3</v>
      </c>
      <c r="N174" s="64" t="n">
        <f aca="false">H174*3.4</f>
        <v>1611.6</v>
      </c>
    </row>
    <row r="175" customFormat="false" ht="20.25" hidden="false" customHeight="true" outlineLevel="0" collapsed="false">
      <c r="A175" s="61" t="n">
        <v>23</v>
      </c>
      <c r="B175" s="61" t="s">
        <v>58</v>
      </c>
      <c r="C175" s="61" t="n">
        <v>158</v>
      </c>
      <c r="D175" s="61" t="n">
        <v>500</v>
      </c>
      <c r="E175" s="61" t="s">
        <v>51</v>
      </c>
      <c r="F175" s="62" t="n">
        <f aca="false">M175*D175</f>
        <v>500</v>
      </c>
      <c r="G175" s="61" t="s">
        <v>17</v>
      </c>
      <c r="H175" s="61" t="n">
        <f aca="false">(M175*(C175/1000))*D175</f>
        <v>79</v>
      </c>
      <c r="I175" s="61" t="s">
        <v>59</v>
      </c>
      <c r="J175" s="63" t="n">
        <v>45641</v>
      </c>
      <c r="K175" s="61" t="n">
        <v>1</v>
      </c>
      <c r="L175" s="61"/>
      <c r="M175" s="61" t="n">
        <f aca="false">K175-L175</f>
        <v>1</v>
      </c>
      <c r="N175" s="64" t="n">
        <f aca="false">H175*3.4</f>
        <v>268.6</v>
      </c>
    </row>
    <row r="176" customFormat="false" ht="20.25" hidden="false" customHeight="true" outlineLevel="0" collapsed="false">
      <c r="A176" s="61" t="n">
        <v>22</v>
      </c>
      <c r="B176" s="61" t="s">
        <v>58</v>
      </c>
      <c r="C176" s="61" t="n">
        <v>158</v>
      </c>
      <c r="D176" s="61" t="n">
        <v>1000</v>
      </c>
      <c r="E176" s="61" t="s">
        <v>51</v>
      </c>
      <c r="F176" s="62" t="n">
        <f aca="false">M176*D176</f>
        <v>1000</v>
      </c>
      <c r="G176" s="61" t="s">
        <v>17</v>
      </c>
      <c r="H176" s="61" t="n">
        <f aca="false">(M176*(C176/1000))*D176</f>
        <v>158</v>
      </c>
      <c r="I176" s="61" t="s">
        <v>59</v>
      </c>
      <c r="J176" s="63" t="n">
        <v>46191</v>
      </c>
      <c r="K176" s="61" t="n">
        <v>1</v>
      </c>
      <c r="L176" s="61"/>
      <c r="M176" s="61" t="n">
        <f aca="false">K176-L176</f>
        <v>1</v>
      </c>
      <c r="N176" s="64" t="n">
        <f aca="false">H176*3.4</f>
        <v>537.2</v>
      </c>
    </row>
    <row r="177" customFormat="false" ht="20.25" hidden="false" customHeight="true" outlineLevel="0" collapsed="false">
      <c r="A177" s="61" t="s">
        <v>20</v>
      </c>
      <c r="B177" s="61" t="s">
        <v>58</v>
      </c>
      <c r="C177" s="61" t="n">
        <v>158</v>
      </c>
      <c r="D177" s="61" t="n">
        <v>1000</v>
      </c>
      <c r="E177" s="61" t="s">
        <v>51</v>
      </c>
      <c r="F177" s="62" t="n">
        <f aca="false">M177*D177</f>
        <v>3000</v>
      </c>
      <c r="G177" s="61" t="s">
        <v>17</v>
      </c>
      <c r="H177" s="61" t="n">
        <f aca="false">(M177*(C177/1000))*D177</f>
        <v>474</v>
      </c>
      <c r="I177" s="61" t="s">
        <v>59</v>
      </c>
      <c r="J177" s="63" t="n">
        <v>46191</v>
      </c>
      <c r="K177" s="61" t="n">
        <v>3</v>
      </c>
      <c r="L177" s="61"/>
      <c r="M177" s="61" t="n">
        <f aca="false">K177-L177</f>
        <v>3</v>
      </c>
      <c r="N177" s="64" t="n">
        <f aca="false">H177*3.4</f>
        <v>1611.6</v>
      </c>
    </row>
    <row r="178" customFormat="false" ht="20.25" hidden="false" customHeight="true" outlineLevel="0" collapsed="false">
      <c r="A178" s="61" t="n">
        <v>33</v>
      </c>
      <c r="B178" s="61" t="s">
        <v>58</v>
      </c>
      <c r="C178" s="61" t="n">
        <v>158</v>
      </c>
      <c r="D178" s="61" t="n">
        <v>1000</v>
      </c>
      <c r="E178" s="61" t="s">
        <v>51</v>
      </c>
      <c r="F178" s="62" t="n">
        <f aca="false">M178*D178</f>
        <v>3000</v>
      </c>
      <c r="G178" s="61" t="s">
        <v>17</v>
      </c>
      <c r="H178" s="61" t="n">
        <f aca="false">(M178*(C178/1000))*D178</f>
        <v>474</v>
      </c>
      <c r="I178" s="61" t="s">
        <v>59</v>
      </c>
      <c r="J178" s="67" t="n">
        <v>46201</v>
      </c>
      <c r="K178" s="61" t="n">
        <v>3</v>
      </c>
      <c r="L178" s="61"/>
      <c r="M178" s="61" t="n">
        <f aca="false">K178-L178</f>
        <v>3</v>
      </c>
      <c r="N178" s="64" t="n">
        <f aca="false">H178*3.4</f>
        <v>1611.6</v>
      </c>
    </row>
    <row r="179" customFormat="false" ht="20.25" hidden="false" customHeight="true" outlineLevel="0" collapsed="false">
      <c r="A179" s="61" t="n">
        <v>32</v>
      </c>
      <c r="B179" s="61" t="s">
        <v>58</v>
      </c>
      <c r="C179" s="61" t="n">
        <v>160</v>
      </c>
      <c r="D179" s="61" t="n">
        <v>1000</v>
      </c>
      <c r="E179" s="61" t="s">
        <v>51</v>
      </c>
      <c r="F179" s="62" t="n">
        <f aca="false">M179*D179</f>
        <v>1000</v>
      </c>
      <c r="G179" s="61" t="s">
        <v>17</v>
      </c>
      <c r="H179" s="61" t="n">
        <f aca="false">(M179*(C179/1000))*D179</f>
        <v>160</v>
      </c>
      <c r="I179" s="61" t="s">
        <v>59</v>
      </c>
      <c r="J179" s="67" t="n">
        <v>46201</v>
      </c>
      <c r="K179" s="61" t="n">
        <v>1</v>
      </c>
      <c r="L179" s="61"/>
      <c r="M179" s="61" t="n">
        <f aca="false">K179-L179</f>
        <v>1</v>
      </c>
      <c r="N179" s="64" t="n">
        <f aca="false">H179*3.4</f>
        <v>544</v>
      </c>
    </row>
    <row r="180" customFormat="false" ht="20.25" hidden="false" customHeight="true" outlineLevel="0" collapsed="false">
      <c r="A180" s="61" t="n">
        <v>33</v>
      </c>
      <c r="B180" s="61" t="s">
        <v>58</v>
      </c>
      <c r="C180" s="61" t="n">
        <v>160</v>
      </c>
      <c r="D180" s="61" t="n">
        <v>1000</v>
      </c>
      <c r="E180" s="61" t="s">
        <v>51</v>
      </c>
      <c r="F180" s="62" t="n">
        <f aca="false">M180*D180</f>
        <v>3000</v>
      </c>
      <c r="G180" s="61" t="s">
        <v>17</v>
      </c>
      <c r="H180" s="61" t="n">
        <f aca="false">(M180*(C180/1000))*D180</f>
        <v>480</v>
      </c>
      <c r="I180" s="61" t="s">
        <v>59</v>
      </c>
      <c r="J180" s="67" t="n">
        <v>46201</v>
      </c>
      <c r="K180" s="61" t="n">
        <v>3</v>
      </c>
      <c r="L180" s="61"/>
      <c r="M180" s="61" t="n">
        <f aca="false">K180-L180</f>
        <v>3</v>
      </c>
      <c r="N180" s="64" t="n">
        <f aca="false">H180*3.4</f>
        <v>1632</v>
      </c>
    </row>
    <row r="181" customFormat="false" ht="20.25" hidden="false" customHeight="true" outlineLevel="0" collapsed="false">
      <c r="A181" s="65" t="n">
        <v>12</v>
      </c>
      <c r="B181" s="65" t="s">
        <v>58</v>
      </c>
      <c r="C181" s="65" t="n">
        <v>165</v>
      </c>
      <c r="D181" s="65" t="n">
        <v>1500</v>
      </c>
      <c r="E181" s="65" t="s">
        <v>51</v>
      </c>
      <c r="F181" s="66" t="n">
        <f aca="false">M181*D181</f>
        <v>1500</v>
      </c>
      <c r="G181" s="65" t="s">
        <v>17</v>
      </c>
      <c r="H181" s="65" t="n">
        <f aca="false">(M181*(C181/1000))*D181</f>
        <v>247.5</v>
      </c>
      <c r="I181" s="65" t="s">
        <v>59</v>
      </c>
      <c r="J181" s="67" t="n">
        <v>46057</v>
      </c>
      <c r="K181" s="65" t="n">
        <v>1</v>
      </c>
      <c r="L181" s="65"/>
      <c r="M181" s="65" t="n">
        <f aca="false">K181-L181</f>
        <v>1</v>
      </c>
      <c r="N181" s="68" t="n">
        <f aca="false">H181*3.4</f>
        <v>841.5</v>
      </c>
      <c r="O181" s="9"/>
    </row>
    <row r="182" customFormat="false" ht="20.25" hidden="false" customHeight="true" outlineLevel="0" collapsed="false">
      <c r="A182" s="61" t="n">
        <v>32</v>
      </c>
      <c r="B182" s="61" t="s">
        <v>58</v>
      </c>
      <c r="C182" s="61" t="n">
        <v>165</v>
      </c>
      <c r="D182" s="61" t="n">
        <v>1000</v>
      </c>
      <c r="E182" s="61" t="s">
        <v>51</v>
      </c>
      <c r="F182" s="62" t="n">
        <f aca="false">M182*D182</f>
        <v>2000</v>
      </c>
      <c r="G182" s="61" t="s">
        <v>17</v>
      </c>
      <c r="H182" s="61" t="n">
        <f aca="false">(M182*(C182/1000))*D182</f>
        <v>330</v>
      </c>
      <c r="I182" s="61" t="s">
        <v>59</v>
      </c>
      <c r="J182" s="67" t="n">
        <v>46201</v>
      </c>
      <c r="K182" s="61" t="n">
        <v>2</v>
      </c>
      <c r="L182" s="61"/>
      <c r="M182" s="61" t="n">
        <f aca="false">K182-L182</f>
        <v>2</v>
      </c>
      <c r="N182" s="64" t="n">
        <f aca="false">H182*3.4</f>
        <v>1122</v>
      </c>
    </row>
    <row r="183" customFormat="false" ht="20.25" hidden="true" customHeight="true" outlineLevel="0" collapsed="false">
      <c r="A183" s="61" t="n">
        <v>1</v>
      </c>
      <c r="B183" s="61" t="s">
        <v>62</v>
      </c>
      <c r="C183" s="61" t="n">
        <v>180</v>
      </c>
      <c r="D183" s="61" t="n">
        <v>1500</v>
      </c>
      <c r="E183" s="61" t="s">
        <v>63</v>
      </c>
      <c r="F183" s="62" t="n">
        <f aca="false">M183*D183</f>
        <v>0</v>
      </c>
      <c r="G183" s="61" t="s">
        <v>17</v>
      </c>
      <c r="H183" s="61" t="n">
        <f aca="false">(M183*(C183/1000))*D183</f>
        <v>0</v>
      </c>
      <c r="I183" s="61" t="s">
        <v>64</v>
      </c>
      <c r="J183" s="63"/>
      <c r="K183" s="61" t="n">
        <v>1</v>
      </c>
      <c r="L183" s="61" t="n">
        <v>1</v>
      </c>
      <c r="M183" s="61" t="n">
        <f aca="false">K183-L183</f>
        <v>0</v>
      </c>
      <c r="N183" s="64" t="n">
        <f aca="false">H183*3.4</f>
        <v>0</v>
      </c>
    </row>
    <row r="184" customFormat="false" ht="20.25" hidden="false" customHeight="true" outlineLevel="0" collapsed="false">
      <c r="A184" s="61" t="n">
        <v>10</v>
      </c>
      <c r="B184" s="61" t="s">
        <v>58</v>
      </c>
      <c r="C184" s="61" t="n">
        <v>180</v>
      </c>
      <c r="D184" s="61" t="n">
        <v>1000</v>
      </c>
      <c r="E184" s="61" t="s">
        <v>51</v>
      </c>
      <c r="F184" s="62" t="n">
        <f aca="false">M184*D184</f>
        <v>2000</v>
      </c>
      <c r="G184" s="61" t="s">
        <v>17</v>
      </c>
      <c r="H184" s="61" t="n">
        <f aca="false">(M184*(C184/1000))*D184</f>
        <v>360</v>
      </c>
      <c r="I184" s="61" t="s">
        <v>59</v>
      </c>
      <c r="J184" s="63" t="n">
        <v>45839</v>
      </c>
      <c r="K184" s="61" t="n">
        <v>2</v>
      </c>
      <c r="L184" s="61"/>
      <c r="M184" s="61" t="n">
        <f aca="false">K184-L184</f>
        <v>2</v>
      </c>
      <c r="N184" s="64" t="n">
        <f aca="false">H184*3.4</f>
        <v>1224</v>
      </c>
    </row>
    <row r="185" customFormat="false" ht="20.25" hidden="true" customHeight="true" outlineLevel="0" collapsed="false">
      <c r="A185" s="61" t="n">
        <v>33</v>
      </c>
      <c r="B185" s="61" t="s">
        <v>54</v>
      </c>
      <c r="C185" s="61" t="n">
        <v>180</v>
      </c>
      <c r="D185" s="61" t="n">
        <v>500</v>
      </c>
      <c r="E185" s="61" t="s">
        <v>55</v>
      </c>
      <c r="F185" s="62" t="n">
        <f aca="false">M185*D185</f>
        <v>500</v>
      </c>
      <c r="G185" s="61" t="s">
        <v>56</v>
      </c>
      <c r="H185" s="61" t="n">
        <f aca="false">(M185*(C185/1000))*D185</f>
        <v>90</v>
      </c>
      <c r="I185" s="61" t="s">
        <v>57</v>
      </c>
      <c r="J185" s="63" t="n">
        <v>45987</v>
      </c>
      <c r="K185" s="61" t="n">
        <v>1</v>
      </c>
      <c r="L185" s="61"/>
      <c r="M185" s="61" t="n">
        <f aca="false">K185-L185</f>
        <v>1</v>
      </c>
      <c r="N185" s="64" t="n">
        <f aca="false">H185*4.2</f>
        <v>378</v>
      </c>
    </row>
    <row r="186" customFormat="false" ht="20.25" hidden="true" customHeight="true" outlineLevel="0" collapsed="false">
      <c r="A186" s="65" t="n">
        <v>33</v>
      </c>
      <c r="B186" s="65" t="s">
        <v>54</v>
      </c>
      <c r="C186" s="65" t="n">
        <v>180</v>
      </c>
      <c r="D186" s="65" t="n">
        <v>1000</v>
      </c>
      <c r="E186" s="65" t="s">
        <v>55</v>
      </c>
      <c r="F186" s="66" t="n">
        <f aca="false">M186*D186</f>
        <v>1000</v>
      </c>
      <c r="G186" s="65" t="s">
        <v>56</v>
      </c>
      <c r="H186" s="65" t="n">
        <f aca="false">(M186*(C186/1000))*D186</f>
        <v>180</v>
      </c>
      <c r="I186" s="65" t="s">
        <v>57</v>
      </c>
      <c r="J186" s="67" t="n">
        <v>45987</v>
      </c>
      <c r="K186" s="65" t="n">
        <v>1</v>
      </c>
      <c r="L186" s="65"/>
      <c r="M186" s="65" t="n">
        <f aca="false">K186-L186</f>
        <v>1</v>
      </c>
      <c r="N186" s="68" t="n">
        <f aca="false">H186*4.2</f>
        <v>756</v>
      </c>
    </row>
    <row r="187" customFormat="false" ht="20.25" hidden="true" customHeight="true" outlineLevel="0" collapsed="false">
      <c r="A187" s="61" t="n">
        <v>33</v>
      </c>
      <c r="B187" s="61" t="s">
        <v>54</v>
      </c>
      <c r="C187" s="61" t="n">
        <v>180</v>
      </c>
      <c r="D187" s="61" t="n">
        <v>1000</v>
      </c>
      <c r="E187" s="61" t="s">
        <v>55</v>
      </c>
      <c r="F187" s="62" t="n">
        <f aca="false">M187*D187</f>
        <v>1000</v>
      </c>
      <c r="G187" s="61" t="s">
        <v>56</v>
      </c>
      <c r="H187" s="61" t="n">
        <f aca="false">(M187*(C187/1000))*D187</f>
        <v>180</v>
      </c>
      <c r="I187" s="61" t="s">
        <v>57</v>
      </c>
      <c r="J187" s="63" t="n">
        <v>45987</v>
      </c>
      <c r="K187" s="61" t="n">
        <v>1</v>
      </c>
      <c r="L187" s="61"/>
      <c r="M187" s="61" t="n">
        <f aca="false">K187-L187</f>
        <v>1</v>
      </c>
      <c r="N187" s="64" t="n">
        <f aca="false">H187*4.2</f>
        <v>756</v>
      </c>
    </row>
    <row r="188" customFormat="false" ht="20.25" hidden="false" customHeight="true" outlineLevel="0" collapsed="false">
      <c r="A188" s="65" t="s">
        <v>65</v>
      </c>
      <c r="B188" s="65" t="s">
        <v>58</v>
      </c>
      <c r="C188" s="65" t="n">
        <v>180</v>
      </c>
      <c r="D188" s="65" t="n">
        <v>1500</v>
      </c>
      <c r="E188" s="65" t="s">
        <v>51</v>
      </c>
      <c r="F188" s="66" t="n">
        <f aca="false">M188*D188</f>
        <v>4500</v>
      </c>
      <c r="G188" s="65" t="s">
        <v>17</v>
      </c>
      <c r="H188" s="65" t="n">
        <f aca="false">(M188*(C188/1000))*D188</f>
        <v>810</v>
      </c>
      <c r="I188" s="65" t="s">
        <v>59</v>
      </c>
      <c r="J188" s="67"/>
      <c r="K188" s="65" t="n">
        <v>3</v>
      </c>
      <c r="L188" s="65"/>
      <c r="M188" s="65" t="n">
        <f aca="false">K188-L188</f>
        <v>3</v>
      </c>
      <c r="N188" s="68" t="n">
        <f aca="false">H188*3.4</f>
        <v>2754</v>
      </c>
    </row>
    <row r="189" customFormat="false" ht="20.25" hidden="false" customHeight="true" outlineLevel="0" collapsed="false">
      <c r="A189" s="61" t="s">
        <v>73</v>
      </c>
      <c r="B189" s="61" t="s">
        <v>58</v>
      </c>
      <c r="C189" s="61" t="n">
        <v>180</v>
      </c>
      <c r="D189" s="61" t="n">
        <v>1500</v>
      </c>
      <c r="E189" s="61" t="s">
        <v>51</v>
      </c>
      <c r="F189" s="62" t="n">
        <f aca="false">M189*D189</f>
        <v>6000</v>
      </c>
      <c r="G189" s="61" t="s">
        <v>17</v>
      </c>
      <c r="H189" s="61" t="n">
        <f aca="false">(M189*(C189/1000))*D189</f>
        <v>1080</v>
      </c>
      <c r="I189" s="61" t="s">
        <v>59</v>
      </c>
      <c r="J189" s="63" t="n">
        <v>45810</v>
      </c>
      <c r="K189" s="61" t="n">
        <v>4</v>
      </c>
      <c r="L189" s="61"/>
      <c r="M189" s="61" t="n">
        <f aca="false">K189-L189</f>
        <v>4</v>
      </c>
      <c r="N189" s="64" t="n">
        <f aca="false">H189*3.4</f>
        <v>3672</v>
      </c>
    </row>
    <row r="190" customFormat="false" ht="20.25" hidden="false" customHeight="true" outlineLevel="0" collapsed="false">
      <c r="A190" s="65" t="s">
        <v>73</v>
      </c>
      <c r="B190" s="65" t="s">
        <v>58</v>
      </c>
      <c r="C190" s="65" t="n">
        <v>185</v>
      </c>
      <c r="D190" s="65" t="n">
        <v>1500</v>
      </c>
      <c r="E190" s="65" t="s">
        <v>51</v>
      </c>
      <c r="F190" s="66" t="n">
        <f aca="false">M190*D190</f>
        <v>12000</v>
      </c>
      <c r="G190" s="65" t="s">
        <v>17</v>
      </c>
      <c r="H190" s="65" t="n">
        <f aca="false">(M190*(C190/1000))*D190</f>
        <v>2220</v>
      </c>
      <c r="I190" s="65" t="s">
        <v>59</v>
      </c>
      <c r="J190" s="67" t="n">
        <v>46175</v>
      </c>
      <c r="K190" s="65" t="n">
        <v>9</v>
      </c>
      <c r="L190" s="65" t="n">
        <v>1</v>
      </c>
      <c r="M190" s="65" t="n">
        <f aca="false">K190-L190</f>
        <v>8</v>
      </c>
      <c r="N190" s="68" t="n">
        <f aca="false">H190*3.4</f>
        <v>7548</v>
      </c>
    </row>
    <row r="191" customFormat="false" ht="20.25" hidden="false" customHeight="true" outlineLevel="0" collapsed="false">
      <c r="A191" s="65" t="n">
        <v>20</v>
      </c>
      <c r="B191" s="65" t="s">
        <v>58</v>
      </c>
      <c r="C191" s="65" t="n">
        <v>185</v>
      </c>
      <c r="D191" s="65" t="n">
        <v>1500</v>
      </c>
      <c r="E191" s="65" t="s">
        <v>51</v>
      </c>
      <c r="F191" s="66" t="n">
        <f aca="false">M191*D191</f>
        <v>1500</v>
      </c>
      <c r="G191" s="65" t="s">
        <v>17</v>
      </c>
      <c r="H191" s="65" t="n">
        <f aca="false">(M191*(C191/1000))*D191</f>
        <v>277.5</v>
      </c>
      <c r="I191" s="65" t="s">
        <v>59</v>
      </c>
      <c r="J191" s="67" t="n">
        <v>46175</v>
      </c>
      <c r="K191" s="65" t="n">
        <v>1</v>
      </c>
      <c r="L191" s="65"/>
      <c r="M191" s="65" t="n">
        <f aca="false">K191-L191</f>
        <v>1</v>
      </c>
      <c r="N191" s="68" t="n">
        <f aca="false">H191*3.4</f>
        <v>943.5</v>
      </c>
    </row>
    <row r="192" customFormat="false" ht="20.25" hidden="false" customHeight="true" outlineLevel="0" collapsed="false">
      <c r="A192" s="61" t="s">
        <v>73</v>
      </c>
      <c r="B192" s="61" t="s">
        <v>58</v>
      </c>
      <c r="C192" s="61" t="n">
        <v>185</v>
      </c>
      <c r="D192" s="61" t="n">
        <v>1500</v>
      </c>
      <c r="E192" s="61" t="s">
        <v>51</v>
      </c>
      <c r="F192" s="62" t="n">
        <f aca="false">M192*D192</f>
        <v>3000</v>
      </c>
      <c r="G192" s="61" t="s">
        <v>17</v>
      </c>
      <c r="H192" s="61" t="n">
        <f aca="false">(M192*(C192/1000))*D192</f>
        <v>555</v>
      </c>
      <c r="I192" s="61" t="s">
        <v>59</v>
      </c>
      <c r="J192" s="63" t="n">
        <v>45810</v>
      </c>
      <c r="K192" s="61" t="n">
        <v>2</v>
      </c>
      <c r="L192" s="61"/>
      <c r="M192" s="61" t="n">
        <f aca="false">K192-L192</f>
        <v>2</v>
      </c>
      <c r="N192" s="64" t="n">
        <f aca="false">H192*3.4</f>
        <v>1887</v>
      </c>
    </row>
    <row r="193" customFormat="false" ht="20.25" hidden="false" customHeight="true" outlineLevel="0" collapsed="false">
      <c r="A193" s="65" t="n">
        <v>21</v>
      </c>
      <c r="B193" s="65" t="s">
        <v>58</v>
      </c>
      <c r="C193" s="65" t="n">
        <v>190</v>
      </c>
      <c r="D193" s="65" t="n">
        <v>1000</v>
      </c>
      <c r="E193" s="65" t="s">
        <v>51</v>
      </c>
      <c r="F193" s="66" t="n">
        <f aca="false">M193*D193</f>
        <v>1000</v>
      </c>
      <c r="G193" s="65" t="s">
        <v>17</v>
      </c>
      <c r="H193" s="65" t="n">
        <f aca="false">(M193*(C193/1000))*D193</f>
        <v>190</v>
      </c>
      <c r="I193" s="65" t="s">
        <v>59</v>
      </c>
      <c r="J193" s="67" t="n">
        <v>46010</v>
      </c>
      <c r="K193" s="65" t="n">
        <v>1</v>
      </c>
      <c r="L193" s="65"/>
      <c r="M193" s="65" t="n">
        <f aca="false">K193-L193</f>
        <v>1</v>
      </c>
      <c r="N193" s="68" t="n">
        <f aca="false">H193*3.4</f>
        <v>646</v>
      </c>
    </row>
    <row r="194" customFormat="false" ht="20.25" hidden="false" customHeight="true" outlineLevel="0" collapsed="false">
      <c r="A194" s="61" t="s">
        <v>65</v>
      </c>
      <c r="B194" s="61" t="s">
        <v>58</v>
      </c>
      <c r="C194" s="61" t="n">
        <v>190</v>
      </c>
      <c r="D194" s="61" t="n">
        <v>1500</v>
      </c>
      <c r="E194" s="61" t="s">
        <v>51</v>
      </c>
      <c r="F194" s="62" t="n">
        <f aca="false">M194*D194</f>
        <v>3000</v>
      </c>
      <c r="G194" s="61" t="s">
        <v>17</v>
      </c>
      <c r="H194" s="61" t="n">
        <f aca="false">(M194*(C194/1000))*D194</f>
        <v>570</v>
      </c>
      <c r="I194" s="61" t="s">
        <v>59</v>
      </c>
      <c r="J194" s="63"/>
      <c r="K194" s="61" t="n">
        <v>3</v>
      </c>
      <c r="L194" s="61" t="n">
        <v>1</v>
      </c>
      <c r="M194" s="61" t="n">
        <f aca="false">K194-L194</f>
        <v>2</v>
      </c>
      <c r="N194" s="64" t="n">
        <f aca="false">H194*3.4</f>
        <v>1938</v>
      </c>
    </row>
    <row r="195" customFormat="false" ht="20.25" hidden="false" customHeight="true" outlineLevel="0" collapsed="false">
      <c r="A195" s="61" t="s">
        <v>73</v>
      </c>
      <c r="B195" s="61" t="s">
        <v>58</v>
      </c>
      <c r="C195" s="61" t="n">
        <v>190</v>
      </c>
      <c r="D195" s="61" t="n">
        <v>1500</v>
      </c>
      <c r="E195" s="61" t="s">
        <v>51</v>
      </c>
      <c r="F195" s="62" t="n">
        <f aca="false">M195*D195</f>
        <v>0</v>
      </c>
      <c r="G195" s="61" t="s">
        <v>17</v>
      </c>
      <c r="H195" s="61" t="n">
        <f aca="false">(M195*(C195/1000))*D195</f>
        <v>0</v>
      </c>
      <c r="I195" s="61" t="s">
        <v>59</v>
      </c>
      <c r="J195" s="63" t="n">
        <v>45810</v>
      </c>
      <c r="K195" s="61" t="n">
        <v>3</v>
      </c>
      <c r="L195" s="61" t="n">
        <v>3</v>
      </c>
      <c r="M195" s="61" t="n">
        <f aca="false">K195-L195</f>
        <v>0</v>
      </c>
      <c r="N195" s="64" t="n">
        <f aca="false">H195*3.4</f>
        <v>0</v>
      </c>
    </row>
    <row r="196" customFormat="false" ht="20.25" hidden="false" customHeight="true" outlineLevel="0" collapsed="false">
      <c r="A196" s="61" t="s">
        <v>65</v>
      </c>
      <c r="B196" s="61" t="s">
        <v>58</v>
      </c>
      <c r="C196" s="61" t="n">
        <v>190</v>
      </c>
      <c r="D196" s="61" t="n">
        <v>1000</v>
      </c>
      <c r="E196" s="61" t="s">
        <v>51</v>
      </c>
      <c r="F196" s="62" t="n">
        <f aca="false">M196*D196</f>
        <v>3000</v>
      </c>
      <c r="G196" s="61" t="s">
        <v>17</v>
      </c>
      <c r="H196" s="61" t="n">
        <f aca="false">(M196*(C196/1000))*D196</f>
        <v>570</v>
      </c>
      <c r="I196" s="61" t="s">
        <v>59</v>
      </c>
      <c r="J196" s="63" t="n">
        <v>46196</v>
      </c>
      <c r="K196" s="61" t="n">
        <v>3</v>
      </c>
      <c r="L196" s="61"/>
      <c r="M196" s="61" t="n">
        <f aca="false">K196-L196</f>
        <v>3</v>
      </c>
      <c r="N196" s="64" t="n">
        <f aca="false">H196*3.4</f>
        <v>1938</v>
      </c>
    </row>
    <row r="197" customFormat="false" ht="20.25" hidden="false" customHeight="true" outlineLevel="0" collapsed="false">
      <c r="A197" s="61" t="n">
        <v>23</v>
      </c>
      <c r="B197" s="61" t="s">
        <v>58</v>
      </c>
      <c r="C197" s="61" t="n">
        <v>195</v>
      </c>
      <c r="D197" s="61" t="n">
        <v>1500</v>
      </c>
      <c r="E197" s="61" t="s">
        <v>51</v>
      </c>
      <c r="F197" s="62" t="n">
        <f aca="false">M197*D197</f>
        <v>3000</v>
      </c>
      <c r="G197" s="61" t="s">
        <v>17</v>
      </c>
      <c r="H197" s="61" t="n">
        <f aca="false">(M197*(C197/1000))*D197</f>
        <v>585</v>
      </c>
      <c r="I197" s="61" t="s">
        <v>59</v>
      </c>
      <c r="J197" s="63"/>
      <c r="K197" s="61" t="n">
        <v>2</v>
      </c>
      <c r="L197" s="61"/>
      <c r="M197" s="61" t="n">
        <f aca="false">K197-L197</f>
        <v>2</v>
      </c>
      <c r="N197" s="64" t="n">
        <f aca="false">H197*3.4</f>
        <v>1989</v>
      </c>
    </row>
    <row r="198" customFormat="false" ht="20.25" hidden="false" customHeight="true" outlineLevel="0" collapsed="false">
      <c r="A198" s="61" t="s">
        <v>65</v>
      </c>
      <c r="B198" s="61" t="s">
        <v>58</v>
      </c>
      <c r="C198" s="61" t="n">
        <v>195</v>
      </c>
      <c r="D198" s="61" t="n">
        <v>1000</v>
      </c>
      <c r="E198" s="61" t="s">
        <v>51</v>
      </c>
      <c r="F198" s="62" t="n">
        <f aca="false">M198*D198</f>
        <v>1000</v>
      </c>
      <c r="G198" s="61" t="s">
        <v>17</v>
      </c>
      <c r="H198" s="61" t="n">
        <f aca="false">(M198*(C198/1000))*D198</f>
        <v>195</v>
      </c>
      <c r="I198" s="61" t="s">
        <v>59</v>
      </c>
      <c r="J198" s="63"/>
      <c r="K198" s="61" t="n">
        <v>2</v>
      </c>
      <c r="L198" s="61" t="n">
        <v>1</v>
      </c>
      <c r="M198" s="61" t="n">
        <f aca="false">K198-L198</f>
        <v>1</v>
      </c>
      <c r="N198" s="64" t="n">
        <f aca="false">H198*3.4</f>
        <v>663</v>
      </c>
    </row>
    <row r="199" customFormat="false" ht="20.25" hidden="true" customHeight="true" outlineLevel="0" collapsed="false">
      <c r="A199" s="61" t="n">
        <v>20</v>
      </c>
      <c r="B199" s="61" t="s">
        <v>62</v>
      </c>
      <c r="C199" s="61" t="n">
        <v>195</v>
      </c>
      <c r="D199" s="61" t="n">
        <v>1500</v>
      </c>
      <c r="E199" s="61" t="s">
        <v>63</v>
      </c>
      <c r="F199" s="62" t="n">
        <f aca="false">M199*D199</f>
        <v>1500</v>
      </c>
      <c r="G199" s="61" t="s">
        <v>17</v>
      </c>
      <c r="H199" s="61" t="n">
        <f aca="false">(M199*(C199/1000))*D199</f>
        <v>292.5</v>
      </c>
      <c r="I199" s="61" t="s">
        <v>64</v>
      </c>
      <c r="J199" s="63" t="n">
        <v>46121</v>
      </c>
      <c r="K199" s="61" t="n">
        <v>1</v>
      </c>
      <c r="L199" s="61"/>
      <c r="M199" s="61" t="n">
        <f aca="false">K199-L199</f>
        <v>1</v>
      </c>
      <c r="N199" s="64" t="n">
        <f aca="false">H199*3.4</f>
        <v>994.5</v>
      </c>
    </row>
    <row r="200" customFormat="false" ht="20.25" hidden="false" customHeight="true" outlineLevel="0" collapsed="false">
      <c r="A200" s="61" t="s">
        <v>65</v>
      </c>
      <c r="B200" s="61" t="s">
        <v>58</v>
      </c>
      <c r="C200" s="61" t="n">
        <v>196</v>
      </c>
      <c r="D200" s="61" t="n">
        <v>1000</v>
      </c>
      <c r="E200" s="61" t="s">
        <v>51</v>
      </c>
      <c r="F200" s="62" t="n">
        <f aca="false">M200*D200</f>
        <v>1000</v>
      </c>
      <c r="G200" s="61" t="s">
        <v>17</v>
      </c>
      <c r="H200" s="61" t="n">
        <f aca="false">(M200*(C200/1000))*D200</f>
        <v>196</v>
      </c>
      <c r="I200" s="61" t="s">
        <v>59</v>
      </c>
      <c r="J200" s="63"/>
      <c r="K200" s="61" t="n">
        <v>1</v>
      </c>
      <c r="L200" s="61"/>
      <c r="M200" s="61" t="n">
        <f aca="false">K200-L200</f>
        <v>1</v>
      </c>
      <c r="N200" s="64" t="n">
        <f aca="false">H200*3.4</f>
        <v>666.4</v>
      </c>
    </row>
    <row r="201" customFormat="false" ht="20.25" hidden="false" customHeight="true" outlineLevel="0" collapsed="false">
      <c r="A201" s="65" t="n">
        <v>17</v>
      </c>
      <c r="B201" s="65" t="s">
        <v>58</v>
      </c>
      <c r="C201" s="65" t="n">
        <v>200</v>
      </c>
      <c r="D201" s="65" t="n">
        <v>1000</v>
      </c>
      <c r="E201" s="65" t="s">
        <v>51</v>
      </c>
      <c r="F201" s="66" t="n">
        <f aca="false">M201*D201</f>
        <v>1000</v>
      </c>
      <c r="G201" s="65" t="s">
        <v>17</v>
      </c>
      <c r="H201" s="65" t="n">
        <f aca="false">(M201*(C201/1000))*D201</f>
        <v>200</v>
      </c>
      <c r="I201" s="65" t="s">
        <v>59</v>
      </c>
      <c r="J201" s="67" t="n">
        <v>45909</v>
      </c>
      <c r="K201" s="65" t="n">
        <v>1</v>
      </c>
      <c r="L201" s="65"/>
      <c r="M201" s="65" t="n">
        <f aca="false">K201-L201</f>
        <v>1</v>
      </c>
      <c r="N201" s="68" t="n">
        <f aca="false">H201*3.4</f>
        <v>680</v>
      </c>
    </row>
    <row r="202" customFormat="false" ht="20.25" hidden="false" customHeight="true" outlineLevel="0" collapsed="false">
      <c r="A202" s="61" t="s">
        <v>65</v>
      </c>
      <c r="B202" s="61" t="s">
        <v>58</v>
      </c>
      <c r="C202" s="61" t="n">
        <v>200</v>
      </c>
      <c r="D202" s="61" t="n">
        <v>1000</v>
      </c>
      <c r="E202" s="61" t="s">
        <v>51</v>
      </c>
      <c r="F202" s="62" t="n">
        <f aca="false">M202*D202</f>
        <v>1000</v>
      </c>
      <c r="G202" s="61" t="s">
        <v>17</v>
      </c>
      <c r="H202" s="61" t="n">
        <f aca="false">(M202*(C202/1000))*D202</f>
        <v>200</v>
      </c>
      <c r="I202" s="61" t="s">
        <v>59</v>
      </c>
      <c r="J202" s="63"/>
      <c r="K202" s="61" t="n">
        <v>1</v>
      </c>
      <c r="L202" s="61"/>
      <c r="M202" s="61" t="n">
        <f aca="false">K202-L202</f>
        <v>1</v>
      </c>
      <c r="N202" s="64" t="n">
        <f aca="false">H202*3.4</f>
        <v>680</v>
      </c>
    </row>
    <row r="203" customFormat="false" ht="20.25" hidden="false" customHeight="true" outlineLevel="0" collapsed="false">
      <c r="A203" s="61" t="s">
        <v>65</v>
      </c>
      <c r="B203" s="61" t="s">
        <v>58</v>
      </c>
      <c r="C203" s="61" t="n">
        <v>200</v>
      </c>
      <c r="D203" s="61" t="n">
        <v>1000</v>
      </c>
      <c r="E203" s="61" t="s">
        <v>51</v>
      </c>
      <c r="F203" s="62" t="n">
        <f aca="false">M203*D203</f>
        <v>1000</v>
      </c>
      <c r="G203" s="61" t="s">
        <v>17</v>
      </c>
      <c r="H203" s="61" t="n">
        <f aca="false">(M203*(C203/1000))*D203</f>
        <v>200</v>
      </c>
      <c r="I203" s="61" t="s">
        <v>59</v>
      </c>
      <c r="J203" s="63"/>
      <c r="K203" s="61" t="n">
        <v>1</v>
      </c>
      <c r="L203" s="61"/>
      <c r="M203" s="61" t="n">
        <f aca="false">K203-L203</f>
        <v>1</v>
      </c>
      <c r="N203" s="64" t="n">
        <f aca="false">H203*3.4</f>
        <v>680</v>
      </c>
    </row>
    <row r="204" customFormat="false" ht="20.25" hidden="true" customHeight="true" outlineLevel="0" collapsed="false">
      <c r="A204" s="65" t="n">
        <v>26</v>
      </c>
      <c r="B204" s="65" t="s">
        <v>54</v>
      </c>
      <c r="C204" s="65" t="n">
        <v>210</v>
      </c>
      <c r="D204" s="65" t="n">
        <v>1000</v>
      </c>
      <c r="E204" s="65" t="s">
        <v>55</v>
      </c>
      <c r="F204" s="66" t="n">
        <f aca="false">M204*D204</f>
        <v>1000</v>
      </c>
      <c r="G204" s="65" t="s">
        <v>56</v>
      </c>
      <c r="H204" s="65" t="n">
        <f aca="false">(M204*(C204/1000))*D204</f>
        <v>210</v>
      </c>
      <c r="I204" s="65" t="s">
        <v>57</v>
      </c>
      <c r="J204" s="67" t="n">
        <v>45980</v>
      </c>
      <c r="K204" s="65" t="n">
        <v>1</v>
      </c>
      <c r="L204" s="65"/>
      <c r="M204" s="65" t="n">
        <f aca="false">K204-L204</f>
        <v>1</v>
      </c>
      <c r="N204" s="68" t="n">
        <f aca="false">H204*4.2</f>
        <v>882</v>
      </c>
    </row>
    <row r="205" customFormat="false" ht="20.25" hidden="true" customHeight="true" outlineLevel="0" collapsed="false">
      <c r="A205" s="65" t="n">
        <v>33</v>
      </c>
      <c r="B205" s="65" t="s">
        <v>54</v>
      </c>
      <c r="C205" s="65" t="n">
        <v>210</v>
      </c>
      <c r="D205" s="65" t="n">
        <v>1000</v>
      </c>
      <c r="E205" s="65" t="s">
        <v>55</v>
      </c>
      <c r="F205" s="66" t="n">
        <f aca="false">M205*D205</f>
        <v>1000</v>
      </c>
      <c r="G205" s="65" t="s">
        <v>56</v>
      </c>
      <c r="H205" s="65" t="n">
        <f aca="false">(M205*(C205/1000))*D205</f>
        <v>210</v>
      </c>
      <c r="I205" s="65" t="s">
        <v>57</v>
      </c>
      <c r="J205" s="67" t="n">
        <v>46040</v>
      </c>
      <c r="K205" s="65" t="n">
        <v>2</v>
      </c>
      <c r="L205" s="65" t="n">
        <v>1</v>
      </c>
      <c r="M205" s="65" t="n">
        <f aca="false">K205-L205</f>
        <v>1</v>
      </c>
      <c r="N205" s="68" t="n">
        <f aca="false">H205*4.2</f>
        <v>882</v>
      </c>
    </row>
    <row r="206" customFormat="false" ht="20.25" hidden="true" customHeight="true" outlineLevel="0" collapsed="false">
      <c r="A206" s="65" t="n">
        <v>26</v>
      </c>
      <c r="B206" s="65" t="s">
        <v>54</v>
      </c>
      <c r="C206" s="65" t="n">
        <v>210</v>
      </c>
      <c r="D206" s="65" t="n">
        <v>1000</v>
      </c>
      <c r="E206" s="65" t="s">
        <v>55</v>
      </c>
      <c r="F206" s="66" t="n">
        <f aca="false">M206*D206</f>
        <v>2000</v>
      </c>
      <c r="G206" s="65" t="s">
        <v>56</v>
      </c>
      <c r="H206" s="65" t="n">
        <f aca="false">(M206*(C206/1000))*D206</f>
        <v>420</v>
      </c>
      <c r="I206" s="65" t="s">
        <v>57</v>
      </c>
      <c r="J206" s="67" t="n">
        <v>46040</v>
      </c>
      <c r="K206" s="65" t="n">
        <v>2</v>
      </c>
      <c r="L206" s="65"/>
      <c r="M206" s="65" t="n">
        <f aca="false">K206-L206</f>
        <v>2</v>
      </c>
      <c r="N206" s="68" t="n">
        <f aca="false">H206*4.2</f>
        <v>1764</v>
      </c>
    </row>
    <row r="207" customFormat="false" ht="20.25" hidden="true" customHeight="true" outlineLevel="0" collapsed="false">
      <c r="A207" s="61" t="n">
        <v>25</v>
      </c>
      <c r="B207" s="61" t="s">
        <v>54</v>
      </c>
      <c r="C207" s="61" t="n">
        <v>210</v>
      </c>
      <c r="D207" s="61" t="n">
        <v>1000</v>
      </c>
      <c r="E207" s="61" t="s">
        <v>55</v>
      </c>
      <c r="F207" s="62" t="n">
        <f aca="false">M207*D207</f>
        <v>1000</v>
      </c>
      <c r="G207" s="61" t="s">
        <v>56</v>
      </c>
      <c r="H207" s="61" t="n">
        <f aca="false">(M207*(C207/1000))*D207</f>
        <v>210</v>
      </c>
      <c r="I207" s="61" t="s">
        <v>57</v>
      </c>
      <c r="J207" s="63" t="n">
        <v>46040</v>
      </c>
      <c r="K207" s="61" t="n">
        <v>1</v>
      </c>
      <c r="L207" s="61"/>
      <c r="M207" s="61" t="n">
        <f aca="false">K207-L207</f>
        <v>1</v>
      </c>
      <c r="N207" s="64" t="n">
        <f aca="false">H207*4.2</f>
        <v>882</v>
      </c>
    </row>
    <row r="208" customFormat="false" ht="20.25" hidden="false" customHeight="true" outlineLevel="0" collapsed="false">
      <c r="A208" s="61" t="s">
        <v>65</v>
      </c>
      <c r="B208" s="61" t="s">
        <v>58</v>
      </c>
      <c r="C208" s="61" t="n">
        <v>210</v>
      </c>
      <c r="D208" s="61" t="n">
        <v>1000</v>
      </c>
      <c r="E208" s="61" t="s">
        <v>51</v>
      </c>
      <c r="F208" s="62" t="n">
        <f aca="false">M208*D208</f>
        <v>0</v>
      </c>
      <c r="G208" s="61" t="s">
        <v>17</v>
      </c>
      <c r="H208" s="61" t="n">
        <f aca="false">(M208*(C208/1000))*D208</f>
        <v>0</v>
      </c>
      <c r="I208" s="61" t="s">
        <v>59</v>
      </c>
      <c r="J208" s="63"/>
      <c r="K208" s="61" t="n">
        <v>10</v>
      </c>
      <c r="L208" s="61" t="n">
        <v>10</v>
      </c>
      <c r="M208" s="61" t="n">
        <f aca="false">K208-L208</f>
        <v>0</v>
      </c>
      <c r="N208" s="64" t="n">
        <f aca="false">H208*3.4</f>
        <v>0</v>
      </c>
    </row>
    <row r="209" customFormat="false" ht="20.25" hidden="true" customHeight="true" outlineLevel="0" collapsed="false">
      <c r="A209" s="61" t="s">
        <v>65</v>
      </c>
      <c r="B209" s="61" t="s">
        <v>62</v>
      </c>
      <c r="C209" s="61" t="n">
        <v>210</v>
      </c>
      <c r="D209" s="61" t="n">
        <v>1000</v>
      </c>
      <c r="E209" s="61" t="s">
        <v>63</v>
      </c>
      <c r="F209" s="62" t="n">
        <f aca="false">M209*D209</f>
        <v>0</v>
      </c>
      <c r="G209" s="61" t="s">
        <v>17</v>
      </c>
      <c r="H209" s="61" t="n">
        <f aca="false">(M209*(C209/1000))*D209</f>
        <v>0</v>
      </c>
      <c r="I209" s="61" t="s">
        <v>64</v>
      </c>
      <c r="J209" s="63"/>
      <c r="K209" s="61" t="n">
        <v>2</v>
      </c>
      <c r="L209" s="61" t="n">
        <v>2</v>
      </c>
      <c r="M209" s="61" t="n">
        <f aca="false">K209-L209</f>
        <v>0</v>
      </c>
      <c r="N209" s="64" t="n">
        <f aca="false">H209*3.4</f>
        <v>0</v>
      </c>
    </row>
    <row r="210" customFormat="false" ht="20.25" hidden="true" customHeight="true" outlineLevel="0" collapsed="false">
      <c r="A210" s="61" t="s">
        <v>65</v>
      </c>
      <c r="B210" s="61" t="s">
        <v>62</v>
      </c>
      <c r="C210" s="61" t="n">
        <v>210</v>
      </c>
      <c r="D210" s="61" t="n">
        <v>1000</v>
      </c>
      <c r="E210" s="61" t="s">
        <v>63</v>
      </c>
      <c r="F210" s="62" t="n">
        <f aca="false">M210*D210</f>
        <v>19000</v>
      </c>
      <c r="G210" s="61" t="s">
        <v>17</v>
      </c>
      <c r="H210" s="61" t="n">
        <f aca="false">(M210*(C210/1000))*D210</f>
        <v>3990</v>
      </c>
      <c r="I210" s="61" t="s">
        <v>64</v>
      </c>
      <c r="J210" s="63"/>
      <c r="K210" s="61" t="n">
        <v>40</v>
      </c>
      <c r="L210" s="61" t="n">
        <v>21</v>
      </c>
      <c r="M210" s="61" t="n">
        <f aca="false">K210-L210</f>
        <v>19</v>
      </c>
      <c r="N210" s="64" t="n">
        <f aca="false">H210*3.4</f>
        <v>13566</v>
      </c>
    </row>
    <row r="211" customFormat="false" ht="20.25" hidden="false" customHeight="true" outlineLevel="0" collapsed="false">
      <c r="A211" s="61" t="s">
        <v>73</v>
      </c>
      <c r="B211" s="61" t="s">
        <v>58</v>
      </c>
      <c r="C211" s="61" t="n">
        <v>210</v>
      </c>
      <c r="D211" s="61" t="n">
        <v>1000</v>
      </c>
      <c r="E211" s="61" t="s">
        <v>51</v>
      </c>
      <c r="F211" s="62" t="n">
        <f aca="false">M211*D211</f>
        <v>14000</v>
      </c>
      <c r="G211" s="61" t="s">
        <v>17</v>
      </c>
      <c r="H211" s="61" t="n">
        <f aca="false">(M211*(C211/1000))*D211</f>
        <v>2940</v>
      </c>
      <c r="I211" s="61" t="s">
        <v>59</v>
      </c>
      <c r="J211" s="63" t="n">
        <v>46191</v>
      </c>
      <c r="K211" s="61" t="n">
        <v>20</v>
      </c>
      <c r="L211" s="61" t="n">
        <v>6</v>
      </c>
      <c r="M211" s="61" t="n">
        <f aca="false">K211-L211</f>
        <v>14</v>
      </c>
      <c r="N211" s="64" t="n">
        <f aca="false">H211*3.4</f>
        <v>9996</v>
      </c>
    </row>
    <row r="212" customFormat="false" ht="20.25" hidden="false" customHeight="true" outlineLevel="0" collapsed="false">
      <c r="A212" s="61" t="s">
        <v>65</v>
      </c>
      <c r="B212" s="61" t="s">
        <v>58</v>
      </c>
      <c r="C212" s="61" t="n">
        <v>210</v>
      </c>
      <c r="D212" s="61" t="n">
        <v>1000</v>
      </c>
      <c r="E212" s="61" t="s">
        <v>51</v>
      </c>
      <c r="F212" s="62" t="n">
        <f aca="false">M212*D212</f>
        <v>15000</v>
      </c>
      <c r="G212" s="61" t="s">
        <v>17</v>
      </c>
      <c r="H212" s="61" t="n">
        <f aca="false">(M212*(C212/1000))*D212</f>
        <v>3150</v>
      </c>
      <c r="I212" s="61" t="s">
        <v>59</v>
      </c>
      <c r="J212" s="67" t="n">
        <v>46201</v>
      </c>
      <c r="K212" s="61" t="n">
        <v>15</v>
      </c>
      <c r="L212" s="61"/>
      <c r="M212" s="61" t="n">
        <f aca="false">K212-L212</f>
        <v>15</v>
      </c>
      <c r="N212" s="64" t="n">
        <f aca="false">H212*3.4</f>
        <v>10710</v>
      </c>
    </row>
    <row r="213" customFormat="false" ht="20.25" hidden="false" customHeight="true" outlineLevel="0" collapsed="false">
      <c r="A213" s="61" t="s">
        <v>73</v>
      </c>
      <c r="B213" s="61" t="s">
        <v>58</v>
      </c>
      <c r="C213" s="61" t="n">
        <v>215</v>
      </c>
      <c r="D213" s="61" t="n">
        <v>1000</v>
      </c>
      <c r="E213" s="61" t="s">
        <v>51</v>
      </c>
      <c r="F213" s="62" t="n">
        <f aca="false">M213*D213</f>
        <v>1000</v>
      </c>
      <c r="G213" s="61" t="s">
        <v>17</v>
      </c>
      <c r="H213" s="61" t="n">
        <f aca="false">(M213*(C213/1000))*D213</f>
        <v>215</v>
      </c>
      <c r="I213" s="61" t="s">
        <v>59</v>
      </c>
      <c r="J213" s="63" t="n">
        <v>46191</v>
      </c>
      <c r="K213" s="61" t="n">
        <v>5</v>
      </c>
      <c r="L213" s="61" t="n">
        <v>4</v>
      </c>
      <c r="M213" s="61" t="n">
        <f aca="false">K213-L213</f>
        <v>1</v>
      </c>
      <c r="N213" s="64" t="n">
        <f aca="false">H213*3.4</f>
        <v>731</v>
      </c>
    </row>
    <row r="214" customFormat="false" ht="20.25" hidden="false" customHeight="true" outlineLevel="0" collapsed="false">
      <c r="A214" s="61" t="s">
        <v>73</v>
      </c>
      <c r="B214" s="61" t="s">
        <v>58</v>
      </c>
      <c r="C214" s="61" t="n">
        <v>220</v>
      </c>
      <c r="D214" s="61" t="n">
        <v>1000</v>
      </c>
      <c r="E214" s="61" t="s">
        <v>51</v>
      </c>
      <c r="F214" s="62" t="n">
        <f aca="false">M214*D214</f>
        <v>0</v>
      </c>
      <c r="G214" s="61" t="s">
        <v>17</v>
      </c>
      <c r="H214" s="61" t="n">
        <f aca="false">(M214*(C214/1000))*D214</f>
        <v>0</v>
      </c>
      <c r="I214" s="61" t="s">
        <v>59</v>
      </c>
      <c r="J214" s="63" t="n">
        <v>46191</v>
      </c>
      <c r="K214" s="61" t="n">
        <v>9</v>
      </c>
      <c r="L214" s="61" t="n">
        <v>9</v>
      </c>
      <c r="M214" s="61" t="n">
        <f aca="false">K214-L214</f>
        <v>0</v>
      </c>
      <c r="N214" s="64" t="n">
        <f aca="false">H214*3.4</f>
        <v>0</v>
      </c>
    </row>
    <row r="215" customFormat="false" ht="20.25" hidden="false" customHeight="true" outlineLevel="0" collapsed="false">
      <c r="A215" s="65" t="n">
        <v>31</v>
      </c>
      <c r="B215" s="65" t="s">
        <v>58</v>
      </c>
      <c r="C215" s="65" t="n">
        <v>225</v>
      </c>
      <c r="D215" s="65" t="n">
        <v>1000</v>
      </c>
      <c r="E215" s="65" t="s">
        <v>51</v>
      </c>
      <c r="F215" s="66" t="n">
        <f aca="false">M215*D215</f>
        <v>0</v>
      </c>
      <c r="G215" s="65" t="s">
        <v>17</v>
      </c>
      <c r="H215" s="65" t="n">
        <f aca="false">(M215*(C215/1000))*D215</f>
        <v>0</v>
      </c>
      <c r="I215" s="65" t="s">
        <v>59</v>
      </c>
      <c r="J215" s="67" t="n">
        <v>45509</v>
      </c>
      <c r="K215" s="65" t="n">
        <v>1</v>
      </c>
      <c r="L215" s="65" t="n">
        <v>1</v>
      </c>
      <c r="M215" s="65" t="n">
        <f aca="false">K215-L215</f>
        <v>0</v>
      </c>
      <c r="N215" s="68" t="n">
        <f aca="false">H215*3.4</f>
        <v>0</v>
      </c>
    </row>
    <row r="216" customFormat="false" ht="20.25" hidden="false" customHeight="true" outlineLevel="0" collapsed="false">
      <c r="A216" s="65" t="n">
        <v>27</v>
      </c>
      <c r="B216" s="65" t="s">
        <v>58</v>
      </c>
      <c r="C216" s="65" t="n">
        <v>225</v>
      </c>
      <c r="D216" s="65" t="n">
        <v>700</v>
      </c>
      <c r="E216" s="65" t="s">
        <v>51</v>
      </c>
      <c r="F216" s="66" t="n">
        <f aca="false">M216*D216</f>
        <v>700</v>
      </c>
      <c r="G216" s="65" t="s">
        <v>17</v>
      </c>
      <c r="H216" s="65" t="n">
        <f aca="false">(M216*(C216/1000))*D216</f>
        <v>157.5</v>
      </c>
      <c r="I216" s="65" t="s">
        <v>59</v>
      </c>
      <c r="J216" s="67" t="n">
        <v>45509</v>
      </c>
      <c r="K216" s="65" t="n">
        <v>1</v>
      </c>
      <c r="L216" s="65"/>
      <c r="M216" s="65" t="n">
        <f aca="false">K216-L216</f>
        <v>1</v>
      </c>
      <c r="N216" s="68" t="n">
        <f aca="false">H216*3.4</f>
        <v>535.5</v>
      </c>
    </row>
    <row r="217" customFormat="false" ht="20.25" hidden="false" customHeight="true" outlineLevel="0" collapsed="false">
      <c r="A217" s="65" t="s">
        <v>20</v>
      </c>
      <c r="B217" s="65" t="s">
        <v>58</v>
      </c>
      <c r="C217" s="65" t="n">
        <v>250</v>
      </c>
      <c r="D217" s="65" t="n">
        <v>1000</v>
      </c>
      <c r="E217" s="65" t="s">
        <v>51</v>
      </c>
      <c r="F217" s="66" t="n">
        <f aca="false">M217*D217</f>
        <v>1000</v>
      </c>
      <c r="G217" s="65" t="s">
        <v>17</v>
      </c>
      <c r="H217" s="65" t="n">
        <f aca="false">(M217*(C217/1000))*D217</f>
        <v>250</v>
      </c>
      <c r="I217" s="65" t="s">
        <v>59</v>
      </c>
      <c r="J217" s="67" t="n">
        <v>45839</v>
      </c>
      <c r="K217" s="65" t="n">
        <v>3</v>
      </c>
      <c r="L217" s="65" t="n">
        <v>2</v>
      </c>
      <c r="M217" s="65" t="n">
        <f aca="false">K217-L217</f>
        <v>1</v>
      </c>
      <c r="N217" s="68" t="n">
        <f aca="false">H217*3.4</f>
        <v>850</v>
      </c>
    </row>
    <row r="218" customFormat="false" ht="20.25" hidden="false" customHeight="true" outlineLevel="0" collapsed="false">
      <c r="A218" s="65" t="s">
        <v>20</v>
      </c>
      <c r="B218" s="65" t="s">
        <v>58</v>
      </c>
      <c r="C218" s="65" t="n">
        <v>250</v>
      </c>
      <c r="D218" s="65" t="n">
        <v>1000</v>
      </c>
      <c r="E218" s="65" t="s">
        <v>51</v>
      </c>
      <c r="F218" s="66" t="n">
        <f aca="false">M218*D218</f>
        <v>4000</v>
      </c>
      <c r="G218" s="65" t="s">
        <v>17</v>
      </c>
      <c r="H218" s="65" t="n">
        <f aca="false">(M218*(C218/1000))*D218</f>
        <v>1000</v>
      </c>
      <c r="I218" s="65" t="s">
        <v>59</v>
      </c>
      <c r="J218" s="67" t="n">
        <v>46339</v>
      </c>
      <c r="K218" s="65" t="n">
        <v>6</v>
      </c>
      <c r="L218" s="65" t="n">
        <v>2</v>
      </c>
      <c r="M218" s="65" t="n">
        <f aca="false">K218-L218</f>
        <v>4</v>
      </c>
      <c r="N218" s="68" t="n">
        <f aca="false">H218*3.4</f>
        <v>3400</v>
      </c>
    </row>
    <row r="219" customFormat="false" ht="20.25" hidden="false" customHeight="true" outlineLevel="0" collapsed="false">
      <c r="A219" s="61" t="s">
        <v>65</v>
      </c>
      <c r="B219" s="61" t="s">
        <v>58</v>
      </c>
      <c r="C219" s="61" t="n">
        <v>250</v>
      </c>
      <c r="D219" s="61" t="n">
        <v>1000</v>
      </c>
      <c r="E219" s="61" t="s">
        <v>51</v>
      </c>
      <c r="F219" s="62" t="n">
        <f aca="false">M219*D219</f>
        <v>13000</v>
      </c>
      <c r="G219" s="61" t="s">
        <v>17</v>
      </c>
      <c r="H219" s="61" t="n">
        <f aca="false">(M219*(C219/1000))*D219</f>
        <v>3250</v>
      </c>
      <c r="I219" s="61" t="s">
        <v>59</v>
      </c>
      <c r="J219" s="63"/>
      <c r="K219" s="61" t="n">
        <v>13</v>
      </c>
      <c r="L219" s="61"/>
      <c r="M219" s="61" t="n">
        <f aca="false">K219-L219</f>
        <v>13</v>
      </c>
      <c r="N219" s="64" t="n">
        <f aca="false">H219*3.4</f>
        <v>11050</v>
      </c>
    </row>
    <row r="220" customFormat="false" ht="20.25" hidden="false" customHeight="true" outlineLevel="0" collapsed="false">
      <c r="A220" s="61" t="n">
        <v>24</v>
      </c>
      <c r="B220" s="61" t="s">
        <v>58</v>
      </c>
      <c r="C220" s="61" t="n">
        <v>300</v>
      </c>
      <c r="D220" s="61" t="n">
        <v>300</v>
      </c>
      <c r="E220" s="61" t="s">
        <v>51</v>
      </c>
      <c r="F220" s="62" t="n">
        <f aca="false">M220*D220</f>
        <v>300</v>
      </c>
      <c r="G220" s="61" t="s">
        <v>17</v>
      </c>
      <c r="H220" s="61" t="n">
        <f aca="false">(M220*(C220/1000))*D220</f>
        <v>90</v>
      </c>
      <c r="I220" s="61" t="s">
        <v>59</v>
      </c>
      <c r="J220" s="63" t="n">
        <v>45840</v>
      </c>
      <c r="K220" s="61" t="n">
        <v>1</v>
      </c>
      <c r="L220" s="61"/>
      <c r="M220" s="61" t="n">
        <f aca="false">K220-L220</f>
        <v>1</v>
      </c>
      <c r="N220" s="64" t="n">
        <f aca="false">H220*3.4</f>
        <v>306</v>
      </c>
    </row>
    <row r="221" customFormat="false" ht="20.25" hidden="true" customHeight="true" outlineLevel="0" collapsed="false">
      <c r="A221" s="65" t="n">
        <v>32</v>
      </c>
      <c r="B221" s="65" t="s">
        <v>54</v>
      </c>
      <c r="C221" s="65" t="n">
        <v>333</v>
      </c>
      <c r="D221" s="65" t="n">
        <v>500</v>
      </c>
      <c r="E221" s="65" t="s">
        <v>74</v>
      </c>
      <c r="F221" s="66" t="n">
        <v>700</v>
      </c>
      <c r="G221" s="65" t="s">
        <v>17</v>
      </c>
      <c r="H221" s="65" t="n">
        <v>100.1</v>
      </c>
      <c r="I221" s="65" t="s">
        <v>57</v>
      </c>
      <c r="J221" s="67" t="n">
        <v>45531</v>
      </c>
      <c r="K221" s="65" t="n">
        <v>1</v>
      </c>
      <c r="L221" s="65"/>
      <c r="M221" s="65" t="n">
        <f aca="false">K221-L221</f>
        <v>1</v>
      </c>
      <c r="N221" s="68" t="n">
        <f aca="false">H221*3.4</f>
        <v>340.34</v>
      </c>
      <c r="O221" s="69"/>
    </row>
    <row r="222" customFormat="false" ht="20.25" hidden="true" customHeight="true" outlineLevel="0" collapsed="false">
      <c r="A222" s="65"/>
      <c r="B222" s="65"/>
      <c r="C222" s="65"/>
      <c r="D222" s="65"/>
      <c r="E222" s="65"/>
      <c r="F222" s="66" t="n">
        <f aca="false">SUM(F43:F221)</f>
        <v>398100</v>
      </c>
      <c r="G222" s="65"/>
      <c r="H222" s="65"/>
      <c r="I222" s="65"/>
      <c r="J222" s="67"/>
      <c r="K222" s="65"/>
      <c r="L222" s="65"/>
      <c r="M222" s="65"/>
      <c r="N222" s="68"/>
    </row>
  </sheetData>
  <autoFilter ref="A1:O222">
    <filterColumn colId="8">
      <filters>
        <filter val="ECOPRINT / S2045N/ SCK 60"/>
      </filters>
    </filterColumn>
  </autoFilter>
  <printOptions headings="false" gridLines="false" gridLinesSet="true" horizontalCentered="false" verticalCentered="false"/>
  <pageMargins left="0.236111111111111" right="0.236111111111111" top="0.157638888888889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3" man="true" max="16383" min="0"/>
  </rowBreaks>
  <colBreaks count="1" manualBreakCount="1">
    <brk id="14" man="true" max="65535" min="0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5" activeCellId="0" sqref="B25"/>
    </sheetView>
  </sheetViews>
  <sheetFormatPr defaultColWidth="9.14453125" defaultRowHeight="20.25" zeroHeight="false" outlineLevelRow="0" outlineLevelCol="0"/>
  <cols>
    <col collapsed="false" customWidth="true" hidden="false" outlineLevel="0" max="1" min="1" style="55" width="17.3"/>
    <col collapsed="false" customWidth="true" hidden="false" outlineLevel="0" max="2" min="2" style="55" width="17.43"/>
    <col collapsed="false" customWidth="false" hidden="false" outlineLevel="0" max="3" min="3" style="1" width="9.14"/>
    <col collapsed="false" customWidth="true" hidden="false" outlineLevel="0" max="4" min="4" style="55" width="16.86"/>
    <col collapsed="false" customWidth="true" hidden="false" outlineLevel="0" max="5" min="5" style="55" width="17.43"/>
    <col collapsed="false" customWidth="true" hidden="false" outlineLevel="0" max="6" min="6" style="55" width="25.71"/>
    <col collapsed="false" customWidth="true" hidden="false" outlineLevel="0" max="7" min="7" style="55" width="14"/>
    <col collapsed="false" customWidth="true" hidden="false" outlineLevel="0" max="8" min="8" style="1" width="7.43"/>
    <col collapsed="false" customWidth="true" hidden="false" outlineLevel="0" max="9" min="9" style="1" width="15.57"/>
    <col collapsed="false" customWidth="true" hidden="false" outlineLevel="0" max="10" min="10" style="1" width="16.43"/>
    <col collapsed="false" customWidth="true" hidden="false" outlineLevel="0" max="11" min="11" style="1" width="21.71"/>
    <col collapsed="false" customWidth="true" hidden="false" outlineLevel="0" max="12" min="12" style="1" width="26.57"/>
    <col collapsed="false" customWidth="false" hidden="false" outlineLevel="0" max="16384" min="13" style="1" width="9.14"/>
  </cols>
  <sheetData>
    <row r="1" customFormat="false" ht="20.25" hidden="false" customHeight="false" outlineLevel="0" collapsed="false">
      <c r="A1" s="27" t="s">
        <v>4</v>
      </c>
      <c r="B1" s="28" t="s">
        <v>75</v>
      </c>
      <c r="C1" s="76"/>
      <c r="D1" s="27" t="s">
        <v>4</v>
      </c>
      <c r="E1" s="28" t="s">
        <v>75</v>
      </c>
      <c r="F1" s="0"/>
      <c r="G1" s="0"/>
    </row>
    <row r="2" customFormat="false" ht="20.25" hidden="false" customHeight="false" outlineLevel="0" collapsed="false">
      <c r="A2" s="27" t="s">
        <v>6</v>
      </c>
      <c r="B2" s="28" t="s">
        <v>23</v>
      </c>
      <c r="C2" s="76"/>
      <c r="D2" s="27" t="s">
        <v>6</v>
      </c>
      <c r="E2" s="28" t="s">
        <v>23</v>
      </c>
      <c r="F2" s="0"/>
      <c r="G2" s="0"/>
    </row>
    <row r="3" customFormat="false" ht="20.25" hidden="false" customHeight="false" outlineLevel="0" collapsed="false">
      <c r="A3" s="0"/>
      <c r="B3" s="0"/>
      <c r="C3" s="76"/>
      <c r="D3" s="0"/>
      <c r="E3" s="0"/>
      <c r="F3" s="0"/>
      <c r="G3" s="0"/>
    </row>
    <row r="4" customFormat="false" ht="20.25" hidden="false" customHeight="false" outlineLevel="0" collapsed="false">
      <c r="A4" s="77" t="s">
        <v>2</v>
      </c>
      <c r="B4" s="78" t="s">
        <v>27</v>
      </c>
      <c r="C4" s="76"/>
      <c r="D4" s="79"/>
      <c r="E4" s="80"/>
      <c r="F4" s="30" t="s">
        <v>24</v>
      </c>
      <c r="G4" s="31"/>
    </row>
    <row r="5" customFormat="false" ht="20.25" hidden="false" customHeight="false" outlineLevel="0" collapsed="false">
      <c r="A5" s="81" t="n">
        <v>60</v>
      </c>
      <c r="B5" s="82" t="n">
        <v>8</v>
      </c>
      <c r="C5" s="76"/>
      <c r="D5" s="83" t="s">
        <v>2</v>
      </c>
      <c r="E5" s="84" t="s">
        <v>1</v>
      </c>
      <c r="F5" s="33" t="s">
        <v>26</v>
      </c>
      <c r="G5" s="34" t="s">
        <v>27</v>
      </c>
      <c r="I5" s="54" t="s">
        <v>21</v>
      </c>
      <c r="J5" s="54" t="s">
        <v>2</v>
      </c>
      <c r="K5" s="54" t="s">
        <v>3</v>
      </c>
      <c r="L5" s="54" t="s">
        <v>4</v>
      </c>
    </row>
    <row r="6" customFormat="false" ht="20.25" hidden="false" customHeight="false" outlineLevel="0" collapsed="false">
      <c r="A6" s="85" t="n">
        <v>65</v>
      </c>
      <c r="B6" s="86" t="n">
        <v>9</v>
      </c>
      <c r="C6" s="76"/>
      <c r="D6" s="87" t="n">
        <v>60</v>
      </c>
      <c r="E6" s="88" t="s">
        <v>58</v>
      </c>
      <c r="F6" s="89" t="n">
        <v>8000</v>
      </c>
      <c r="G6" s="90" t="n">
        <v>8</v>
      </c>
      <c r="I6" s="11" t="n">
        <v>3</v>
      </c>
      <c r="J6" s="11" t="n">
        <v>95</v>
      </c>
      <c r="K6" s="11" t="n">
        <v>1000</v>
      </c>
      <c r="L6" s="11" t="s">
        <v>50</v>
      </c>
    </row>
    <row r="7" customFormat="false" ht="20.25" hidden="false" customHeight="false" outlineLevel="0" collapsed="false">
      <c r="A7" s="85" t="n">
        <v>70</v>
      </c>
      <c r="B7" s="86" t="n">
        <v>5</v>
      </c>
      <c r="C7" s="76"/>
      <c r="D7" s="81" t="n">
        <v>65</v>
      </c>
      <c r="E7" s="91" t="s">
        <v>58</v>
      </c>
      <c r="F7" s="92" t="n">
        <v>10500</v>
      </c>
      <c r="G7" s="37" t="n">
        <v>8</v>
      </c>
      <c r="I7" s="11" t="n">
        <v>1</v>
      </c>
      <c r="J7" s="11" t="n">
        <v>100</v>
      </c>
      <c r="K7" s="11" t="n">
        <v>1000</v>
      </c>
      <c r="L7" s="11" t="s">
        <v>50</v>
      </c>
    </row>
    <row r="8" customFormat="false" ht="20.25" hidden="false" customHeight="false" outlineLevel="0" collapsed="false">
      <c r="A8" s="85" t="n">
        <v>75</v>
      </c>
      <c r="B8" s="86" t="n">
        <v>16</v>
      </c>
      <c r="C8" s="76"/>
      <c r="D8" s="93"/>
      <c r="E8" s="94" t="s">
        <v>62</v>
      </c>
      <c r="F8" s="95" t="n">
        <v>1500</v>
      </c>
      <c r="G8" s="43" t="n">
        <v>1</v>
      </c>
      <c r="I8" s="11" t="n">
        <v>3</v>
      </c>
      <c r="J8" s="11" t="n">
        <v>180</v>
      </c>
      <c r="K8" s="11" t="n">
        <v>1000</v>
      </c>
      <c r="L8" s="11" t="s">
        <v>50</v>
      </c>
    </row>
    <row r="9" customFormat="false" ht="20.25" hidden="false" customHeight="false" outlineLevel="0" collapsed="false">
      <c r="A9" s="85" t="n">
        <v>78</v>
      </c>
      <c r="B9" s="86" t="n">
        <v>11</v>
      </c>
      <c r="D9" s="87" t="n">
        <v>70</v>
      </c>
      <c r="E9" s="88" t="s">
        <v>58</v>
      </c>
      <c r="F9" s="89" t="n">
        <v>7500</v>
      </c>
      <c r="G9" s="90" t="n">
        <v>5</v>
      </c>
      <c r="I9" s="11" t="n">
        <v>1</v>
      </c>
      <c r="J9" s="11" t="n">
        <v>75</v>
      </c>
      <c r="K9" s="11" t="n">
        <v>1000</v>
      </c>
      <c r="L9" s="11" t="s">
        <v>50</v>
      </c>
    </row>
    <row r="10" customFormat="false" ht="20.25" hidden="false" customHeight="false" outlineLevel="0" collapsed="false">
      <c r="A10" s="85" t="n">
        <v>80</v>
      </c>
      <c r="B10" s="86" t="n">
        <v>10</v>
      </c>
      <c r="D10" s="87" t="n">
        <v>75</v>
      </c>
      <c r="E10" s="88" t="s">
        <v>58</v>
      </c>
      <c r="F10" s="89" t="n">
        <v>20500</v>
      </c>
      <c r="G10" s="90" t="n">
        <v>16</v>
      </c>
      <c r="I10" s="11"/>
      <c r="J10" s="11"/>
      <c r="K10" s="11" t="n">
        <v>1000</v>
      </c>
      <c r="L10" s="11" t="s">
        <v>50</v>
      </c>
    </row>
    <row r="11" customFormat="false" ht="20.25" hidden="false" customHeight="false" outlineLevel="0" collapsed="false">
      <c r="A11" s="85" t="n">
        <v>83</v>
      </c>
      <c r="B11" s="86" t="n">
        <v>12</v>
      </c>
      <c r="D11" s="87" t="n">
        <v>78</v>
      </c>
      <c r="E11" s="88" t="s">
        <v>58</v>
      </c>
      <c r="F11" s="89" t="n">
        <v>11000</v>
      </c>
      <c r="G11" s="90" t="n">
        <v>11</v>
      </c>
      <c r="I11" s="11"/>
      <c r="J11" s="11"/>
      <c r="K11" s="11" t="n">
        <v>1000</v>
      </c>
      <c r="L11" s="11" t="s">
        <v>50</v>
      </c>
    </row>
    <row r="12" customFormat="false" ht="20.25" hidden="false" customHeight="false" outlineLevel="0" collapsed="false">
      <c r="A12" s="85" t="n">
        <v>85</v>
      </c>
      <c r="B12" s="86" t="n">
        <v>13</v>
      </c>
      <c r="D12" s="81" t="n">
        <v>80</v>
      </c>
      <c r="E12" s="91" t="s">
        <v>58</v>
      </c>
      <c r="F12" s="92" t="n">
        <v>3000</v>
      </c>
      <c r="G12" s="37" t="n">
        <v>3</v>
      </c>
      <c r="I12" s="11"/>
      <c r="J12" s="11"/>
      <c r="K12" s="11" t="n">
        <v>1000</v>
      </c>
      <c r="L12" s="11" t="s">
        <v>50</v>
      </c>
    </row>
    <row r="13" customFormat="false" ht="20.25" hidden="false" customHeight="false" outlineLevel="0" collapsed="false">
      <c r="A13" s="85" t="n">
        <v>90</v>
      </c>
      <c r="B13" s="86" t="n">
        <v>6</v>
      </c>
      <c r="D13" s="93"/>
      <c r="E13" s="94" t="s">
        <v>62</v>
      </c>
      <c r="F13" s="95" t="n">
        <v>10500</v>
      </c>
      <c r="G13" s="43" t="n">
        <v>7</v>
      </c>
    </row>
    <row r="14" customFormat="false" ht="20.25" hidden="false" customHeight="false" outlineLevel="0" collapsed="false">
      <c r="A14" s="85" t="n">
        <v>95</v>
      </c>
      <c r="B14" s="86" t="n">
        <v>13</v>
      </c>
      <c r="D14" s="81" t="n">
        <v>83</v>
      </c>
      <c r="E14" s="91" t="s">
        <v>58</v>
      </c>
      <c r="F14" s="92" t="n">
        <v>12500</v>
      </c>
      <c r="G14" s="37" t="n">
        <v>9</v>
      </c>
    </row>
    <row r="15" customFormat="false" ht="20.25" hidden="false" customHeight="false" outlineLevel="0" collapsed="false">
      <c r="A15" s="85" t="n">
        <v>97</v>
      </c>
      <c r="B15" s="86" t="n">
        <v>5</v>
      </c>
      <c r="D15" s="93"/>
      <c r="E15" s="94" t="s">
        <v>62</v>
      </c>
      <c r="F15" s="95" t="n">
        <v>4500</v>
      </c>
      <c r="G15" s="43" t="n">
        <v>3</v>
      </c>
    </row>
    <row r="16" customFormat="false" ht="20.25" hidden="false" customHeight="false" outlineLevel="0" collapsed="false">
      <c r="A16" s="85" t="n">
        <v>100</v>
      </c>
      <c r="B16" s="86" t="n">
        <v>18</v>
      </c>
      <c r="D16" s="81" t="n">
        <v>85</v>
      </c>
      <c r="E16" s="91" t="s">
        <v>58</v>
      </c>
      <c r="F16" s="92" t="n">
        <v>7000</v>
      </c>
      <c r="G16" s="37" t="n">
        <v>7</v>
      </c>
    </row>
    <row r="17" customFormat="false" ht="20.25" hidden="false" customHeight="false" outlineLevel="0" collapsed="false">
      <c r="A17" s="85" t="n">
        <v>103</v>
      </c>
      <c r="B17" s="86" t="n">
        <v>8</v>
      </c>
      <c r="D17" s="93"/>
      <c r="E17" s="94" t="s">
        <v>62</v>
      </c>
      <c r="F17" s="95" t="n">
        <v>8300</v>
      </c>
      <c r="G17" s="43" t="n">
        <v>6</v>
      </c>
    </row>
    <row r="18" customFormat="false" ht="20.25" hidden="false" customHeight="false" outlineLevel="0" collapsed="false">
      <c r="A18" s="85" t="n">
        <v>105</v>
      </c>
      <c r="B18" s="86" t="n">
        <v>22</v>
      </c>
      <c r="D18" s="81" t="n">
        <v>90</v>
      </c>
      <c r="E18" s="91" t="s">
        <v>58</v>
      </c>
      <c r="F18" s="92" t="n">
        <v>3000</v>
      </c>
      <c r="G18" s="37" t="n">
        <v>2</v>
      </c>
    </row>
    <row r="19" customFormat="false" ht="20.25" hidden="false" customHeight="false" outlineLevel="0" collapsed="false">
      <c r="A19" s="85" t="n">
        <v>110</v>
      </c>
      <c r="B19" s="86" t="n">
        <v>0</v>
      </c>
      <c r="D19" s="93"/>
      <c r="E19" s="94" t="s">
        <v>62</v>
      </c>
      <c r="F19" s="95" t="n">
        <v>6000</v>
      </c>
      <c r="G19" s="43" t="n">
        <v>4</v>
      </c>
    </row>
    <row r="20" customFormat="false" ht="20.25" hidden="false" customHeight="false" outlineLevel="0" collapsed="false">
      <c r="A20" s="85" t="n">
        <v>115</v>
      </c>
      <c r="B20" s="86" t="n">
        <v>14</v>
      </c>
      <c r="D20" s="81" t="n">
        <v>95</v>
      </c>
      <c r="E20" s="91" t="s">
        <v>58</v>
      </c>
      <c r="F20" s="92" t="n">
        <v>12000</v>
      </c>
      <c r="G20" s="37" t="n">
        <v>8</v>
      </c>
    </row>
    <row r="21" customFormat="false" ht="20.25" hidden="false" customHeight="false" outlineLevel="0" collapsed="false">
      <c r="A21" s="85" t="n">
        <v>120</v>
      </c>
      <c r="B21" s="86" t="n">
        <v>14</v>
      </c>
      <c r="D21" s="93"/>
      <c r="E21" s="94" t="s">
        <v>62</v>
      </c>
      <c r="F21" s="95" t="n">
        <v>4500</v>
      </c>
      <c r="G21" s="43" t="n">
        <v>3</v>
      </c>
      <c r="J21" s="1" t="n">
        <v>125</v>
      </c>
      <c r="K21" s="1" t="n">
        <v>10</v>
      </c>
    </row>
    <row r="22" customFormat="false" ht="20.25" hidden="false" customHeight="false" outlineLevel="0" collapsed="false">
      <c r="A22" s="85" t="n">
        <v>125</v>
      </c>
      <c r="B22" s="86" t="n">
        <v>10</v>
      </c>
      <c r="D22" s="87" t="n">
        <v>97</v>
      </c>
      <c r="E22" s="88" t="s">
        <v>58</v>
      </c>
      <c r="F22" s="89" t="n">
        <v>5000</v>
      </c>
      <c r="G22" s="90" t="n">
        <v>5</v>
      </c>
      <c r="J22" s="1" t="n">
        <v>200</v>
      </c>
      <c r="K22" s="1" t="n">
        <v>4</v>
      </c>
    </row>
    <row r="23" customFormat="false" ht="20.25" hidden="false" customHeight="false" outlineLevel="0" collapsed="false">
      <c r="A23" s="85" t="n">
        <v>130</v>
      </c>
      <c r="B23" s="86" t="n">
        <v>21</v>
      </c>
      <c r="D23" s="81" t="n">
        <v>100</v>
      </c>
      <c r="E23" s="91" t="s">
        <v>58</v>
      </c>
      <c r="F23" s="92" t="n">
        <v>16500</v>
      </c>
      <c r="G23" s="37" t="n">
        <v>15</v>
      </c>
      <c r="J23" s="1" t="n">
        <v>190</v>
      </c>
      <c r="K23" s="1" t="n">
        <v>6</v>
      </c>
    </row>
    <row r="24" customFormat="false" ht="20.25" hidden="false" customHeight="false" outlineLevel="0" collapsed="false">
      <c r="A24" s="85" t="n">
        <v>135</v>
      </c>
      <c r="B24" s="86" t="n">
        <v>14</v>
      </c>
      <c r="D24" s="93"/>
      <c r="E24" s="94" t="s">
        <v>62</v>
      </c>
      <c r="F24" s="95" t="n">
        <v>4500</v>
      </c>
      <c r="G24" s="43" t="n">
        <v>3</v>
      </c>
      <c r="J24" s="1" t="n">
        <v>135</v>
      </c>
      <c r="K24" s="1" t="n">
        <v>10</v>
      </c>
    </row>
    <row r="25" customFormat="false" ht="20.25" hidden="false" customHeight="false" outlineLevel="0" collapsed="false">
      <c r="A25" s="85" t="n">
        <v>138</v>
      </c>
      <c r="B25" s="86" t="n">
        <v>0</v>
      </c>
      <c r="D25" s="87" t="n">
        <v>103</v>
      </c>
      <c r="E25" s="88" t="s">
        <v>58</v>
      </c>
      <c r="F25" s="89" t="n">
        <v>8000</v>
      </c>
      <c r="G25" s="90" t="n">
        <v>8</v>
      </c>
      <c r="J25" s="1" t="n">
        <v>230</v>
      </c>
      <c r="K25" s="1" t="n">
        <v>5</v>
      </c>
    </row>
    <row r="26" customFormat="false" ht="20.25" hidden="false" customHeight="false" outlineLevel="0" collapsed="false">
      <c r="A26" s="85" t="n">
        <v>140</v>
      </c>
      <c r="B26" s="86" t="n">
        <v>10</v>
      </c>
      <c r="D26" s="81" t="n">
        <v>105</v>
      </c>
      <c r="E26" s="91" t="s">
        <v>58</v>
      </c>
      <c r="F26" s="92" t="n">
        <v>16500</v>
      </c>
      <c r="G26" s="37" t="n">
        <v>14</v>
      </c>
      <c r="J26" s="1" t="n">
        <v>220</v>
      </c>
      <c r="K26" s="1" t="n">
        <v>5</v>
      </c>
    </row>
    <row r="27" customFormat="false" ht="20.25" hidden="false" customHeight="false" outlineLevel="0" collapsed="false">
      <c r="A27" s="85" t="n">
        <v>145</v>
      </c>
      <c r="B27" s="86" t="n">
        <v>13</v>
      </c>
      <c r="D27" s="93"/>
      <c r="E27" s="94" t="s">
        <v>62</v>
      </c>
      <c r="F27" s="95" t="n">
        <v>12000</v>
      </c>
      <c r="G27" s="43" t="n">
        <v>8</v>
      </c>
    </row>
    <row r="28" customFormat="false" ht="18" hidden="false" customHeight="true" outlineLevel="0" collapsed="false">
      <c r="A28" s="85" t="n">
        <v>150</v>
      </c>
      <c r="B28" s="86" t="n">
        <v>3</v>
      </c>
      <c r="D28" s="87" t="n">
        <v>110</v>
      </c>
      <c r="E28" s="88" t="s">
        <v>58</v>
      </c>
      <c r="F28" s="89" t="n">
        <v>0</v>
      </c>
      <c r="G28" s="90" t="n">
        <v>0</v>
      </c>
      <c r="I28" s="54" t="s">
        <v>21</v>
      </c>
      <c r="J28" s="54" t="s">
        <v>2</v>
      </c>
      <c r="K28" s="54" t="s">
        <v>3</v>
      </c>
      <c r="L28" s="54" t="s">
        <v>4</v>
      </c>
    </row>
    <row r="29" customFormat="false" ht="20.25" hidden="false" customHeight="false" outlineLevel="0" collapsed="false">
      <c r="A29" s="85" t="n">
        <v>155</v>
      </c>
      <c r="B29" s="86" t="n">
        <v>9</v>
      </c>
      <c r="D29" s="87" t="n">
        <v>115</v>
      </c>
      <c r="E29" s="88" t="s">
        <v>58</v>
      </c>
      <c r="F29" s="89" t="n">
        <v>18500</v>
      </c>
      <c r="G29" s="90" t="n">
        <v>14</v>
      </c>
      <c r="I29" s="11" t="n">
        <v>15</v>
      </c>
      <c r="J29" s="11" t="n">
        <v>110</v>
      </c>
      <c r="K29" s="11" t="n">
        <v>1500</v>
      </c>
      <c r="L29" s="11" t="s">
        <v>51</v>
      </c>
    </row>
    <row r="30" customFormat="false" ht="20.25" hidden="false" customHeight="false" outlineLevel="0" collapsed="false">
      <c r="A30" s="85" t="n">
        <v>158</v>
      </c>
      <c r="B30" s="86" t="n">
        <v>16</v>
      </c>
      <c r="D30" s="87" t="n">
        <v>120</v>
      </c>
      <c r="E30" s="88" t="s">
        <v>58</v>
      </c>
      <c r="F30" s="89" t="n">
        <v>13500</v>
      </c>
      <c r="G30" s="90" t="n">
        <v>13</v>
      </c>
      <c r="I30" s="11" t="n">
        <v>5</v>
      </c>
      <c r="J30" s="11" t="n">
        <v>138</v>
      </c>
      <c r="K30" s="11" t="n">
        <v>1500</v>
      </c>
      <c r="L30" s="11" t="s">
        <v>51</v>
      </c>
    </row>
    <row r="31" customFormat="false" ht="20.25" hidden="false" customHeight="false" outlineLevel="0" collapsed="false">
      <c r="A31" s="85" t="n">
        <v>160</v>
      </c>
      <c r="B31" s="86" t="n">
        <v>4</v>
      </c>
      <c r="D31" s="81" t="n">
        <v>125</v>
      </c>
      <c r="E31" s="91" t="s">
        <v>58</v>
      </c>
      <c r="F31" s="92" t="n">
        <v>7500</v>
      </c>
      <c r="G31" s="37" t="n">
        <v>7</v>
      </c>
      <c r="I31" s="11" t="n">
        <v>2</v>
      </c>
      <c r="J31" s="11" t="n">
        <v>150</v>
      </c>
      <c r="K31" s="11" t="n">
        <v>1000</v>
      </c>
      <c r="L31" s="11" t="s">
        <v>51</v>
      </c>
    </row>
    <row r="32" customFormat="false" ht="20.25" hidden="false" customHeight="false" outlineLevel="0" collapsed="false">
      <c r="A32" s="85" t="n">
        <v>165</v>
      </c>
      <c r="B32" s="86" t="n">
        <v>3</v>
      </c>
      <c r="D32" s="93"/>
      <c r="E32" s="94" t="s">
        <v>62</v>
      </c>
      <c r="F32" s="95" t="n">
        <v>3500</v>
      </c>
      <c r="G32" s="43" t="n">
        <v>3</v>
      </c>
      <c r="I32" s="11" t="n">
        <v>2</v>
      </c>
      <c r="J32" s="11" t="n">
        <v>200</v>
      </c>
      <c r="K32" s="11" t="n">
        <v>1000</v>
      </c>
      <c r="L32" s="11" t="s">
        <v>51</v>
      </c>
    </row>
    <row r="33" customFormat="false" ht="20.25" hidden="false" customHeight="false" outlineLevel="0" collapsed="false">
      <c r="A33" s="85" t="n">
        <v>180</v>
      </c>
      <c r="B33" s="86" t="n">
        <v>9</v>
      </c>
      <c r="D33" s="81" t="n">
        <v>130</v>
      </c>
      <c r="E33" s="91" t="s">
        <v>58</v>
      </c>
      <c r="F33" s="92" t="n">
        <v>8000</v>
      </c>
      <c r="G33" s="37" t="n">
        <v>8</v>
      </c>
      <c r="I33" s="11" t="n">
        <v>5</v>
      </c>
      <c r="J33" s="11" t="n">
        <v>220</v>
      </c>
      <c r="K33" s="11" t="n">
        <v>1000</v>
      </c>
      <c r="L33" s="11" t="s">
        <v>51</v>
      </c>
    </row>
    <row r="34" customFormat="false" ht="20.25" hidden="false" customHeight="false" outlineLevel="0" collapsed="false">
      <c r="A34" s="85" t="n">
        <v>185</v>
      </c>
      <c r="B34" s="86" t="n">
        <v>11</v>
      </c>
      <c r="D34" s="93"/>
      <c r="E34" s="94" t="s">
        <v>62</v>
      </c>
      <c r="F34" s="95" t="n">
        <v>19500</v>
      </c>
      <c r="G34" s="43" t="n">
        <v>13</v>
      </c>
      <c r="I34" s="11"/>
      <c r="J34" s="11"/>
      <c r="K34" s="11"/>
      <c r="L34" s="11" t="s">
        <v>51</v>
      </c>
    </row>
    <row r="35" customFormat="false" ht="20.25" hidden="false" customHeight="false" outlineLevel="0" collapsed="false">
      <c r="A35" s="85" t="n">
        <v>190</v>
      </c>
      <c r="B35" s="86" t="n">
        <v>6</v>
      </c>
      <c r="D35" s="87" t="n">
        <v>135</v>
      </c>
      <c r="E35" s="88" t="s">
        <v>58</v>
      </c>
      <c r="F35" s="89" t="n">
        <v>15600</v>
      </c>
      <c r="G35" s="90" t="n">
        <v>14</v>
      </c>
      <c r="I35" s="11"/>
      <c r="J35" s="11"/>
      <c r="K35" s="11" t="n">
        <v>1000</v>
      </c>
      <c r="L35" s="11" t="s">
        <v>51</v>
      </c>
    </row>
    <row r="36" customFormat="false" ht="20.25" hidden="false" customHeight="false" outlineLevel="0" collapsed="false">
      <c r="A36" s="85" t="n">
        <v>195</v>
      </c>
      <c r="B36" s="86" t="n">
        <v>4</v>
      </c>
      <c r="D36" s="87" t="n">
        <v>138</v>
      </c>
      <c r="E36" s="88" t="s">
        <v>58</v>
      </c>
      <c r="F36" s="89" t="n">
        <v>0</v>
      </c>
      <c r="G36" s="90" t="n">
        <v>0</v>
      </c>
      <c r="I36" s="11"/>
      <c r="J36" s="11"/>
      <c r="K36" s="11" t="n">
        <v>1000</v>
      </c>
      <c r="L36" s="11" t="s">
        <v>51</v>
      </c>
    </row>
    <row r="37" customFormat="false" ht="20.25" hidden="false" customHeight="false" outlineLevel="0" collapsed="false">
      <c r="A37" s="85" t="n">
        <v>196</v>
      </c>
      <c r="B37" s="86" t="n">
        <v>1</v>
      </c>
      <c r="D37" s="87" t="n">
        <v>140</v>
      </c>
      <c r="E37" s="88" t="s">
        <v>58</v>
      </c>
      <c r="F37" s="89" t="n">
        <v>13500</v>
      </c>
      <c r="G37" s="90" t="n">
        <v>10</v>
      </c>
      <c r="I37" s="11"/>
      <c r="J37" s="11"/>
      <c r="K37" s="11" t="n">
        <v>1000</v>
      </c>
      <c r="L37" s="11" t="s">
        <v>51</v>
      </c>
    </row>
    <row r="38" customFormat="false" ht="20.25" hidden="false" customHeight="false" outlineLevel="0" collapsed="false">
      <c r="A38" s="85" t="n">
        <v>200</v>
      </c>
      <c r="B38" s="86" t="n">
        <v>3</v>
      </c>
      <c r="D38" s="81" t="n">
        <v>145</v>
      </c>
      <c r="E38" s="91" t="s">
        <v>58</v>
      </c>
      <c r="F38" s="92" t="n">
        <v>10000</v>
      </c>
      <c r="G38" s="37" t="n">
        <v>9</v>
      </c>
      <c r="I38" s="11"/>
      <c r="J38" s="11"/>
      <c r="K38" s="11" t="n">
        <v>1000</v>
      </c>
      <c r="L38" s="11" t="s">
        <v>51</v>
      </c>
    </row>
    <row r="39" customFormat="false" ht="20.25" hidden="false" customHeight="false" outlineLevel="0" collapsed="false">
      <c r="A39" s="85" t="n">
        <v>210</v>
      </c>
      <c r="B39" s="86" t="n">
        <v>48</v>
      </c>
      <c r="D39" s="93"/>
      <c r="E39" s="94" t="s">
        <v>62</v>
      </c>
      <c r="F39" s="95" t="n">
        <v>6000</v>
      </c>
      <c r="G39" s="43" t="n">
        <v>4</v>
      </c>
      <c r="I39" s="11"/>
      <c r="J39" s="11"/>
      <c r="K39" s="11" t="n">
        <v>1000</v>
      </c>
      <c r="L39" s="11" t="s">
        <v>51</v>
      </c>
    </row>
    <row r="40" customFormat="false" ht="20.25" hidden="false" customHeight="false" outlineLevel="0" collapsed="false">
      <c r="A40" s="85" t="n">
        <v>215</v>
      </c>
      <c r="B40" s="86" t="n">
        <v>1</v>
      </c>
      <c r="D40" s="87" t="n">
        <v>150</v>
      </c>
      <c r="E40" s="88" t="s">
        <v>58</v>
      </c>
      <c r="F40" s="89" t="n">
        <v>3500</v>
      </c>
      <c r="G40" s="90" t="n">
        <v>3</v>
      </c>
      <c r="I40" s="11"/>
      <c r="J40" s="11"/>
      <c r="K40" s="11" t="n">
        <v>1000</v>
      </c>
      <c r="L40" s="11" t="s">
        <v>51</v>
      </c>
    </row>
    <row r="41" customFormat="false" ht="20.25" hidden="false" customHeight="false" outlineLevel="0" collapsed="false">
      <c r="A41" s="85" t="n">
        <v>220</v>
      </c>
      <c r="B41" s="86" t="n">
        <v>0</v>
      </c>
      <c r="D41" s="87" t="n">
        <v>155</v>
      </c>
      <c r="E41" s="88" t="s">
        <v>58</v>
      </c>
      <c r="F41" s="89" t="n">
        <v>8500</v>
      </c>
      <c r="G41" s="90" t="n">
        <v>9</v>
      </c>
    </row>
    <row r="42" customFormat="false" ht="20.25" hidden="false" customHeight="false" outlineLevel="0" collapsed="false">
      <c r="A42" s="85" t="n">
        <v>225</v>
      </c>
      <c r="B42" s="86" t="n">
        <v>1</v>
      </c>
      <c r="D42" s="87" t="n">
        <v>158</v>
      </c>
      <c r="E42" s="88" t="s">
        <v>58</v>
      </c>
      <c r="F42" s="89" t="n">
        <v>15500</v>
      </c>
      <c r="G42" s="90" t="n">
        <v>16</v>
      </c>
    </row>
    <row r="43" customFormat="false" ht="20.25" hidden="false" customHeight="false" outlineLevel="0" collapsed="false">
      <c r="A43" s="85" t="n">
        <v>250</v>
      </c>
      <c r="B43" s="96" t="n">
        <v>18</v>
      </c>
      <c r="D43" s="87" t="n">
        <v>160</v>
      </c>
      <c r="E43" s="88" t="s">
        <v>58</v>
      </c>
      <c r="F43" s="89" t="n">
        <v>4000</v>
      </c>
      <c r="G43" s="90" t="n">
        <v>4</v>
      </c>
      <c r="H43" s="55"/>
      <c r="I43" s="55"/>
    </row>
    <row r="44" customFormat="false" ht="20.25" hidden="false" customHeight="false" outlineLevel="0" collapsed="false">
      <c r="A44" s="44" t="s">
        <v>28</v>
      </c>
      <c r="B44" s="97" t="n">
        <v>389</v>
      </c>
      <c r="D44" s="98" t="s">
        <v>28</v>
      </c>
      <c r="E44" s="99"/>
      <c r="F44" s="45" t="n">
        <v>339900</v>
      </c>
      <c r="G44" s="46" t="n">
        <v>281</v>
      </c>
      <c r="H44" s="55"/>
      <c r="I44" s="5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M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2" activeCellId="0" sqref="E62"/>
    </sheetView>
  </sheetViews>
  <sheetFormatPr defaultColWidth="8.58984375" defaultRowHeight="20.2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9.43"/>
    <col collapsed="false" customWidth="false" hidden="false" outlineLevel="0" max="3" min="3" style="1" width="8.59"/>
    <col collapsed="false" customWidth="true" hidden="false" outlineLevel="0" max="4" min="4" style="1" width="11.43"/>
    <col collapsed="false" customWidth="true" hidden="false" outlineLevel="0" max="5" min="5" style="1" width="20.43"/>
    <col collapsed="false" customWidth="true" hidden="false" outlineLevel="0" max="6" min="6" style="1" width="11.15"/>
    <col collapsed="false" customWidth="true" hidden="false" outlineLevel="0" max="7" min="7" style="1" width="11"/>
    <col collapsed="false" customWidth="true" hidden="false" outlineLevel="0" max="9" min="8" style="1" width="16"/>
    <col collapsed="false" customWidth="true" hidden="false" outlineLevel="0" max="10" min="10" style="1" width="10"/>
    <col collapsed="false" customWidth="true" hidden="false" outlineLevel="0" max="11" min="11" style="1" width="13.57"/>
    <col collapsed="false" customWidth="false" hidden="false" outlineLevel="0" max="12" min="12" style="1" width="8.59"/>
    <col collapsed="false" customWidth="true" hidden="false" outlineLevel="0" max="13" min="13" style="1" width="56.86"/>
    <col collapsed="false" customWidth="true" hidden="false" outlineLevel="0" max="14" min="14" style="1" width="9.43"/>
    <col collapsed="false" customWidth="true" hidden="false" outlineLevel="0" max="15" min="15" style="1" width="8"/>
    <col collapsed="false" customWidth="true" hidden="false" outlineLevel="0" max="16" min="16" style="1" width="8.14"/>
    <col collapsed="false" customWidth="false" hidden="false" outlineLevel="0" max="16384" min="17" style="1" width="8.59"/>
  </cols>
  <sheetData>
    <row r="6" customFormat="false" ht="20.25" hidden="false" customHeight="false" outlineLevel="0" collapsed="false">
      <c r="H6" s="11" t="s">
        <v>76</v>
      </c>
      <c r="I6" s="11" t="s">
        <v>77</v>
      </c>
      <c r="J6" s="11" t="s">
        <v>78</v>
      </c>
      <c r="K6" s="11" t="s">
        <v>79</v>
      </c>
      <c r="L6" s="11" t="s">
        <v>80</v>
      </c>
      <c r="M6" s="100"/>
    </row>
    <row r="7" customFormat="false" ht="20.25" hidden="false" customHeight="false" outlineLevel="0" collapsed="false">
      <c r="H7" s="101" t="n">
        <v>45915</v>
      </c>
      <c r="I7" s="100" t="n">
        <v>70</v>
      </c>
      <c r="J7" s="100" t="n">
        <v>6</v>
      </c>
      <c r="K7" s="11" t="n">
        <v>1000</v>
      </c>
      <c r="L7" s="11" t="n">
        <f aca="false">(I7*J7)*1.5</f>
        <v>630</v>
      </c>
      <c r="M7" s="11" t="s">
        <v>81</v>
      </c>
    </row>
    <row r="8" customFormat="false" ht="20.25" hidden="false" customHeight="false" outlineLevel="0" collapsed="false">
      <c r="H8" s="101" t="n">
        <v>45915</v>
      </c>
      <c r="I8" s="100" t="n">
        <v>90</v>
      </c>
      <c r="J8" s="100" t="n">
        <v>12</v>
      </c>
      <c r="K8" s="11" t="n">
        <v>1000</v>
      </c>
      <c r="L8" s="11" t="n">
        <f aca="false">(I8*J8)*1.5</f>
        <v>1620</v>
      </c>
      <c r="M8" s="11" t="s">
        <v>82</v>
      </c>
    </row>
    <row r="9" customFormat="false" ht="20.25" hidden="false" customHeight="false" outlineLevel="0" collapsed="false">
      <c r="H9" s="101" t="n">
        <v>45915</v>
      </c>
      <c r="I9" s="100" t="n">
        <v>105</v>
      </c>
      <c r="J9" s="100" t="n">
        <v>15</v>
      </c>
      <c r="K9" s="11" t="n">
        <v>1000</v>
      </c>
      <c r="L9" s="11" t="n">
        <f aca="false">(I9*J9)*1.5</f>
        <v>2362.5</v>
      </c>
      <c r="M9" s="11" t="s">
        <v>81</v>
      </c>
    </row>
    <row r="10" customFormat="false" ht="20.25" hidden="false" customHeight="false" outlineLevel="0" collapsed="false">
      <c r="H10" s="101" t="n">
        <v>45915</v>
      </c>
      <c r="I10" s="100" t="n">
        <v>120</v>
      </c>
      <c r="J10" s="100" t="n">
        <v>3</v>
      </c>
      <c r="K10" s="11" t="n">
        <v>1000</v>
      </c>
      <c r="L10" s="11" t="n">
        <f aca="false">(I10*J10)*1.5</f>
        <v>540</v>
      </c>
      <c r="M10" s="11" t="s">
        <v>82</v>
      </c>
    </row>
    <row r="11" customFormat="false" ht="20.25" hidden="false" customHeight="false" outlineLevel="0" collapsed="false">
      <c r="H11" s="101" t="n">
        <v>45915</v>
      </c>
      <c r="I11" s="100" t="n">
        <v>130</v>
      </c>
      <c r="J11" s="100" t="n">
        <v>5</v>
      </c>
      <c r="K11" s="11" t="n">
        <v>1000</v>
      </c>
      <c r="L11" s="11" t="n">
        <f aca="false">(I11*J11)*1.5</f>
        <v>975</v>
      </c>
      <c r="M11" s="11" t="s">
        <v>83</v>
      </c>
    </row>
    <row r="12" customFormat="false" ht="20.25" hidden="false" customHeight="false" outlineLevel="0" collapsed="false">
      <c r="H12" s="101" t="n">
        <v>45915</v>
      </c>
      <c r="I12" s="100" t="n">
        <v>115</v>
      </c>
      <c r="J12" s="100" t="n">
        <v>15</v>
      </c>
      <c r="K12" s="11" t="n">
        <v>1000</v>
      </c>
      <c r="L12" s="11" t="n">
        <f aca="false">(I12*J12)*1.5</f>
        <v>2587.5</v>
      </c>
      <c r="M12" s="11" t="s">
        <v>81</v>
      </c>
    </row>
    <row r="13" customFormat="false" ht="20.25" hidden="false" customHeight="false" outlineLevel="0" collapsed="false">
      <c r="H13" s="101" t="n">
        <v>45915</v>
      </c>
      <c r="I13" s="100" t="n">
        <v>140</v>
      </c>
      <c r="J13" s="100" t="n">
        <v>7</v>
      </c>
      <c r="K13" s="11" t="n">
        <v>1000</v>
      </c>
      <c r="L13" s="11" t="n">
        <f aca="false">(I13*J13)*1.5</f>
        <v>1470</v>
      </c>
      <c r="M13" s="11" t="s">
        <v>81</v>
      </c>
    </row>
    <row r="14" customFormat="false" ht="20.25" hidden="false" customHeight="false" outlineLevel="0" collapsed="false">
      <c r="H14" s="101" t="n">
        <v>45915</v>
      </c>
      <c r="I14" s="100" t="n">
        <v>200</v>
      </c>
      <c r="J14" s="100" t="n">
        <v>3</v>
      </c>
      <c r="K14" s="11" t="n">
        <v>1000</v>
      </c>
      <c r="L14" s="11" t="n">
        <f aca="false">I14*J14</f>
        <v>600</v>
      </c>
      <c r="M14" s="11" t="s">
        <v>81</v>
      </c>
    </row>
    <row r="15" customFormat="false" ht="20.25" hidden="false" customHeight="false" outlineLevel="0" collapsed="false">
      <c r="H15" s="101" t="n">
        <v>45915</v>
      </c>
      <c r="I15" s="100" t="n">
        <v>83</v>
      </c>
      <c r="J15" s="100" t="n">
        <v>4</v>
      </c>
      <c r="K15" s="11" t="n">
        <v>1000</v>
      </c>
      <c r="L15" s="11" t="n">
        <f aca="false">I15*J15</f>
        <v>332</v>
      </c>
      <c r="M15" s="11" t="s">
        <v>81</v>
      </c>
    </row>
    <row r="16" customFormat="false" ht="20.25" hidden="false" customHeight="false" outlineLevel="0" collapsed="false">
      <c r="H16" s="101" t="n">
        <v>45915</v>
      </c>
      <c r="I16" s="100" t="n">
        <v>100</v>
      </c>
      <c r="J16" s="100" t="n">
        <v>10</v>
      </c>
      <c r="K16" s="11" t="n">
        <v>1000</v>
      </c>
      <c r="L16" s="11" t="n">
        <f aca="false">I16*J16</f>
        <v>1000</v>
      </c>
      <c r="M16" s="11" t="s">
        <v>81</v>
      </c>
    </row>
    <row r="17" customFormat="false" ht="20.25" hidden="false" customHeight="false" outlineLevel="0" collapsed="false">
      <c r="C17" s="102"/>
      <c r="D17" s="102"/>
      <c r="E17" s="102"/>
      <c r="F17" s="102"/>
      <c r="G17" s="102"/>
      <c r="H17" s="101" t="n">
        <v>45915</v>
      </c>
      <c r="I17" s="100" t="n">
        <v>110</v>
      </c>
      <c r="J17" s="100" t="n">
        <v>7</v>
      </c>
      <c r="K17" s="11" t="n">
        <v>1000</v>
      </c>
      <c r="L17" s="11" t="n">
        <f aca="false">I17*J17</f>
        <v>770</v>
      </c>
      <c r="M17" s="11" t="s">
        <v>81</v>
      </c>
    </row>
    <row r="18" customFormat="false" ht="20.25" hidden="false" customHeight="false" outlineLevel="0" collapsed="false">
      <c r="B18" s="103" t="s">
        <v>84</v>
      </c>
      <c r="C18" s="104" t="s">
        <v>52</v>
      </c>
      <c r="D18" s="104" t="s">
        <v>24</v>
      </c>
      <c r="E18" s="105" t="s">
        <v>85</v>
      </c>
      <c r="F18" s="106" t="s">
        <v>86</v>
      </c>
      <c r="G18" s="102"/>
      <c r="H18" s="102"/>
      <c r="I18" s="102"/>
      <c r="J18" s="102"/>
      <c r="K18" s="102"/>
      <c r="L18" s="102" t="n">
        <f aca="false">SUM(L7:L17)</f>
        <v>12887</v>
      </c>
      <c r="M18" s="102"/>
    </row>
    <row r="19" customFormat="false" ht="20.25" hidden="false" customHeight="false" outlineLevel="0" collapsed="false">
      <c r="B19" s="107" t="s">
        <v>87</v>
      </c>
      <c r="C19" s="108" t="n">
        <v>250</v>
      </c>
      <c r="D19" s="109" t="n">
        <v>46195</v>
      </c>
      <c r="E19" s="110" t="s">
        <v>88</v>
      </c>
      <c r="F19" s="111"/>
      <c r="G19" s="102"/>
      <c r="H19" s="102"/>
      <c r="I19" s="102"/>
      <c r="J19" s="102"/>
      <c r="K19" s="102"/>
      <c r="L19" s="102"/>
      <c r="M19" s="102"/>
    </row>
    <row r="20" customFormat="false" ht="20.25" hidden="false" customHeight="false" outlineLevel="0" collapsed="false">
      <c r="B20" s="107" t="s">
        <v>87</v>
      </c>
      <c r="C20" s="108" t="n">
        <v>95</v>
      </c>
      <c r="D20" s="109" t="n">
        <v>46196</v>
      </c>
      <c r="E20" s="110" t="s">
        <v>66</v>
      </c>
      <c r="F20" s="111"/>
      <c r="G20" s="102"/>
      <c r="H20" s="10" t="s">
        <v>76</v>
      </c>
      <c r="I20" s="10" t="s">
        <v>77</v>
      </c>
      <c r="J20" s="10" t="s">
        <v>78</v>
      </c>
      <c r="K20" s="10" t="s">
        <v>79</v>
      </c>
      <c r="L20" s="10" t="s">
        <v>80</v>
      </c>
      <c r="M20" s="108"/>
    </row>
    <row r="21" customFormat="false" ht="20.25" hidden="false" customHeight="false" outlineLevel="0" collapsed="false">
      <c r="B21" s="107" t="s">
        <v>89</v>
      </c>
      <c r="C21" s="108" t="n">
        <v>65</v>
      </c>
      <c r="D21" s="109" t="n">
        <v>46196</v>
      </c>
      <c r="E21" s="110"/>
      <c r="F21" s="111"/>
      <c r="G21" s="102"/>
      <c r="H21" s="101" t="n">
        <v>46219</v>
      </c>
      <c r="I21" s="100" t="n">
        <v>75</v>
      </c>
      <c r="J21" s="100" t="n">
        <v>1</v>
      </c>
      <c r="K21" s="11" t="n">
        <v>1000</v>
      </c>
      <c r="L21" s="11" t="n">
        <f aca="false">(I21*J21)*1</f>
        <v>75</v>
      </c>
      <c r="M21" s="11" t="s">
        <v>90</v>
      </c>
    </row>
    <row r="22" customFormat="false" ht="20.25" hidden="false" customHeight="false" outlineLevel="0" collapsed="false">
      <c r="B22" s="112" t="s">
        <v>89</v>
      </c>
      <c r="C22" s="108" t="n">
        <v>90</v>
      </c>
      <c r="D22" s="109"/>
      <c r="E22" s="113" t="s">
        <v>91</v>
      </c>
      <c r="F22" s="111" t="n">
        <v>1</v>
      </c>
      <c r="G22" s="102"/>
      <c r="H22" s="101" t="n">
        <v>46219</v>
      </c>
      <c r="I22" s="100" t="n">
        <v>105</v>
      </c>
      <c r="J22" s="100" t="n">
        <v>1</v>
      </c>
      <c r="K22" s="11" t="n">
        <v>1000</v>
      </c>
      <c r="L22" s="11" t="n">
        <f aca="false">(I22*J22)*1</f>
        <v>105</v>
      </c>
      <c r="M22" s="11" t="s">
        <v>90</v>
      </c>
    </row>
    <row r="23" customFormat="false" ht="20.25" hidden="false" customHeight="false" outlineLevel="0" collapsed="false">
      <c r="B23" s="112" t="s">
        <v>89</v>
      </c>
      <c r="C23" s="108" t="n">
        <v>70</v>
      </c>
      <c r="D23" s="109"/>
      <c r="E23" s="113" t="s">
        <v>91</v>
      </c>
      <c r="F23" s="111" t="n">
        <v>1</v>
      </c>
      <c r="G23" s="102"/>
      <c r="H23" s="101" t="n">
        <v>46219</v>
      </c>
      <c r="I23" s="100" t="n">
        <v>110</v>
      </c>
      <c r="J23" s="100" t="n">
        <v>1</v>
      </c>
      <c r="K23" s="11" t="n">
        <v>1000</v>
      </c>
      <c r="L23" s="11" t="n">
        <f aca="false">(I23*J23)*1</f>
        <v>110</v>
      </c>
      <c r="M23" s="11" t="s">
        <v>90</v>
      </c>
    </row>
    <row r="24" customFormat="false" ht="20.25" hidden="false" customHeight="false" outlineLevel="0" collapsed="false">
      <c r="B24" s="112" t="s">
        <v>92</v>
      </c>
      <c r="C24" s="108" t="n">
        <v>80</v>
      </c>
      <c r="D24" s="109" t="s">
        <v>93</v>
      </c>
      <c r="E24" s="113"/>
      <c r="F24" s="111" t="n">
        <v>1</v>
      </c>
      <c r="G24" s="102"/>
      <c r="H24" s="101" t="n">
        <v>46219</v>
      </c>
      <c r="I24" s="100" t="n">
        <v>220</v>
      </c>
      <c r="J24" s="100" t="n">
        <v>4</v>
      </c>
      <c r="K24" s="11" t="n">
        <v>1000</v>
      </c>
      <c r="L24" s="11" t="n">
        <f aca="false">(I24*J24)*1</f>
        <v>880</v>
      </c>
      <c r="M24" s="11" t="s">
        <v>90</v>
      </c>
    </row>
    <row r="25" customFormat="false" ht="20.25" hidden="false" customHeight="false" outlineLevel="0" collapsed="false">
      <c r="B25" s="112" t="s">
        <v>94</v>
      </c>
      <c r="C25" s="108" t="n">
        <v>120</v>
      </c>
      <c r="D25" s="109" t="n">
        <v>46211</v>
      </c>
      <c r="E25" s="113" t="s">
        <v>95</v>
      </c>
      <c r="F25" s="111" t="n">
        <v>3</v>
      </c>
      <c r="G25" s="102"/>
      <c r="H25" s="101" t="n">
        <v>46219</v>
      </c>
      <c r="I25" s="100" t="n">
        <v>80</v>
      </c>
      <c r="J25" s="100" t="n">
        <v>1</v>
      </c>
      <c r="K25" s="11" t="n">
        <v>1000</v>
      </c>
      <c r="L25" s="11" t="n">
        <f aca="false">(I25*J25)*1</f>
        <v>80</v>
      </c>
      <c r="M25" s="11" t="s">
        <v>90</v>
      </c>
    </row>
    <row r="26" customFormat="false" ht="20.25" hidden="false" customHeight="false" outlineLevel="0" collapsed="false">
      <c r="B26" s="112" t="s">
        <v>96</v>
      </c>
      <c r="C26" s="108" t="n">
        <v>250</v>
      </c>
      <c r="D26" s="109" t="n">
        <v>46213</v>
      </c>
      <c r="E26" s="113" t="s">
        <v>97</v>
      </c>
      <c r="F26" s="111" t="n">
        <v>2</v>
      </c>
      <c r="G26" s="102"/>
      <c r="H26" s="101" t="n">
        <v>46219</v>
      </c>
      <c r="I26" s="100" t="n">
        <v>130</v>
      </c>
      <c r="J26" s="100" t="n">
        <v>1</v>
      </c>
      <c r="K26" s="11" t="n">
        <v>1000</v>
      </c>
      <c r="L26" s="11" t="n">
        <f aca="false">(I26*J26)*1</f>
        <v>130</v>
      </c>
      <c r="M26" s="11" t="s">
        <v>90</v>
      </c>
    </row>
    <row r="27" customFormat="false" ht="20.25" hidden="false" customHeight="false" outlineLevel="0" collapsed="false">
      <c r="B27" s="107" t="s">
        <v>89</v>
      </c>
      <c r="C27" s="108" t="n">
        <v>95</v>
      </c>
      <c r="D27" s="109" t="n">
        <v>46223</v>
      </c>
      <c r="E27" s="110" t="s">
        <v>91</v>
      </c>
      <c r="F27" s="111" t="n">
        <v>3</v>
      </c>
      <c r="G27" s="102"/>
      <c r="H27" s="101" t="n">
        <v>46219</v>
      </c>
      <c r="I27" s="108" t="n">
        <v>120</v>
      </c>
      <c r="J27" s="108" t="n">
        <v>1</v>
      </c>
      <c r="K27" s="108" t="n">
        <v>1000</v>
      </c>
      <c r="L27" s="10" t="n">
        <f aca="false">(I27*J27)*1</f>
        <v>120</v>
      </c>
      <c r="M27" s="11" t="s">
        <v>98</v>
      </c>
    </row>
    <row r="28" customFormat="false" ht="20.25" hidden="false" customHeight="false" outlineLevel="0" collapsed="false">
      <c r="B28" s="107" t="s">
        <v>99</v>
      </c>
      <c r="C28" s="108" t="n">
        <v>110</v>
      </c>
      <c r="D28" s="109" t="n">
        <v>46226</v>
      </c>
      <c r="E28" s="110" t="s">
        <v>100</v>
      </c>
      <c r="F28" s="111" t="n">
        <v>2</v>
      </c>
      <c r="G28" s="102"/>
      <c r="H28" s="102"/>
      <c r="I28" s="102"/>
      <c r="J28" s="102"/>
      <c r="K28" s="102"/>
      <c r="L28" s="102" t="n">
        <f aca="false">SUM(L21:L27)</f>
        <v>1500</v>
      </c>
      <c r="M28" s="102"/>
    </row>
    <row r="29" customFormat="false" ht="20.25" hidden="false" customHeight="false" outlineLevel="0" collapsed="false">
      <c r="B29" s="107" t="s">
        <v>101</v>
      </c>
      <c r="C29" s="108" t="n">
        <v>110</v>
      </c>
      <c r="D29" s="108"/>
      <c r="E29" s="113" t="s">
        <v>102</v>
      </c>
      <c r="F29" s="111" t="n">
        <v>1</v>
      </c>
      <c r="G29" s="102"/>
      <c r="H29" s="102"/>
      <c r="I29" s="102"/>
      <c r="J29" s="102"/>
      <c r="K29" s="102"/>
      <c r="L29" s="102"/>
      <c r="M29" s="102"/>
    </row>
    <row r="30" customFormat="false" ht="20.25" hidden="false" customHeight="false" outlineLevel="0" collapsed="false">
      <c r="B30" s="107" t="s">
        <v>103</v>
      </c>
      <c r="C30" s="108" t="n">
        <v>70</v>
      </c>
      <c r="D30" s="108"/>
      <c r="E30" s="113" t="s">
        <v>104</v>
      </c>
      <c r="F30" s="111" t="n">
        <v>1</v>
      </c>
      <c r="G30" s="102"/>
      <c r="H30" s="10" t="s">
        <v>76</v>
      </c>
      <c r="I30" s="10" t="s">
        <v>77</v>
      </c>
      <c r="J30" s="10" t="s">
        <v>78</v>
      </c>
      <c r="K30" s="10" t="s">
        <v>79</v>
      </c>
      <c r="L30" s="10" t="s">
        <v>80</v>
      </c>
      <c r="M30" s="108"/>
    </row>
    <row r="31" customFormat="false" ht="20.25" hidden="false" customHeight="false" outlineLevel="0" collapsed="false">
      <c r="B31" s="112"/>
      <c r="C31" s="108"/>
      <c r="D31" s="108"/>
      <c r="E31" s="113"/>
      <c r="F31" s="111"/>
      <c r="G31" s="114"/>
      <c r="H31" s="115" t="n">
        <v>46231</v>
      </c>
      <c r="I31" s="10" t="n">
        <v>110</v>
      </c>
      <c r="J31" s="10" t="n">
        <v>20</v>
      </c>
      <c r="K31" s="10" t="n">
        <v>1500</v>
      </c>
      <c r="L31" s="10" t="n">
        <f aca="false">I31*J31</f>
        <v>2200</v>
      </c>
      <c r="M31" s="11" t="s">
        <v>81</v>
      </c>
    </row>
    <row r="32" customFormat="false" ht="20.25" hidden="false" customHeight="false" outlineLevel="0" collapsed="false">
      <c r="B32" s="112"/>
      <c r="C32" s="108"/>
      <c r="D32" s="108"/>
      <c r="E32" s="113"/>
      <c r="F32" s="111"/>
      <c r="G32" s="102"/>
      <c r="H32" s="115" t="n">
        <v>46231</v>
      </c>
      <c r="I32" s="10" t="n">
        <v>138</v>
      </c>
      <c r="J32" s="10" t="n">
        <v>4</v>
      </c>
      <c r="K32" s="10" t="n">
        <v>1500</v>
      </c>
      <c r="L32" s="10" t="n">
        <f aca="false">I32*J32</f>
        <v>552</v>
      </c>
      <c r="M32" s="11" t="s">
        <v>81</v>
      </c>
    </row>
    <row r="33" customFormat="false" ht="20.25" hidden="false" customHeight="false" outlineLevel="0" collapsed="false">
      <c r="H33" s="115" t="n">
        <v>46231</v>
      </c>
      <c r="I33" s="10" t="n">
        <v>150</v>
      </c>
      <c r="J33" s="10" t="n">
        <v>2</v>
      </c>
      <c r="K33" s="10" t="n">
        <v>1500</v>
      </c>
      <c r="L33" s="10" t="n">
        <f aca="false">I33*J33</f>
        <v>300</v>
      </c>
      <c r="M33" s="11" t="s">
        <v>81</v>
      </c>
    </row>
    <row r="34" customFormat="false" ht="20.25" hidden="false" customHeight="false" outlineLevel="0" collapsed="false">
      <c r="H34" s="115" t="n">
        <v>46231</v>
      </c>
      <c r="I34" s="10" t="n">
        <v>200</v>
      </c>
      <c r="J34" s="10" t="n">
        <v>2</v>
      </c>
      <c r="K34" s="10" t="n">
        <v>1500</v>
      </c>
      <c r="L34" s="10" t="n">
        <f aca="false">I34*J34</f>
        <v>400</v>
      </c>
      <c r="M34" s="11" t="s">
        <v>81</v>
      </c>
    </row>
    <row r="35" customFormat="false" ht="20.25" hidden="false" customHeight="false" outlineLevel="0" collapsed="false">
      <c r="H35" s="115" t="n">
        <v>46231</v>
      </c>
      <c r="I35" s="10" t="n">
        <v>220</v>
      </c>
      <c r="J35" s="10" t="n">
        <v>4</v>
      </c>
      <c r="K35" s="10" t="n">
        <v>1500</v>
      </c>
      <c r="L35" s="10" t="n">
        <f aca="false">I35*J35</f>
        <v>880</v>
      </c>
      <c r="M35" s="11" t="s">
        <v>81</v>
      </c>
    </row>
    <row r="36" customFormat="false" ht="20.25" hidden="false" customHeight="false" outlineLevel="0" collapsed="false">
      <c r="H36" s="115"/>
      <c r="I36" s="10"/>
      <c r="J36" s="10"/>
      <c r="K36" s="10"/>
      <c r="L36" s="10"/>
      <c r="M36" s="11"/>
    </row>
    <row r="37" customFormat="false" ht="20.25" hidden="false" customHeight="false" outlineLevel="0" collapsed="false">
      <c r="H37" s="115"/>
      <c r="I37" s="10"/>
      <c r="J37" s="10"/>
      <c r="K37" s="10"/>
      <c r="L37" s="10"/>
      <c r="M37" s="11"/>
    </row>
    <row r="38" customFormat="false" ht="20.25" hidden="false" customHeight="false" outlineLevel="0" collapsed="false">
      <c r="H38" s="115"/>
      <c r="I38" s="10"/>
      <c r="J38" s="10"/>
      <c r="K38" s="10"/>
      <c r="L38" s="10"/>
      <c r="M38" s="10"/>
    </row>
    <row r="39" customFormat="false" ht="20.25" hidden="false" customHeight="false" outlineLevel="0" collapsed="false">
      <c r="H39" s="115"/>
      <c r="I39" s="10"/>
      <c r="J39" s="10"/>
      <c r="K39" s="10"/>
      <c r="L39" s="10"/>
      <c r="M39" s="10"/>
    </row>
    <row r="40" customFormat="false" ht="20.25" hidden="false" customHeight="false" outlineLevel="0" collapsed="false">
      <c r="H40" s="102"/>
      <c r="I40" s="102"/>
      <c r="J40" s="102"/>
      <c r="K40" s="102"/>
      <c r="L40" s="102" t="n">
        <f aca="false">SUM(L31:L39)</f>
        <v>4332</v>
      </c>
      <c r="M40" s="102"/>
    </row>
    <row r="41" customFormat="false" ht="20.25" hidden="false" customHeight="false" outlineLevel="0" collapsed="false">
      <c r="H41" s="102"/>
      <c r="I41" s="102"/>
      <c r="J41" s="102"/>
      <c r="K41" s="102"/>
      <c r="L41" s="102"/>
      <c r="M41" s="102"/>
    </row>
    <row r="42" customFormat="false" ht="20.25" hidden="false" customHeight="false" outlineLevel="0" collapsed="false">
      <c r="H42" s="10" t="s">
        <v>76</v>
      </c>
      <c r="I42" s="10" t="s">
        <v>77</v>
      </c>
      <c r="J42" s="10" t="s">
        <v>78</v>
      </c>
      <c r="K42" s="10" t="s">
        <v>79</v>
      </c>
      <c r="L42" s="10" t="s">
        <v>80</v>
      </c>
      <c r="M42" s="108"/>
    </row>
    <row r="43" customFormat="false" ht="20.25" hidden="false" customHeight="false" outlineLevel="0" collapsed="false">
      <c r="G43" s="116"/>
      <c r="H43" s="115" t="n">
        <v>46231</v>
      </c>
      <c r="I43" s="10" t="n">
        <v>65</v>
      </c>
      <c r="J43" s="10" t="n">
        <v>5</v>
      </c>
      <c r="K43" s="10" t="n">
        <v>1000</v>
      </c>
      <c r="L43" s="10" t="n">
        <f aca="false">(I43*J43)</f>
        <v>325</v>
      </c>
      <c r="M43" s="11" t="s">
        <v>105</v>
      </c>
    </row>
    <row r="44" customFormat="false" ht="20.25" hidden="false" customHeight="false" outlineLevel="0" collapsed="false">
      <c r="H44" s="115" t="n">
        <v>46231</v>
      </c>
      <c r="I44" s="10" t="n">
        <v>90</v>
      </c>
      <c r="J44" s="10" t="n">
        <v>2</v>
      </c>
      <c r="K44" s="10" t="n">
        <v>1000</v>
      </c>
      <c r="L44" s="10" t="n">
        <f aca="false">(I44*J44)</f>
        <v>180</v>
      </c>
      <c r="M44" s="11" t="s">
        <v>105</v>
      </c>
    </row>
    <row r="45" customFormat="false" ht="20.25" hidden="false" customHeight="false" outlineLevel="0" collapsed="false">
      <c r="H45" s="115" t="n">
        <v>46231</v>
      </c>
      <c r="I45" s="10" t="n">
        <v>70</v>
      </c>
      <c r="J45" s="10" t="n">
        <v>1</v>
      </c>
      <c r="K45" s="10" t="n">
        <v>1000</v>
      </c>
      <c r="L45" s="10" t="n">
        <f aca="false">(I45*J45)</f>
        <v>70</v>
      </c>
      <c r="M45" s="11" t="s">
        <v>105</v>
      </c>
    </row>
    <row r="46" customFormat="false" ht="20.25" hidden="false" customHeight="false" outlineLevel="0" collapsed="false">
      <c r="H46" s="115" t="n">
        <v>46231</v>
      </c>
      <c r="I46" s="10" t="n">
        <v>95</v>
      </c>
      <c r="J46" s="10" t="n">
        <v>2</v>
      </c>
      <c r="K46" s="10" t="n">
        <v>1000</v>
      </c>
      <c r="L46" s="10" t="n">
        <f aca="false">(I46*J46)</f>
        <v>190</v>
      </c>
      <c r="M46" s="11" t="s">
        <v>105</v>
      </c>
    </row>
    <row r="47" customFormat="false" ht="20.25" hidden="false" customHeight="false" outlineLevel="0" collapsed="false">
      <c r="H47" s="115" t="n">
        <v>46231</v>
      </c>
      <c r="I47" s="10" t="n">
        <v>110</v>
      </c>
      <c r="J47" s="10" t="n">
        <v>6</v>
      </c>
      <c r="K47" s="10" t="n">
        <v>1000</v>
      </c>
      <c r="L47" s="10" t="n">
        <f aca="false">(I47*J47)</f>
        <v>660</v>
      </c>
      <c r="M47" s="11" t="s">
        <v>105</v>
      </c>
    </row>
    <row r="48" customFormat="false" ht="20.25" hidden="false" customHeight="false" outlineLevel="0" collapsed="false">
      <c r="H48" s="115" t="n">
        <v>46231</v>
      </c>
      <c r="I48" s="10" t="n">
        <v>75</v>
      </c>
      <c r="J48" s="10" t="n">
        <v>1</v>
      </c>
      <c r="K48" s="10" t="n">
        <v>1000</v>
      </c>
      <c r="L48" s="10" t="n">
        <f aca="false">(I48*J48)</f>
        <v>75</v>
      </c>
      <c r="M48" s="11" t="s">
        <v>105</v>
      </c>
    </row>
    <row r="49" customFormat="false" ht="20.25" hidden="false" customHeight="false" outlineLevel="0" collapsed="false">
      <c r="H49" s="55"/>
      <c r="I49" s="55"/>
      <c r="J49" s="55"/>
      <c r="K49" s="55"/>
      <c r="L49" s="117" t="n">
        <f aca="false">SUM(L43:L48)</f>
        <v>1500</v>
      </c>
      <c r="M49" s="55"/>
    </row>
    <row r="50" customFormat="false" ht="20.25" hidden="false" customHeight="false" outlineLevel="0" collapsed="false">
      <c r="H50" s="102"/>
      <c r="I50" s="102"/>
      <c r="J50" s="102"/>
      <c r="K50" s="102"/>
      <c r="L50" s="102"/>
      <c r="M50" s="102"/>
    </row>
    <row r="51" customFormat="false" ht="20.25" hidden="false" customHeight="false" outlineLevel="0" collapsed="false">
      <c r="H51" s="102"/>
      <c r="I51" s="102"/>
      <c r="J51" s="102"/>
      <c r="K51" s="102"/>
      <c r="L51" s="102"/>
      <c r="M51" s="102"/>
    </row>
    <row r="52" customFormat="false" ht="20.25" hidden="false" customHeight="false" outlineLevel="0" collapsed="false">
      <c r="H52" s="10" t="s">
        <v>76</v>
      </c>
      <c r="I52" s="10" t="s">
        <v>77</v>
      </c>
      <c r="J52" s="10" t="s">
        <v>78</v>
      </c>
      <c r="K52" s="10" t="s">
        <v>79</v>
      </c>
      <c r="L52" s="10" t="s">
        <v>80</v>
      </c>
      <c r="M52" s="108"/>
    </row>
    <row r="53" customFormat="false" ht="20.25" hidden="false" customHeight="false" outlineLevel="0" collapsed="false">
      <c r="G53" s="116"/>
      <c r="H53" s="115" t="n">
        <v>46231</v>
      </c>
      <c r="I53" s="10" t="n">
        <v>250</v>
      </c>
      <c r="J53" s="10" t="n">
        <v>50</v>
      </c>
      <c r="K53" s="10" t="n">
        <v>1000</v>
      </c>
      <c r="L53" s="10" t="n">
        <f aca="false">I53*J53</f>
        <v>12500</v>
      </c>
      <c r="M53" s="118" t="s">
        <v>106</v>
      </c>
    </row>
    <row r="54" customFormat="false" ht="20.25" hidden="false" customHeight="false" outlineLevel="0" collapsed="false">
      <c r="H54" s="115" t="n">
        <v>46231</v>
      </c>
      <c r="I54" s="10"/>
      <c r="J54" s="10"/>
      <c r="K54" s="10" t="n">
        <v>1000</v>
      </c>
      <c r="L54" s="10"/>
      <c r="M54" s="118" t="s">
        <v>106</v>
      </c>
    </row>
    <row r="55" customFormat="false" ht="20.25" hidden="false" customHeight="false" outlineLevel="0" collapsed="false">
      <c r="H55" s="115" t="n">
        <v>46231</v>
      </c>
      <c r="I55" s="10"/>
      <c r="J55" s="10"/>
      <c r="K55" s="10" t="n">
        <v>1000</v>
      </c>
      <c r="L55" s="10"/>
      <c r="M55" s="118" t="s">
        <v>106</v>
      </c>
    </row>
    <row r="56" customFormat="false" ht="20.25" hidden="false" customHeight="false" outlineLevel="0" collapsed="false">
      <c r="H56" s="115" t="n">
        <v>46231</v>
      </c>
      <c r="I56" s="10"/>
      <c r="J56" s="10"/>
      <c r="K56" s="10" t="n">
        <v>1000</v>
      </c>
      <c r="L56" s="10"/>
      <c r="M56" s="118" t="s">
        <v>106</v>
      </c>
    </row>
    <row r="57" customFormat="false" ht="20.25" hidden="false" customHeight="false" outlineLevel="0" collapsed="false">
      <c r="H57" s="115" t="n">
        <v>46231</v>
      </c>
      <c r="I57" s="10"/>
      <c r="J57" s="10"/>
      <c r="K57" s="10" t="n">
        <v>1000</v>
      </c>
      <c r="L57" s="10"/>
      <c r="M57" s="118" t="s">
        <v>106</v>
      </c>
    </row>
    <row r="58" customFormat="false" ht="20.25" hidden="false" customHeight="false" outlineLevel="0" collapsed="false">
      <c r="H58" s="115" t="n">
        <v>46231</v>
      </c>
      <c r="I58" s="10"/>
      <c r="J58" s="10"/>
      <c r="K58" s="10" t="n">
        <v>1000</v>
      </c>
      <c r="L58" s="10"/>
      <c r="M58" s="118" t="s">
        <v>106</v>
      </c>
    </row>
    <row r="59" customFormat="false" ht="20.25" hidden="false" customHeight="false" outlineLevel="0" collapsed="false">
      <c r="H59" s="119"/>
      <c r="I59" s="120"/>
      <c r="J59" s="120"/>
      <c r="K59" s="120"/>
      <c r="L59" s="120"/>
      <c r="M59" s="121"/>
    </row>
    <row r="60" customFormat="false" ht="20.25" hidden="false" customHeight="false" outlineLevel="0" collapsed="false">
      <c r="H60" s="115"/>
      <c r="I60" s="10"/>
      <c r="J60" s="10"/>
      <c r="K60" s="10"/>
      <c r="L60" s="10"/>
      <c r="M60" s="10"/>
    </row>
    <row r="61" customFormat="false" ht="20.25" hidden="false" customHeight="false" outlineLevel="0" collapsed="false">
      <c r="H61" s="115"/>
      <c r="I61" s="10"/>
      <c r="J61" s="10"/>
      <c r="K61" s="10"/>
      <c r="L61" s="10"/>
      <c r="M61" s="10"/>
    </row>
    <row r="62" customFormat="false" ht="20.25" hidden="false" customHeight="false" outlineLevel="0" collapsed="false">
      <c r="H62" s="102"/>
      <c r="I62" s="102"/>
      <c r="J62" s="102"/>
      <c r="K62" s="102"/>
      <c r="L62" s="102"/>
      <c r="M62" s="102"/>
    </row>
    <row r="63" customFormat="false" ht="20.25" hidden="false" customHeight="false" outlineLevel="0" collapsed="false">
      <c r="G63" s="116"/>
      <c r="H63" s="10" t="s">
        <v>76</v>
      </c>
      <c r="I63" s="10" t="s">
        <v>77</v>
      </c>
      <c r="J63" s="10" t="s">
        <v>78</v>
      </c>
      <c r="K63" s="10" t="s">
        <v>79</v>
      </c>
      <c r="L63" s="10" t="s">
        <v>80</v>
      </c>
      <c r="M63" s="108"/>
    </row>
    <row r="64" customFormat="false" ht="20.25" hidden="false" customHeight="false" outlineLevel="0" collapsed="false">
      <c r="H64" s="115" t="n">
        <v>46231</v>
      </c>
      <c r="I64" s="10" t="n">
        <v>60</v>
      </c>
      <c r="J64" s="10" t="n">
        <v>3</v>
      </c>
      <c r="K64" s="10" t="n">
        <v>1000</v>
      </c>
      <c r="L64" s="10" t="n">
        <f aca="false">(I64*J64)*1</f>
        <v>180</v>
      </c>
      <c r="M64" s="11" t="s">
        <v>105</v>
      </c>
    </row>
    <row r="65" customFormat="false" ht="20.25" hidden="false" customHeight="false" outlineLevel="0" collapsed="false">
      <c r="H65" s="115" t="n">
        <v>46231</v>
      </c>
      <c r="I65" s="10" t="n">
        <v>85</v>
      </c>
      <c r="J65" s="10" t="n">
        <v>1</v>
      </c>
      <c r="K65" s="10" t="n">
        <v>1000</v>
      </c>
      <c r="L65" s="10" t="n">
        <f aca="false">(I65*J65)*1</f>
        <v>85</v>
      </c>
      <c r="M65" s="11" t="s">
        <v>105</v>
      </c>
    </row>
    <row r="66" customFormat="false" ht="20.25" hidden="false" customHeight="false" outlineLevel="0" collapsed="false">
      <c r="H66" s="115" t="n">
        <v>46231</v>
      </c>
      <c r="I66" s="10" t="n">
        <v>100</v>
      </c>
      <c r="J66" s="10" t="n">
        <v>3</v>
      </c>
      <c r="K66" s="10" t="n">
        <v>1000</v>
      </c>
      <c r="L66" s="10" t="n">
        <f aca="false">(I66*J66)*1</f>
        <v>300</v>
      </c>
      <c r="M66" s="11" t="s">
        <v>105</v>
      </c>
    </row>
    <row r="67" customFormat="false" ht="20.25" hidden="false" customHeight="false" outlineLevel="0" collapsed="false">
      <c r="H67" s="115" t="n">
        <v>46231</v>
      </c>
      <c r="I67" s="10" t="n">
        <v>110</v>
      </c>
      <c r="J67" s="10" t="n">
        <v>8</v>
      </c>
      <c r="K67" s="10" t="n">
        <v>1000</v>
      </c>
      <c r="L67" s="10" t="n">
        <f aca="false">(I67*J67)*1</f>
        <v>880</v>
      </c>
      <c r="M67" s="11" t="s">
        <v>105</v>
      </c>
    </row>
    <row r="68" customFormat="false" ht="20.25" hidden="false" customHeight="false" outlineLevel="0" collapsed="false">
      <c r="H68" s="115" t="n">
        <v>46231</v>
      </c>
      <c r="I68" s="10" t="n">
        <v>55</v>
      </c>
      <c r="J68" s="10" t="n">
        <v>1</v>
      </c>
      <c r="K68" s="10" t="n">
        <v>1000</v>
      </c>
      <c r="L68" s="10" t="n">
        <f aca="false">(I68*J68)*1</f>
        <v>55</v>
      </c>
      <c r="M68" s="11" t="s">
        <v>105</v>
      </c>
    </row>
    <row r="69" customFormat="false" ht="20.25" hidden="false" customHeight="false" outlineLevel="0" collapsed="false">
      <c r="H69" s="55"/>
      <c r="I69" s="55"/>
      <c r="J69" s="55"/>
      <c r="K69" s="55"/>
      <c r="L69" s="117" t="n">
        <f aca="false">SUM(L64:L68)</f>
        <v>1500</v>
      </c>
      <c r="M69" s="55"/>
    </row>
    <row r="72" customFormat="false" ht="20.25" hidden="false" customHeight="false" outlineLevel="0" collapsed="false">
      <c r="H72" s="10" t="s">
        <v>76</v>
      </c>
      <c r="I72" s="10" t="s">
        <v>77</v>
      </c>
      <c r="J72" s="10" t="s">
        <v>78</v>
      </c>
      <c r="K72" s="10" t="s">
        <v>79</v>
      </c>
      <c r="L72" s="10" t="s">
        <v>80</v>
      </c>
      <c r="M72" s="108"/>
    </row>
    <row r="73" customFormat="false" ht="20.25" hidden="false" customHeight="false" outlineLevel="0" collapsed="false">
      <c r="G73" s="116"/>
      <c r="H73" s="115" t="n">
        <v>46231</v>
      </c>
      <c r="I73" s="10" t="n">
        <v>80</v>
      </c>
      <c r="J73" s="10" t="n">
        <v>2</v>
      </c>
      <c r="K73" s="10" t="n">
        <v>1000</v>
      </c>
      <c r="L73" s="10" t="n">
        <f aca="false">(I73*J73)*1</f>
        <v>160</v>
      </c>
      <c r="M73" s="11" t="s">
        <v>107</v>
      </c>
    </row>
    <row r="74" customFormat="false" ht="20.25" hidden="false" customHeight="false" outlineLevel="0" collapsed="false">
      <c r="H74" s="115" t="n">
        <v>46231</v>
      </c>
      <c r="I74" s="10" t="n">
        <v>75</v>
      </c>
      <c r="J74" s="10" t="n">
        <v>2</v>
      </c>
      <c r="K74" s="10" t="n">
        <v>1000</v>
      </c>
      <c r="L74" s="10" t="n">
        <f aca="false">(I74*J74)*1</f>
        <v>150</v>
      </c>
      <c r="M74" s="11" t="s">
        <v>105</v>
      </c>
    </row>
    <row r="75" customFormat="false" ht="20.25" hidden="false" customHeight="false" outlineLevel="0" collapsed="false">
      <c r="H75" s="115" t="n">
        <v>46231</v>
      </c>
      <c r="I75" s="10" t="n">
        <v>110</v>
      </c>
      <c r="J75" s="10" t="n">
        <v>4</v>
      </c>
      <c r="K75" s="10" t="n">
        <v>1000</v>
      </c>
      <c r="L75" s="10" t="n">
        <f aca="false">(I75*J75)*1</f>
        <v>440</v>
      </c>
      <c r="M75" s="11" t="s">
        <v>105</v>
      </c>
    </row>
    <row r="76" customFormat="false" ht="20.25" hidden="false" customHeight="false" outlineLevel="0" collapsed="false">
      <c r="H76" s="115" t="n">
        <v>46231</v>
      </c>
      <c r="I76" s="10"/>
      <c r="J76" s="10"/>
      <c r="K76" s="10" t="n">
        <v>1000</v>
      </c>
      <c r="L76" s="10" t="n">
        <f aca="false">(I76*J76)*1</f>
        <v>0</v>
      </c>
      <c r="M76" s="11" t="s">
        <v>105</v>
      </c>
    </row>
    <row r="77" customFormat="false" ht="20.25" hidden="false" customHeight="false" outlineLevel="0" collapsed="false">
      <c r="H77" s="115" t="n">
        <v>46231</v>
      </c>
      <c r="I77" s="10"/>
      <c r="J77" s="10"/>
      <c r="K77" s="10" t="n">
        <v>1000</v>
      </c>
      <c r="L77" s="10" t="n">
        <f aca="false">(I77*J77)*1</f>
        <v>0</v>
      </c>
      <c r="M77" s="11" t="s">
        <v>105</v>
      </c>
    </row>
    <row r="78" customFormat="false" ht="20.25" hidden="false" customHeight="false" outlineLevel="0" collapsed="false">
      <c r="H78" s="115" t="n">
        <v>46231</v>
      </c>
      <c r="I78" s="10"/>
      <c r="J78" s="10"/>
      <c r="K78" s="10" t="n">
        <v>1000</v>
      </c>
      <c r="L78" s="10" t="n">
        <f aca="false">(I78*J78)*1</f>
        <v>0</v>
      </c>
      <c r="M78" s="11" t="s">
        <v>105</v>
      </c>
    </row>
    <row r="79" customFormat="false" ht="20.25" hidden="false" customHeight="false" outlineLevel="0" collapsed="false">
      <c r="H79" s="55"/>
      <c r="I79" s="55"/>
      <c r="J79" s="55"/>
      <c r="K79" s="55"/>
      <c r="L79" s="117" t="n">
        <f aca="false">SUM(L73:L78)</f>
        <v>750</v>
      </c>
      <c r="M79" s="55"/>
    </row>
    <row r="82" customFormat="false" ht="20.25" hidden="false" customHeight="false" outlineLevel="0" collapsed="false">
      <c r="H82" s="10" t="s">
        <v>76</v>
      </c>
      <c r="I82" s="10" t="s">
        <v>77</v>
      </c>
      <c r="J82" s="10" t="s">
        <v>78</v>
      </c>
      <c r="K82" s="10" t="s">
        <v>79</v>
      </c>
      <c r="L82" s="10" t="s">
        <v>80</v>
      </c>
      <c r="M82" s="108"/>
    </row>
    <row r="83" customFormat="false" ht="20.25" hidden="false" customHeight="false" outlineLevel="0" collapsed="false">
      <c r="H83" s="115" t="n">
        <v>46198</v>
      </c>
      <c r="I83" s="10" t="n">
        <v>110</v>
      </c>
      <c r="J83" s="10" t="n">
        <v>7</v>
      </c>
      <c r="K83" s="10" t="n">
        <v>1500</v>
      </c>
      <c r="L83" s="10" t="n">
        <f aca="false">(I83*J83)*1.5</f>
        <v>1155</v>
      </c>
      <c r="M83" s="11" t="s">
        <v>105</v>
      </c>
    </row>
    <row r="84" customFormat="false" ht="20.25" hidden="false" customHeight="false" outlineLevel="0" collapsed="false">
      <c r="H84" s="115" t="n">
        <v>46198</v>
      </c>
      <c r="I84" s="10" t="n">
        <v>130</v>
      </c>
      <c r="J84" s="10" t="n">
        <v>1</v>
      </c>
      <c r="K84" s="10" t="n">
        <v>1500</v>
      </c>
      <c r="L84" s="10" t="n">
        <f aca="false">(I84*J84)*1.5</f>
        <v>195</v>
      </c>
      <c r="M84" s="11" t="s">
        <v>105</v>
      </c>
    </row>
    <row r="85" customFormat="false" ht="20.25" hidden="false" customHeight="false" outlineLevel="0" collapsed="false">
      <c r="H85" s="115" t="n">
        <v>46198</v>
      </c>
      <c r="I85" s="10" t="n">
        <v>150</v>
      </c>
      <c r="J85" s="10" t="n">
        <v>1</v>
      </c>
      <c r="K85" s="10" t="n">
        <v>1000</v>
      </c>
      <c r="L85" s="10" t="n">
        <f aca="false">(I85*J85)</f>
        <v>150</v>
      </c>
      <c r="M85" s="11" t="s">
        <v>105</v>
      </c>
    </row>
    <row r="86" customFormat="false" ht="20.25" hidden="false" customHeight="false" outlineLevel="0" collapsed="false">
      <c r="H86" s="115" t="n">
        <v>46198</v>
      </c>
      <c r="I86" s="10"/>
      <c r="J86" s="10"/>
      <c r="K86" s="10"/>
      <c r="L86" s="10" t="n">
        <f aca="false">(I86*J86)*1.5</f>
        <v>0</v>
      </c>
      <c r="M86" s="11" t="s">
        <v>105</v>
      </c>
    </row>
    <row r="87" customFormat="false" ht="20.25" hidden="false" customHeight="false" outlineLevel="0" collapsed="false">
      <c r="H87" s="115" t="n">
        <v>46198</v>
      </c>
      <c r="I87" s="10"/>
      <c r="J87" s="10"/>
      <c r="K87" s="10"/>
      <c r="L87" s="10" t="n">
        <f aca="false">(I87*J87)*1.5</f>
        <v>0</v>
      </c>
      <c r="M87" s="11" t="s">
        <v>105</v>
      </c>
    </row>
    <row r="88" customFormat="false" ht="20.25" hidden="false" customHeight="false" outlineLevel="0" collapsed="false">
      <c r="H88" s="115" t="n">
        <v>46198</v>
      </c>
      <c r="I88" s="10"/>
      <c r="J88" s="10"/>
      <c r="K88" s="10"/>
      <c r="L88" s="10" t="n">
        <f aca="false">(I88*J88)*1.5</f>
        <v>0</v>
      </c>
      <c r="M88" s="11" t="s">
        <v>105</v>
      </c>
    </row>
    <row r="89" customFormat="false" ht="20.25" hidden="false" customHeight="false" outlineLevel="0" collapsed="false">
      <c r="H89" s="55"/>
      <c r="I89" s="55"/>
      <c r="J89" s="55"/>
      <c r="K89" s="55"/>
      <c r="L89" s="117" t="n">
        <f aca="false">SUM(L83:L88)</f>
        <v>1500</v>
      </c>
      <c r="M89" s="55"/>
    </row>
    <row r="91" customFormat="false" ht="20.25" hidden="false" customHeight="false" outlineLevel="0" collapsed="false">
      <c r="H91" s="10" t="s">
        <v>76</v>
      </c>
      <c r="I91" s="10" t="s">
        <v>77</v>
      </c>
      <c r="J91" s="10" t="s">
        <v>78</v>
      </c>
      <c r="K91" s="10" t="s">
        <v>79</v>
      </c>
      <c r="L91" s="10" t="s">
        <v>80</v>
      </c>
      <c r="M91" s="108"/>
    </row>
    <row r="92" customFormat="false" ht="20.25" hidden="false" customHeight="false" outlineLevel="0" collapsed="false">
      <c r="H92" s="115" t="n">
        <v>46198</v>
      </c>
      <c r="I92" s="10" t="n">
        <v>210</v>
      </c>
      <c r="J92" s="10" t="n">
        <v>1</v>
      </c>
      <c r="K92" s="10" t="n">
        <v>1000</v>
      </c>
      <c r="L92" s="10" t="n">
        <f aca="false">(I92*J92)</f>
        <v>210</v>
      </c>
      <c r="M92" s="11" t="s">
        <v>105</v>
      </c>
    </row>
    <row r="93" customFormat="false" ht="20.25" hidden="false" customHeight="false" outlineLevel="0" collapsed="false">
      <c r="H93" s="115" t="n">
        <v>46198</v>
      </c>
      <c r="I93" s="10" t="n">
        <v>250</v>
      </c>
      <c r="J93" s="10" t="n">
        <v>2</v>
      </c>
      <c r="K93" s="10" t="n">
        <v>1000</v>
      </c>
      <c r="L93" s="10" t="n">
        <f aca="false">(I93*J93)</f>
        <v>500</v>
      </c>
      <c r="M93" s="11" t="s">
        <v>105</v>
      </c>
    </row>
    <row r="94" customFormat="false" ht="20.25" hidden="false" customHeight="false" outlineLevel="0" collapsed="false">
      <c r="H94" s="115" t="n">
        <v>46198</v>
      </c>
      <c r="I94" s="10" t="n">
        <v>220</v>
      </c>
      <c r="J94" s="10" t="n">
        <v>2</v>
      </c>
      <c r="K94" s="10" t="n">
        <v>1000</v>
      </c>
      <c r="L94" s="10" t="n">
        <f aca="false">(I94*J94)</f>
        <v>440</v>
      </c>
      <c r="M94" s="11" t="s">
        <v>105</v>
      </c>
    </row>
    <row r="95" customFormat="false" ht="20.25" hidden="false" customHeight="false" outlineLevel="0" collapsed="false">
      <c r="H95" s="115" t="n">
        <v>46198</v>
      </c>
      <c r="I95" s="10" t="n">
        <v>110</v>
      </c>
      <c r="J95" s="10" t="n">
        <v>2</v>
      </c>
      <c r="K95" s="10" t="n">
        <v>1000</v>
      </c>
      <c r="L95" s="10" t="n">
        <f aca="false">(I95*J95)</f>
        <v>220</v>
      </c>
      <c r="M95" s="11" t="s">
        <v>105</v>
      </c>
    </row>
    <row r="96" customFormat="false" ht="20.25" hidden="false" customHeight="false" outlineLevel="0" collapsed="false">
      <c r="H96" s="115" t="n">
        <v>46198</v>
      </c>
      <c r="I96" s="10" t="n">
        <v>130</v>
      </c>
      <c r="J96" s="10" t="n">
        <v>1</v>
      </c>
      <c r="K96" s="10" t="n">
        <v>1000</v>
      </c>
      <c r="L96" s="10" t="n">
        <f aca="false">(I96*J96)</f>
        <v>130</v>
      </c>
      <c r="M96" s="11" t="s">
        <v>105</v>
      </c>
    </row>
    <row r="97" customFormat="false" ht="20.25" hidden="false" customHeight="false" outlineLevel="0" collapsed="false">
      <c r="H97" s="115" t="n">
        <v>46198</v>
      </c>
      <c r="I97" s="10"/>
      <c r="J97" s="10"/>
      <c r="K97" s="10" t="n">
        <v>1000</v>
      </c>
      <c r="L97" s="10" t="n">
        <f aca="false">(I97*J97)</f>
        <v>0</v>
      </c>
      <c r="M97" s="11" t="s">
        <v>105</v>
      </c>
    </row>
    <row r="98" customFormat="false" ht="20.25" hidden="false" customHeight="false" outlineLevel="0" collapsed="false">
      <c r="H98" s="55"/>
      <c r="I98" s="55"/>
      <c r="J98" s="55"/>
      <c r="K98" s="55"/>
      <c r="L98" s="117" t="n">
        <f aca="false">SUM(L92:L97)</f>
        <v>1500</v>
      </c>
      <c r="M98" s="55"/>
    </row>
    <row r="100" customFormat="false" ht="20.25" hidden="false" customHeight="false" outlineLevel="0" collapsed="false">
      <c r="H100" s="10" t="s">
        <v>76</v>
      </c>
      <c r="I100" s="10" t="s">
        <v>77</v>
      </c>
      <c r="J100" s="10" t="s">
        <v>78</v>
      </c>
      <c r="K100" s="10" t="s">
        <v>79</v>
      </c>
      <c r="L100" s="10" t="s">
        <v>80</v>
      </c>
      <c r="M100" s="108"/>
    </row>
    <row r="101" customFormat="false" ht="20.25" hidden="false" customHeight="false" outlineLevel="0" collapsed="false">
      <c r="H101" s="115" t="n">
        <v>46198</v>
      </c>
      <c r="I101" s="10" t="n">
        <v>65</v>
      </c>
      <c r="J101" s="10" t="n">
        <v>5</v>
      </c>
      <c r="K101" s="10" t="n">
        <v>1000</v>
      </c>
      <c r="L101" s="10" t="n">
        <f aca="false">(I101*J101)</f>
        <v>325</v>
      </c>
      <c r="M101" s="11" t="s">
        <v>105</v>
      </c>
    </row>
    <row r="102" customFormat="false" ht="20.25" hidden="false" customHeight="false" outlineLevel="0" collapsed="false">
      <c r="H102" s="115" t="n">
        <v>46198</v>
      </c>
      <c r="I102" s="10" t="n">
        <v>85</v>
      </c>
      <c r="J102" s="10" t="n">
        <v>3</v>
      </c>
      <c r="K102" s="10" t="n">
        <v>1000</v>
      </c>
      <c r="L102" s="10" t="n">
        <f aca="false">(I102*J102)</f>
        <v>255</v>
      </c>
      <c r="M102" s="11" t="s">
        <v>105</v>
      </c>
    </row>
    <row r="103" customFormat="false" ht="20.25" hidden="false" customHeight="false" outlineLevel="0" collapsed="false">
      <c r="H103" s="115" t="n">
        <v>46198</v>
      </c>
      <c r="I103" s="10" t="n">
        <v>90</v>
      </c>
      <c r="J103" s="10" t="n">
        <v>3</v>
      </c>
      <c r="K103" s="10" t="n">
        <v>1000</v>
      </c>
      <c r="L103" s="10" t="n">
        <f aca="false">(I103*J103)</f>
        <v>270</v>
      </c>
      <c r="M103" s="11" t="s">
        <v>105</v>
      </c>
    </row>
    <row r="104" customFormat="false" ht="20.25" hidden="false" customHeight="false" outlineLevel="0" collapsed="false">
      <c r="H104" s="115" t="n">
        <v>46198</v>
      </c>
      <c r="I104" s="10" t="n">
        <v>110</v>
      </c>
      <c r="J104" s="10" t="n">
        <v>5</v>
      </c>
      <c r="K104" s="10" t="n">
        <v>1000</v>
      </c>
      <c r="L104" s="10" t="n">
        <f aca="false">(I104*J104)</f>
        <v>550</v>
      </c>
      <c r="M104" s="11" t="s">
        <v>105</v>
      </c>
    </row>
    <row r="105" customFormat="false" ht="20.25" hidden="false" customHeight="false" outlineLevel="0" collapsed="false">
      <c r="H105" s="115" t="n">
        <v>46198</v>
      </c>
      <c r="I105" s="10" t="n">
        <v>100</v>
      </c>
      <c r="J105" s="10" t="n">
        <v>1</v>
      </c>
      <c r="K105" s="10" t="n">
        <v>1000</v>
      </c>
      <c r="L105" s="10" t="n">
        <f aca="false">(I105*J105)</f>
        <v>100</v>
      </c>
      <c r="M105" s="11" t="s">
        <v>105</v>
      </c>
    </row>
    <row r="106" customFormat="false" ht="20.25" hidden="false" customHeight="false" outlineLevel="0" collapsed="false">
      <c r="H106" s="115" t="n">
        <v>46198</v>
      </c>
      <c r="I106" s="10"/>
      <c r="J106" s="10"/>
      <c r="K106" s="10" t="n">
        <v>1000</v>
      </c>
      <c r="L106" s="10" t="n">
        <f aca="false">(I106*J106)</f>
        <v>0</v>
      </c>
      <c r="M106" s="11" t="s">
        <v>105</v>
      </c>
    </row>
    <row r="107" customFormat="false" ht="20.25" hidden="false" customHeight="false" outlineLevel="0" collapsed="false">
      <c r="H107" s="55"/>
      <c r="I107" s="55"/>
      <c r="J107" s="55"/>
      <c r="K107" s="55"/>
      <c r="L107" s="117" t="n">
        <f aca="false">SUM(L101:L106)</f>
        <v>1500</v>
      </c>
      <c r="M107" s="55"/>
    </row>
    <row r="111" customFormat="false" ht="20.25" hidden="false" customHeight="false" outlineLevel="0" collapsed="false">
      <c r="H111" s="10" t="s">
        <v>76</v>
      </c>
      <c r="I111" s="10" t="s">
        <v>77</v>
      </c>
      <c r="J111" s="10" t="s">
        <v>78</v>
      </c>
      <c r="K111" s="10" t="s">
        <v>79</v>
      </c>
      <c r="L111" s="10" t="s">
        <v>80</v>
      </c>
      <c r="M111" s="108"/>
    </row>
    <row r="112" customFormat="false" ht="20.25" hidden="false" customHeight="false" outlineLevel="0" collapsed="false">
      <c r="H112" s="115" t="n">
        <v>46198</v>
      </c>
      <c r="I112" s="10" t="n">
        <v>110</v>
      </c>
      <c r="J112" s="10" t="n">
        <v>9</v>
      </c>
      <c r="K112" s="10" t="n">
        <v>1000</v>
      </c>
      <c r="L112" s="10" t="n">
        <f aca="false">(I112*J112)*1</f>
        <v>990</v>
      </c>
      <c r="M112" s="11" t="s">
        <v>107</v>
      </c>
    </row>
    <row r="113" customFormat="false" ht="20.25" hidden="false" customHeight="false" outlineLevel="0" collapsed="false">
      <c r="H113" s="115" t="n">
        <v>46198</v>
      </c>
      <c r="I113" s="10" t="n">
        <v>135</v>
      </c>
      <c r="J113" s="10" t="n">
        <v>3</v>
      </c>
      <c r="K113" s="10" t="n">
        <v>1000</v>
      </c>
      <c r="L113" s="10" t="n">
        <f aca="false">(I113*J113)*1</f>
        <v>405</v>
      </c>
      <c r="M113" s="11" t="s">
        <v>105</v>
      </c>
    </row>
    <row r="114" customFormat="false" ht="20.25" hidden="false" customHeight="false" outlineLevel="0" collapsed="false">
      <c r="H114" s="115" t="n">
        <v>46198</v>
      </c>
      <c r="I114" s="10" t="n">
        <v>105</v>
      </c>
      <c r="J114" s="10" t="n">
        <v>1</v>
      </c>
      <c r="K114" s="10" t="n">
        <v>1000</v>
      </c>
      <c r="L114" s="10" t="n">
        <f aca="false">(I114*J114)*1</f>
        <v>105</v>
      </c>
      <c r="M114" s="11" t="s">
        <v>105</v>
      </c>
    </row>
    <row r="115" customFormat="false" ht="20.25" hidden="false" customHeight="false" outlineLevel="0" collapsed="false">
      <c r="H115" s="115" t="n">
        <v>46198</v>
      </c>
      <c r="I115" s="10"/>
      <c r="J115" s="10"/>
      <c r="K115" s="10" t="n">
        <v>1000</v>
      </c>
      <c r="L115" s="10" t="n">
        <f aca="false">(I115*J115)*1</f>
        <v>0</v>
      </c>
      <c r="M115" s="11" t="s">
        <v>105</v>
      </c>
    </row>
    <row r="116" customFormat="false" ht="20.25" hidden="false" customHeight="false" outlineLevel="0" collapsed="false">
      <c r="H116" s="115" t="n">
        <v>46198</v>
      </c>
      <c r="I116" s="10"/>
      <c r="J116" s="10"/>
      <c r="K116" s="10" t="n">
        <v>1000</v>
      </c>
      <c r="L116" s="10" t="n">
        <f aca="false">(I116*J116)*1</f>
        <v>0</v>
      </c>
      <c r="M116" s="11" t="s">
        <v>105</v>
      </c>
    </row>
    <row r="117" customFormat="false" ht="20.25" hidden="false" customHeight="false" outlineLevel="0" collapsed="false">
      <c r="H117" s="115" t="n">
        <v>46198</v>
      </c>
      <c r="I117" s="10"/>
      <c r="J117" s="10"/>
      <c r="K117" s="10" t="n">
        <v>1000</v>
      </c>
      <c r="L117" s="10" t="n">
        <f aca="false">(I117*J117)*1</f>
        <v>0</v>
      </c>
      <c r="M117" s="11" t="s">
        <v>105</v>
      </c>
    </row>
    <row r="118" customFormat="false" ht="20.25" hidden="false" customHeight="false" outlineLevel="0" collapsed="false">
      <c r="H118" s="55"/>
      <c r="I118" s="55"/>
      <c r="J118" s="55"/>
      <c r="K118" s="55"/>
      <c r="L118" s="117" t="n">
        <f aca="false">SUM(L112:L117)</f>
        <v>1500</v>
      </c>
      <c r="M118" s="55"/>
    </row>
    <row r="121" customFormat="false" ht="20.25" hidden="false" customHeight="false" outlineLevel="0" collapsed="false">
      <c r="H121" s="10" t="s">
        <v>76</v>
      </c>
      <c r="I121" s="10" t="s">
        <v>77</v>
      </c>
      <c r="J121" s="10" t="s">
        <v>78</v>
      </c>
      <c r="K121" s="10" t="s">
        <v>79</v>
      </c>
      <c r="L121" s="10" t="s">
        <v>80</v>
      </c>
      <c r="M121" s="108"/>
    </row>
    <row r="122" customFormat="false" ht="20.25" hidden="false" customHeight="false" outlineLevel="0" collapsed="false">
      <c r="H122" s="115" t="n">
        <v>46198</v>
      </c>
      <c r="I122" s="10" t="n">
        <v>70</v>
      </c>
      <c r="J122" s="10" t="n">
        <v>4</v>
      </c>
      <c r="K122" s="10" t="n">
        <v>1000</v>
      </c>
      <c r="L122" s="10" t="n">
        <f aca="false">(I122*J122)*1</f>
        <v>280</v>
      </c>
      <c r="M122" s="11" t="s">
        <v>107</v>
      </c>
    </row>
    <row r="123" customFormat="false" ht="20.25" hidden="false" customHeight="false" outlineLevel="0" collapsed="false">
      <c r="H123" s="115" t="n">
        <v>46198</v>
      </c>
      <c r="I123" s="10" t="n">
        <v>75</v>
      </c>
      <c r="J123" s="10" t="n">
        <v>4</v>
      </c>
      <c r="K123" s="10" t="n">
        <v>1000</v>
      </c>
      <c r="L123" s="10" t="n">
        <f aca="false">(I123*J123)*1</f>
        <v>300</v>
      </c>
      <c r="M123" s="11" t="s">
        <v>105</v>
      </c>
    </row>
    <row r="124" customFormat="false" ht="20.25" hidden="false" customHeight="false" outlineLevel="0" collapsed="false">
      <c r="H124" s="115" t="n">
        <v>46198</v>
      </c>
      <c r="I124" s="10" t="n">
        <v>80</v>
      </c>
      <c r="J124" s="10" t="n">
        <v>4</v>
      </c>
      <c r="K124" s="10" t="n">
        <v>1000</v>
      </c>
      <c r="L124" s="10" t="n">
        <f aca="false">(I124*J124)*1</f>
        <v>320</v>
      </c>
      <c r="M124" s="11" t="s">
        <v>105</v>
      </c>
    </row>
    <row r="125" customFormat="false" ht="20.25" hidden="false" customHeight="false" outlineLevel="0" collapsed="false">
      <c r="H125" s="115" t="n">
        <v>46198</v>
      </c>
      <c r="I125" s="10" t="n">
        <v>100</v>
      </c>
      <c r="J125" s="10" t="n">
        <v>6</v>
      </c>
      <c r="K125" s="10" t="n">
        <v>1000</v>
      </c>
      <c r="L125" s="10" t="n">
        <f aca="false">(I125*J125)*1</f>
        <v>600</v>
      </c>
      <c r="M125" s="11" t="s">
        <v>105</v>
      </c>
    </row>
    <row r="126" customFormat="false" ht="20.25" hidden="false" customHeight="false" outlineLevel="0" collapsed="false">
      <c r="H126" s="115" t="n">
        <v>46198</v>
      </c>
      <c r="I126" s="10"/>
      <c r="J126" s="10"/>
      <c r="K126" s="10" t="n">
        <v>1000</v>
      </c>
      <c r="L126" s="10" t="n">
        <f aca="false">(I126*J126)*1</f>
        <v>0</v>
      </c>
      <c r="M126" s="11" t="s">
        <v>105</v>
      </c>
    </row>
    <row r="127" customFormat="false" ht="20.25" hidden="false" customHeight="false" outlineLevel="0" collapsed="false">
      <c r="H127" s="115" t="n">
        <v>46198</v>
      </c>
      <c r="I127" s="10"/>
      <c r="J127" s="10"/>
      <c r="K127" s="10" t="n">
        <v>1000</v>
      </c>
      <c r="L127" s="10" t="n">
        <f aca="false">(I127*J127)*1</f>
        <v>0</v>
      </c>
      <c r="M127" s="11" t="s">
        <v>105</v>
      </c>
    </row>
    <row r="128" customFormat="false" ht="20.25" hidden="false" customHeight="false" outlineLevel="0" collapsed="false">
      <c r="H128" s="55"/>
      <c r="I128" s="55"/>
      <c r="J128" s="55"/>
      <c r="K128" s="55"/>
      <c r="L128" s="117" t="n">
        <f aca="false">SUM(L122:L127)</f>
        <v>1500</v>
      </c>
      <c r="M128" s="5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8" activePane="bottomLeft" state="frozen"/>
      <selection pane="topLeft" activeCell="A1" activeCellId="0" sqref="A1"/>
      <selection pane="bottomLeft" activeCell="I1" activeCellId="0" sqref="I1"/>
    </sheetView>
  </sheetViews>
  <sheetFormatPr defaultColWidth="8.57421875" defaultRowHeight="20.25" zeroHeight="false" outlineLevelRow="0" outlineLevelCol="0"/>
  <cols>
    <col collapsed="false" customWidth="true" hidden="false" outlineLevel="0" max="1" min="1" style="1" width="13.43"/>
    <col collapsed="false" customWidth="true" hidden="false" outlineLevel="0" max="2" min="2" style="1" width="15.72"/>
    <col collapsed="false" customWidth="true" hidden="false" outlineLevel="0" max="3" min="3" style="1" width="12.14"/>
    <col collapsed="false" customWidth="true" hidden="false" outlineLevel="0" max="4" min="4" style="1" width="17.43"/>
    <col collapsed="false" customWidth="true" hidden="false" outlineLevel="0" max="5" min="5" style="1" width="22.43"/>
    <col collapsed="false" customWidth="true" hidden="false" outlineLevel="0" max="6" min="6" style="1" width="10.43"/>
    <col collapsed="false" customWidth="true" hidden="false" outlineLevel="0" max="7" min="7" style="1" width="15"/>
    <col collapsed="false" customWidth="true" hidden="false" outlineLevel="0" max="8" min="8" style="1" width="10.86"/>
    <col collapsed="false" customWidth="true" hidden="false" outlineLevel="0" max="9" min="9" style="1" width="45.14"/>
    <col collapsed="false" customWidth="true" hidden="false" outlineLevel="0" max="10" min="10" style="1" width="13.43"/>
    <col collapsed="false" customWidth="true" hidden="false" outlineLevel="0" max="11" min="11" style="1" width="16.14"/>
    <col collapsed="false" customWidth="true" hidden="false" outlineLevel="0" max="12" min="12" style="1" width="14.14"/>
    <col collapsed="false" customWidth="true" hidden="false" outlineLevel="0" max="13" min="13" style="1" width="13.43"/>
    <col collapsed="false" customWidth="true" hidden="false" outlineLevel="0" max="14" min="14" style="1" width="17.3"/>
    <col collapsed="false" customWidth="true" hidden="false" outlineLevel="0" max="15" min="15" style="1" width="20.86"/>
    <col collapsed="false" customWidth="true" hidden="false" outlineLevel="0" max="35" min="16" style="1" width="9.14"/>
    <col collapsed="false" customWidth="false" hidden="false" outlineLevel="0" max="16381" min="36" style="1" width="8.57"/>
    <col collapsed="false" customWidth="true" hidden="false" outlineLevel="0" max="16384" min="16382" style="1" width="14.43"/>
  </cols>
  <sheetData>
    <row r="1" customFormat="false" ht="57" hidden="false" customHeight="true" outlineLevel="0" collapsed="false">
      <c r="A1" s="122" t="s">
        <v>0</v>
      </c>
      <c r="B1" s="123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4" t="s">
        <v>7</v>
      </c>
      <c r="I1" s="122" t="s">
        <v>8</v>
      </c>
      <c r="J1" s="125" t="s">
        <v>9</v>
      </c>
      <c r="K1" s="122" t="s">
        <v>10</v>
      </c>
      <c r="L1" s="122" t="s">
        <v>11</v>
      </c>
      <c r="M1" s="122" t="s">
        <v>12</v>
      </c>
      <c r="N1" s="126" t="s">
        <v>13</v>
      </c>
      <c r="O1" s="122" t="s">
        <v>14</v>
      </c>
    </row>
    <row r="2" customFormat="false" ht="15" hidden="false" customHeight="true" outlineLevel="0" collapsed="false">
      <c r="A2" s="127" t="n">
        <v>4</v>
      </c>
      <c r="B2" s="10" t="s">
        <v>58</v>
      </c>
      <c r="C2" s="10" t="n">
        <v>60</v>
      </c>
      <c r="D2" s="10" t="n">
        <v>1000</v>
      </c>
      <c r="E2" s="128" t="s">
        <v>108</v>
      </c>
      <c r="F2" s="12" t="n">
        <f aca="false">M2*D2</f>
        <v>0</v>
      </c>
      <c r="G2" s="11" t="s">
        <v>17</v>
      </c>
      <c r="H2" s="11" t="n">
        <f aca="false">(M2*(C2/1000))*D2</f>
        <v>0</v>
      </c>
      <c r="I2" s="129" t="s">
        <v>109</v>
      </c>
      <c r="J2" s="17" t="n">
        <v>45954</v>
      </c>
      <c r="K2" s="10" t="n">
        <v>6</v>
      </c>
      <c r="L2" s="10" t="n">
        <v>6</v>
      </c>
      <c r="M2" s="10" t="n">
        <f aca="false">K2-L2</f>
        <v>0</v>
      </c>
      <c r="N2" s="53" t="n">
        <f aca="false">H2*3.4</f>
        <v>0</v>
      </c>
      <c r="O2" s="10"/>
    </row>
    <row r="3" customFormat="false" ht="15" hidden="false" customHeight="true" outlineLevel="0" collapsed="false">
      <c r="A3" s="127" t="n">
        <v>1</v>
      </c>
      <c r="B3" s="10" t="s">
        <v>62</v>
      </c>
      <c r="C3" s="10" t="n">
        <v>60</v>
      </c>
      <c r="D3" s="10" t="n">
        <v>1000</v>
      </c>
      <c r="E3" s="128" t="s">
        <v>108</v>
      </c>
      <c r="F3" s="12" t="n">
        <f aca="false">M3*D3</f>
        <v>4000</v>
      </c>
      <c r="G3" s="11" t="s">
        <v>17</v>
      </c>
      <c r="H3" s="11" t="n">
        <f aca="false">(M3*(C3/1000))*D3</f>
        <v>240</v>
      </c>
      <c r="I3" s="130" t="s">
        <v>110</v>
      </c>
      <c r="J3" s="17" t="n">
        <v>46162</v>
      </c>
      <c r="K3" s="10" t="n">
        <v>4</v>
      </c>
      <c r="L3" s="10"/>
      <c r="M3" s="10" t="n">
        <f aca="false">K3-L3</f>
        <v>4</v>
      </c>
      <c r="N3" s="53" t="n">
        <f aca="false">H3*3.4</f>
        <v>816</v>
      </c>
      <c r="O3" s="131" t="s">
        <v>111</v>
      </c>
    </row>
    <row r="4" customFormat="false" ht="15" hidden="false" customHeight="true" outlineLevel="0" collapsed="false">
      <c r="A4" s="127" t="n">
        <v>2</v>
      </c>
      <c r="B4" s="10" t="s">
        <v>58</v>
      </c>
      <c r="C4" s="10" t="n">
        <v>60</v>
      </c>
      <c r="D4" s="10" t="n">
        <v>1000</v>
      </c>
      <c r="E4" s="128" t="s">
        <v>108</v>
      </c>
      <c r="F4" s="12" t="n">
        <f aca="false">M4*D4</f>
        <v>18000</v>
      </c>
      <c r="G4" s="11" t="s">
        <v>17</v>
      </c>
      <c r="H4" s="11" t="n">
        <f aca="false">(M4*(C4/1000))*D4</f>
        <v>1080</v>
      </c>
      <c r="I4" s="129" t="s">
        <v>109</v>
      </c>
      <c r="J4" s="17" t="n">
        <v>46162</v>
      </c>
      <c r="K4" s="10" t="n">
        <v>18</v>
      </c>
      <c r="L4" s="10"/>
      <c r="M4" s="10" t="n">
        <f aca="false">K4-L4</f>
        <v>18</v>
      </c>
      <c r="N4" s="53" t="n">
        <f aca="false">H4*3.4</f>
        <v>3672</v>
      </c>
      <c r="O4" s="10"/>
    </row>
    <row r="5" customFormat="false" ht="15" hidden="false" customHeight="true" outlineLevel="0" collapsed="false">
      <c r="A5" s="127" t="n">
        <v>2</v>
      </c>
      <c r="B5" s="10" t="s">
        <v>58</v>
      </c>
      <c r="C5" s="10" t="n">
        <v>65</v>
      </c>
      <c r="D5" s="10" t="n">
        <v>600</v>
      </c>
      <c r="E5" s="128" t="s">
        <v>108</v>
      </c>
      <c r="F5" s="12" t="n">
        <f aca="false">M5*D5</f>
        <v>600</v>
      </c>
      <c r="G5" s="11" t="s">
        <v>17</v>
      </c>
      <c r="H5" s="11" t="n">
        <f aca="false">(M5*(C5/1000))*D5</f>
        <v>39</v>
      </c>
      <c r="I5" s="129" t="s">
        <v>109</v>
      </c>
      <c r="J5" s="17"/>
      <c r="K5" s="10" t="n">
        <v>1</v>
      </c>
      <c r="L5" s="10"/>
      <c r="M5" s="10" t="n">
        <f aca="false">K5-L5</f>
        <v>1</v>
      </c>
      <c r="N5" s="53" t="n">
        <f aca="false">H5*3.4</f>
        <v>132.6</v>
      </c>
      <c r="O5" s="10"/>
    </row>
    <row r="6" customFormat="false" ht="15" hidden="false" customHeight="true" outlineLevel="0" collapsed="false">
      <c r="A6" s="127" t="n">
        <v>1</v>
      </c>
      <c r="B6" s="10" t="s">
        <v>62</v>
      </c>
      <c r="C6" s="10" t="n">
        <v>70</v>
      </c>
      <c r="D6" s="10" t="n">
        <v>1000</v>
      </c>
      <c r="E6" s="128" t="s">
        <v>108</v>
      </c>
      <c r="F6" s="12" t="n">
        <f aca="false">M6*D6</f>
        <v>1000</v>
      </c>
      <c r="G6" s="11" t="s">
        <v>17</v>
      </c>
      <c r="H6" s="11" t="n">
        <f aca="false">(M6*(C6/1000))*D6</f>
        <v>70</v>
      </c>
      <c r="I6" s="130" t="s">
        <v>110</v>
      </c>
      <c r="J6" s="17" t="n">
        <v>45999</v>
      </c>
      <c r="K6" s="10" t="n">
        <v>1</v>
      </c>
      <c r="L6" s="10"/>
      <c r="M6" s="10" t="n">
        <f aca="false">K6-L6</f>
        <v>1</v>
      </c>
      <c r="N6" s="53" t="n">
        <f aca="false">H6*3.4</f>
        <v>238</v>
      </c>
      <c r="O6" s="128"/>
    </row>
    <row r="7" customFormat="false" ht="15" hidden="false" customHeight="true" outlineLevel="0" collapsed="false">
      <c r="A7" s="127" t="n">
        <v>1</v>
      </c>
      <c r="B7" s="10" t="s">
        <v>58</v>
      </c>
      <c r="C7" s="10" t="n">
        <v>70</v>
      </c>
      <c r="D7" s="10" t="n">
        <v>1000</v>
      </c>
      <c r="E7" s="128" t="s">
        <v>108</v>
      </c>
      <c r="F7" s="12" t="n">
        <f aca="false">M7*D7</f>
        <v>1000</v>
      </c>
      <c r="G7" s="11" t="s">
        <v>17</v>
      </c>
      <c r="H7" s="11" t="n">
        <f aca="false">(M7*(C7/1000))*D7</f>
        <v>70</v>
      </c>
      <c r="I7" s="129" t="s">
        <v>109</v>
      </c>
      <c r="J7" s="17"/>
      <c r="K7" s="10" t="n">
        <v>1</v>
      </c>
      <c r="L7" s="10"/>
      <c r="M7" s="10" t="n">
        <f aca="false">K7-L7</f>
        <v>1</v>
      </c>
      <c r="N7" s="53" t="n">
        <f aca="false">H7*3.4</f>
        <v>238</v>
      </c>
      <c r="O7" s="128"/>
    </row>
    <row r="8" customFormat="false" ht="15" hidden="false" customHeight="true" outlineLevel="0" collapsed="false">
      <c r="A8" s="127" t="n">
        <v>1</v>
      </c>
      <c r="B8" s="10" t="s">
        <v>58</v>
      </c>
      <c r="C8" s="10" t="n">
        <v>77</v>
      </c>
      <c r="D8" s="10" t="n">
        <v>1000</v>
      </c>
      <c r="E8" s="128" t="s">
        <v>108</v>
      </c>
      <c r="F8" s="12" t="n">
        <f aca="false">M8*D8</f>
        <v>3000</v>
      </c>
      <c r="G8" s="11" t="s">
        <v>17</v>
      </c>
      <c r="H8" s="11" t="n">
        <f aca="false">(M8*(C8/1000))*D8</f>
        <v>231</v>
      </c>
      <c r="I8" s="129" t="s">
        <v>109</v>
      </c>
      <c r="J8" s="17" t="n">
        <v>45536</v>
      </c>
      <c r="K8" s="10" t="n">
        <v>3</v>
      </c>
      <c r="L8" s="10"/>
      <c r="M8" s="10" t="n">
        <f aca="false">K8-L8</f>
        <v>3</v>
      </c>
      <c r="N8" s="53" t="n">
        <f aca="false">H8*3.4</f>
        <v>785.4</v>
      </c>
      <c r="O8" s="128"/>
    </row>
    <row r="9" customFormat="false" ht="15" hidden="false" customHeight="true" outlineLevel="0" collapsed="false">
      <c r="A9" s="127" t="n">
        <v>1</v>
      </c>
      <c r="B9" s="10" t="s">
        <v>58</v>
      </c>
      <c r="C9" s="10" t="n">
        <v>77</v>
      </c>
      <c r="D9" s="10" t="n">
        <v>1000</v>
      </c>
      <c r="E9" s="128" t="s">
        <v>108</v>
      </c>
      <c r="F9" s="12" t="n">
        <f aca="false">M9*D9</f>
        <v>1000</v>
      </c>
      <c r="G9" s="11" t="s">
        <v>17</v>
      </c>
      <c r="H9" s="11" t="n">
        <f aca="false">(M9*(C9/1000))*D9</f>
        <v>77</v>
      </c>
      <c r="I9" s="129" t="s">
        <v>109</v>
      </c>
      <c r="J9" s="17" t="n">
        <v>45753</v>
      </c>
      <c r="K9" s="10" t="n">
        <v>1</v>
      </c>
      <c r="L9" s="10"/>
      <c r="M9" s="10" t="n">
        <f aca="false">K9-L9</f>
        <v>1</v>
      </c>
      <c r="N9" s="53" t="n">
        <f aca="false">H9*3.4</f>
        <v>261.8</v>
      </c>
      <c r="O9" s="128"/>
    </row>
    <row r="10" customFormat="false" ht="15" hidden="false" customHeight="true" outlineLevel="0" collapsed="false">
      <c r="A10" s="127" t="n">
        <v>1</v>
      </c>
      <c r="B10" s="10" t="s">
        <v>58</v>
      </c>
      <c r="C10" s="10" t="n">
        <v>77</v>
      </c>
      <c r="D10" s="10" t="n">
        <v>1000</v>
      </c>
      <c r="E10" s="128" t="s">
        <v>108</v>
      </c>
      <c r="F10" s="12" t="n">
        <f aca="false">M10*D10</f>
        <v>1000</v>
      </c>
      <c r="G10" s="11" t="s">
        <v>17</v>
      </c>
      <c r="H10" s="11" t="n">
        <f aca="false">(M10*(C10/1000))*D10</f>
        <v>77</v>
      </c>
      <c r="I10" s="129" t="s">
        <v>109</v>
      </c>
      <c r="J10" s="17" t="n">
        <v>45885</v>
      </c>
      <c r="K10" s="10" t="n">
        <v>1</v>
      </c>
      <c r="L10" s="10"/>
      <c r="M10" s="10" t="n">
        <f aca="false">K10-L10</f>
        <v>1</v>
      </c>
      <c r="N10" s="53" t="n">
        <f aca="false">H10*3.4</f>
        <v>261.8</v>
      </c>
      <c r="O10" s="128"/>
    </row>
    <row r="11" customFormat="false" ht="15" hidden="false" customHeight="true" outlineLevel="0" collapsed="false">
      <c r="A11" s="127" t="n">
        <v>1</v>
      </c>
      <c r="B11" s="10" t="s">
        <v>58</v>
      </c>
      <c r="C11" s="10" t="n">
        <v>77</v>
      </c>
      <c r="D11" s="10" t="n">
        <v>1000</v>
      </c>
      <c r="E11" s="128" t="s">
        <v>108</v>
      </c>
      <c r="F11" s="12" t="n">
        <f aca="false">M11*D11</f>
        <v>1000</v>
      </c>
      <c r="G11" s="11" t="s">
        <v>17</v>
      </c>
      <c r="H11" s="11" t="n">
        <f aca="false">(M11*(C11/1000))*D11</f>
        <v>77</v>
      </c>
      <c r="I11" s="129" t="s">
        <v>109</v>
      </c>
      <c r="J11" s="17" t="n">
        <v>45885</v>
      </c>
      <c r="K11" s="10" t="n">
        <v>1</v>
      </c>
      <c r="L11" s="10"/>
      <c r="M11" s="10" t="n">
        <f aca="false">K11-L11</f>
        <v>1</v>
      </c>
      <c r="N11" s="53" t="n">
        <f aca="false">H11*3.4</f>
        <v>261.8</v>
      </c>
      <c r="O11" s="128"/>
    </row>
    <row r="12" customFormat="false" ht="15" hidden="false" customHeight="true" outlineLevel="0" collapsed="false">
      <c r="A12" s="127" t="n">
        <v>1</v>
      </c>
      <c r="B12" s="10" t="s">
        <v>58</v>
      </c>
      <c r="C12" s="10" t="n">
        <v>77</v>
      </c>
      <c r="D12" s="10" t="n">
        <v>500</v>
      </c>
      <c r="E12" s="128" t="s">
        <v>108</v>
      </c>
      <c r="F12" s="12" t="n">
        <f aca="false">M12*D12</f>
        <v>500</v>
      </c>
      <c r="G12" s="11" t="s">
        <v>17</v>
      </c>
      <c r="H12" s="11" t="n">
        <f aca="false">(M12*(C12/1000))*D12</f>
        <v>38.5</v>
      </c>
      <c r="I12" s="129" t="s">
        <v>109</v>
      </c>
      <c r="J12" s="17" t="n">
        <v>45885</v>
      </c>
      <c r="K12" s="10" t="n">
        <v>1</v>
      </c>
      <c r="L12" s="10"/>
      <c r="M12" s="10" t="n">
        <f aca="false">K12-L12</f>
        <v>1</v>
      </c>
      <c r="N12" s="53" t="n">
        <f aca="false">H12*3.4</f>
        <v>130.9</v>
      </c>
      <c r="O12" s="128"/>
    </row>
    <row r="13" customFormat="false" ht="15" hidden="false" customHeight="true" outlineLevel="0" collapsed="false">
      <c r="A13" s="127" t="n">
        <v>1</v>
      </c>
      <c r="B13" s="10" t="s">
        <v>62</v>
      </c>
      <c r="C13" s="10" t="n">
        <v>77</v>
      </c>
      <c r="D13" s="10" t="n">
        <v>1000</v>
      </c>
      <c r="E13" s="128" t="s">
        <v>108</v>
      </c>
      <c r="F13" s="12" t="n">
        <f aca="false">M13*D13</f>
        <v>1000</v>
      </c>
      <c r="G13" s="11" t="s">
        <v>17</v>
      </c>
      <c r="H13" s="11" t="n">
        <f aca="false">(M13*(C13/1000))*D13</f>
        <v>77</v>
      </c>
      <c r="I13" s="130" t="s">
        <v>110</v>
      </c>
      <c r="J13" s="17" t="n">
        <v>45999</v>
      </c>
      <c r="K13" s="10" t="n">
        <v>1</v>
      </c>
      <c r="L13" s="10" t="n">
        <v>0</v>
      </c>
      <c r="M13" s="10" t="n">
        <f aca="false">K13-L13</f>
        <v>1</v>
      </c>
      <c r="N13" s="53" t="n">
        <f aca="false">H13*3.4</f>
        <v>261.8</v>
      </c>
      <c r="O13" s="128"/>
    </row>
    <row r="14" customFormat="false" ht="15" hidden="false" customHeight="true" outlineLevel="0" collapsed="false">
      <c r="A14" s="127" t="n">
        <v>13</v>
      </c>
      <c r="B14" s="10" t="s">
        <v>62</v>
      </c>
      <c r="C14" s="10" t="n">
        <v>77</v>
      </c>
      <c r="D14" s="10" t="n">
        <v>1000</v>
      </c>
      <c r="E14" s="128" t="s">
        <v>108</v>
      </c>
      <c r="F14" s="12" t="n">
        <f aca="false">M14*D14</f>
        <v>4000</v>
      </c>
      <c r="G14" s="11" t="s">
        <v>17</v>
      </c>
      <c r="H14" s="11" t="n">
        <f aca="false">(M14*(C14/1000))*D14</f>
        <v>308</v>
      </c>
      <c r="I14" s="130" t="s">
        <v>110</v>
      </c>
      <c r="J14" s="17" t="n">
        <v>46118</v>
      </c>
      <c r="K14" s="10" t="n">
        <v>4</v>
      </c>
      <c r="L14" s="10"/>
      <c r="M14" s="10" t="n">
        <f aca="false">K14-L14</f>
        <v>4</v>
      </c>
      <c r="N14" s="53" t="n">
        <f aca="false">H14*3.4</f>
        <v>1047.2</v>
      </c>
      <c r="O14" s="128"/>
    </row>
    <row r="15" customFormat="false" ht="15" hidden="false" customHeight="true" outlineLevel="0" collapsed="false">
      <c r="A15" s="127" t="n">
        <v>4</v>
      </c>
      <c r="B15" s="10" t="s">
        <v>58</v>
      </c>
      <c r="C15" s="10" t="n">
        <v>77</v>
      </c>
      <c r="D15" s="10" t="n">
        <v>500</v>
      </c>
      <c r="E15" s="128" t="s">
        <v>108</v>
      </c>
      <c r="F15" s="12" t="n">
        <f aca="false">M15*D15</f>
        <v>500</v>
      </c>
      <c r="G15" s="11" t="s">
        <v>17</v>
      </c>
      <c r="H15" s="11" t="n">
        <f aca="false">(M15*(C15/1000))*D15</f>
        <v>38.5</v>
      </c>
      <c r="I15" s="129" t="s">
        <v>109</v>
      </c>
      <c r="J15" s="17"/>
      <c r="K15" s="10" t="n">
        <v>1</v>
      </c>
      <c r="L15" s="10"/>
      <c r="M15" s="10" t="n">
        <f aca="false">K15-L15</f>
        <v>1</v>
      </c>
      <c r="N15" s="53" t="n">
        <f aca="false">H15*3.4</f>
        <v>130.9</v>
      </c>
      <c r="O15" s="128"/>
    </row>
    <row r="16" customFormat="false" ht="15" hidden="false" customHeight="true" outlineLevel="0" collapsed="false">
      <c r="A16" s="127" t="n">
        <v>14</v>
      </c>
      <c r="B16" s="10" t="s">
        <v>58</v>
      </c>
      <c r="C16" s="10" t="n">
        <v>80</v>
      </c>
      <c r="D16" s="10" t="n">
        <v>1000</v>
      </c>
      <c r="E16" s="128" t="s">
        <v>108</v>
      </c>
      <c r="F16" s="12" t="n">
        <f aca="false">M16*D16</f>
        <v>2000</v>
      </c>
      <c r="G16" s="11" t="s">
        <v>17</v>
      </c>
      <c r="H16" s="11" t="n">
        <f aca="false">(M16*(C16/1000))*D16</f>
        <v>160</v>
      </c>
      <c r="I16" s="129" t="s">
        <v>109</v>
      </c>
      <c r="J16" s="17" t="n">
        <v>45401</v>
      </c>
      <c r="K16" s="10" t="n">
        <v>2</v>
      </c>
      <c r="L16" s="10"/>
      <c r="M16" s="10" t="n">
        <f aca="false">K16-L16</f>
        <v>2</v>
      </c>
      <c r="N16" s="53" t="n">
        <f aca="false">H16*3.4</f>
        <v>544</v>
      </c>
      <c r="O16" s="128"/>
    </row>
    <row r="17" customFormat="false" ht="15" hidden="false" customHeight="true" outlineLevel="0" collapsed="false">
      <c r="A17" s="127" t="n">
        <v>18</v>
      </c>
      <c r="B17" s="10" t="s">
        <v>62</v>
      </c>
      <c r="C17" s="10" t="n">
        <v>86</v>
      </c>
      <c r="D17" s="10" t="n">
        <v>1000</v>
      </c>
      <c r="E17" s="128" t="s">
        <v>108</v>
      </c>
      <c r="F17" s="12" t="n">
        <f aca="false">M17*D17</f>
        <v>1000</v>
      </c>
      <c r="G17" s="11" t="s">
        <v>17</v>
      </c>
      <c r="H17" s="11" t="n">
        <f aca="false">(M17*(C17/1000))*D17</f>
        <v>86</v>
      </c>
      <c r="I17" s="130" t="s">
        <v>110</v>
      </c>
      <c r="J17" s="17" t="n">
        <v>45585</v>
      </c>
      <c r="K17" s="10" t="n">
        <v>1</v>
      </c>
      <c r="L17" s="10"/>
      <c r="M17" s="10" t="n">
        <f aca="false">K17-L17</f>
        <v>1</v>
      </c>
      <c r="N17" s="53" t="n">
        <f aca="false">H17*3.4</f>
        <v>292.4</v>
      </c>
      <c r="O17" s="128"/>
    </row>
    <row r="18" customFormat="false" ht="15" hidden="false" customHeight="true" outlineLevel="0" collapsed="false">
      <c r="A18" s="127" t="n">
        <v>13</v>
      </c>
      <c r="B18" s="10" t="s">
        <v>62</v>
      </c>
      <c r="C18" s="10" t="n">
        <v>86</v>
      </c>
      <c r="D18" s="10" t="n">
        <v>1000</v>
      </c>
      <c r="E18" s="128" t="s">
        <v>108</v>
      </c>
      <c r="F18" s="12" t="n">
        <f aca="false">M18*D18</f>
        <v>1000</v>
      </c>
      <c r="G18" s="11" t="s">
        <v>17</v>
      </c>
      <c r="H18" s="11" t="n">
        <f aca="false">(M18*(C18/1000))*D18</f>
        <v>86</v>
      </c>
      <c r="I18" s="130" t="s">
        <v>110</v>
      </c>
      <c r="J18" s="17" t="n">
        <v>45901</v>
      </c>
      <c r="K18" s="10" t="n">
        <v>1</v>
      </c>
      <c r="L18" s="10"/>
      <c r="M18" s="10" t="n">
        <f aca="false">K18-L18</f>
        <v>1</v>
      </c>
      <c r="N18" s="53" t="n">
        <f aca="false">H18*3.4</f>
        <v>292.4</v>
      </c>
      <c r="O18" s="128"/>
    </row>
    <row r="19" customFormat="false" ht="15" hidden="false" customHeight="true" outlineLevel="0" collapsed="false">
      <c r="A19" s="127" t="n">
        <v>13</v>
      </c>
      <c r="B19" s="10" t="s">
        <v>62</v>
      </c>
      <c r="C19" s="10" t="n">
        <v>95</v>
      </c>
      <c r="D19" s="10" t="n">
        <v>1000</v>
      </c>
      <c r="E19" s="128" t="s">
        <v>108</v>
      </c>
      <c r="F19" s="12" t="n">
        <f aca="false">M19*D19</f>
        <v>0</v>
      </c>
      <c r="G19" s="11" t="s">
        <v>17</v>
      </c>
      <c r="H19" s="11" t="n">
        <f aca="false">(M19*(C19/1000))*D19</f>
        <v>0</v>
      </c>
      <c r="I19" s="130" t="s">
        <v>110</v>
      </c>
      <c r="J19" s="17" t="n">
        <v>45885</v>
      </c>
      <c r="K19" s="10" t="n">
        <v>1</v>
      </c>
      <c r="L19" s="10" t="n">
        <v>1</v>
      </c>
      <c r="M19" s="10" t="n">
        <f aca="false">K19-L19</f>
        <v>0</v>
      </c>
      <c r="N19" s="53" t="n">
        <f aca="false">H19*3.4</f>
        <v>0</v>
      </c>
      <c r="O19" s="128"/>
    </row>
    <row r="20" customFormat="false" ht="15" hidden="false" customHeight="true" outlineLevel="0" collapsed="false">
      <c r="A20" s="127" t="n">
        <v>1</v>
      </c>
      <c r="B20" s="10" t="s">
        <v>58</v>
      </c>
      <c r="C20" s="10" t="n">
        <v>100</v>
      </c>
      <c r="D20" s="10" t="n">
        <v>1000</v>
      </c>
      <c r="E20" s="128" t="s">
        <v>108</v>
      </c>
      <c r="F20" s="12" t="n">
        <f aca="false">M20*D20</f>
        <v>1000</v>
      </c>
      <c r="G20" s="11" t="s">
        <v>17</v>
      </c>
      <c r="H20" s="11" t="n">
        <f aca="false">(M20*(C20/1000))*D20</f>
        <v>100</v>
      </c>
      <c r="I20" s="129" t="s">
        <v>109</v>
      </c>
      <c r="J20" s="17" t="n">
        <v>45850</v>
      </c>
      <c r="K20" s="10" t="n">
        <v>3</v>
      </c>
      <c r="L20" s="10" t="n">
        <v>2</v>
      </c>
      <c r="M20" s="10" t="n">
        <f aca="false">K20-L20</f>
        <v>1</v>
      </c>
      <c r="N20" s="53" t="n">
        <f aca="false">H20*3.4</f>
        <v>340</v>
      </c>
      <c r="O20" s="128"/>
    </row>
    <row r="21" customFormat="false" ht="15" hidden="false" customHeight="true" outlineLevel="0" collapsed="false">
      <c r="A21" s="127" t="n">
        <v>14</v>
      </c>
      <c r="B21" s="10" t="s">
        <v>58</v>
      </c>
      <c r="C21" s="10" t="n">
        <v>100</v>
      </c>
      <c r="D21" s="10" t="n">
        <v>500</v>
      </c>
      <c r="E21" s="128" t="s">
        <v>108</v>
      </c>
      <c r="F21" s="12" t="n">
        <f aca="false">M21*D21</f>
        <v>0</v>
      </c>
      <c r="G21" s="11" t="s">
        <v>17</v>
      </c>
      <c r="H21" s="11" t="n">
        <f aca="false">(M21*(C21/1000))*D21</f>
        <v>0</v>
      </c>
      <c r="I21" s="129" t="s">
        <v>109</v>
      </c>
      <c r="J21" s="17"/>
      <c r="K21" s="10" t="n">
        <v>1</v>
      </c>
      <c r="L21" s="10" t="n">
        <v>1</v>
      </c>
      <c r="M21" s="10" t="n">
        <f aca="false">K21-L21</f>
        <v>0</v>
      </c>
      <c r="N21" s="53" t="n">
        <f aca="false">H21*3.4</f>
        <v>0</v>
      </c>
      <c r="O21" s="10"/>
    </row>
    <row r="22" customFormat="false" ht="15" hidden="false" customHeight="true" outlineLevel="0" collapsed="false">
      <c r="A22" s="127" t="n">
        <v>14</v>
      </c>
      <c r="B22" s="10" t="s">
        <v>58</v>
      </c>
      <c r="C22" s="10" t="n">
        <v>105</v>
      </c>
      <c r="D22" s="10" t="n">
        <v>1000</v>
      </c>
      <c r="E22" s="128" t="s">
        <v>108</v>
      </c>
      <c r="F22" s="12" t="n">
        <f aca="false">M22*D22</f>
        <v>1000</v>
      </c>
      <c r="G22" s="11" t="s">
        <v>17</v>
      </c>
      <c r="H22" s="11" t="n">
        <f aca="false">(M22*(C22/1000))*D22</f>
        <v>105</v>
      </c>
      <c r="I22" s="129" t="s">
        <v>109</v>
      </c>
      <c r="J22" s="17" t="n">
        <v>45885</v>
      </c>
      <c r="K22" s="10" t="n">
        <v>1</v>
      </c>
      <c r="L22" s="10"/>
      <c r="M22" s="10" t="n">
        <f aca="false">K22-L22</f>
        <v>1</v>
      </c>
      <c r="N22" s="53" t="n">
        <f aca="false">H22*3.4</f>
        <v>357</v>
      </c>
      <c r="O22" s="128"/>
    </row>
    <row r="23" customFormat="false" ht="15" hidden="false" customHeight="true" outlineLevel="0" collapsed="false">
      <c r="A23" s="127" t="n">
        <v>13</v>
      </c>
      <c r="B23" s="10" t="s">
        <v>62</v>
      </c>
      <c r="C23" s="10" t="n">
        <v>105</v>
      </c>
      <c r="D23" s="10" t="n">
        <v>600</v>
      </c>
      <c r="E23" s="128" t="s">
        <v>108</v>
      </c>
      <c r="F23" s="12" t="n">
        <f aca="false">M23*D23</f>
        <v>0</v>
      </c>
      <c r="G23" s="11" t="s">
        <v>17</v>
      </c>
      <c r="H23" s="11" t="n">
        <f aca="false">(M23*(C23/1000))*D23</f>
        <v>0</v>
      </c>
      <c r="I23" s="130" t="s">
        <v>110</v>
      </c>
      <c r="J23" s="17" t="n">
        <v>45885</v>
      </c>
      <c r="K23" s="10" t="n">
        <v>1</v>
      </c>
      <c r="L23" s="10" t="n">
        <v>1</v>
      </c>
      <c r="M23" s="10" t="n">
        <f aca="false">K23-L23</f>
        <v>0</v>
      </c>
      <c r="N23" s="53" t="n">
        <f aca="false">H23*3.4</f>
        <v>0</v>
      </c>
      <c r="O23" s="128"/>
    </row>
    <row r="24" customFormat="false" ht="15" hidden="false" customHeight="true" outlineLevel="0" collapsed="false">
      <c r="A24" s="127" t="n">
        <v>16</v>
      </c>
      <c r="B24" s="10" t="s">
        <v>62</v>
      </c>
      <c r="C24" s="10" t="n">
        <v>110</v>
      </c>
      <c r="D24" s="10" t="n">
        <v>1000</v>
      </c>
      <c r="E24" s="128" t="s">
        <v>108</v>
      </c>
      <c r="F24" s="12" t="n">
        <f aca="false">M24*D24</f>
        <v>3000</v>
      </c>
      <c r="G24" s="11" t="s">
        <v>17</v>
      </c>
      <c r="H24" s="11" t="n">
        <f aca="false">(M24*(C24/1000))*D24</f>
        <v>330</v>
      </c>
      <c r="I24" s="130" t="s">
        <v>110</v>
      </c>
      <c r="J24" s="17" t="n">
        <v>46113</v>
      </c>
      <c r="K24" s="10" t="n">
        <v>4</v>
      </c>
      <c r="L24" s="10" t="n">
        <v>1</v>
      </c>
      <c r="M24" s="10" t="n">
        <f aca="false">K24-L24</f>
        <v>3</v>
      </c>
      <c r="N24" s="53" t="n">
        <f aca="false">H24*3.4</f>
        <v>1122</v>
      </c>
      <c r="O24" s="128"/>
    </row>
    <row r="25" customFormat="false" ht="15" hidden="false" customHeight="true" outlineLevel="0" collapsed="false">
      <c r="A25" s="127" t="n">
        <v>13</v>
      </c>
      <c r="B25" s="10" t="s">
        <v>62</v>
      </c>
      <c r="C25" s="10" t="n">
        <v>120</v>
      </c>
      <c r="D25" s="10" t="n">
        <v>1000</v>
      </c>
      <c r="E25" s="128" t="s">
        <v>108</v>
      </c>
      <c r="F25" s="12" t="n">
        <f aca="false">M25*D25</f>
        <v>1000</v>
      </c>
      <c r="G25" s="11" t="s">
        <v>17</v>
      </c>
      <c r="H25" s="11" t="n">
        <f aca="false">(M25*(C25/1000))*D25</f>
        <v>120</v>
      </c>
      <c r="I25" s="130" t="s">
        <v>110</v>
      </c>
      <c r="J25" s="17" t="n">
        <v>46113</v>
      </c>
      <c r="K25" s="10" t="n">
        <v>1</v>
      </c>
      <c r="L25" s="10"/>
      <c r="M25" s="10" t="n">
        <f aca="false">K25-L25</f>
        <v>1</v>
      </c>
      <c r="N25" s="53" t="n">
        <f aca="false">H25*3.4</f>
        <v>408</v>
      </c>
      <c r="O25" s="128"/>
    </row>
    <row r="26" customFormat="false" ht="15" hidden="false" customHeight="true" outlineLevel="0" collapsed="false">
      <c r="A26" s="127" t="n">
        <v>13</v>
      </c>
      <c r="B26" s="10" t="s">
        <v>62</v>
      </c>
      <c r="C26" s="10" t="n">
        <v>120</v>
      </c>
      <c r="D26" s="10" t="n">
        <v>1000</v>
      </c>
      <c r="E26" s="128" t="s">
        <v>108</v>
      </c>
      <c r="F26" s="12" t="n">
        <f aca="false">M26*D26</f>
        <v>1000</v>
      </c>
      <c r="G26" s="11" t="s">
        <v>17</v>
      </c>
      <c r="H26" s="11" t="n">
        <f aca="false">(M26*(C26/1000))*D26</f>
        <v>120</v>
      </c>
      <c r="I26" s="130" t="s">
        <v>110</v>
      </c>
      <c r="J26" s="17" t="n">
        <v>46113</v>
      </c>
      <c r="K26" s="10" t="n">
        <v>1</v>
      </c>
      <c r="L26" s="10"/>
      <c r="M26" s="10" t="n">
        <f aca="false">K26-L26</f>
        <v>1</v>
      </c>
      <c r="N26" s="53" t="n">
        <f aca="false">H26*3.4</f>
        <v>408</v>
      </c>
      <c r="O26" s="128"/>
    </row>
    <row r="27" customFormat="false" ht="15" hidden="false" customHeight="true" outlineLevel="0" collapsed="false">
      <c r="A27" s="127" t="n">
        <v>1</v>
      </c>
      <c r="B27" s="10" t="s">
        <v>62</v>
      </c>
      <c r="C27" s="10" t="n">
        <v>180</v>
      </c>
      <c r="D27" s="10" t="n">
        <v>1000</v>
      </c>
      <c r="E27" s="128" t="s">
        <v>110</v>
      </c>
      <c r="F27" s="12" t="n">
        <f aca="false">M27*D27</f>
        <v>1000</v>
      </c>
      <c r="G27" s="11" t="s">
        <v>17</v>
      </c>
      <c r="H27" s="11" t="n">
        <f aca="false">(M27*(C27/1000))*D27</f>
        <v>180</v>
      </c>
      <c r="I27" s="130" t="s">
        <v>110</v>
      </c>
      <c r="J27" s="17"/>
      <c r="K27" s="10" t="n">
        <v>1</v>
      </c>
      <c r="L27" s="10"/>
      <c r="M27" s="10" t="n">
        <f aca="false">K27-L27</f>
        <v>1</v>
      </c>
      <c r="N27" s="53" t="n">
        <f aca="false">H27*3.4</f>
        <v>612</v>
      </c>
      <c r="O27" s="128"/>
    </row>
    <row r="28" customFormat="false" ht="15" hidden="false" customHeight="true" outlineLevel="0" collapsed="false">
      <c r="A28" s="127" t="n">
        <v>1</v>
      </c>
      <c r="B28" s="10" t="s">
        <v>62</v>
      </c>
      <c r="C28" s="10" t="n">
        <v>188</v>
      </c>
      <c r="D28" s="10" t="n">
        <v>500</v>
      </c>
      <c r="E28" s="128" t="s">
        <v>110</v>
      </c>
      <c r="F28" s="12" t="n">
        <f aca="false">M28*D28</f>
        <v>500</v>
      </c>
      <c r="G28" s="11" t="s">
        <v>17</v>
      </c>
      <c r="H28" s="11" t="n">
        <f aca="false">(M28*(C28/1000))*D28</f>
        <v>94</v>
      </c>
      <c r="I28" s="130" t="s">
        <v>110</v>
      </c>
      <c r="J28" s="17" t="n">
        <v>45999</v>
      </c>
      <c r="K28" s="10" t="n">
        <v>1</v>
      </c>
      <c r="L28" s="10"/>
      <c r="M28" s="10" t="n">
        <f aca="false">K28-L28</f>
        <v>1</v>
      </c>
      <c r="N28" s="53" t="n">
        <f aca="false">H28*3.4</f>
        <v>319.6</v>
      </c>
      <c r="O28" s="128"/>
    </row>
    <row r="29" customFormat="false" ht="15" hidden="false" customHeight="true" outlineLevel="0" collapsed="false">
      <c r="A29" s="127" t="n">
        <v>9</v>
      </c>
      <c r="B29" s="10" t="s">
        <v>62</v>
      </c>
      <c r="C29" s="10" t="n">
        <v>190</v>
      </c>
      <c r="D29" s="10" t="n">
        <v>1000</v>
      </c>
      <c r="E29" s="128" t="s">
        <v>108</v>
      </c>
      <c r="F29" s="12" t="n">
        <f aca="false">M29*D29</f>
        <v>0</v>
      </c>
      <c r="G29" s="11" t="s">
        <v>17</v>
      </c>
      <c r="H29" s="11" t="n">
        <f aca="false">(M29*(C29/1000))*D29</f>
        <v>0</v>
      </c>
      <c r="I29" s="130" t="s">
        <v>110</v>
      </c>
      <c r="J29" s="17" t="n">
        <v>46162</v>
      </c>
      <c r="K29" s="10" t="n">
        <v>1</v>
      </c>
      <c r="L29" s="10" t="n">
        <v>1</v>
      </c>
      <c r="M29" s="10" t="n">
        <f aca="false">K29-L29</f>
        <v>0</v>
      </c>
      <c r="N29" s="53" t="n">
        <f aca="false">H29*3.4</f>
        <v>0</v>
      </c>
      <c r="O29" s="128"/>
    </row>
    <row r="30" customFormat="false" ht="15" hidden="false" customHeight="true" outlineLevel="0" collapsed="false">
      <c r="A30" s="127" t="n">
        <v>21</v>
      </c>
      <c r="B30" s="10" t="s">
        <v>62</v>
      </c>
      <c r="C30" s="10" t="n">
        <v>190</v>
      </c>
      <c r="D30" s="10" t="n">
        <v>1000</v>
      </c>
      <c r="E30" s="128" t="s">
        <v>108</v>
      </c>
      <c r="F30" s="12" t="n">
        <f aca="false">M30*D30</f>
        <v>1000</v>
      </c>
      <c r="G30" s="11" t="s">
        <v>17</v>
      </c>
      <c r="H30" s="11" t="n">
        <f aca="false">(M30*(C30/1000))*D30</f>
        <v>190</v>
      </c>
      <c r="I30" s="130" t="s">
        <v>110</v>
      </c>
      <c r="J30" s="17" t="n">
        <v>46162</v>
      </c>
      <c r="K30" s="10" t="n">
        <v>1</v>
      </c>
      <c r="L30" s="10"/>
      <c r="M30" s="10" t="n">
        <f aca="false">K30-L30</f>
        <v>1</v>
      </c>
      <c r="N30" s="53" t="n">
        <f aca="false">H30*3.4</f>
        <v>646</v>
      </c>
      <c r="O30" s="128"/>
    </row>
    <row r="31" customFormat="false" ht="15" hidden="false" customHeight="true" outlineLevel="0" collapsed="false">
      <c r="A31" s="127" t="n">
        <v>13</v>
      </c>
      <c r="B31" s="10" t="s">
        <v>58</v>
      </c>
      <c r="C31" s="10" t="n">
        <v>190</v>
      </c>
      <c r="D31" s="10" t="n">
        <v>1000</v>
      </c>
      <c r="E31" s="128" t="s">
        <v>108</v>
      </c>
      <c r="F31" s="12" t="n">
        <f aca="false">M31*D31</f>
        <v>1000</v>
      </c>
      <c r="G31" s="11" t="s">
        <v>17</v>
      </c>
      <c r="H31" s="11" t="n">
        <f aca="false">(M31*(C31/1000))*D31</f>
        <v>190</v>
      </c>
      <c r="I31" s="129" t="s">
        <v>109</v>
      </c>
      <c r="J31" s="17" t="n">
        <v>46201</v>
      </c>
      <c r="K31" s="10" t="n">
        <v>1</v>
      </c>
      <c r="L31" s="10"/>
      <c r="M31" s="10" t="n">
        <f aca="false">K31-L31</f>
        <v>1</v>
      </c>
      <c r="N31" s="53" t="n">
        <f aca="false">H31*3.4</f>
        <v>646</v>
      </c>
      <c r="O31" s="19"/>
    </row>
    <row r="32" customFormat="false" ht="15" hidden="false" customHeight="true" outlineLevel="0" collapsed="false">
      <c r="A32" s="127" t="n">
        <v>15</v>
      </c>
      <c r="B32" s="10" t="s">
        <v>58</v>
      </c>
      <c r="C32" s="10" t="n">
        <v>190</v>
      </c>
      <c r="D32" s="10" t="n">
        <v>1000</v>
      </c>
      <c r="E32" s="128" t="s">
        <v>108</v>
      </c>
      <c r="F32" s="12" t="n">
        <f aca="false">M32*D32</f>
        <v>1000</v>
      </c>
      <c r="G32" s="11" t="s">
        <v>17</v>
      </c>
      <c r="H32" s="11" t="n">
        <f aca="false">(M32*(C32/1000))*D32</f>
        <v>190</v>
      </c>
      <c r="I32" s="129" t="s">
        <v>109</v>
      </c>
      <c r="J32" s="17" t="n">
        <v>46201</v>
      </c>
      <c r="K32" s="10" t="n">
        <v>1</v>
      </c>
      <c r="L32" s="10"/>
      <c r="M32" s="10" t="n">
        <f aca="false">K32-L32</f>
        <v>1</v>
      </c>
      <c r="N32" s="53" t="n">
        <f aca="false">H32*3.4</f>
        <v>646</v>
      </c>
      <c r="O32" s="19"/>
    </row>
    <row r="33" customFormat="false" ht="15" hidden="false" customHeight="true" outlineLevel="0" collapsed="false">
      <c r="A33" s="127" t="n">
        <v>14</v>
      </c>
      <c r="B33" s="10" t="s">
        <v>58</v>
      </c>
      <c r="C33" s="10" t="n">
        <v>210</v>
      </c>
      <c r="D33" s="10" t="n">
        <v>1000</v>
      </c>
      <c r="E33" s="128" t="s">
        <v>108</v>
      </c>
      <c r="F33" s="12" t="n">
        <f aca="false">M33*D33</f>
        <v>0</v>
      </c>
      <c r="G33" s="11" t="s">
        <v>17</v>
      </c>
      <c r="H33" s="11" t="n">
        <f aca="false">(M33*(C33/1000))*D33</f>
        <v>0</v>
      </c>
      <c r="I33" s="129" t="s">
        <v>109</v>
      </c>
      <c r="J33" s="17" t="n">
        <v>45954</v>
      </c>
      <c r="K33" s="10" t="n">
        <v>1</v>
      </c>
      <c r="L33" s="10" t="n">
        <v>1</v>
      </c>
      <c r="M33" s="10" t="n">
        <f aca="false">K33-L33</f>
        <v>0</v>
      </c>
      <c r="N33" s="53" t="n">
        <f aca="false">H33*3.4</f>
        <v>0</v>
      </c>
      <c r="O33" s="128"/>
    </row>
    <row r="34" customFormat="false" ht="15" hidden="false" customHeight="true" outlineLevel="0" collapsed="false">
      <c r="A34" s="127" t="n">
        <v>14</v>
      </c>
      <c r="B34" s="10" t="s">
        <v>58</v>
      </c>
      <c r="C34" s="10" t="n">
        <v>210</v>
      </c>
      <c r="D34" s="10" t="n">
        <v>1000</v>
      </c>
      <c r="E34" s="128" t="s">
        <v>108</v>
      </c>
      <c r="F34" s="12" t="n">
        <f aca="false">M34*D34</f>
        <v>3000</v>
      </c>
      <c r="G34" s="11" t="s">
        <v>17</v>
      </c>
      <c r="H34" s="11" t="n">
        <f aca="false">(M34*(C34/1000))*D34</f>
        <v>630</v>
      </c>
      <c r="I34" s="129" t="s">
        <v>109</v>
      </c>
      <c r="J34" s="17" t="n">
        <v>45954</v>
      </c>
      <c r="K34" s="10" t="n">
        <v>4</v>
      </c>
      <c r="L34" s="10" t="n">
        <v>1</v>
      </c>
      <c r="M34" s="10" t="n">
        <f aca="false">K34-L34</f>
        <v>3</v>
      </c>
      <c r="N34" s="53" t="n">
        <f aca="false">H34*3.4</f>
        <v>2142</v>
      </c>
      <c r="O34" s="128"/>
    </row>
    <row r="35" customFormat="false" ht="15" hidden="false" customHeight="true" outlineLevel="0" collapsed="false">
      <c r="A35" s="127" t="s">
        <v>20</v>
      </c>
      <c r="B35" s="10" t="s">
        <v>58</v>
      </c>
      <c r="C35" s="10" t="n">
        <v>210</v>
      </c>
      <c r="D35" s="10" t="n">
        <v>1000</v>
      </c>
      <c r="E35" s="128" t="s">
        <v>108</v>
      </c>
      <c r="F35" s="12" t="n">
        <f aca="false">M35*D35</f>
        <v>10000</v>
      </c>
      <c r="G35" s="11" t="s">
        <v>17</v>
      </c>
      <c r="H35" s="11" t="n">
        <f aca="false">(M35*(C35/1000))*D35</f>
        <v>2100</v>
      </c>
      <c r="I35" s="129" t="s">
        <v>109</v>
      </c>
      <c r="J35" s="17" t="n">
        <v>46201</v>
      </c>
      <c r="K35" s="10" t="n">
        <v>10</v>
      </c>
      <c r="L35" s="10"/>
      <c r="M35" s="10" t="n">
        <f aca="false">K35-L35</f>
        <v>10</v>
      </c>
      <c r="N35" s="53" t="n">
        <f aca="false">H35*3.4</f>
        <v>7140</v>
      </c>
      <c r="O35" s="19"/>
    </row>
    <row r="36" customFormat="false" ht="15" hidden="false" customHeight="true" outlineLevel="0" collapsed="false">
      <c r="A36" s="127" t="s">
        <v>20</v>
      </c>
      <c r="B36" s="10" t="s">
        <v>58</v>
      </c>
      <c r="C36" s="10" t="n">
        <v>210</v>
      </c>
      <c r="D36" s="10" t="n">
        <v>1000</v>
      </c>
      <c r="E36" s="128" t="s">
        <v>108</v>
      </c>
      <c r="F36" s="12" t="n">
        <f aca="false">M36*D36</f>
        <v>10000</v>
      </c>
      <c r="G36" s="11" t="s">
        <v>17</v>
      </c>
      <c r="H36" s="11" t="n">
        <f aca="false">(M36*(C36/1000))*D36</f>
        <v>2100</v>
      </c>
      <c r="I36" s="129" t="s">
        <v>109</v>
      </c>
      <c r="J36" s="17" t="n">
        <v>46201</v>
      </c>
      <c r="K36" s="10" t="n">
        <v>10</v>
      </c>
      <c r="L36" s="10"/>
      <c r="M36" s="10" t="n">
        <f aca="false">K36-L36</f>
        <v>10</v>
      </c>
      <c r="N36" s="53" t="n">
        <f aca="false">H36*3.4</f>
        <v>7140</v>
      </c>
      <c r="O36" s="19"/>
    </row>
    <row r="37" customFormat="false" ht="15" hidden="false" customHeight="true" outlineLevel="0" collapsed="false">
      <c r="A37" s="127" t="n">
        <v>2</v>
      </c>
      <c r="B37" s="10" t="s">
        <v>58</v>
      </c>
      <c r="C37" s="10" t="n">
        <v>220</v>
      </c>
      <c r="D37" s="10" t="n">
        <v>1000</v>
      </c>
      <c r="E37" s="128" t="s">
        <v>108</v>
      </c>
      <c r="F37" s="12" t="n">
        <f aca="false">M37*D37</f>
        <v>0</v>
      </c>
      <c r="G37" s="11" t="s">
        <v>17</v>
      </c>
      <c r="H37" s="11" t="n">
        <f aca="false">(M37*(C37/1000))*D37</f>
        <v>0</v>
      </c>
      <c r="I37" s="129" t="s">
        <v>109</v>
      </c>
      <c r="J37" s="17" t="n">
        <v>45954</v>
      </c>
      <c r="K37" s="10" t="n">
        <v>1</v>
      </c>
      <c r="L37" s="10" t="n">
        <v>1</v>
      </c>
      <c r="M37" s="10" t="n">
        <f aca="false">K37-L37</f>
        <v>0</v>
      </c>
      <c r="N37" s="53" t="n">
        <f aca="false">H37*3.4</f>
        <v>0</v>
      </c>
      <c r="O37" s="128"/>
    </row>
    <row r="38" customFormat="false" ht="15" hidden="false" customHeight="true" outlineLevel="0" collapsed="false">
      <c r="A38" s="127" t="n">
        <v>6</v>
      </c>
      <c r="B38" s="10" t="s">
        <v>62</v>
      </c>
      <c r="C38" s="10" t="n">
        <v>220</v>
      </c>
      <c r="D38" s="10" t="n">
        <v>1000</v>
      </c>
      <c r="E38" s="128" t="s">
        <v>108</v>
      </c>
      <c r="F38" s="12" t="n">
        <f aca="false">M38*D38</f>
        <v>0</v>
      </c>
      <c r="G38" s="11" t="s">
        <v>17</v>
      </c>
      <c r="H38" s="11" t="n">
        <f aca="false">(M38*(C38/1000))*D38</f>
        <v>0</v>
      </c>
      <c r="I38" s="130" t="s">
        <v>110</v>
      </c>
      <c r="J38" s="17" t="n">
        <v>45954</v>
      </c>
      <c r="K38" s="10" t="n">
        <v>3</v>
      </c>
      <c r="L38" s="10" t="n">
        <v>3</v>
      </c>
      <c r="M38" s="10" t="n">
        <f aca="false">K38-L38</f>
        <v>0</v>
      </c>
      <c r="N38" s="53" t="n">
        <f aca="false">H38*3.4</f>
        <v>0</v>
      </c>
      <c r="O38" s="128"/>
    </row>
    <row r="39" customFormat="false" ht="15" hidden="false" customHeight="true" outlineLevel="0" collapsed="false">
      <c r="A39" s="127" t="n">
        <v>8</v>
      </c>
      <c r="B39" s="10" t="s">
        <v>62</v>
      </c>
      <c r="C39" s="10" t="n">
        <v>220</v>
      </c>
      <c r="D39" s="10" t="n">
        <v>500</v>
      </c>
      <c r="E39" s="128" t="s">
        <v>108</v>
      </c>
      <c r="F39" s="12" t="n">
        <f aca="false">M39*D39</f>
        <v>0</v>
      </c>
      <c r="G39" s="11" t="s">
        <v>17</v>
      </c>
      <c r="H39" s="11" t="n">
        <f aca="false">(M39*(C39/1000))*D39</f>
        <v>0</v>
      </c>
      <c r="I39" s="130" t="s">
        <v>110</v>
      </c>
      <c r="J39" s="17" t="n">
        <v>45954</v>
      </c>
      <c r="K39" s="10" t="n">
        <v>1</v>
      </c>
      <c r="L39" s="10" t="n">
        <v>1</v>
      </c>
      <c r="M39" s="10" t="n">
        <f aca="false">K39-L39</f>
        <v>0</v>
      </c>
      <c r="N39" s="53" t="n">
        <f aca="false">H39*3.4</f>
        <v>0</v>
      </c>
      <c r="O39" s="128"/>
    </row>
    <row r="40" customFormat="false" ht="15" hidden="false" customHeight="true" outlineLevel="0" collapsed="false">
      <c r="A40" s="127" t="n">
        <v>15</v>
      </c>
      <c r="B40" s="10" t="s">
        <v>62</v>
      </c>
      <c r="C40" s="10" t="n">
        <v>220</v>
      </c>
      <c r="D40" s="10" t="n">
        <v>1000</v>
      </c>
      <c r="E40" s="128" t="s">
        <v>110</v>
      </c>
      <c r="F40" s="12" t="n">
        <f aca="false">M40*D40</f>
        <v>0</v>
      </c>
      <c r="G40" s="11" t="s">
        <v>17</v>
      </c>
      <c r="H40" s="11" t="n">
        <f aca="false">(M40*(C40/1000))*D40</f>
        <v>0</v>
      </c>
      <c r="I40" s="130" t="s">
        <v>110</v>
      </c>
      <c r="J40" s="17" t="n">
        <v>46162</v>
      </c>
      <c r="K40" s="10" t="n">
        <v>1</v>
      </c>
      <c r="L40" s="10" t="n">
        <v>1</v>
      </c>
      <c r="M40" s="10" t="n">
        <f aca="false">K40-L40</f>
        <v>0</v>
      </c>
      <c r="N40" s="53" t="n">
        <f aca="false">H40*3.4</f>
        <v>0</v>
      </c>
      <c r="O40" s="128"/>
    </row>
    <row r="41" customFormat="false" ht="15" hidden="false" customHeight="true" outlineLevel="0" collapsed="false">
      <c r="A41" s="127" t="n">
        <v>15</v>
      </c>
      <c r="B41" s="10" t="s">
        <v>58</v>
      </c>
      <c r="C41" s="10" t="n">
        <v>220</v>
      </c>
      <c r="D41" s="10" t="n">
        <v>1000</v>
      </c>
      <c r="E41" s="128" t="s">
        <v>108</v>
      </c>
      <c r="F41" s="12" t="n">
        <f aca="false">M41*D41</f>
        <v>0</v>
      </c>
      <c r="G41" s="11" t="s">
        <v>17</v>
      </c>
      <c r="H41" s="11" t="n">
        <f aca="false">(M41*(C41/1000))*D41</f>
        <v>0</v>
      </c>
      <c r="I41" s="129" t="s">
        <v>109</v>
      </c>
      <c r="J41" s="17" t="n">
        <v>46162</v>
      </c>
      <c r="K41" s="10" t="n">
        <v>1</v>
      </c>
      <c r="L41" s="10" t="n">
        <v>1</v>
      </c>
      <c r="M41" s="10" t="n">
        <f aca="false">K41-L41</f>
        <v>0</v>
      </c>
      <c r="N41" s="53" t="n">
        <f aca="false">H41*3.4</f>
        <v>0</v>
      </c>
      <c r="O41" s="128"/>
    </row>
    <row r="42" customFormat="false" ht="15" hidden="false" customHeight="true" outlineLevel="0" collapsed="false">
      <c r="A42" s="127" t="n">
        <v>9</v>
      </c>
      <c r="B42" s="10" t="s">
        <v>58</v>
      </c>
      <c r="C42" s="10" t="n">
        <v>220</v>
      </c>
      <c r="D42" s="10" t="n">
        <v>1000</v>
      </c>
      <c r="E42" s="128" t="s">
        <v>108</v>
      </c>
      <c r="F42" s="12" t="n">
        <f aca="false">M42*D42</f>
        <v>1000</v>
      </c>
      <c r="G42" s="11" t="s">
        <v>17</v>
      </c>
      <c r="H42" s="11" t="n">
        <f aca="false">(M42*(C42/1000))*D42</f>
        <v>220</v>
      </c>
      <c r="I42" s="129" t="s">
        <v>109</v>
      </c>
      <c r="J42" s="17" t="n">
        <v>46185</v>
      </c>
      <c r="K42" s="10" t="n">
        <v>2</v>
      </c>
      <c r="L42" s="10" t="n">
        <v>1</v>
      </c>
      <c r="M42" s="10" t="n">
        <f aca="false">K42-L42</f>
        <v>1</v>
      </c>
      <c r="N42" s="53" t="n">
        <f aca="false">H42*3.4</f>
        <v>748</v>
      </c>
      <c r="O42" s="128"/>
    </row>
    <row r="43" customFormat="false" ht="15" hidden="false" customHeight="true" outlineLevel="0" collapsed="false">
      <c r="A43" s="127" t="s">
        <v>20</v>
      </c>
      <c r="B43" s="10" t="s">
        <v>58</v>
      </c>
      <c r="C43" s="10" t="n">
        <v>220</v>
      </c>
      <c r="D43" s="10" t="n">
        <v>1000</v>
      </c>
      <c r="E43" s="128" t="s">
        <v>108</v>
      </c>
      <c r="F43" s="12" t="n">
        <f aca="false">M43*D43</f>
        <v>0</v>
      </c>
      <c r="G43" s="11" t="s">
        <v>17</v>
      </c>
      <c r="H43" s="11" t="n">
        <f aca="false">(M43*(C43/1000))*D43</f>
        <v>0</v>
      </c>
      <c r="I43" s="129" t="s">
        <v>109</v>
      </c>
      <c r="J43" s="17" t="n">
        <v>46201</v>
      </c>
      <c r="K43" s="10" t="n">
        <v>7</v>
      </c>
      <c r="L43" s="10" t="n">
        <v>7</v>
      </c>
      <c r="M43" s="10" t="n">
        <f aca="false">K43-L43</f>
        <v>0</v>
      </c>
      <c r="N43" s="53" t="n">
        <f aca="false">H43*3.4</f>
        <v>0</v>
      </c>
      <c r="O43" s="19"/>
    </row>
    <row r="44" customFormat="false" ht="15" hidden="false" customHeight="true" outlineLevel="0" collapsed="false">
      <c r="A44" s="127" t="s">
        <v>20</v>
      </c>
      <c r="B44" s="10" t="s">
        <v>58</v>
      </c>
      <c r="C44" s="10" t="n">
        <v>220</v>
      </c>
      <c r="D44" s="10" t="n">
        <v>1000</v>
      </c>
      <c r="E44" s="128" t="s">
        <v>108</v>
      </c>
      <c r="F44" s="12" t="n">
        <f aca="false">M44*D44</f>
        <v>8000</v>
      </c>
      <c r="G44" s="11" t="s">
        <v>17</v>
      </c>
      <c r="H44" s="11" t="n">
        <f aca="false">(M44*(C44/1000))*D44</f>
        <v>1760</v>
      </c>
      <c r="I44" s="129" t="s">
        <v>109</v>
      </c>
      <c r="J44" s="17" t="n">
        <v>46201</v>
      </c>
      <c r="K44" s="10" t="n">
        <v>8</v>
      </c>
      <c r="L44" s="10"/>
      <c r="M44" s="10" t="n">
        <f aca="false">K44-L44</f>
        <v>8</v>
      </c>
      <c r="N44" s="53" t="n">
        <f aca="false">H44*3.4</f>
        <v>5984</v>
      </c>
      <c r="O44" s="19"/>
    </row>
    <row r="45" customFormat="false" ht="15" hidden="false" customHeight="true" outlineLevel="0" collapsed="false">
      <c r="A45" s="127" t="n">
        <v>21</v>
      </c>
      <c r="B45" s="10" t="s">
        <v>58</v>
      </c>
      <c r="C45" s="10" t="n">
        <v>240</v>
      </c>
      <c r="D45" s="10" t="n">
        <v>1000</v>
      </c>
      <c r="E45" s="128" t="s">
        <v>108</v>
      </c>
      <c r="F45" s="12" t="n">
        <f aca="false">M45*D45</f>
        <v>1000</v>
      </c>
      <c r="G45" s="11" t="s">
        <v>17</v>
      </c>
      <c r="H45" s="11" t="n">
        <f aca="false">(M45*(C45/1000))*D45</f>
        <v>240</v>
      </c>
      <c r="I45" s="129" t="s">
        <v>109</v>
      </c>
      <c r="J45" s="17" t="n">
        <v>45885</v>
      </c>
      <c r="K45" s="10" t="n">
        <v>1</v>
      </c>
      <c r="L45" s="10"/>
      <c r="M45" s="10" t="n">
        <f aca="false">K45-L45</f>
        <v>1</v>
      </c>
      <c r="N45" s="53" t="n">
        <f aca="false">H45*3.4</f>
        <v>816</v>
      </c>
      <c r="O45" s="128"/>
    </row>
    <row r="46" customFormat="false" ht="15" hidden="false" customHeight="true" outlineLevel="0" collapsed="false">
      <c r="A46" s="127" t="n">
        <v>15</v>
      </c>
      <c r="B46" s="10" t="s">
        <v>62</v>
      </c>
      <c r="C46" s="10" t="n">
        <v>250</v>
      </c>
      <c r="D46" s="10" t="n">
        <v>1000</v>
      </c>
      <c r="E46" s="128" t="s">
        <v>108</v>
      </c>
      <c r="F46" s="12" t="n">
        <f aca="false">M46*D46</f>
        <v>0</v>
      </c>
      <c r="G46" s="11" t="s">
        <v>17</v>
      </c>
      <c r="H46" s="11" t="n">
        <f aca="false">(M46*(C46/1000))*D46</f>
        <v>0</v>
      </c>
      <c r="I46" s="130" t="s">
        <v>110</v>
      </c>
      <c r="J46" s="17" t="n">
        <v>46162</v>
      </c>
      <c r="K46" s="10" t="n">
        <v>1</v>
      </c>
      <c r="L46" s="10" t="n">
        <v>1</v>
      </c>
      <c r="M46" s="10" t="n">
        <f aca="false">K46-L46</f>
        <v>0</v>
      </c>
      <c r="N46" s="53" t="n">
        <f aca="false">H46*3.4</f>
        <v>0</v>
      </c>
      <c r="O46" s="128"/>
    </row>
    <row r="47" customFormat="false" ht="15" hidden="false" customHeight="true" outlineLevel="0" collapsed="false">
      <c r="A47" s="127" t="n">
        <v>21</v>
      </c>
      <c r="B47" s="10" t="s">
        <v>62</v>
      </c>
      <c r="C47" s="10" t="n">
        <v>250</v>
      </c>
      <c r="D47" s="10" t="n">
        <v>1000</v>
      </c>
      <c r="E47" s="128" t="s">
        <v>110</v>
      </c>
      <c r="F47" s="12" t="n">
        <f aca="false">M47*D47</f>
        <v>0</v>
      </c>
      <c r="G47" s="11" t="s">
        <v>17</v>
      </c>
      <c r="H47" s="11" t="n">
        <f aca="false">(M47*(C47/1000))*D47</f>
        <v>0</v>
      </c>
      <c r="I47" s="130" t="s">
        <v>110</v>
      </c>
      <c r="J47" s="17" t="n">
        <v>46162</v>
      </c>
      <c r="K47" s="10" t="n">
        <v>4</v>
      </c>
      <c r="L47" s="10" t="n">
        <v>4</v>
      </c>
      <c r="M47" s="10" t="n">
        <f aca="false">K47-L47</f>
        <v>0</v>
      </c>
      <c r="N47" s="53" t="n">
        <f aca="false">H47*3.4</f>
        <v>0</v>
      </c>
      <c r="O47" s="128"/>
    </row>
    <row r="48" customFormat="false" ht="15" hidden="false" customHeight="true" outlineLevel="0" collapsed="false">
      <c r="A48" s="127" t="n">
        <v>15</v>
      </c>
      <c r="B48" s="10" t="s">
        <v>58</v>
      </c>
      <c r="C48" s="10" t="n">
        <v>250</v>
      </c>
      <c r="D48" s="10" t="n">
        <v>1000</v>
      </c>
      <c r="E48" s="128" t="s">
        <v>108</v>
      </c>
      <c r="F48" s="12" t="n">
        <f aca="false">M48*D48</f>
        <v>0</v>
      </c>
      <c r="G48" s="11" t="s">
        <v>17</v>
      </c>
      <c r="H48" s="11" t="n">
        <f aca="false">(M48*(C48/1000))*D48</f>
        <v>0</v>
      </c>
      <c r="I48" s="129" t="s">
        <v>109</v>
      </c>
      <c r="J48" s="17" t="n">
        <v>46184</v>
      </c>
      <c r="K48" s="10" t="n">
        <v>1</v>
      </c>
      <c r="L48" s="10" t="n">
        <v>1</v>
      </c>
      <c r="M48" s="10" t="n">
        <f aca="false">K48-L48</f>
        <v>0</v>
      </c>
      <c r="N48" s="53" t="n">
        <f aca="false">H48*3.4</f>
        <v>0</v>
      </c>
      <c r="O48" s="128"/>
    </row>
    <row r="49" customFormat="false" ht="15" hidden="false" customHeight="true" outlineLevel="0" collapsed="false">
      <c r="A49" s="127" t="n">
        <v>20</v>
      </c>
      <c r="B49" s="10" t="s">
        <v>58</v>
      </c>
      <c r="C49" s="10" t="n">
        <v>250</v>
      </c>
      <c r="D49" s="10" t="n">
        <v>1000</v>
      </c>
      <c r="E49" s="128" t="s">
        <v>108</v>
      </c>
      <c r="F49" s="12" t="n">
        <f aca="false">M49*D49</f>
        <v>0</v>
      </c>
      <c r="G49" s="11" t="s">
        <v>17</v>
      </c>
      <c r="H49" s="11" t="n">
        <f aca="false">(M49*(C49/1000))*D49</f>
        <v>0</v>
      </c>
      <c r="I49" s="129" t="s">
        <v>109</v>
      </c>
      <c r="J49" s="17" t="n">
        <v>46185</v>
      </c>
      <c r="K49" s="10" t="n">
        <v>2</v>
      </c>
      <c r="L49" s="10" t="n">
        <v>2</v>
      </c>
      <c r="M49" s="10" t="n">
        <f aca="false">K49-L49</f>
        <v>0</v>
      </c>
      <c r="N49" s="53" t="n">
        <f aca="false">H49*3.4</f>
        <v>0</v>
      </c>
      <c r="O49" s="128"/>
    </row>
    <row r="50" customFormat="false" ht="15" hidden="false" customHeight="true" outlineLevel="0" collapsed="false">
      <c r="A50" s="127" t="n">
        <v>6</v>
      </c>
      <c r="B50" s="10" t="s">
        <v>58</v>
      </c>
      <c r="C50" s="10" t="n">
        <v>250</v>
      </c>
      <c r="D50" s="10" t="n">
        <v>1000</v>
      </c>
      <c r="E50" s="128" t="s">
        <v>108</v>
      </c>
      <c r="F50" s="12" t="n">
        <f aca="false">M50*D50</f>
        <v>0</v>
      </c>
      <c r="G50" s="11" t="s">
        <v>17</v>
      </c>
      <c r="H50" s="11" t="n">
        <f aca="false">(M50*(C50/1000))*D50</f>
        <v>0</v>
      </c>
      <c r="I50" s="129" t="s">
        <v>109</v>
      </c>
      <c r="J50" s="17" t="n">
        <v>46185</v>
      </c>
      <c r="K50" s="10" t="n">
        <v>4</v>
      </c>
      <c r="L50" s="10" t="n">
        <v>4</v>
      </c>
      <c r="M50" s="10" t="n">
        <f aca="false">K50-L50</f>
        <v>0</v>
      </c>
      <c r="N50" s="53" t="n">
        <f aca="false">H50*3.4</f>
        <v>0</v>
      </c>
      <c r="O50" s="132"/>
    </row>
    <row r="51" customFormat="false" ht="15" hidden="false" customHeight="true" outlineLevel="0" collapsed="false">
      <c r="A51" s="127" t="n">
        <v>14</v>
      </c>
      <c r="B51" s="10" t="s">
        <v>58</v>
      </c>
      <c r="C51" s="10" t="n">
        <v>250</v>
      </c>
      <c r="D51" s="10" t="n">
        <v>1000</v>
      </c>
      <c r="E51" s="128" t="s">
        <v>108</v>
      </c>
      <c r="F51" s="12" t="n">
        <f aca="false">M51*D51</f>
        <v>0</v>
      </c>
      <c r="G51" s="11" t="s">
        <v>17</v>
      </c>
      <c r="H51" s="11" t="n">
        <f aca="false">(M51*(C51/1000))*D51</f>
        <v>0</v>
      </c>
      <c r="I51" s="129" t="s">
        <v>109</v>
      </c>
      <c r="J51" s="17" t="n">
        <v>46185</v>
      </c>
      <c r="K51" s="10" t="n">
        <v>4</v>
      </c>
      <c r="L51" s="10" t="n">
        <v>4</v>
      </c>
      <c r="M51" s="10" t="n">
        <f aca="false">K51-L51</f>
        <v>0</v>
      </c>
      <c r="N51" s="53" t="n">
        <f aca="false">H51*3.4</f>
        <v>0</v>
      </c>
      <c r="O51" s="132"/>
    </row>
    <row r="52" customFormat="false" ht="15" hidden="false" customHeight="true" outlineLevel="0" collapsed="false">
      <c r="A52" s="127" t="n">
        <v>13</v>
      </c>
      <c r="B52" s="10" t="s">
        <v>58</v>
      </c>
      <c r="C52" s="10" t="n">
        <v>250</v>
      </c>
      <c r="D52" s="10" t="n">
        <v>1000</v>
      </c>
      <c r="E52" s="128" t="s">
        <v>108</v>
      </c>
      <c r="F52" s="12" t="n">
        <f aca="false">M52*D52</f>
        <v>0</v>
      </c>
      <c r="G52" s="11" t="s">
        <v>17</v>
      </c>
      <c r="H52" s="11" t="n">
        <f aca="false">(M52*(C52/1000))*D52</f>
        <v>0</v>
      </c>
      <c r="I52" s="129" t="s">
        <v>109</v>
      </c>
      <c r="J52" s="17" t="n">
        <v>46201</v>
      </c>
      <c r="K52" s="10" t="n">
        <v>1</v>
      </c>
      <c r="L52" s="10" t="n">
        <v>1</v>
      </c>
      <c r="M52" s="10" t="n">
        <f aca="false">K52-L52</f>
        <v>0</v>
      </c>
      <c r="N52" s="53" t="n">
        <f aca="false">H52*3.4</f>
        <v>0</v>
      </c>
    </row>
    <row r="53" customFormat="false" ht="15" hidden="false" customHeight="true" outlineLevel="0" collapsed="false">
      <c r="A53" s="127" t="n">
        <v>14</v>
      </c>
      <c r="B53" s="10" t="s">
        <v>58</v>
      </c>
      <c r="C53" s="10" t="n">
        <v>250</v>
      </c>
      <c r="D53" s="10" t="n">
        <v>1000</v>
      </c>
      <c r="E53" s="128" t="s">
        <v>108</v>
      </c>
      <c r="F53" s="12" t="n">
        <f aca="false">M53*D53</f>
        <v>0</v>
      </c>
      <c r="G53" s="11" t="s">
        <v>17</v>
      </c>
      <c r="H53" s="11" t="n">
        <f aca="false">(M53*(C53/1000))*D53</f>
        <v>0</v>
      </c>
      <c r="I53" s="129" t="s">
        <v>109</v>
      </c>
      <c r="J53" s="17" t="n">
        <v>46201</v>
      </c>
      <c r="K53" s="10" t="n">
        <v>2</v>
      </c>
      <c r="L53" s="10" t="n">
        <v>2</v>
      </c>
      <c r="M53" s="10" t="n">
        <f aca="false">K53-L53</f>
        <v>0</v>
      </c>
      <c r="N53" s="53" t="n">
        <f aca="false">H53*3.4</f>
        <v>0</v>
      </c>
      <c r="O53" s="102"/>
    </row>
    <row r="54" customFormat="false" ht="15" hidden="false" customHeight="true" outlineLevel="0" collapsed="false">
      <c r="A54" s="127" t="n">
        <v>15</v>
      </c>
      <c r="B54" s="10" t="s">
        <v>58</v>
      </c>
      <c r="C54" s="10" t="n">
        <v>250</v>
      </c>
      <c r="D54" s="10" t="n">
        <v>1000</v>
      </c>
      <c r="E54" s="128" t="s">
        <v>108</v>
      </c>
      <c r="F54" s="12" t="n">
        <f aca="false">M54*D54</f>
        <v>0</v>
      </c>
      <c r="G54" s="11" t="s">
        <v>17</v>
      </c>
      <c r="H54" s="11" t="n">
        <f aca="false">(M54*(C54/1000))*D54</f>
        <v>0</v>
      </c>
      <c r="I54" s="129" t="s">
        <v>109</v>
      </c>
      <c r="J54" s="17" t="n">
        <v>46201</v>
      </c>
      <c r="K54" s="10" t="n">
        <v>2</v>
      </c>
      <c r="L54" s="10" t="n">
        <v>2</v>
      </c>
      <c r="M54" s="10" t="n">
        <f aca="false">K54-L54</f>
        <v>0</v>
      </c>
      <c r="N54" s="53" t="n">
        <f aca="false">H54*3.4</f>
        <v>0</v>
      </c>
      <c r="O54" s="102"/>
    </row>
    <row r="55" customFormat="false" ht="15" hidden="false" customHeight="true" outlineLevel="0" collapsed="false">
      <c r="A55" s="127" t="n">
        <v>17</v>
      </c>
      <c r="B55" s="10" t="s">
        <v>58</v>
      </c>
      <c r="C55" s="10" t="n">
        <v>250</v>
      </c>
      <c r="D55" s="10" t="n">
        <v>1000</v>
      </c>
      <c r="E55" s="128" t="s">
        <v>108</v>
      </c>
      <c r="F55" s="12" t="n">
        <f aca="false">M55*D55</f>
        <v>0</v>
      </c>
      <c r="G55" s="11" t="s">
        <v>17</v>
      </c>
      <c r="H55" s="11" t="n">
        <f aca="false">(M55*(C55/1000))*D55</f>
        <v>0</v>
      </c>
      <c r="I55" s="129" t="s">
        <v>109</v>
      </c>
      <c r="J55" s="17" t="n">
        <v>46201</v>
      </c>
      <c r="K55" s="10" t="n">
        <v>2</v>
      </c>
      <c r="L55" s="10" t="n">
        <v>2</v>
      </c>
      <c r="M55" s="10" t="n">
        <f aca="false">K55-L55</f>
        <v>0</v>
      </c>
      <c r="N55" s="53" t="n">
        <f aca="false">H55*3.4</f>
        <v>0</v>
      </c>
    </row>
    <row r="56" customFormat="false" ht="15" hidden="false" customHeight="true" outlineLevel="0" collapsed="false">
      <c r="A56" s="127" t="n">
        <v>9</v>
      </c>
      <c r="B56" s="10" t="s">
        <v>58</v>
      </c>
      <c r="C56" s="10" t="n">
        <v>250</v>
      </c>
      <c r="D56" s="10" t="n">
        <v>1000</v>
      </c>
      <c r="E56" s="128" t="s">
        <v>108</v>
      </c>
      <c r="F56" s="12" t="n">
        <f aca="false">M56*D56</f>
        <v>0</v>
      </c>
      <c r="G56" s="11" t="s">
        <v>17</v>
      </c>
      <c r="H56" s="11" t="n">
        <f aca="false">(M56*(C56/1000))*D56</f>
        <v>0</v>
      </c>
      <c r="I56" s="129" t="s">
        <v>109</v>
      </c>
      <c r="J56" s="17" t="n">
        <v>46201</v>
      </c>
      <c r="K56" s="10" t="n">
        <v>4</v>
      </c>
      <c r="L56" s="10" t="n">
        <v>4</v>
      </c>
      <c r="M56" s="10" t="n">
        <f aca="false">K56-L56</f>
        <v>0</v>
      </c>
      <c r="N56" s="53" t="n">
        <f aca="false">H56*3.4</f>
        <v>0</v>
      </c>
      <c r="O56" s="102"/>
    </row>
    <row r="57" customFormat="false" ht="15" hidden="false" customHeight="true" outlineLevel="0" collapsed="false">
      <c r="A57" s="127" t="n">
        <v>16</v>
      </c>
      <c r="B57" s="10" t="s">
        <v>58</v>
      </c>
      <c r="C57" s="10" t="n">
        <v>250</v>
      </c>
      <c r="D57" s="10" t="n">
        <v>1000</v>
      </c>
      <c r="E57" s="128" t="s">
        <v>108</v>
      </c>
      <c r="F57" s="12" t="n">
        <f aca="false">M57*D57</f>
        <v>0</v>
      </c>
      <c r="G57" s="11" t="s">
        <v>17</v>
      </c>
      <c r="H57" s="11" t="n">
        <f aca="false">(M57*(C57/1000))*D57</f>
        <v>0</v>
      </c>
      <c r="I57" s="129" t="s">
        <v>109</v>
      </c>
      <c r="J57" s="17" t="n">
        <v>46201</v>
      </c>
      <c r="K57" s="10" t="n">
        <v>4</v>
      </c>
      <c r="L57" s="10" t="n">
        <v>4</v>
      </c>
      <c r="M57" s="10" t="n">
        <f aca="false">K57-L57</f>
        <v>0</v>
      </c>
      <c r="N57" s="53" t="n">
        <f aca="false">H57*3.4</f>
        <v>0</v>
      </c>
      <c r="O57" s="102"/>
    </row>
    <row r="58" customFormat="false" ht="15" hidden="false" customHeight="true" outlineLevel="0" collapsed="false">
      <c r="A58" s="127" t="n">
        <v>18</v>
      </c>
      <c r="B58" s="10" t="s">
        <v>58</v>
      </c>
      <c r="C58" s="10" t="n">
        <v>250</v>
      </c>
      <c r="D58" s="10" t="n">
        <v>1000</v>
      </c>
      <c r="E58" s="128" t="s">
        <v>108</v>
      </c>
      <c r="F58" s="12" t="n">
        <f aca="false">M58*D58</f>
        <v>0</v>
      </c>
      <c r="G58" s="11" t="s">
        <v>17</v>
      </c>
      <c r="H58" s="11" t="n">
        <f aca="false">(M58*(C58/1000))*D58</f>
        <v>0</v>
      </c>
      <c r="I58" s="129" t="s">
        <v>109</v>
      </c>
      <c r="J58" s="17" t="n">
        <v>46201</v>
      </c>
      <c r="K58" s="10" t="n">
        <v>4</v>
      </c>
      <c r="L58" s="10" t="n">
        <v>4</v>
      </c>
      <c r="M58" s="10" t="n">
        <f aca="false">K58-L58</f>
        <v>0</v>
      </c>
      <c r="N58" s="53" t="n">
        <f aca="false">H58*3.4</f>
        <v>0</v>
      </c>
      <c r="O58" s="102"/>
    </row>
    <row r="59" customFormat="false" ht="15" hidden="false" customHeight="true" outlineLevel="0" collapsed="false">
      <c r="A59" s="127" t="s">
        <v>20</v>
      </c>
      <c r="B59" s="10" t="s">
        <v>58</v>
      </c>
      <c r="C59" s="10" t="n">
        <v>250</v>
      </c>
      <c r="D59" s="10" t="n">
        <v>1000</v>
      </c>
      <c r="E59" s="128" t="s">
        <v>108</v>
      </c>
      <c r="F59" s="12" t="n">
        <f aca="false">M59*D59</f>
        <v>0</v>
      </c>
      <c r="G59" s="11" t="s">
        <v>17</v>
      </c>
      <c r="H59" s="11" t="n">
        <f aca="false">(M59*(C59/1000))*D59</f>
        <v>0</v>
      </c>
      <c r="I59" s="129" t="s">
        <v>109</v>
      </c>
      <c r="J59" s="17" t="n">
        <v>46201</v>
      </c>
      <c r="K59" s="10" t="n">
        <v>8</v>
      </c>
      <c r="L59" s="10" t="n">
        <v>8</v>
      </c>
      <c r="M59" s="10" t="n">
        <f aca="false">K59-L59</f>
        <v>0</v>
      </c>
      <c r="N59" s="53" t="n">
        <f aca="false">H59*3.4</f>
        <v>0</v>
      </c>
      <c r="O59" s="102"/>
    </row>
  </sheetData>
  <autoFilter ref="A1:O59"/>
  <conditionalFormatting sqref="A2:O33 A34:D34 F34:O34 A35:O49 A50:N59">
    <cfRule type="expression" priority="2" aboveAverage="0" equalAverage="0" bottom="0" percent="0" rank="0" text="" dxfId="9">
      <formula>ISEVEN(ROW($A2))</formula>
    </cfRule>
    <cfRule type="expression" priority="3" aboveAverage="0" equalAverage="0" bottom="0" percent="0" rank="0" text="" dxfId="10">
      <formula>ISEVEN($A2)</formula>
    </cfRule>
  </conditionalFormatting>
  <conditionalFormatting sqref="E34">
    <cfRule type="expression" priority="4" aboveAverage="0" equalAverage="0" bottom="0" percent="0" rank="0" text="" dxfId="11">
      <formula>ISEVEN(ROW($A31))</formula>
    </cfRule>
    <cfRule type="expression" priority="5" aboveAverage="0" equalAverage="0" bottom="0" percent="0" rank="0" text="" dxfId="10">
      <formula>ISEVEN($A31)</formula>
    </cfRule>
  </conditionalFormatting>
  <printOptions headings="false" gridLines="false" gridLinesSet="true" horizontalCentered="false" verticalCentered="false"/>
  <pageMargins left="0.196527777777778" right="0" top="0" bottom="0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19" activeCellId="0" sqref="B19"/>
    </sheetView>
  </sheetViews>
  <sheetFormatPr defaultColWidth="9.14453125" defaultRowHeight="20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.71"/>
    <col collapsed="false" customWidth="true" hidden="false" outlineLevel="0" max="3" min="3" style="1" width="14"/>
    <col collapsed="false" customWidth="true" hidden="false" outlineLevel="0" max="4" min="4" style="1" width="21"/>
    <col collapsed="false" customWidth="true" hidden="false" outlineLevel="0" max="5" min="5" style="1" width="19"/>
    <col collapsed="false" customWidth="true" hidden="false" outlineLevel="0" max="6" min="6" style="1" width="6.14"/>
    <col collapsed="false" customWidth="true" hidden="false" outlineLevel="0" max="7" min="7" style="1" width="8"/>
    <col collapsed="false" customWidth="true" hidden="false" outlineLevel="0" max="8" min="8" style="1" width="22.57"/>
    <col collapsed="false" customWidth="false" hidden="false" outlineLevel="0" max="16384" min="9" style="1" width="9.14"/>
  </cols>
  <sheetData>
    <row r="1" customFormat="false" ht="20.25" hidden="false" customHeight="false" outlineLevel="0" collapsed="false">
      <c r="A1" s="27" t="s">
        <v>4</v>
      </c>
      <c r="B1" s="28" t="s">
        <v>23</v>
      </c>
      <c r="C1" s="0"/>
    </row>
    <row r="2" customFormat="false" ht="20.25" hidden="false" customHeight="false" outlineLevel="0" collapsed="false">
      <c r="A2" s="27" t="s">
        <v>6</v>
      </c>
      <c r="B2" s="28" t="s">
        <v>23</v>
      </c>
      <c r="C2" s="0"/>
    </row>
    <row r="3" customFormat="false" ht="20.25" hidden="false" customHeight="false" outlineLevel="0" collapsed="false">
      <c r="A3" s="0"/>
      <c r="B3" s="0"/>
      <c r="C3" s="0"/>
    </row>
    <row r="4" customFormat="false" ht="20.25" hidden="false" customHeight="false" outlineLevel="0" collapsed="false">
      <c r="A4" s="29"/>
      <c r="B4" s="30" t="s">
        <v>24</v>
      </c>
      <c r="C4" s="31"/>
    </row>
    <row r="5" customFormat="false" ht="20.25" hidden="false" customHeight="false" outlineLevel="0" collapsed="false">
      <c r="A5" s="32" t="s">
        <v>25</v>
      </c>
      <c r="B5" s="33" t="s">
        <v>26</v>
      </c>
      <c r="C5" s="34" t="s">
        <v>27</v>
      </c>
    </row>
    <row r="6" customFormat="false" ht="20.25" hidden="false" customHeight="false" outlineLevel="0" collapsed="false">
      <c r="A6" s="35" t="n">
        <v>60</v>
      </c>
      <c r="B6" s="36" t="n">
        <v>22000</v>
      </c>
      <c r="C6" s="37" t="n">
        <v>22</v>
      </c>
    </row>
    <row r="7" customFormat="false" ht="20.25" hidden="false" customHeight="false" outlineLevel="0" collapsed="false">
      <c r="A7" s="38" t="s">
        <v>58</v>
      </c>
      <c r="B7" s="39" t="n">
        <v>18000</v>
      </c>
      <c r="C7" s="40" t="n">
        <v>18</v>
      </c>
      <c r="E7" s="1" t="s">
        <v>21</v>
      </c>
      <c r="F7" s="1" t="s">
        <v>52</v>
      </c>
    </row>
    <row r="8" customFormat="false" ht="19.5" hidden="false" customHeight="true" outlineLevel="0" collapsed="false">
      <c r="A8" s="41" t="s">
        <v>62</v>
      </c>
      <c r="B8" s="42" t="n">
        <v>4000</v>
      </c>
      <c r="C8" s="43" t="n">
        <v>4</v>
      </c>
      <c r="E8" s="1" t="n">
        <v>2</v>
      </c>
      <c r="F8" s="10" t="n">
        <v>210</v>
      </c>
      <c r="G8" s="10" t="n">
        <v>1000</v>
      </c>
      <c r="H8" s="128" t="s">
        <v>108</v>
      </c>
    </row>
    <row r="9" customFormat="false" ht="15.75" hidden="false" customHeight="true" outlineLevel="0" collapsed="false">
      <c r="A9" s="35" t="n">
        <v>65</v>
      </c>
      <c r="B9" s="36" t="n">
        <v>600</v>
      </c>
      <c r="C9" s="37" t="n">
        <v>1</v>
      </c>
      <c r="E9" s="1" t="n">
        <v>12</v>
      </c>
      <c r="F9" s="10" t="n">
        <v>60</v>
      </c>
      <c r="G9" s="10" t="n">
        <v>1000</v>
      </c>
      <c r="H9" s="128" t="s">
        <v>108</v>
      </c>
    </row>
    <row r="10" customFormat="false" ht="19.5" hidden="false" customHeight="true" outlineLevel="0" collapsed="false">
      <c r="A10" s="41" t="s">
        <v>58</v>
      </c>
      <c r="B10" s="42" t="n">
        <v>600</v>
      </c>
      <c r="C10" s="43" t="n">
        <v>1</v>
      </c>
      <c r="F10" s="10" t="n">
        <v>250</v>
      </c>
      <c r="G10" s="10" t="n">
        <v>1000</v>
      </c>
      <c r="H10" s="128" t="s">
        <v>108</v>
      </c>
    </row>
    <row r="11" customFormat="false" ht="17.25" hidden="false" customHeight="true" outlineLevel="0" collapsed="false">
      <c r="A11" s="35" t="n">
        <v>70</v>
      </c>
      <c r="B11" s="36" t="n">
        <v>2000</v>
      </c>
      <c r="C11" s="37" t="n">
        <v>2</v>
      </c>
      <c r="F11" s="10"/>
      <c r="G11" s="10" t="n">
        <v>1000</v>
      </c>
      <c r="H11" s="128" t="s">
        <v>108</v>
      </c>
    </row>
    <row r="12" customFormat="false" ht="22.5" hidden="false" customHeight="true" outlineLevel="0" collapsed="false">
      <c r="A12" s="38" t="s">
        <v>58</v>
      </c>
      <c r="B12" s="39" t="n">
        <v>1000</v>
      </c>
      <c r="C12" s="40" t="n">
        <v>1</v>
      </c>
      <c r="F12" s="10"/>
      <c r="G12" s="10" t="n">
        <v>1000</v>
      </c>
      <c r="H12" s="128" t="s">
        <v>108</v>
      </c>
    </row>
    <row r="13" customFormat="false" ht="19.5" hidden="false" customHeight="true" outlineLevel="0" collapsed="false">
      <c r="A13" s="41" t="s">
        <v>62</v>
      </c>
      <c r="B13" s="42" t="n">
        <v>1000</v>
      </c>
      <c r="C13" s="43" t="n">
        <v>1</v>
      </c>
      <c r="F13" s="10"/>
      <c r="G13" s="10" t="n">
        <v>1000</v>
      </c>
      <c r="H13" s="128" t="s">
        <v>108</v>
      </c>
    </row>
    <row r="14" customFormat="false" ht="16.5" hidden="false" customHeight="true" outlineLevel="0" collapsed="false">
      <c r="A14" s="35" t="n">
        <v>77</v>
      </c>
      <c r="B14" s="36" t="n">
        <v>12000</v>
      </c>
      <c r="C14" s="37" t="n">
        <v>13</v>
      </c>
      <c r="F14" s="10"/>
      <c r="G14" s="10" t="n">
        <v>1000</v>
      </c>
      <c r="H14" s="128" t="s">
        <v>108</v>
      </c>
    </row>
    <row r="15" customFormat="false" ht="17.25" hidden="false" customHeight="true" outlineLevel="0" collapsed="false">
      <c r="A15" s="38" t="s">
        <v>58</v>
      </c>
      <c r="B15" s="39" t="n">
        <v>7000</v>
      </c>
      <c r="C15" s="40" t="n">
        <v>8</v>
      </c>
      <c r="F15" s="10"/>
      <c r="G15" s="10" t="n">
        <v>1000</v>
      </c>
      <c r="H15" s="128" t="s">
        <v>108</v>
      </c>
    </row>
    <row r="16" customFormat="false" ht="20.25" hidden="false" customHeight="true" outlineLevel="0" collapsed="false">
      <c r="A16" s="41" t="s">
        <v>62</v>
      </c>
      <c r="B16" s="42" t="n">
        <v>5000</v>
      </c>
      <c r="C16" s="43" t="n">
        <v>5</v>
      </c>
      <c r="F16" s="10"/>
      <c r="G16" s="10" t="n">
        <v>1000</v>
      </c>
      <c r="H16" s="128" t="s">
        <v>108</v>
      </c>
    </row>
    <row r="17" customFormat="false" ht="15.75" hidden="false" customHeight="true" outlineLevel="0" collapsed="false">
      <c r="A17" s="35" t="n">
        <v>80</v>
      </c>
      <c r="B17" s="36" t="n">
        <v>2000</v>
      </c>
      <c r="C17" s="37" t="n">
        <v>2</v>
      </c>
      <c r="F17" s="10"/>
      <c r="G17" s="10" t="n">
        <v>1000</v>
      </c>
      <c r="H17" s="128" t="s">
        <v>108</v>
      </c>
    </row>
    <row r="18" customFormat="false" ht="20.25" hidden="false" customHeight="false" outlineLevel="0" collapsed="false">
      <c r="A18" s="41" t="s">
        <v>58</v>
      </c>
      <c r="B18" s="42" t="n">
        <v>2000</v>
      </c>
      <c r="C18" s="43" t="n">
        <v>2</v>
      </c>
    </row>
    <row r="19" customFormat="false" ht="20.25" hidden="false" customHeight="false" outlineLevel="0" collapsed="false">
      <c r="A19" s="35" t="n">
        <v>86</v>
      </c>
      <c r="B19" s="36" t="n">
        <v>2000</v>
      </c>
      <c r="C19" s="37" t="n">
        <v>2</v>
      </c>
    </row>
    <row r="20" customFormat="false" ht="20.25" hidden="false" customHeight="false" outlineLevel="0" collapsed="false">
      <c r="A20" s="41" t="s">
        <v>62</v>
      </c>
      <c r="B20" s="42" t="n">
        <v>2000</v>
      </c>
      <c r="C20" s="43" t="n">
        <v>2</v>
      </c>
    </row>
    <row r="21" customFormat="false" ht="20.25" hidden="false" customHeight="false" outlineLevel="0" collapsed="false">
      <c r="A21" s="35" t="n">
        <v>95</v>
      </c>
      <c r="B21" s="36" t="n">
        <v>0</v>
      </c>
      <c r="C21" s="37" t="n">
        <v>0</v>
      </c>
    </row>
    <row r="22" customFormat="false" ht="20.25" hidden="false" customHeight="false" outlineLevel="0" collapsed="false">
      <c r="A22" s="41" t="s">
        <v>62</v>
      </c>
      <c r="B22" s="42" t="n">
        <v>0</v>
      </c>
      <c r="C22" s="43" t="n">
        <v>0</v>
      </c>
    </row>
    <row r="23" customFormat="false" ht="20.25" hidden="false" customHeight="false" outlineLevel="0" collapsed="false">
      <c r="A23" s="35" t="n">
        <v>100</v>
      </c>
      <c r="B23" s="36" t="n">
        <v>1000</v>
      </c>
      <c r="C23" s="37" t="n">
        <v>1</v>
      </c>
    </row>
    <row r="24" customFormat="false" ht="20.25" hidden="false" customHeight="false" outlineLevel="0" collapsed="false">
      <c r="A24" s="41" t="s">
        <v>58</v>
      </c>
      <c r="B24" s="42" t="n">
        <v>1000</v>
      </c>
      <c r="C24" s="43" t="n">
        <v>1</v>
      </c>
    </row>
    <row r="25" customFormat="false" ht="20.25" hidden="false" customHeight="false" outlineLevel="0" collapsed="false">
      <c r="A25" s="35" t="n">
        <v>105</v>
      </c>
      <c r="B25" s="36" t="n">
        <v>1000</v>
      </c>
      <c r="C25" s="37" t="n">
        <v>1</v>
      </c>
    </row>
    <row r="26" customFormat="false" ht="20.25" hidden="false" customHeight="false" outlineLevel="0" collapsed="false">
      <c r="A26" s="38" t="s">
        <v>58</v>
      </c>
      <c r="B26" s="39" t="n">
        <v>1000</v>
      </c>
      <c r="C26" s="40" t="n">
        <v>1</v>
      </c>
    </row>
    <row r="27" customFormat="false" ht="20.25" hidden="false" customHeight="false" outlineLevel="0" collapsed="false">
      <c r="A27" s="41" t="s">
        <v>62</v>
      </c>
      <c r="B27" s="42" t="n">
        <v>0</v>
      </c>
      <c r="C27" s="43" t="n">
        <v>0</v>
      </c>
    </row>
    <row r="28" customFormat="false" ht="20.25" hidden="false" customHeight="false" outlineLevel="0" collapsed="false">
      <c r="A28" s="35" t="n">
        <v>110</v>
      </c>
      <c r="B28" s="36" t="n">
        <v>3000</v>
      </c>
      <c r="C28" s="37" t="n">
        <v>3</v>
      </c>
    </row>
    <row r="29" customFormat="false" ht="20.25" hidden="false" customHeight="false" outlineLevel="0" collapsed="false">
      <c r="A29" s="41" t="s">
        <v>62</v>
      </c>
      <c r="B29" s="42" t="n">
        <v>3000</v>
      </c>
      <c r="C29" s="43" t="n">
        <v>3</v>
      </c>
    </row>
    <row r="30" customFormat="false" ht="20.25" hidden="false" customHeight="false" outlineLevel="0" collapsed="false">
      <c r="A30" s="35" t="n">
        <v>120</v>
      </c>
      <c r="B30" s="36" t="n">
        <v>2000</v>
      </c>
      <c r="C30" s="37" t="n">
        <v>2</v>
      </c>
    </row>
    <row r="31" customFormat="false" ht="20.25" hidden="false" customHeight="false" outlineLevel="0" collapsed="false">
      <c r="A31" s="41" t="s">
        <v>62</v>
      </c>
      <c r="B31" s="42" t="n">
        <v>2000</v>
      </c>
      <c r="C31" s="43" t="n">
        <v>2</v>
      </c>
    </row>
    <row r="32" customFormat="false" ht="20.25" hidden="false" customHeight="false" outlineLevel="0" collapsed="false">
      <c r="A32" s="35" t="n">
        <v>180</v>
      </c>
      <c r="B32" s="36" t="n">
        <v>1000</v>
      </c>
      <c r="C32" s="37" t="n">
        <v>1</v>
      </c>
    </row>
    <row r="33" customFormat="false" ht="20.25" hidden="false" customHeight="false" outlineLevel="0" collapsed="false">
      <c r="A33" s="41" t="s">
        <v>62</v>
      </c>
      <c r="B33" s="42" t="n">
        <v>1000</v>
      </c>
      <c r="C33" s="43" t="n">
        <v>1</v>
      </c>
    </row>
    <row r="34" customFormat="false" ht="20.25" hidden="false" customHeight="false" outlineLevel="0" collapsed="false">
      <c r="A34" s="35" t="n">
        <v>188</v>
      </c>
      <c r="B34" s="36" t="n">
        <v>500</v>
      </c>
      <c r="C34" s="37" t="n">
        <v>1</v>
      </c>
    </row>
    <row r="35" customFormat="false" ht="20.25" hidden="false" customHeight="false" outlineLevel="0" collapsed="false">
      <c r="A35" s="41" t="s">
        <v>62</v>
      </c>
      <c r="B35" s="42" t="n">
        <v>500</v>
      </c>
      <c r="C35" s="43" t="n">
        <v>1</v>
      </c>
    </row>
    <row r="36" customFormat="false" ht="20.25" hidden="false" customHeight="false" outlineLevel="0" collapsed="false">
      <c r="A36" s="35" t="n">
        <v>190</v>
      </c>
      <c r="B36" s="36" t="n">
        <v>3000</v>
      </c>
      <c r="C36" s="37" t="n">
        <v>3</v>
      </c>
    </row>
    <row r="37" customFormat="false" ht="20.25" hidden="false" customHeight="false" outlineLevel="0" collapsed="false">
      <c r="A37" s="38" t="s">
        <v>58</v>
      </c>
      <c r="B37" s="39" t="n">
        <v>2000</v>
      </c>
      <c r="C37" s="40" t="n">
        <v>2</v>
      </c>
    </row>
    <row r="38" customFormat="false" ht="20.25" hidden="false" customHeight="false" outlineLevel="0" collapsed="false">
      <c r="A38" s="41" t="s">
        <v>62</v>
      </c>
      <c r="B38" s="42" t="n">
        <v>1000</v>
      </c>
      <c r="C38" s="43" t="n">
        <v>1</v>
      </c>
    </row>
    <row r="39" customFormat="false" ht="20.25" hidden="false" customHeight="false" outlineLevel="0" collapsed="false">
      <c r="A39" s="35" t="n">
        <v>210</v>
      </c>
      <c r="B39" s="36" t="n">
        <v>23000</v>
      </c>
      <c r="C39" s="37" t="n">
        <v>23</v>
      </c>
    </row>
    <row r="40" customFormat="false" ht="20.25" hidden="false" customHeight="false" outlineLevel="0" collapsed="false">
      <c r="A40" s="41" t="s">
        <v>58</v>
      </c>
      <c r="B40" s="42" t="n">
        <v>23000</v>
      </c>
      <c r="C40" s="43" t="n">
        <v>23</v>
      </c>
    </row>
    <row r="41" customFormat="false" ht="20.25" hidden="false" customHeight="false" outlineLevel="0" collapsed="false">
      <c r="A41" s="35" t="n">
        <v>220</v>
      </c>
      <c r="B41" s="36" t="n">
        <v>9000</v>
      </c>
      <c r="C41" s="37" t="n">
        <v>9</v>
      </c>
    </row>
    <row r="42" customFormat="false" ht="20.25" hidden="false" customHeight="false" outlineLevel="0" collapsed="false">
      <c r="A42" s="38" t="s">
        <v>58</v>
      </c>
      <c r="B42" s="39" t="n">
        <v>9000</v>
      </c>
      <c r="C42" s="40" t="n">
        <v>9</v>
      </c>
    </row>
    <row r="43" customFormat="false" ht="20.25" hidden="false" customHeight="false" outlineLevel="0" collapsed="false">
      <c r="A43" s="41" t="s">
        <v>62</v>
      </c>
      <c r="B43" s="42" t="n">
        <v>0</v>
      </c>
      <c r="C43" s="43" t="n">
        <v>0</v>
      </c>
    </row>
    <row r="44" customFormat="false" ht="20.25" hidden="false" customHeight="false" outlineLevel="0" collapsed="false">
      <c r="A44" s="35" t="n">
        <v>240</v>
      </c>
      <c r="B44" s="36" t="n">
        <v>1000</v>
      </c>
      <c r="C44" s="37" t="n">
        <v>1</v>
      </c>
    </row>
    <row r="45" customFormat="false" ht="20.25" hidden="false" customHeight="false" outlineLevel="0" collapsed="false">
      <c r="A45" s="41" t="s">
        <v>58</v>
      </c>
      <c r="B45" s="42" t="n">
        <v>1000</v>
      </c>
      <c r="C45" s="43" t="n">
        <v>1</v>
      </c>
    </row>
    <row r="46" customFormat="false" ht="20.25" hidden="false" customHeight="false" outlineLevel="0" collapsed="false">
      <c r="A46" s="35" t="n">
        <v>250</v>
      </c>
      <c r="B46" s="36" t="n">
        <v>0</v>
      </c>
      <c r="C46" s="37" t="n">
        <v>0</v>
      </c>
    </row>
    <row r="47" customFormat="false" ht="20.25" hidden="false" customHeight="false" outlineLevel="0" collapsed="false">
      <c r="A47" s="38" t="s">
        <v>58</v>
      </c>
      <c r="B47" s="39" t="n">
        <v>0</v>
      </c>
      <c r="C47" s="40" t="n">
        <v>0</v>
      </c>
    </row>
    <row r="48" customFormat="false" ht="20.25" hidden="false" customHeight="false" outlineLevel="0" collapsed="false">
      <c r="A48" s="41" t="s">
        <v>62</v>
      </c>
      <c r="B48" s="42" t="n">
        <v>0</v>
      </c>
      <c r="C48" s="43" t="n">
        <v>0</v>
      </c>
    </row>
    <row r="49" customFormat="false" ht="20.25" hidden="false" customHeight="false" outlineLevel="0" collapsed="false">
      <c r="A49" s="44" t="s">
        <v>28</v>
      </c>
      <c r="B49" s="45" t="n">
        <v>85100</v>
      </c>
      <c r="C49" s="46" t="n">
        <v>87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10" activeCellId="0" sqref="I210"/>
    </sheetView>
  </sheetViews>
  <sheetFormatPr defaultColWidth="8.57421875" defaultRowHeight="20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4.29"/>
    <col collapsed="false" customWidth="true" hidden="false" outlineLevel="0" max="3" min="3" style="1" width="10.7"/>
    <col collapsed="false" customWidth="true" hidden="false" outlineLevel="0" max="4" min="4" style="1" width="10.57"/>
    <col collapsed="false" customWidth="true" hidden="false" outlineLevel="0" max="5" min="5" style="1" width="49.86"/>
    <col collapsed="false" customWidth="true" hidden="false" outlineLevel="0" max="6" min="6" style="1" width="10"/>
    <col collapsed="false" customWidth="true" hidden="false" outlineLevel="0" max="7" min="7" style="1" width="8.14"/>
    <col collapsed="false" customWidth="true" hidden="false" outlineLevel="0" max="8" min="8" style="1" width="7.43"/>
    <col collapsed="false" customWidth="true" hidden="false" outlineLevel="0" max="9" min="9" style="1" width="51.72"/>
    <col collapsed="false" customWidth="true" hidden="false" outlineLevel="0" max="10" min="10" style="1" width="17.14"/>
    <col collapsed="false" customWidth="true" hidden="false" outlineLevel="0" max="12" min="11" style="1" width="6.43"/>
    <col collapsed="false" customWidth="true" hidden="false" outlineLevel="0" max="13" min="13" style="1" width="7.57"/>
    <col collapsed="false" customWidth="true" hidden="false" outlineLevel="0" max="14" min="14" style="1" width="23.15"/>
    <col collapsed="false" customWidth="true" hidden="false" outlineLevel="0" max="34" min="15" style="1" width="9.14"/>
    <col collapsed="false" customWidth="false" hidden="false" outlineLevel="0" max="16380" min="35" style="1" width="8.57"/>
    <col collapsed="false" customWidth="true" hidden="false" outlineLevel="0" max="16384" min="16381" style="1" width="14.43"/>
  </cols>
  <sheetData>
    <row r="1" customFormat="false" ht="57" hidden="false" customHeight="true" outlineLevel="0" collapsed="false">
      <c r="A1" s="133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4" t="s">
        <v>7</v>
      </c>
      <c r="I1" s="133" t="s">
        <v>8</v>
      </c>
      <c r="J1" s="135" t="s">
        <v>9</v>
      </c>
      <c r="K1" s="133" t="s">
        <v>10</v>
      </c>
      <c r="L1" s="133" t="s">
        <v>11</v>
      </c>
      <c r="M1" s="133" t="s">
        <v>12</v>
      </c>
      <c r="N1" s="136" t="s">
        <v>13</v>
      </c>
    </row>
    <row r="2" customFormat="false" ht="15" hidden="false" customHeight="true" outlineLevel="0" collapsed="false">
      <c r="A2" s="137" t="n">
        <v>4</v>
      </c>
      <c r="B2" s="11" t="s">
        <v>62</v>
      </c>
      <c r="C2" s="11" t="n">
        <v>30</v>
      </c>
      <c r="D2" s="11" t="n">
        <v>1000</v>
      </c>
      <c r="E2" s="11" t="s">
        <v>112</v>
      </c>
      <c r="F2" s="12" t="n">
        <f aca="false">M2*D2</f>
        <v>0</v>
      </c>
      <c r="G2" s="11" t="s">
        <v>17</v>
      </c>
      <c r="H2" s="11" t="n">
        <f aca="false">(M2*(C2/1000))*D2</f>
        <v>0</v>
      </c>
      <c r="I2" s="11" t="s">
        <v>113</v>
      </c>
      <c r="J2" s="13" t="n">
        <v>46008</v>
      </c>
      <c r="K2" s="11" t="n">
        <v>1</v>
      </c>
      <c r="L2" s="11" t="n">
        <v>1</v>
      </c>
      <c r="M2" s="11" t="n">
        <f aca="false">K2-L2</f>
        <v>0</v>
      </c>
      <c r="N2" s="53" t="n">
        <f aca="false">H2*7.5</f>
        <v>0</v>
      </c>
    </row>
    <row r="3" customFormat="false" ht="15" hidden="false" customHeight="true" outlineLevel="0" collapsed="false">
      <c r="A3" s="11" t="n">
        <v>23</v>
      </c>
      <c r="B3" s="11" t="s">
        <v>62</v>
      </c>
      <c r="C3" s="11" t="n">
        <v>40</v>
      </c>
      <c r="D3" s="11" t="n">
        <v>1000</v>
      </c>
      <c r="E3" s="11" t="s">
        <v>114</v>
      </c>
      <c r="F3" s="12" t="n">
        <f aca="false">M3*D3</f>
        <v>1000</v>
      </c>
      <c r="G3" s="11" t="s">
        <v>17</v>
      </c>
      <c r="H3" s="11" t="n">
        <f aca="false">(M3*(C3/1000))*D3</f>
        <v>40</v>
      </c>
      <c r="I3" s="11" t="s">
        <v>115</v>
      </c>
      <c r="J3" s="13"/>
      <c r="K3" s="11" t="n">
        <v>1</v>
      </c>
      <c r="L3" s="11"/>
      <c r="M3" s="11" t="n">
        <f aca="false">K3-L3</f>
        <v>1</v>
      </c>
      <c r="N3" s="53" t="n">
        <f aca="false">H3*7.5</f>
        <v>300</v>
      </c>
    </row>
    <row r="4" customFormat="false" ht="15" hidden="false" customHeight="true" outlineLevel="0" collapsed="false">
      <c r="A4" s="11" t="n">
        <v>22</v>
      </c>
      <c r="B4" s="11" t="s">
        <v>62</v>
      </c>
      <c r="C4" s="11" t="n">
        <v>60</v>
      </c>
      <c r="D4" s="11" t="n">
        <v>1000</v>
      </c>
      <c r="E4" s="11" t="s">
        <v>114</v>
      </c>
      <c r="F4" s="12" t="n">
        <f aca="false">M4*D4</f>
        <v>0</v>
      </c>
      <c r="G4" s="11" t="s">
        <v>17</v>
      </c>
      <c r="H4" s="11" t="n">
        <f aca="false">(M4*(C4/1000))*D4</f>
        <v>0</v>
      </c>
      <c r="I4" s="11" t="s">
        <v>115</v>
      </c>
      <c r="J4" s="13"/>
      <c r="K4" s="11" t="n">
        <v>1</v>
      </c>
      <c r="L4" s="11" t="n">
        <v>1</v>
      </c>
      <c r="M4" s="11" t="n">
        <f aca="false">K4-L4</f>
        <v>0</v>
      </c>
      <c r="N4" s="53" t="n">
        <f aca="false">H4*7.5</f>
        <v>0</v>
      </c>
    </row>
    <row r="5" customFormat="false" ht="15" hidden="false" customHeight="true" outlineLevel="0" collapsed="false">
      <c r="A5" s="137" t="n">
        <v>4</v>
      </c>
      <c r="B5" s="11" t="s">
        <v>62</v>
      </c>
      <c r="C5" s="11" t="n">
        <v>60</v>
      </c>
      <c r="D5" s="11" t="n">
        <v>2000</v>
      </c>
      <c r="E5" s="11" t="s">
        <v>112</v>
      </c>
      <c r="F5" s="12" t="n">
        <f aca="false">M5*D5</f>
        <v>0</v>
      </c>
      <c r="G5" s="11" t="s">
        <v>17</v>
      </c>
      <c r="H5" s="11" t="n">
        <f aca="false">(M5*(C5/1000))*D5</f>
        <v>0</v>
      </c>
      <c r="I5" s="11" t="s">
        <v>113</v>
      </c>
      <c r="J5" s="13" t="n">
        <v>46111</v>
      </c>
      <c r="K5" s="11" t="n">
        <v>1</v>
      </c>
      <c r="L5" s="11" t="n">
        <v>1</v>
      </c>
      <c r="M5" s="11" t="n">
        <f aca="false">K5-L5</f>
        <v>0</v>
      </c>
      <c r="N5" s="53" t="n">
        <f aca="false">H5*7.5</f>
        <v>0</v>
      </c>
      <c r="O5" s="1" t="s">
        <v>71</v>
      </c>
    </row>
    <row r="6" customFormat="false" ht="15" hidden="false" customHeight="true" outlineLevel="0" collapsed="false">
      <c r="A6" s="137" t="n">
        <v>5</v>
      </c>
      <c r="B6" s="11" t="s">
        <v>62</v>
      </c>
      <c r="C6" s="11" t="n">
        <v>60</v>
      </c>
      <c r="D6" s="11" t="n">
        <v>2000</v>
      </c>
      <c r="E6" s="11" t="s">
        <v>112</v>
      </c>
      <c r="F6" s="12" t="n">
        <f aca="false">M6*D6</f>
        <v>2000</v>
      </c>
      <c r="G6" s="11" t="s">
        <v>17</v>
      </c>
      <c r="H6" s="11" t="n">
        <f aca="false">(M6*(C6/1000))*D6</f>
        <v>120</v>
      </c>
      <c r="I6" s="11" t="s">
        <v>113</v>
      </c>
      <c r="J6" s="13"/>
      <c r="K6" s="11" t="n">
        <v>1</v>
      </c>
      <c r="L6" s="11"/>
      <c r="M6" s="11" t="n">
        <f aca="false">K6-L6</f>
        <v>1</v>
      </c>
      <c r="N6" s="53" t="n">
        <f aca="false">H6*7.5</f>
        <v>900</v>
      </c>
    </row>
    <row r="7" customFormat="false" ht="15" hidden="false" customHeight="true" outlineLevel="0" collapsed="false">
      <c r="A7" s="137" t="n">
        <v>5</v>
      </c>
      <c r="B7" s="11" t="s">
        <v>62</v>
      </c>
      <c r="C7" s="11" t="n">
        <v>60</v>
      </c>
      <c r="D7" s="11" t="n">
        <v>1000</v>
      </c>
      <c r="E7" s="11" t="s">
        <v>112</v>
      </c>
      <c r="F7" s="12" t="n">
        <f aca="false">M7*D7</f>
        <v>1000</v>
      </c>
      <c r="G7" s="11" t="s">
        <v>17</v>
      </c>
      <c r="H7" s="11" t="n">
        <f aca="false">(M7*(C7/1000))*D7</f>
        <v>60</v>
      </c>
      <c r="I7" s="11" t="s">
        <v>113</v>
      </c>
      <c r="J7" s="13" t="n">
        <v>43941</v>
      </c>
      <c r="K7" s="11" t="n">
        <v>1</v>
      </c>
      <c r="L7" s="11"/>
      <c r="M7" s="11" t="n">
        <f aca="false">K7-L7</f>
        <v>1</v>
      </c>
      <c r="N7" s="53" t="n">
        <f aca="false">H7*7.5</f>
        <v>450</v>
      </c>
    </row>
    <row r="8" customFormat="false" ht="15" hidden="false" customHeight="true" outlineLevel="0" collapsed="false">
      <c r="A8" s="11" t="n">
        <v>3</v>
      </c>
      <c r="B8" s="11" t="s">
        <v>58</v>
      </c>
      <c r="C8" s="11" t="n">
        <v>60</v>
      </c>
      <c r="D8" s="11" t="n">
        <v>1000</v>
      </c>
      <c r="E8" s="11" t="s">
        <v>116</v>
      </c>
      <c r="F8" s="12" t="n">
        <f aca="false">M8*D8</f>
        <v>3000</v>
      </c>
      <c r="G8" s="11" t="s">
        <v>17</v>
      </c>
      <c r="H8" s="11" t="n">
        <f aca="false">(M8*(C8/1000))*D8</f>
        <v>180</v>
      </c>
      <c r="I8" s="11" t="s">
        <v>90</v>
      </c>
      <c r="J8" s="13" t="n">
        <v>44946</v>
      </c>
      <c r="K8" s="11" t="n">
        <v>3</v>
      </c>
      <c r="L8" s="11"/>
      <c r="M8" s="11" t="n">
        <f aca="false">K8-L8</f>
        <v>3</v>
      </c>
      <c r="N8" s="53" t="n">
        <f aca="false">H8*6.5</f>
        <v>1170</v>
      </c>
    </row>
    <row r="9" customFormat="false" ht="15" hidden="false" customHeight="true" outlineLevel="0" collapsed="false">
      <c r="A9" s="11" t="n">
        <v>1</v>
      </c>
      <c r="B9" s="11" t="s">
        <v>67</v>
      </c>
      <c r="C9" s="11" t="n">
        <v>60</v>
      </c>
      <c r="D9" s="11" t="n">
        <v>1000</v>
      </c>
      <c r="E9" s="11" t="s">
        <v>117</v>
      </c>
      <c r="F9" s="12" t="n">
        <f aca="false">M9*D9</f>
        <v>1000</v>
      </c>
      <c r="G9" s="11" t="s">
        <v>17</v>
      </c>
      <c r="H9" s="11" t="n">
        <f aca="false">(M9*(C9/1000))*D9</f>
        <v>60</v>
      </c>
      <c r="I9" s="11" t="s">
        <v>118</v>
      </c>
      <c r="J9" s="13" t="n">
        <v>44082</v>
      </c>
      <c r="K9" s="11" t="n">
        <v>1</v>
      </c>
      <c r="L9" s="11"/>
      <c r="M9" s="11" t="n">
        <f aca="false">K9-L9</f>
        <v>1</v>
      </c>
      <c r="N9" s="53" t="n">
        <f aca="false">H9*5.5</f>
        <v>330</v>
      </c>
    </row>
    <row r="10" customFormat="false" ht="15" hidden="false" customHeight="true" outlineLevel="0" collapsed="false">
      <c r="A10" s="137" t="n">
        <v>5</v>
      </c>
      <c r="B10" s="11" t="s">
        <v>62</v>
      </c>
      <c r="C10" s="11" t="n">
        <v>61</v>
      </c>
      <c r="D10" s="11" t="n">
        <v>1000</v>
      </c>
      <c r="E10" s="11" t="s">
        <v>112</v>
      </c>
      <c r="F10" s="12" t="n">
        <f aca="false">M10*D10</f>
        <v>2000</v>
      </c>
      <c r="G10" s="11" t="s">
        <v>17</v>
      </c>
      <c r="H10" s="11" t="n">
        <f aca="false">(M10*(C10/1000))*D10</f>
        <v>122</v>
      </c>
      <c r="I10" s="11" t="s">
        <v>113</v>
      </c>
      <c r="J10" s="13" t="n">
        <v>45983</v>
      </c>
      <c r="K10" s="11" t="n">
        <v>2</v>
      </c>
      <c r="L10" s="11"/>
      <c r="M10" s="11" t="n">
        <f aca="false">K10-L10</f>
        <v>2</v>
      </c>
      <c r="N10" s="53" t="n">
        <f aca="false">H10*7.5</f>
        <v>915</v>
      </c>
    </row>
    <row r="11" customFormat="false" ht="15" hidden="false" customHeight="true" outlineLevel="0" collapsed="false">
      <c r="A11" s="137" t="n">
        <v>9</v>
      </c>
      <c r="B11" s="11" t="s">
        <v>62</v>
      </c>
      <c r="C11" s="11" t="n">
        <v>65</v>
      </c>
      <c r="D11" s="11" t="n">
        <v>1000</v>
      </c>
      <c r="E11" s="11" t="s">
        <v>112</v>
      </c>
      <c r="F11" s="12" t="n">
        <f aca="false">M11*D11</f>
        <v>0</v>
      </c>
      <c r="G11" s="11" t="s">
        <v>17</v>
      </c>
      <c r="H11" s="11" t="n">
        <f aca="false">(M11*(C11/1000))*D11</f>
        <v>0</v>
      </c>
      <c r="I11" s="11" t="s">
        <v>113</v>
      </c>
      <c r="J11" s="13"/>
      <c r="K11" s="11" t="n">
        <v>0</v>
      </c>
      <c r="L11" s="11"/>
      <c r="M11" s="11" t="n">
        <f aca="false">K11-L11</f>
        <v>0</v>
      </c>
      <c r="N11" s="53" t="n">
        <f aca="false">H11*7.5</f>
        <v>0</v>
      </c>
    </row>
    <row r="12" customFormat="false" ht="15" hidden="false" customHeight="true" outlineLevel="0" collapsed="false">
      <c r="A12" s="11" t="n">
        <v>3</v>
      </c>
      <c r="B12" s="11" t="s">
        <v>58</v>
      </c>
      <c r="C12" s="11" t="n">
        <v>65</v>
      </c>
      <c r="D12" s="11" t="n">
        <v>1500</v>
      </c>
      <c r="E12" s="11" t="s">
        <v>116</v>
      </c>
      <c r="F12" s="12" t="n">
        <f aca="false">M12*D12</f>
        <v>1500</v>
      </c>
      <c r="G12" s="11" t="s">
        <v>17</v>
      </c>
      <c r="H12" s="11" t="n">
        <f aca="false">(M12*(C12/1000))*D12</f>
        <v>97.5</v>
      </c>
      <c r="I12" s="11" t="s">
        <v>90</v>
      </c>
      <c r="J12" s="13" t="n">
        <v>45734</v>
      </c>
      <c r="K12" s="11" t="n">
        <v>1</v>
      </c>
      <c r="L12" s="11"/>
      <c r="M12" s="11" t="n">
        <f aca="false">K12-L12</f>
        <v>1</v>
      </c>
      <c r="N12" s="53" t="n">
        <f aca="false">H12*6.5</f>
        <v>633.75</v>
      </c>
    </row>
    <row r="13" customFormat="false" ht="15" hidden="false" customHeight="true" outlineLevel="0" collapsed="false">
      <c r="A13" s="11" t="n">
        <v>3</v>
      </c>
      <c r="B13" s="11" t="s">
        <v>58</v>
      </c>
      <c r="C13" s="11" t="n">
        <v>65</v>
      </c>
      <c r="D13" s="11" t="n">
        <v>1000</v>
      </c>
      <c r="E13" s="11" t="s">
        <v>116</v>
      </c>
      <c r="F13" s="12" t="n">
        <f aca="false">M13*D13</f>
        <v>2000</v>
      </c>
      <c r="G13" s="11" t="s">
        <v>17</v>
      </c>
      <c r="H13" s="11" t="n">
        <f aca="false">(M13*(C13/1000))*D13</f>
        <v>130</v>
      </c>
      <c r="I13" s="11" t="s">
        <v>90</v>
      </c>
      <c r="J13" s="13" t="n">
        <v>45695</v>
      </c>
      <c r="K13" s="11" t="n">
        <v>2</v>
      </c>
      <c r="L13" s="11"/>
      <c r="M13" s="11" t="n">
        <f aca="false">K13-L13</f>
        <v>2</v>
      </c>
      <c r="N13" s="53" t="n">
        <f aca="false">H13*6.5</f>
        <v>845</v>
      </c>
    </row>
    <row r="14" customFormat="false" ht="15" hidden="false" customHeight="true" outlineLevel="0" collapsed="false">
      <c r="A14" s="11" t="n">
        <v>3</v>
      </c>
      <c r="B14" s="11" t="s">
        <v>58</v>
      </c>
      <c r="C14" s="11" t="n">
        <v>65</v>
      </c>
      <c r="D14" s="11" t="n">
        <v>1000</v>
      </c>
      <c r="E14" s="11" t="s">
        <v>116</v>
      </c>
      <c r="F14" s="12" t="n">
        <f aca="false">M14*D14</f>
        <v>2000</v>
      </c>
      <c r="G14" s="11" t="s">
        <v>17</v>
      </c>
      <c r="H14" s="11" t="n">
        <f aca="false">(M14*(C14/1000))*D14</f>
        <v>130</v>
      </c>
      <c r="I14" s="11" t="s">
        <v>90</v>
      </c>
      <c r="J14" s="13" t="n">
        <v>45850</v>
      </c>
      <c r="K14" s="11" t="n">
        <v>2</v>
      </c>
      <c r="L14" s="11"/>
      <c r="M14" s="11" t="n">
        <f aca="false">K14-L14</f>
        <v>2</v>
      </c>
      <c r="N14" s="53" t="n">
        <f aca="false">H14*6.5</f>
        <v>845</v>
      </c>
    </row>
    <row r="15" customFormat="false" ht="15" hidden="false" customHeight="true" outlineLevel="0" collapsed="false">
      <c r="A15" s="11" t="n">
        <v>22</v>
      </c>
      <c r="B15" s="11" t="s">
        <v>62</v>
      </c>
      <c r="C15" s="11" t="n">
        <v>70</v>
      </c>
      <c r="D15" s="11" t="n">
        <v>1000</v>
      </c>
      <c r="E15" s="11" t="s">
        <v>114</v>
      </c>
      <c r="F15" s="12" t="n">
        <f aca="false">M15*D15</f>
        <v>0</v>
      </c>
      <c r="G15" s="11" t="s">
        <v>17</v>
      </c>
      <c r="H15" s="11" t="n">
        <f aca="false">(M15*(C15/1000))*D15</f>
        <v>0</v>
      </c>
      <c r="I15" s="11" t="s">
        <v>115</v>
      </c>
      <c r="J15" s="13" t="n">
        <v>45998</v>
      </c>
      <c r="K15" s="11" t="n">
        <v>1</v>
      </c>
      <c r="L15" s="11" t="n">
        <v>1</v>
      </c>
      <c r="M15" s="11" t="n">
        <f aca="false">K15-L15</f>
        <v>0</v>
      </c>
      <c r="N15" s="53" t="n">
        <f aca="false">H15*7.5</f>
        <v>0</v>
      </c>
    </row>
    <row r="16" customFormat="false" ht="15" hidden="false" customHeight="true" outlineLevel="0" collapsed="false">
      <c r="A16" s="11" t="n">
        <v>3</v>
      </c>
      <c r="B16" s="11" t="s">
        <v>58</v>
      </c>
      <c r="C16" s="11" t="n">
        <v>70</v>
      </c>
      <c r="D16" s="11" t="n">
        <v>1000</v>
      </c>
      <c r="E16" s="11" t="s">
        <v>116</v>
      </c>
      <c r="F16" s="12" t="n">
        <f aca="false">M16*D16</f>
        <v>2000</v>
      </c>
      <c r="G16" s="11" t="s">
        <v>17</v>
      </c>
      <c r="H16" s="11" t="n">
        <f aca="false">(M16*(C16/1000))*D16</f>
        <v>140</v>
      </c>
      <c r="I16" s="11" t="s">
        <v>90</v>
      </c>
      <c r="J16" s="13" t="n">
        <v>45850</v>
      </c>
      <c r="K16" s="11" t="n">
        <v>2</v>
      </c>
      <c r="L16" s="11"/>
      <c r="M16" s="11" t="n">
        <f aca="false">K16-L16</f>
        <v>2</v>
      </c>
      <c r="N16" s="53" t="n">
        <f aca="false">H16*6.5</f>
        <v>910</v>
      </c>
    </row>
    <row r="17" customFormat="false" ht="15" hidden="false" customHeight="true" outlineLevel="0" collapsed="false">
      <c r="A17" s="11" t="n">
        <v>20</v>
      </c>
      <c r="B17" s="11" t="s">
        <v>67</v>
      </c>
      <c r="C17" s="11" t="n">
        <v>75</v>
      </c>
      <c r="D17" s="11" t="n">
        <v>1000</v>
      </c>
      <c r="E17" s="11" t="s">
        <v>119</v>
      </c>
      <c r="F17" s="12" t="n">
        <f aca="false">M17*D17</f>
        <v>0</v>
      </c>
      <c r="G17" s="11" t="s">
        <v>17</v>
      </c>
      <c r="H17" s="11" t="n">
        <f aca="false">(M17*(C17/1000))*D17</f>
        <v>0</v>
      </c>
      <c r="I17" s="11" t="s">
        <v>120</v>
      </c>
      <c r="J17" s="13" t="n">
        <v>46153</v>
      </c>
      <c r="K17" s="11" t="n">
        <v>1</v>
      </c>
      <c r="L17" s="11" t="n">
        <v>1</v>
      </c>
      <c r="M17" s="11" t="n">
        <f aca="false">K17-L17</f>
        <v>0</v>
      </c>
      <c r="N17" s="53" t="n">
        <f aca="false">H17*5.5</f>
        <v>0</v>
      </c>
    </row>
    <row r="18" customFormat="false" ht="15" hidden="false" customHeight="true" outlineLevel="0" collapsed="false">
      <c r="A18" s="137" t="n">
        <v>4</v>
      </c>
      <c r="B18" s="11" t="s">
        <v>62</v>
      </c>
      <c r="C18" s="11" t="n">
        <v>75</v>
      </c>
      <c r="D18" s="11" t="n">
        <v>1000</v>
      </c>
      <c r="E18" s="11" t="s">
        <v>112</v>
      </c>
      <c r="F18" s="12" t="n">
        <f aca="false">M18*D18</f>
        <v>0</v>
      </c>
      <c r="G18" s="11" t="s">
        <v>17</v>
      </c>
      <c r="H18" s="11" t="n">
        <f aca="false">(M18*(C18/1000))*D18</f>
        <v>0</v>
      </c>
      <c r="I18" s="11" t="s">
        <v>113</v>
      </c>
      <c r="J18" s="13" t="n">
        <v>46163</v>
      </c>
      <c r="K18" s="11" t="n">
        <v>2</v>
      </c>
      <c r="L18" s="11" t="n">
        <v>2</v>
      </c>
      <c r="M18" s="11" t="n">
        <f aca="false">K18-L18</f>
        <v>0</v>
      </c>
      <c r="N18" s="53" t="n">
        <f aca="false">H18*7.5</f>
        <v>0</v>
      </c>
    </row>
    <row r="19" customFormat="false" ht="15" hidden="false" customHeight="true" outlineLevel="0" collapsed="false">
      <c r="A19" s="11" t="n">
        <v>7</v>
      </c>
      <c r="B19" s="11" t="s">
        <v>58</v>
      </c>
      <c r="C19" s="11" t="n">
        <v>75</v>
      </c>
      <c r="D19" s="11" t="n">
        <v>1000</v>
      </c>
      <c r="E19" s="11" t="s">
        <v>116</v>
      </c>
      <c r="F19" s="12" t="n">
        <f aca="false">M19*D19</f>
        <v>0</v>
      </c>
      <c r="G19" s="11" t="s">
        <v>17</v>
      </c>
      <c r="H19" s="11" t="n">
        <f aca="false">(M19*(C19/1000))*D19</f>
        <v>0</v>
      </c>
      <c r="I19" s="11" t="s">
        <v>90</v>
      </c>
      <c r="J19" s="138" t="n">
        <v>45465</v>
      </c>
      <c r="K19" s="11" t="n">
        <v>1</v>
      </c>
      <c r="L19" s="11" t="n">
        <v>1</v>
      </c>
      <c r="M19" s="11" t="n">
        <f aca="false">K19-L19</f>
        <v>0</v>
      </c>
      <c r="N19" s="53" t="n">
        <f aca="false">H19*6.5</f>
        <v>0</v>
      </c>
    </row>
    <row r="20" customFormat="false" ht="15" hidden="false" customHeight="true" outlineLevel="0" collapsed="false">
      <c r="A20" s="11" t="n">
        <v>12</v>
      </c>
      <c r="B20" s="11" t="s">
        <v>62</v>
      </c>
      <c r="C20" s="11" t="n">
        <v>75</v>
      </c>
      <c r="D20" s="11" t="n">
        <v>1000</v>
      </c>
      <c r="E20" s="11" t="s">
        <v>121</v>
      </c>
      <c r="F20" s="12" t="n">
        <f aca="false">M20*D20</f>
        <v>1000</v>
      </c>
      <c r="G20" s="11"/>
      <c r="H20" s="11" t="n">
        <f aca="false">(M20*(C20/1000))*D20</f>
        <v>75</v>
      </c>
      <c r="I20" s="11" t="s">
        <v>122</v>
      </c>
      <c r="J20" s="13" t="n">
        <v>45997</v>
      </c>
      <c r="K20" s="11" t="n">
        <v>1</v>
      </c>
      <c r="L20" s="11"/>
      <c r="M20" s="11" t="n">
        <f aca="false">K20-L20</f>
        <v>1</v>
      </c>
      <c r="N20" s="53" t="n">
        <f aca="false">H20*7.5</f>
        <v>562.5</v>
      </c>
    </row>
    <row r="21" customFormat="false" ht="15" hidden="false" customHeight="true" outlineLevel="0" collapsed="false">
      <c r="A21" s="11" t="n">
        <v>11</v>
      </c>
      <c r="B21" s="11" t="s">
        <v>62</v>
      </c>
      <c r="C21" s="11" t="n">
        <v>76</v>
      </c>
      <c r="D21" s="11" t="n">
        <v>1000</v>
      </c>
      <c r="E21" s="11" t="s">
        <v>123</v>
      </c>
      <c r="F21" s="12" t="n">
        <f aca="false">M21*D21</f>
        <v>1000</v>
      </c>
      <c r="G21" s="11"/>
      <c r="H21" s="11" t="n">
        <f aca="false">(M21*(C21/1000))*D21</f>
        <v>76</v>
      </c>
      <c r="I21" s="11" t="s">
        <v>124</v>
      </c>
      <c r="J21" s="13" t="n">
        <v>45997</v>
      </c>
      <c r="K21" s="11" t="n">
        <v>1</v>
      </c>
      <c r="L21" s="11"/>
      <c r="M21" s="11" t="n">
        <f aca="false">K21-L21</f>
        <v>1</v>
      </c>
      <c r="N21" s="53" t="n">
        <f aca="false">H21*7.5</f>
        <v>570</v>
      </c>
    </row>
    <row r="22" customFormat="false" ht="15" hidden="false" customHeight="true" outlineLevel="0" collapsed="false">
      <c r="A22" s="11" t="n">
        <v>24</v>
      </c>
      <c r="B22" s="11" t="s">
        <v>62</v>
      </c>
      <c r="C22" s="11" t="n">
        <v>80</v>
      </c>
      <c r="D22" s="11" t="n">
        <v>1000</v>
      </c>
      <c r="E22" s="11" t="s">
        <v>125</v>
      </c>
      <c r="F22" s="12" t="n">
        <f aca="false">M22*D22</f>
        <v>1000</v>
      </c>
      <c r="G22" s="11" t="s">
        <v>17</v>
      </c>
      <c r="H22" s="11" t="n">
        <f aca="false">(M22*(C22/1000))*D22</f>
        <v>80</v>
      </c>
      <c r="I22" s="11" t="s">
        <v>126</v>
      </c>
      <c r="J22" s="13" t="n">
        <v>46194</v>
      </c>
      <c r="K22" s="11" t="n">
        <v>4</v>
      </c>
      <c r="L22" s="11" t="n">
        <v>3</v>
      </c>
      <c r="M22" s="11" t="n">
        <f aca="false">K22-L22</f>
        <v>1</v>
      </c>
      <c r="N22" s="53" t="n">
        <f aca="false">H22*7.5</f>
        <v>600</v>
      </c>
    </row>
    <row r="23" customFormat="false" ht="15" hidden="false" customHeight="true" outlineLevel="0" collapsed="false">
      <c r="A23" s="11" t="n">
        <v>10</v>
      </c>
      <c r="B23" s="11" t="s">
        <v>62</v>
      </c>
      <c r="C23" s="11" t="n">
        <v>80</v>
      </c>
      <c r="D23" s="11" t="n">
        <v>1000</v>
      </c>
      <c r="E23" s="11" t="s">
        <v>114</v>
      </c>
      <c r="F23" s="12" t="n">
        <f aca="false">M23*D23</f>
        <v>0</v>
      </c>
      <c r="G23" s="11" t="s">
        <v>17</v>
      </c>
      <c r="H23" s="11" t="n">
        <f aca="false">(M23*(C23/1000))*D23</f>
        <v>0</v>
      </c>
      <c r="I23" s="11" t="s">
        <v>115</v>
      </c>
      <c r="J23" s="13" t="n">
        <v>45930</v>
      </c>
      <c r="K23" s="11" t="n">
        <v>1</v>
      </c>
      <c r="L23" s="11" t="n">
        <v>1</v>
      </c>
      <c r="M23" s="11" t="n">
        <f aca="false">K23-L23</f>
        <v>0</v>
      </c>
      <c r="N23" s="53" t="n">
        <f aca="false">H23*7.5</f>
        <v>0</v>
      </c>
    </row>
    <row r="24" customFormat="false" ht="15" hidden="false" customHeight="true" outlineLevel="0" collapsed="false">
      <c r="A24" s="11" t="n">
        <v>19</v>
      </c>
      <c r="B24" s="11" t="s">
        <v>67</v>
      </c>
      <c r="C24" s="11" t="n">
        <v>80</v>
      </c>
      <c r="D24" s="11" t="n">
        <v>1000</v>
      </c>
      <c r="E24" s="11" t="s">
        <v>119</v>
      </c>
      <c r="F24" s="12" t="n">
        <f aca="false">M24*D24</f>
        <v>2000</v>
      </c>
      <c r="G24" s="11" t="s">
        <v>17</v>
      </c>
      <c r="H24" s="11" t="n">
        <f aca="false">(M24*(C24/1000))*D24</f>
        <v>160</v>
      </c>
      <c r="I24" s="11" t="s">
        <v>120</v>
      </c>
      <c r="J24" s="13" t="n">
        <v>46150</v>
      </c>
      <c r="K24" s="11" t="n">
        <v>2</v>
      </c>
      <c r="L24" s="11"/>
      <c r="M24" s="11" t="n">
        <f aca="false">K24-L24</f>
        <v>2</v>
      </c>
      <c r="N24" s="53" t="n">
        <f aca="false">H24*5.5</f>
        <v>880</v>
      </c>
    </row>
    <row r="25" customFormat="false" ht="15" hidden="false" customHeight="true" outlineLevel="0" collapsed="false">
      <c r="A25" s="11" t="n">
        <v>23</v>
      </c>
      <c r="B25" s="11" t="s">
        <v>67</v>
      </c>
      <c r="C25" s="11" t="n">
        <v>80</v>
      </c>
      <c r="D25" s="11" t="n">
        <v>1000</v>
      </c>
      <c r="E25" s="11" t="s">
        <v>119</v>
      </c>
      <c r="F25" s="12" t="n">
        <f aca="false">M25*D25</f>
        <v>2000</v>
      </c>
      <c r="G25" s="11" t="s">
        <v>17</v>
      </c>
      <c r="H25" s="11" t="n">
        <f aca="false">(M25*(C25/1000))*D25</f>
        <v>160</v>
      </c>
      <c r="I25" s="11" t="s">
        <v>120</v>
      </c>
      <c r="J25" s="13" t="n">
        <v>46153</v>
      </c>
      <c r="K25" s="11" t="n">
        <v>2</v>
      </c>
      <c r="L25" s="11"/>
      <c r="M25" s="11" t="n">
        <f aca="false">K25-L25</f>
        <v>2</v>
      </c>
      <c r="N25" s="53" t="n">
        <f aca="false">H25*5.5</f>
        <v>880</v>
      </c>
    </row>
    <row r="26" customFormat="false" ht="15" hidden="false" customHeight="true" outlineLevel="0" collapsed="false">
      <c r="A26" s="137" t="n">
        <v>5</v>
      </c>
      <c r="B26" s="11" t="s">
        <v>62</v>
      </c>
      <c r="C26" s="11" t="n">
        <v>80</v>
      </c>
      <c r="D26" s="11" t="n">
        <v>1000</v>
      </c>
      <c r="E26" s="11" t="s">
        <v>112</v>
      </c>
      <c r="F26" s="12" t="n">
        <f aca="false">M26*D26</f>
        <v>3000</v>
      </c>
      <c r="G26" s="11" t="s">
        <v>17</v>
      </c>
      <c r="H26" s="11" t="n">
        <f aca="false">(M26*(C26/1000))*D26</f>
        <v>240</v>
      </c>
      <c r="I26" s="11" t="s">
        <v>113</v>
      </c>
      <c r="J26" s="13" t="n">
        <v>45826</v>
      </c>
      <c r="K26" s="11" t="n">
        <v>3</v>
      </c>
      <c r="L26" s="11"/>
      <c r="M26" s="11" t="n">
        <f aca="false">K26-L26</f>
        <v>3</v>
      </c>
      <c r="N26" s="53" t="n">
        <f aca="false">H26*7.5</f>
        <v>1800</v>
      </c>
    </row>
    <row r="27" customFormat="false" ht="15" hidden="false" customHeight="true" outlineLevel="0" collapsed="false">
      <c r="A27" s="137" t="n">
        <v>5</v>
      </c>
      <c r="B27" s="11" t="s">
        <v>62</v>
      </c>
      <c r="C27" s="11" t="n">
        <v>80</v>
      </c>
      <c r="D27" s="11" t="n">
        <v>1000</v>
      </c>
      <c r="E27" s="11" t="s">
        <v>112</v>
      </c>
      <c r="F27" s="12" t="n">
        <f aca="false">M27*D27</f>
        <v>3000</v>
      </c>
      <c r="G27" s="11" t="s">
        <v>17</v>
      </c>
      <c r="H27" s="11" t="n">
        <f aca="false">(M27*(C27/1000))*D27</f>
        <v>240</v>
      </c>
      <c r="I27" s="11" t="s">
        <v>113</v>
      </c>
      <c r="J27" s="13" t="n">
        <v>45699</v>
      </c>
      <c r="K27" s="11" t="n">
        <v>3</v>
      </c>
      <c r="L27" s="11"/>
      <c r="M27" s="11" t="n">
        <f aca="false">K27-L27</f>
        <v>3</v>
      </c>
      <c r="N27" s="53" t="n">
        <f aca="false">H27*7.5</f>
        <v>1800</v>
      </c>
      <c r="O27" s="116"/>
    </row>
    <row r="28" customFormat="false" ht="15" hidden="false" customHeight="true" outlineLevel="0" collapsed="false">
      <c r="A28" s="11" t="n">
        <v>3</v>
      </c>
      <c r="B28" s="11" t="s">
        <v>58</v>
      </c>
      <c r="C28" s="11" t="n">
        <v>80</v>
      </c>
      <c r="D28" s="11" t="n">
        <v>1500</v>
      </c>
      <c r="E28" s="11" t="s">
        <v>116</v>
      </c>
      <c r="F28" s="12" t="n">
        <f aca="false">M28*D28</f>
        <v>1500</v>
      </c>
      <c r="G28" s="11" t="s">
        <v>17</v>
      </c>
      <c r="H28" s="11" t="n">
        <f aca="false">(M28*(C28/1000))*D28</f>
        <v>120</v>
      </c>
      <c r="I28" s="11" t="s">
        <v>90</v>
      </c>
      <c r="J28" s="13" t="n">
        <v>45713</v>
      </c>
      <c r="K28" s="11" t="n">
        <v>1</v>
      </c>
      <c r="L28" s="11"/>
      <c r="M28" s="11" t="n">
        <f aca="false">K28-L28</f>
        <v>1</v>
      </c>
      <c r="N28" s="53" t="n">
        <f aca="false">H28*6.5</f>
        <v>780</v>
      </c>
      <c r="O28" s="116"/>
    </row>
    <row r="29" customFormat="false" ht="15" hidden="false" customHeight="true" outlineLevel="0" collapsed="false">
      <c r="A29" s="11" t="n">
        <v>3</v>
      </c>
      <c r="B29" s="11" t="s">
        <v>58</v>
      </c>
      <c r="C29" s="11" t="n">
        <v>80</v>
      </c>
      <c r="D29" s="11" t="n">
        <v>1500</v>
      </c>
      <c r="E29" s="11" t="s">
        <v>116</v>
      </c>
      <c r="F29" s="12" t="n">
        <f aca="false">M29*D29</f>
        <v>1500</v>
      </c>
      <c r="G29" s="11" t="s">
        <v>17</v>
      </c>
      <c r="H29" s="11" t="n">
        <f aca="false">(M29*(C29/1000))*D29</f>
        <v>120</v>
      </c>
      <c r="I29" s="11" t="s">
        <v>90</v>
      </c>
      <c r="J29" s="13" t="n">
        <v>45919</v>
      </c>
      <c r="K29" s="11" t="n">
        <v>1</v>
      </c>
      <c r="L29" s="11"/>
      <c r="M29" s="11" t="n">
        <f aca="false">K29-L29</f>
        <v>1</v>
      </c>
      <c r="N29" s="53" t="n">
        <f aca="false">H29*6.5</f>
        <v>780</v>
      </c>
    </row>
    <row r="30" customFormat="false" ht="15" hidden="false" customHeight="true" outlineLevel="0" collapsed="false">
      <c r="A30" s="11" t="n">
        <v>3</v>
      </c>
      <c r="B30" s="139" t="s">
        <v>58</v>
      </c>
      <c r="C30" s="11" t="n">
        <v>80</v>
      </c>
      <c r="D30" s="140" t="n">
        <v>1000</v>
      </c>
      <c r="E30" s="11" t="s">
        <v>116</v>
      </c>
      <c r="F30" s="12" t="n">
        <f aca="false">M30*D30</f>
        <v>1000</v>
      </c>
      <c r="G30" s="11" t="s">
        <v>17</v>
      </c>
      <c r="H30" s="11" t="n">
        <f aca="false">(M30*(C30/1000))*D30</f>
        <v>80</v>
      </c>
      <c r="I30" s="11" t="s">
        <v>90</v>
      </c>
      <c r="J30" s="13" t="n">
        <v>45809</v>
      </c>
      <c r="K30" s="11" t="n">
        <v>1</v>
      </c>
      <c r="L30" s="140"/>
      <c r="M30" s="11" t="n">
        <f aca="false">K30-L30</f>
        <v>1</v>
      </c>
      <c r="N30" s="53" t="n">
        <f aca="false">H30*6.5</f>
        <v>520</v>
      </c>
    </row>
    <row r="31" customFormat="false" ht="15" hidden="false" customHeight="true" outlineLevel="0" collapsed="false">
      <c r="A31" s="11" t="n">
        <v>7</v>
      </c>
      <c r="B31" s="139" t="s">
        <v>58</v>
      </c>
      <c r="C31" s="11" t="n">
        <v>80</v>
      </c>
      <c r="D31" s="11" t="n">
        <v>1500</v>
      </c>
      <c r="E31" s="11" t="s">
        <v>116</v>
      </c>
      <c r="F31" s="12" t="n">
        <f aca="false">M31*D31</f>
        <v>1500</v>
      </c>
      <c r="G31" s="11" t="s">
        <v>17</v>
      </c>
      <c r="H31" s="11" t="n">
        <f aca="false">(M31*(C31/1000))*D31</f>
        <v>120</v>
      </c>
      <c r="I31" s="11" t="s">
        <v>90</v>
      </c>
      <c r="J31" s="138" t="n">
        <v>46086</v>
      </c>
      <c r="K31" s="11" t="n">
        <v>1</v>
      </c>
      <c r="L31" s="140"/>
      <c r="M31" s="11" t="n">
        <f aca="false">K31-L31</f>
        <v>1</v>
      </c>
      <c r="N31" s="53" t="n">
        <f aca="false">H31*6.5</f>
        <v>780</v>
      </c>
    </row>
    <row r="32" customFormat="false" ht="15" hidden="false" customHeight="true" outlineLevel="0" collapsed="false">
      <c r="A32" s="11" t="n">
        <v>5</v>
      </c>
      <c r="B32" s="139" t="s">
        <v>67</v>
      </c>
      <c r="C32" s="11" t="n">
        <v>80</v>
      </c>
      <c r="D32" s="11" t="n">
        <v>1000</v>
      </c>
      <c r="E32" s="11" t="s">
        <v>127</v>
      </c>
      <c r="F32" s="12" t="n">
        <f aca="false">M32*D32</f>
        <v>5000</v>
      </c>
      <c r="G32" s="11" t="s">
        <v>17</v>
      </c>
      <c r="H32" s="11" t="n">
        <f aca="false">(M32*(C32/1000))*D32</f>
        <v>400</v>
      </c>
      <c r="I32" s="11" t="s">
        <v>128</v>
      </c>
      <c r="J32" s="13" t="n">
        <v>46175</v>
      </c>
      <c r="K32" s="11" t="n">
        <v>6</v>
      </c>
      <c r="L32" s="140" t="n">
        <v>1</v>
      </c>
      <c r="M32" s="11" t="n">
        <f aca="false">K32-L32</f>
        <v>5</v>
      </c>
      <c r="N32" s="53" t="n">
        <f aca="false">H32*5.5</f>
        <v>2200</v>
      </c>
      <c r="O32" s="116"/>
    </row>
    <row r="33" customFormat="false" ht="15" hidden="false" customHeight="true" outlineLevel="0" collapsed="false">
      <c r="A33" s="11" t="n">
        <v>11</v>
      </c>
      <c r="B33" s="139" t="s">
        <v>62</v>
      </c>
      <c r="C33" s="11" t="n">
        <v>80</v>
      </c>
      <c r="D33" s="11" t="n">
        <v>1000</v>
      </c>
      <c r="E33" s="11" t="s">
        <v>123</v>
      </c>
      <c r="F33" s="12" t="n">
        <f aca="false">M33*D33</f>
        <v>2000</v>
      </c>
      <c r="G33" s="11"/>
      <c r="H33" s="11" t="n">
        <f aca="false">(M33*(C33/1000))*D33</f>
        <v>160</v>
      </c>
      <c r="I33" s="11" t="s">
        <v>124</v>
      </c>
      <c r="J33" s="13" t="n">
        <v>45997</v>
      </c>
      <c r="K33" s="11" t="n">
        <v>2</v>
      </c>
      <c r="L33" s="140"/>
      <c r="M33" s="11" t="n">
        <f aca="false">K33-L33</f>
        <v>2</v>
      </c>
      <c r="N33" s="53" t="n">
        <f aca="false">H33*7.5</f>
        <v>1200</v>
      </c>
      <c r="O33" s="116"/>
    </row>
    <row r="34" customFormat="false" ht="15" hidden="false" customHeight="true" outlineLevel="0" collapsed="false">
      <c r="A34" s="11" t="n">
        <v>11</v>
      </c>
      <c r="B34" s="11" t="s">
        <v>62</v>
      </c>
      <c r="C34" s="11" t="n">
        <v>80</v>
      </c>
      <c r="D34" s="11" t="n">
        <v>500</v>
      </c>
      <c r="E34" s="11" t="s">
        <v>129</v>
      </c>
      <c r="F34" s="12" t="n">
        <f aca="false">M34*D34</f>
        <v>500</v>
      </c>
      <c r="G34" s="11"/>
      <c r="H34" s="11" t="n">
        <f aca="false">(M34*(C34/1000))*D34</f>
        <v>40</v>
      </c>
      <c r="I34" s="11" t="s">
        <v>124</v>
      </c>
      <c r="J34" s="13" t="n">
        <v>45997</v>
      </c>
      <c r="K34" s="11" t="n">
        <v>1</v>
      </c>
      <c r="L34" s="11"/>
      <c r="M34" s="11" t="n">
        <f aca="false">K34-L34</f>
        <v>1</v>
      </c>
      <c r="N34" s="53" t="n">
        <f aca="false">H34*7.5</f>
        <v>300</v>
      </c>
    </row>
    <row r="35" customFormat="false" ht="15" hidden="false" customHeight="true" outlineLevel="0" collapsed="false">
      <c r="A35" s="11" t="n">
        <v>12</v>
      </c>
      <c r="B35" s="11" t="s">
        <v>62</v>
      </c>
      <c r="C35" s="11" t="n">
        <v>80</v>
      </c>
      <c r="D35" s="11" t="n">
        <v>1000</v>
      </c>
      <c r="E35" s="11" t="s">
        <v>121</v>
      </c>
      <c r="F35" s="12" t="n">
        <f aca="false">M35*D35</f>
        <v>0</v>
      </c>
      <c r="G35" s="11"/>
      <c r="H35" s="11" t="n">
        <f aca="false">(M35*(C35/1000))*D35</f>
        <v>0</v>
      </c>
      <c r="I35" s="11" t="s">
        <v>122</v>
      </c>
      <c r="J35" s="13" t="n">
        <v>45997</v>
      </c>
      <c r="K35" s="11" t="n">
        <v>2</v>
      </c>
      <c r="L35" s="11" t="n">
        <v>2</v>
      </c>
      <c r="M35" s="11" t="n">
        <f aca="false">K35-L35</f>
        <v>0</v>
      </c>
      <c r="N35" s="53" t="n">
        <f aca="false">H35*7.5</f>
        <v>0</v>
      </c>
      <c r="O35" s="116"/>
    </row>
    <row r="36" customFormat="false" ht="15" hidden="false" customHeight="true" outlineLevel="0" collapsed="false">
      <c r="A36" s="11" t="n">
        <v>22</v>
      </c>
      <c r="B36" s="11" t="s">
        <v>62</v>
      </c>
      <c r="C36" s="11" t="n">
        <v>80</v>
      </c>
      <c r="D36" s="11" t="n">
        <v>1000</v>
      </c>
      <c r="E36" s="11" t="s">
        <v>114</v>
      </c>
      <c r="F36" s="12" t="n">
        <f aca="false">M36*D36</f>
        <v>1000</v>
      </c>
      <c r="G36" s="11" t="s">
        <v>17</v>
      </c>
      <c r="H36" s="11" t="n">
        <f aca="false">(M36*(C36/1000))*D36</f>
        <v>80</v>
      </c>
      <c r="I36" s="11" t="s">
        <v>115</v>
      </c>
      <c r="J36" s="13" t="n">
        <v>45930</v>
      </c>
      <c r="K36" s="11" t="n">
        <v>1</v>
      </c>
      <c r="L36" s="11"/>
      <c r="M36" s="11" t="n">
        <f aca="false">K36-L36</f>
        <v>1</v>
      </c>
      <c r="N36" s="53" t="n">
        <f aca="false">H36*7.5</f>
        <v>600</v>
      </c>
    </row>
    <row r="37" customFormat="false" ht="15" hidden="false" customHeight="true" outlineLevel="0" collapsed="false">
      <c r="A37" s="11" t="n">
        <v>4</v>
      </c>
      <c r="B37" s="139" t="s">
        <v>62</v>
      </c>
      <c r="C37" s="11" t="n">
        <v>83</v>
      </c>
      <c r="D37" s="140" t="n">
        <v>1500</v>
      </c>
      <c r="E37" s="11" t="s">
        <v>125</v>
      </c>
      <c r="F37" s="12" t="n">
        <f aca="false">M37*D37</f>
        <v>1500</v>
      </c>
      <c r="G37" s="11" t="s">
        <v>17</v>
      </c>
      <c r="H37" s="11" t="n">
        <f aca="false">(M37*(C37/1000))*D37</f>
        <v>124.5</v>
      </c>
      <c r="I37" s="11" t="s">
        <v>126</v>
      </c>
      <c r="J37" s="13" t="n">
        <v>46110</v>
      </c>
      <c r="K37" s="11" t="n">
        <v>1</v>
      </c>
      <c r="L37" s="140"/>
      <c r="M37" s="11" t="n">
        <f aca="false">K37-L37</f>
        <v>1</v>
      </c>
      <c r="N37" s="53" t="n">
        <f aca="false">H37*7.5</f>
        <v>933.75</v>
      </c>
    </row>
    <row r="38" customFormat="false" ht="15" hidden="false" customHeight="true" outlineLevel="0" collapsed="false">
      <c r="A38" s="11" t="n">
        <v>22</v>
      </c>
      <c r="B38" s="11" t="s">
        <v>62</v>
      </c>
      <c r="C38" s="11" t="n">
        <v>83</v>
      </c>
      <c r="D38" s="11" t="n">
        <v>1000</v>
      </c>
      <c r="E38" s="11" t="s">
        <v>114</v>
      </c>
      <c r="F38" s="12" t="n">
        <f aca="false">M38*D38</f>
        <v>2000</v>
      </c>
      <c r="G38" s="11" t="s">
        <v>17</v>
      </c>
      <c r="H38" s="11" t="n">
        <f aca="false">(M38*(C38/1000))*D38</f>
        <v>166</v>
      </c>
      <c r="I38" s="11" t="s">
        <v>115</v>
      </c>
      <c r="J38" s="13" t="n">
        <v>45997</v>
      </c>
      <c r="K38" s="11" t="n">
        <v>2</v>
      </c>
      <c r="L38" s="11"/>
      <c r="M38" s="11" t="n">
        <f aca="false">K38-L38</f>
        <v>2</v>
      </c>
      <c r="N38" s="53" t="n">
        <f aca="false">H38*7.5</f>
        <v>1245</v>
      </c>
    </row>
    <row r="39" customFormat="false" ht="15" hidden="false" customHeight="true" outlineLevel="0" collapsed="false">
      <c r="A39" s="137" t="n">
        <v>5</v>
      </c>
      <c r="B39" s="11" t="s">
        <v>62</v>
      </c>
      <c r="C39" s="11" t="n">
        <v>83</v>
      </c>
      <c r="D39" s="11" t="n">
        <v>1500</v>
      </c>
      <c r="E39" s="11" t="s">
        <v>112</v>
      </c>
      <c r="F39" s="12" t="n">
        <f aca="false">M39*D39</f>
        <v>1500</v>
      </c>
      <c r="G39" s="11" t="s">
        <v>17</v>
      </c>
      <c r="H39" s="11" t="n">
        <f aca="false">(M39*(C39/1000))*D39</f>
        <v>124.5</v>
      </c>
      <c r="I39" s="11" t="s">
        <v>113</v>
      </c>
      <c r="J39" s="13"/>
      <c r="K39" s="11" t="n">
        <v>1</v>
      </c>
      <c r="L39" s="11"/>
      <c r="M39" s="11" t="n">
        <f aca="false">K39-L39</f>
        <v>1</v>
      </c>
      <c r="N39" s="53" t="n">
        <f aca="false">H39*7.5</f>
        <v>933.75</v>
      </c>
    </row>
    <row r="40" customFormat="false" ht="15" hidden="false" customHeight="true" outlineLevel="0" collapsed="false">
      <c r="A40" s="11" t="s">
        <v>130</v>
      </c>
      <c r="B40" s="11" t="s">
        <v>62</v>
      </c>
      <c r="C40" s="11" t="n">
        <v>84</v>
      </c>
      <c r="D40" s="11" t="n">
        <v>1000</v>
      </c>
      <c r="E40" s="11" t="s">
        <v>121</v>
      </c>
      <c r="F40" s="12" t="n">
        <f aca="false">M40*D40</f>
        <v>2000</v>
      </c>
      <c r="G40" s="11"/>
      <c r="H40" s="11" t="n">
        <f aca="false">(M40*(C40/1000))*D40</f>
        <v>168</v>
      </c>
      <c r="I40" s="11" t="s">
        <v>122</v>
      </c>
      <c r="J40" s="13" t="n">
        <v>45997</v>
      </c>
      <c r="K40" s="11" t="n">
        <v>2</v>
      </c>
      <c r="L40" s="11"/>
      <c r="M40" s="11" t="n">
        <f aca="false">K40-L40</f>
        <v>2</v>
      </c>
      <c r="N40" s="53" t="n">
        <f aca="false">H40*7.5</f>
        <v>1260</v>
      </c>
      <c r="O40" s="116"/>
    </row>
    <row r="41" customFormat="false" ht="15" hidden="false" customHeight="true" outlineLevel="0" collapsed="false">
      <c r="A41" s="11" t="n">
        <v>24</v>
      </c>
      <c r="B41" s="11" t="s">
        <v>62</v>
      </c>
      <c r="C41" s="11" t="n">
        <v>85</v>
      </c>
      <c r="D41" s="11" t="n">
        <v>1000</v>
      </c>
      <c r="E41" s="11" t="s">
        <v>125</v>
      </c>
      <c r="F41" s="12" t="n">
        <f aca="false">M41*D41</f>
        <v>1000</v>
      </c>
      <c r="G41" s="11" t="s">
        <v>17</v>
      </c>
      <c r="H41" s="11" t="n">
        <f aca="false">(M41*(C41/1000))*D41</f>
        <v>85</v>
      </c>
      <c r="I41" s="11" t="s">
        <v>126</v>
      </c>
      <c r="J41" s="13" t="n">
        <v>45868</v>
      </c>
      <c r="K41" s="11" t="n">
        <v>1</v>
      </c>
      <c r="L41" s="11"/>
      <c r="M41" s="11" t="n">
        <f aca="false">K41-L41</f>
        <v>1</v>
      </c>
      <c r="N41" s="53" t="n">
        <f aca="false">H41*7.5</f>
        <v>637.5</v>
      </c>
    </row>
    <row r="42" customFormat="false" ht="15" hidden="false" customHeight="true" outlineLevel="0" collapsed="false">
      <c r="A42" s="11" t="n">
        <v>22</v>
      </c>
      <c r="B42" s="11" t="s">
        <v>62</v>
      </c>
      <c r="C42" s="11" t="n">
        <v>85</v>
      </c>
      <c r="D42" s="11" t="n">
        <v>1000</v>
      </c>
      <c r="E42" s="11" t="s">
        <v>114</v>
      </c>
      <c r="F42" s="12" t="n">
        <f aca="false">M42*D42</f>
        <v>1000</v>
      </c>
      <c r="G42" s="11" t="s">
        <v>17</v>
      </c>
      <c r="H42" s="11" t="n">
        <f aca="false">(M42*(C42/1000))*D42</f>
        <v>85</v>
      </c>
      <c r="I42" s="11" t="s">
        <v>115</v>
      </c>
      <c r="J42" s="13" t="n">
        <v>45997</v>
      </c>
      <c r="K42" s="11" t="n">
        <v>2</v>
      </c>
      <c r="L42" s="11" t="n">
        <v>1</v>
      </c>
      <c r="M42" s="11" t="n">
        <f aca="false">K42-L42</f>
        <v>1</v>
      </c>
      <c r="N42" s="53" t="n">
        <f aca="false">H42*7.5</f>
        <v>637.5</v>
      </c>
    </row>
    <row r="43" customFormat="false" ht="15" hidden="false" customHeight="true" outlineLevel="0" collapsed="false">
      <c r="A43" s="11" t="n">
        <v>10</v>
      </c>
      <c r="B43" s="11" t="s">
        <v>62</v>
      </c>
      <c r="C43" s="11" t="n">
        <v>85</v>
      </c>
      <c r="D43" s="11" t="n">
        <v>1000</v>
      </c>
      <c r="E43" s="11" t="s">
        <v>114</v>
      </c>
      <c r="F43" s="12" t="n">
        <f aca="false">M43*D43</f>
        <v>1000</v>
      </c>
      <c r="G43" s="11" t="s">
        <v>17</v>
      </c>
      <c r="H43" s="11" t="n">
        <f aca="false">(M43*(C43/1000))*D43</f>
        <v>85</v>
      </c>
      <c r="I43" s="11" t="s">
        <v>115</v>
      </c>
      <c r="J43" s="13" t="n">
        <v>45930</v>
      </c>
      <c r="K43" s="11" t="n">
        <v>1</v>
      </c>
      <c r="L43" s="11"/>
      <c r="M43" s="11" t="n">
        <f aca="false">K43-L43</f>
        <v>1</v>
      </c>
      <c r="N43" s="53" t="n">
        <f aca="false">H43*7.5</f>
        <v>637.5</v>
      </c>
      <c r="O43" s="116"/>
    </row>
    <row r="44" customFormat="false" ht="15" hidden="false" customHeight="true" outlineLevel="0" collapsed="false">
      <c r="A44" s="137" t="n">
        <v>5</v>
      </c>
      <c r="B44" s="11" t="s">
        <v>62</v>
      </c>
      <c r="C44" s="11" t="n">
        <v>85</v>
      </c>
      <c r="D44" s="11" t="n">
        <v>2000</v>
      </c>
      <c r="E44" s="11" t="s">
        <v>112</v>
      </c>
      <c r="F44" s="12" t="n">
        <f aca="false">M44*D44</f>
        <v>0</v>
      </c>
      <c r="G44" s="11" t="s">
        <v>17</v>
      </c>
      <c r="H44" s="11" t="n">
        <f aca="false">(M44*(C44/1000))*D44</f>
        <v>0</v>
      </c>
      <c r="I44" s="11" t="s">
        <v>113</v>
      </c>
      <c r="J44" s="13"/>
      <c r="K44" s="11" t="n">
        <v>1</v>
      </c>
      <c r="L44" s="11" t="n">
        <v>1</v>
      </c>
      <c r="M44" s="11" t="n">
        <f aca="false">K44-L44</f>
        <v>0</v>
      </c>
      <c r="N44" s="53" t="n">
        <f aca="false">H44*7.5</f>
        <v>0</v>
      </c>
    </row>
    <row r="45" customFormat="false" ht="15" hidden="false" customHeight="true" outlineLevel="0" collapsed="false">
      <c r="A45" s="11" t="n">
        <v>3</v>
      </c>
      <c r="B45" s="11" t="s">
        <v>58</v>
      </c>
      <c r="C45" s="11" t="n">
        <v>85</v>
      </c>
      <c r="D45" s="11" t="n">
        <v>1500</v>
      </c>
      <c r="E45" s="11" t="s">
        <v>116</v>
      </c>
      <c r="F45" s="12" t="n">
        <f aca="false">M45*D45</f>
        <v>3000</v>
      </c>
      <c r="G45" s="11" t="s">
        <v>17</v>
      </c>
      <c r="H45" s="11" t="n">
        <f aca="false">(M45*(C45/1000))*D45</f>
        <v>255</v>
      </c>
      <c r="I45" s="11" t="s">
        <v>90</v>
      </c>
      <c r="J45" s="13" t="n">
        <v>45713</v>
      </c>
      <c r="K45" s="11" t="n">
        <v>2</v>
      </c>
      <c r="L45" s="11"/>
      <c r="M45" s="11" t="n">
        <f aca="false">K45-L45</f>
        <v>2</v>
      </c>
      <c r="N45" s="53" t="n">
        <f aca="false">H45*6.5</f>
        <v>1657.5</v>
      </c>
      <c r="O45" s="116"/>
    </row>
    <row r="46" customFormat="false" ht="15" hidden="false" customHeight="true" outlineLevel="0" collapsed="false">
      <c r="A46" s="11" t="n">
        <v>7</v>
      </c>
      <c r="B46" s="11" t="s">
        <v>58</v>
      </c>
      <c r="C46" s="11" t="n">
        <v>85</v>
      </c>
      <c r="D46" s="11" t="n">
        <v>1500</v>
      </c>
      <c r="E46" s="11" t="s">
        <v>116</v>
      </c>
      <c r="F46" s="12" t="n">
        <f aca="false">M46*D46</f>
        <v>1500</v>
      </c>
      <c r="G46" s="11" t="s">
        <v>17</v>
      </c>
      <c r="H46" s="11" t="n">
        <f aca="false">(M46*(C46/1000))*D46</f>
        <v>127.5</v>
      </c>
      <c r="I46" s="11" t="s">
        <v>90</v>
      </c>
      <c r="J46" s="138" t="n">
        <v>46089</v>
      </c>
      <c r="K46" s="11" t="n">
        <v>1</v>
      </c>
      <c r="L46" s="11"/>
      <c r="M46" s="11" t="n">
        <f aca="false">K46-L46</f>
        <v>1</v>
      </c>
      <c r="N46" s="53" t="n">
        <f aca="false">H46*6.5</f>
        <v>828.75</v>
      </c>
      <c r="O46" s="116"/>
    </row>
    <row r="47" customFormat="false" ht="15" hidden="false" customHeight="true" outlineLevel="0" collapsed="false">
      <c r="A47" s="11" t="n">
        <v>1</v>
      </c>
      <c r="B47" s="11" t="s">
        <v>67</v>
      </c>
      <c r="C47" s="11" t="n">
        <v>88</v>
      </c>
      <c r="D47" s="11" t="n">
        <v>700</v>
      </c>
      <c r="E47" s="11" t="s">
        <v>117</v>
      </c>
      <c r="F47" s="12" t="n">
        <f aca="false">M47*D47</f>
        <v>700</v>
      </c>
      <c r="G47" s="11" t="s">
        <v>17</v>
      </c>
      <c r="H47" s="11" t="n">
        <f aca="false">(M47*(C47/1000))*D47</f>
        <v>61.6</v>
      </c>
      <c r="I47" s="11" t="s">
        <v>118</v>
      </c>
      <c r="J47" s="19"/>
      <c r="K47" s="11" t="n">
        <v>1</v>
      </c>
      <c r="L47" s="11"/>
      <c r="M47" s="11" t="n">
        <f aca="false">K47-L47</f>
        <v>1</v>
      </c>
      <c r="N47" s="53" t="n">
        <f aca="false">H47*5.5</f>
        <v>338.8</v>
      </c>
    </row>
    <row r="48" customFormat="false" ht="15" hidden="false" customHeight="true" outlineLevel="0" collapsed="false">
      <c r="A48" s="137" t="n">
        <v>4</v>
      </c>
      <c r="B48" s="11" t="s">
        <v>62</v>
      </c>
      <c r="C48" s="11" t="n">
        <v>90</v>
      </c>
      <c r="D48" s="11" t="n">
        <v>500</v>
      </c>
      <c r="E48" s="11" t="s">
        <v>112</v>
      </c>
      <c r="F48" s="12" t="n">
        <f aca="false">M48*D48</f>
        <v>0</v>
      </c>
      <c r="G48" s="11" t="s">
        <v>17</v>
      </c>
      <c r="H48" s="11" t="n">
        <f aca="false">(M48*(C48/1000))*D48</f>
        <v>0</v>
      </c>
      <c r="I48" s="11" t="s">
        <v>113</v>
      </c>
      <c r="J48" s="13" t="n">
        <v>46111</v>
      </c>
      <c r="K48" s="11" t="n">
        <v>1</v>
      </c>
      <c r="L48" s="11" t="n">
        <v>1</v>
      </c>
      <c r="M48" s="11" t="n">
        <f aca="false">K48-L48</f>
        <v>0</v>
      </c>
      <c r="N48" s="53" t="n">
        <f aca="false">H48*7.5</f>
        <v>0</v>
      </c>
    </row>
    <row r="49" customFormat="false" ht="15" hidden="false" customHeight="true" outlineLevel="0" collapsed="false">
      <c r="A49" s="11" t="n">
        <v>3</v>
      </c>
      <c r="B49" s="11" t="s">
        <v>58</v>
      </c>
      <c r="C49" s="11" t="n">
        <v>90</v>
      </c>
      <c r="D49" s="11" t="n">
        <v>1500</v>
      </c>
      <c r="E49" s="11" t="s">
        <v>116</v>
      </c>
      <c r="F49" s="12" t="n">
        <f aca="false">M49*D49</f>
        <v>1500</v>
      </c>
      <c r="G49" s="11" t="s">
        <v>17</v>
      </c>
      <c r="H49" s="11" t="n">
        <f aca="false">(M49*(C49/1000))*D49</f>
        <v>135</v>
      </c>
      <c r="I49" s="11" t="s">
        <v>90</v>
      </c>
      <c r="J49" s="13" t="n">
        <v>46109</v>
      </c>
      <c r="K49" s="11" t="n">
        <v>1</v>
      </c>
      <c r="L49" s="11"/>
      <c r="M49" s="11" t="n">
        <f aca="false">K49-L49</f>
        <v>1</v>
      </c>
      <c r="N49" s="53" t="n">
        <f aca="false">H49*6.5</f>
        <v>877.5</v>
      </c>
    </row>
    <row r="50" customFormat="false" ht="15" hidden="false" customHeight="true" outlineLevel="0" collapsed="false">
      <c r="A50" s="11" t="n">
        <v>3</v>
      </c>
      <c r="B50" s="11" t="s">
        <v>58</v>
      </c>
      <c r="C50" s="11" t="n">
        <v>90</v>
      </c>
      <c r="D50" s="11" t="n">
        <v>1000</v>
      </c>
      <c r="E50" s="11" t="s">
        <v>116</v>
      </c>
      <c r="F50" s="12" t="n">
        <f aca="false">M50*D50</f>
        <v>1000</v>
      </c>
      <c r="G50" s="11" t="s">
        <v>17</v>
      </c>
      <c r="H50" s="11" t="n">
        <f aca="false">(M50*(C50/1000))*D50</f>
        <v>90</v>
      </c>
      <c r="I50" s="11" t="s">
        <v>90</v>
      </c>
      <c r="J50" s="13" t="n">
        <v>45713</v>
      </c>
      <c r="K50" s="11" t="n">
        <v>1</v>
      </c>
      <c r="L50" s="11"/>
      <c r="M50" s="11" t="n">
        <f aca="false">K50-L50</f>
        <v>1</v>
      </c>
      <c r="N50" s="53" t="n">
        <f aca="false">H50*6.5</f>
        <v>585</v>
      </c>
    </row>
    <row r="51" customFormat="false" ht="15" hidden="false" customHeight="true" outlineLevel="0" collapsed="false">
      <c r="A51" s="11" t="n">
        <v>3</v>
      </c>
      <c r="B51" s="11" t="s">
        <v>58</v>
      </c>
      <c r="C51" s="11" t="n">
        <v>90</v>
      </c>
      <c r="D51" s="11" t="n">
        <v>1000</v>
      </c>
      <c r="E51" s="11" t="s">
        <v>131</v>
      </c>
      <c r="F51" s="12" t="n">
        <f aca="false">M51*D51</f>
        <v>1000</v>
      </c>
      <c r="G51" s="141" t="s">
        <v>56</v>
      </c>
      <c r="H51" s="11" t="n">
        <f aca="false">(M51*(C51/1000))*D51</f>
        <v>90</v>
      </c>
      <c r="I51" s="11" t="s">
        <v>132</v>
      </c>
      <c r="J51" s="13" t="n">
        <v>42067</v>
      </c>
      <c r="K51" s="11" t="n">
        <v>1</v>
      </c>
      <c r="L51" s="11"/>
      <c r="M51" s="11" t="n">
        <f aca="false">K51-L51</f>
        <v>1</v>
      </c>
      <c r="N51" s="53" t="n">
        <f aca="false">H51*8.5</f>
        <v>765</v>
      </c>
    </row>
    <row r="52" customFormat="false" ht="15" hidden="false" customHeight="true" outlineLevel="0" collapsed="false">
      <c r="A52" s="11" t="n">
        <v>5</v>
      </c>
      <c r="B52" s="11" t="s">
        <v>67</v>
      </c>
      <c r="C52" s="11" t="n">
        <v>90</v>
      </c>
      <c r="D52" s="11" t="n">
        <v>1000</v>
      </c>
      <c r="E52" s="11" t="s">
        <v>127</v>
      </c>
      <c r="F52" s="12" t="n">
        <f aca="false">M52*D52</f>
        <v>0</v>
      </c>
      <c r="G52" s="11" t="s">
        <v>17</v>
      </c>
      <c r="H52" s="11" t="n">
        <f aca="false">(M52*(C52/1000))*D52</f>
        <v>0</v>
      </c>
      <c r="I52" s="11" t="s">
        <v>128</v>
      </c>
      <c r="J52" s="13" t="n">
        <v>46175</v>
      </c>
      <c r="K52" s="11" t="n">
        <v>1</v>
      </c>
      <c r="L52" s="11" t="n">
        <v>1</v>
      </c>
      <c r="M52" s="11" t="n">
        <f aca="false">K52-L52</f>
        <v>0</v>
      </c>
      <c r="N52" s="53" t="n">
        <f aca="false">H52*5.5</f>
        <v>0</v>
      </c>
    </row>
    <row r="53" customFormat="false" ht="15" hidden="false" customHeight="true" outlineLevel="0" collapsed="false">
      <c r="A53" s="11" t="n">
        <v>12</v>
      </c>
      <c r="B53" s="11" t="s">
        <v>62</v>
      </c>
      <c r="C53" s="11" t="n">
        <v>90</v>
      </c>
      <c r="D53" s="11" t="n">
        <v>1000</v>
      </c>
      <c r="E53" s="11" t="s">
        <v>121</v>
      </c>
      <c r="F53" s="12" t="n">
        <f aca="false">M53*D53</f>
        <v>1000</v>
      </c>
      <c r="G53" s="11"/>
      <c r="H53" s="11" t="n">
        <f aca="false">(M53*(C53/1000))*D53</f>
        <v>90</v>
      </c>
      <c r="I53" s="11" t="s">
        <v>122</v>
      </c>
      <c r="J53" s="13" t="n">
        <v>45997</v>
      </c>
      <c r="K53" s="11" t="n">
        <v>1</v>
      </c>
      <c r="L53" s="11"/>
      <c r="M53" s="11" t="n">
        <f aca="false">K53-L53</f>
        <v>1</v>
      </c>
      <c r="N53" s="53" t="n">
        <f aca="false">H53*7.5</f>
        <v>675</v>
      </c>
    </row>
    <row r="54" customFormat="false" ht="15" hidden="false" customHeight="true" outlineLevel="0" collapsed="false">
      <c r="A54" s="11" t="n">
        <v>5</v>
      </c>
      <c r="B54" s="11" t="s">
        <v>62</v>
      </c>
      <c r="C54" s="11" t="n">
        <v>95</v>
      </c>
      <c r="D54" s="11" t="n">
        <v>1500</v>
      </c>
      <c r="E54" s="11" t="s">
        <v>114</v>
      </c>
      <c r="F54" s="12" t="n">
        <f aca="false">M54*D54</f>
        <v>1500</v>
      </c>
      <c r="G54" s="11" t="s">
        <v>17</v>
      </c>
      <c r="H54" s="11" t="n">
        <f aca="false">(M54*(C54/1000))*D54</f>
        <v>142.5</v>
      </c>
      <c r="I54" s="11" t="s">
        <v>115</v>
      </c>
      <c r="J54" s="13" t="n">
        <v>46203</v>
      </c>
      <c r="K54" s="11" t="n">
        <v>1</v>
      </c>
      <c r="L54" s="11"/>
      <c r="M54" s="11" t="n">
        <f aca="false">K54-L54</f>
        <v>1</v>
      </c>
      <c r="N54" s="53" t="n">
        <f aca="false">H54*7.5</f>
        <v>1068.75</v>
      </c>
    </row>
    <row r="55" customFormat="false" ht="15" hidden="false" customHeight="true" outlineLevel="0" collapsed="false">
      <c r="A55" s="11" t="n">
        <v>24</v>
      </c>
      <c r="B55" s="11" t="s">
        <v>62</v>
      </c>
      <c r="C55" s="11" t="n">
        <v>95</v>
      </c>
      <c r="D55" s="11" t="n">
        <v>1000</v>
      </c>
      <c r="E55" s="11" t="s">
        <v>114</v>
      </c>
      <c r="F55" s="12" t="n">
        <f aca="false">M55*D55</f>
        <v>3000</v>
      </c>
      <c r="G55" s="11" t="s">
        <v>17</v>
      </c>
      <c r="H55" s="11" t="n">
        <f aca="false">(M55*(C55/1000))*D55</f>
        <v>285</v>
      </c>
      <c r="I55" s="11" t="s">
        <v>115</v>
      </c>
      <c r="J55" s="13" t="n">
        <v>43536</v>
      </c>
      <c r="K55" s="11" t="n">
        <v>3</v>
      </c>
      <c r="L55" s="11"/>
      <c r="M55" s="11" t="n">
        <f aca="false">K55-L55</f>
        <v>3</v>
      </c>
      <c r="N55" s="53" t="n">
        <f aca="false">H55*7.5</f>
        <v>2137.5</v>
      </c>
    </row>
    <row r="56" customFormat="false" ht="15" hidden="false" customHeight="true" outlineLevel="0" collapsed="false">
      <c r="A56" s="137" t="n">
        <v>5</v>
      </c>
      <c r="B56" s="11" t="s">
        <v>62</v>
      </c>
      <c r="C56" s="11" t="n">
        <v>95</v>
      </c>
      <c r="D56" s="11" t="n">
        <v>2000</v>
      </c>
      <c r="E56" s="11" t="s">
        <v>112</v>
      </c>
      <c r="F56" s="12" t="n">
        <f aca="false">M56*D56</f>
        <v>0</v>
      </c>
      <c r="G56" s="11" t="s">
        <v>17</v>
      </c>
      <c r="H56" s="11" t="n">
        <f aca="false">(M56*(C56/1000))*D56</f>
        <v>0</v>
      </c>
      <c r="I56" s="11" t="s">
        <v>113</v>
      </c>
      <c r="J56" s="13" t="n">
        <v>46111</v>
      </c>
      <c r="K56" s="11" t="n">
        <v>3</v>
      </c>
      <c r="L56" s="11" t="n">
        <v>3</v>
      </c>
      <c r="M56" s="11" t="n">
        <f aca="false">K56-L56</f>
        <v>0</v>
      </c>
      <c r="N56" s="53" t="n">
        <f aca="false">H56*7.5</f>
        <v>0</v>
      </c>
    </row>
    <row r="57" customFormat="false" ht="15" hidden="false" customHeight="true" outlineLevel="0" collapsed="false">
      <c r="A57" s="11" t="n">
        <v>7</v>
      </c>
      <c r="B57" s="11" t="s">
        <v>58</v>
      </c>
      <c r="C57" s="11" t="n">
        <v>95</v>
      </c>
      <c r="D57" s="11" t="n">
        <v>1000</v>
      </c>
      <c r="E57" s="11" t="s">
        <v>116</v>
      </c>
      <c r="F57" s="12" t="n">
        <f aca="false">M57*D57</f>
        <v>1000</v>
      </c>
      <c r="G57" s="11" t="s">
        <v>17</v>
      </c>
      <c r="H57" s="11" t="n">
        <f aca="false">(M57*(C57/1000))*D57</f>
        <v>95</v>
      </c>
      <c r="I57" s="11" t="s">
        <v>90</v>
      </c>
      <c r="J57" s="138" t="n">
        <v>45511</v>
      </c>
      <c r="K57" s="11" t="n">
        <v>1</v>
      </c>
      <c r="L57" s="11"/>
      <c r="M57" s="11" t="n">
        <f aca="false">K57-L57</f>
        <v>1</v>
      </c>
      <c r="N57" s="53" t="n">
        <f aca="false">H57*6.5</f>
        <v>617.5</v>
      </c>
    </row>
    <row r="58" customFormat="false" ht="15" hidden="false" customHeight="true" outlineLevel="0" collapsed="false">
      <c r="A58" s="11" t="n">
        <v>3</v>
      </c>
      <c r="B58" s="11" t="s">
        <v>58</v>
      </c>
      <c r="C58" s="11" t="n">
        <v>95</v>
      </c>
      <c r="D58" s="11" t="n">
        <v>1500</v>
      </c>
      <c r="E58" s="11" t="s">
        <v>116</v>
      </c>
      <c r="F58" s="12" t="n">
        <f aca="false">M58*D58</f>
        <v>3000</v>
      </c>
      <c r="G58" s="11" t="s">
        <v>17</v>
      </c>
      <c r="H58" s="11" t="n">
        <f aca="false">(M58*(C58/1000))*D58</f>
        <v>285</v>
      </c>
      <c r="I58" s="11" t="s">
        <v>90</v>
      </c>
      <c r="J58" s="13" t="n">
        <v>45850</v>
      </c>
      <c r="K58" s="11" t="n">
        <v>2</v>
      </c>
      <c r="L58" s="11"/>
      <c r="M58" s="11" t="n">
        <f aca="false">K58-L58</f>
        <v>2</v>
      </c>
      <c r="N58" s="53" t="n">
        <f aca="false">H58*6.5</f>
        <v>1852.5</v>
      </c>
    </row>
    <row r="59" customFormat="false" ht="15" hidden="false" customHeight="true" outlineLevel="0" collapsed="false">
      <c r="A59" s="11" t="n">
        <v>3</v>
      </c>
      <c r="B59" s="11" t="s">
        <v>58</v>
      </c>
      <c r="C59" s="11" t="n">
        <v>95</v>
      </c>
      <c r="D59" s="11" t="n">
        <v>1000</v>
      </c>
      <c r="E59" s="11" t="s">
        <v>116</v>
      </c>
      <c r="F59" s="12" t="n">
        <f aca="false">M59*D59</f>
        <v>2000</v>
      </c>
      <c r="G59" s="11" t="s">
        <v>17</v>
      </c>
      <c r="H59" s="11" t="n">
        <f aca="false">(M59*(C59/1000))*D59</f>
        <v>190</v>
      </c>
      <c r="I59" s="11" t="s">
        <v>90</v>
      </c>
      <c r="J59" s="13" t="n">
        <v>45341</v>
      </c>
      <c r="K59" s="11" t="n">
        <v>3</v>
      </c>
      <c r="L59" s="11" t="n">
        <v>1</v>
      </c>
      <c r="M59" s="11" t="n">
        <f aca="false">K59-L59</f>
        <v>2</v>
      </c>
      <c r="N59" s="53" t="n">
        <f aca="false">H59*6.5</f>
        <v>1235</v>
      </c>
    </row>
    <row r="60" customFormat="false" ht="15" hidden="false" customHeight="true" outlineLevel="0" collapsed="false">
      <c r="A60" s="137" t="n">
        <v>22</v>
      </c>
      <c r="B60" s="11" t="s">
        <v>62</v>
      </c>
      <c r="C60" s="11" t="n">
        <v>100</v>
      </c>
      <c r="D60" s="11" t="n">
        <v>1000</v>
      </c>
      <c r="E60" s="11" t="s">
        <v>112</v>
      </c>
      <c r="F60" s="12" t="n">
        <f aca="false">M60*D60</f>
        <v>0</v>
      </c>
      <c r="G60" s="11" t="s">
        <v>17</v>
      </c>
      <c r="H60" s="11" t="n">
        <f aca="false">(M60*(C60/1000))*D60</f>
        <v>0</v>
      </c>
      <c r="I60" s="11" t="s">
        <v>113</v>
      </c>
      <c r="J60" s="13" t="n">
        <v>45998</v>
      </c>
      <c r="K60" s="11" t="n">
        <v>1</v>
      </c>
      <c r="L60" s="11" t="n">
        <v>1</v>
      </c>
      <c r="M60" s="11" t="n">
        <f aca="false">K60-L60</f>
        <v>0</v>
      </c>
      <c r="N60" s="53" t="n">
        <f aca="false">H60*7.5</f>
        <v>0</v>
      </c>
    </row>
    <row r="61" customFormat="false" ht="15" hidden="false" customHeight="true" outlineLevel="0" collapsed="false">
      <c r="A61" s="11" t="n">
        <v>22</v>
      </c>
      <c r="B61" s="11" t="s">
        <v>62</v>
      </c>
      <c r="C61" s="11" t="n">
        <v>100</v>
      </c>
      <c r="D61" s="11" t="n">
        <v>1000</v>
      </c>
      <c r="E61" s="11" t="s">
        <v>114</v>
      </c>
      <c r="F61" s="12" t="n">
        <f aca="false">M61*D61</f>
        <v>0</v>
      </c>
      <c r="G61" s="11" t="s">
        <v>17</v>
      </c>
      <c r="H61" s="11" t="n">
        <f aca="false">(M61*(C61/1000))*D61</f>
        <v>0</v>
      </c>
      <c r="I61" s="11" t="s">
        <v>115</v>
      </c>
      <c r="J61" s="13" t="n">
        <v>45998</v>
      </c>
      <c r="K61" s="11" t="n">
        <v>1</v>
      </c>
      <c r="L61" s="11" t="n">
        <v>1</v>
      </c>
      <c r="M61" s="11" t="n">
        <f aca="false">K61-L61</f>
        <v>0</v>
      </c>
      <c r="N61" s="53" t="n">
        <f aca="false">H61*7.5</f>
        <v>0</v>
      </c>
    </row>
    <row r="62" customFormat="false" ht="15" hidden="false" customHeight="true" outlineLevel="0" collapsed="false">
      <c r="A62" s="11" t="n">
        <v>22</v>
      </c>
      <c r="B62" s="11" t="s">
        <v>62</v>
      </c>
      <c r="C62" s="11" t="n">
        <v>100</v>
      </c>
      <c r="D62" s="11" t="n">
        <v>500</v>
      </c>
      <c r="E62" s="11" t="s">
        <v>114</v>
      </c>
      <c r="F62" s="12" t="n">
        <f aca="false">M62*D62</f>
        <v>500</v>
      </c>
      <c r="G62" s="11" t="s">
        <v>17</v>
      </c>
      <c r="H62" s="11" t="n">
        <f aca="false">(M62*(C62/1000))*D62</f>
        <v>50</v>
      </c>
      <c r="I62" s="11" t="s">
        <v>115</v>
      </c>
      <c r="J62" s="13" t="n">
        <v>45998</v>
      </c>
      <c r="K62" s="11" t="n">
        <v>1</v>
      </c>
      <c r="L62" s="11"/>
      <c r="M62" s="11" t="n">
        <f aca="false">K62-L62</f>
        <v>1</v>
      </c>
      <c r="N62" s="53" t="n">
        <f aca="false">H62*7.5</f>
        <v>375</v>
      </c>
    </row>
    <row r="63" customFormat="false" ht="15" hidden="false" customHeight="true" outlineLevel="0" collapsed="false">
      <c r="A63" s="11" t="n">
        <v>10</v>
      </c>
      <c r="B63" s="11" t="s">
        <v>62</v>
      </c>
      <c r="C63" s="11" t="n">
        <v>100</v>
      </c>
      <c r="D63" s="11" t="n">
        <v>1000</v>
      </c>
      <c r="E63" s="11" t="s">
        <v>114</v>
      </c>
      <c r="F63" s="12" t="n">
        <f aca="false">M63*D63</f>
        <v>1000</v>
      </c>
      <c r="G63" s="11" t="s">
        <v>17</v>
      </c>
      <c r="H63" s="11" t="n">
        <f aca="false">(M63*(C63/1000))*D63</f>
        <v>100</v>
      </c>
      <c r="I63" s="11" t="s">
        <v>115</v>
      </c>
      <c r="J63" s="13" t="n">
        <v>45930</v>
      </c>
      <c r="K63" s="11" t="n">
        <v>1</v>
      </c>
      <c r="L63" s="11"/>
      <c r="M63" s="11" t="n">
        <f aca="false">K63-L63</f>
        <v>1</v>
      </c>
      <c r="N63" s="53" t="n">
        <f aca="false">H63*7.5</f>
        <v>750</v>
      </c>
    </row>
    <row r="64" customFormat="false" ht="15" hidden="false" customHeight="true" outlineLevel="0" collapsed="false">
      <c r="A64" s="11" t="n">
        <v>19</v>
      </c>
      <c r="B64" s="11" t="s">
        <v>67</v>
      </c>
      <c r="C64" s="11" t="n">
        <v>100</v>
      </c>
      <c r="D64" s="11" t="n">
        <v>1500</v>
      </c>
      <c r="E64" s="11" t="s">
        <v>119</v>
      </c>
      <c r="F64" s="12" t="n">
        <f aca="false">M64*D64</f>
        <v>4500</v>
      </c>
      <c r="G64" s="11" t="s">
        <v>17</v>
      </c>
      <c r="H64" s="11" t="n">
        <f aca="false">(M64*(C64/1000))*D64</f>
        <v>450</v>
      </c>
      <c r="I64" s="11" t="s">
        <v>120</v>
      </c>
      <c r="J64" s="13" t="n">
        <v>46150</v>
      </c>
      <c r="K64" s="11" t="n">
        <v>3</v>
      </c>
      <c r="L64" s="11"/>
      <c r="M64" s="11" t="n">
        <f aca="false">K64-L64</f>
        <v>3</v>
      </c>
      <c r="N64" s="53" t="n">
        <f aca="false">H64*5.5</f>
        <v>2475</v>
      </c>
    </row>
    <row r="65" customFormat="false" ht="15" hidden="false" customHeight="true" outlineLevel="0" collapsed="false">
      <c r="A65" s="11" t="n">
        <v>23</v>
      </c>
      <c r="B65" s="11" t="s">
        <v>67</v>
      </c>
      <c r="C65" s="11" t="n">
        <v>100</v>
      </c>
      <c r="D65" s="11" t="n">
        <v>2000</v>
      </c>
      <c r="E65" s="11" t="s">
        <v>119</v>
      </c>
      <c r="F65" s="12" t="n">
        <f aca="false">M65*D65</f>
        <v>4000</v>
      </c>
      <c r="G65" s="11" t="s">
        <v>17</v>
      </c>
      <c r="H65" s="11" t="n">
        <f aca="false">(M65*(C65/1000))*D65</f>
        <v>400</v>
      </c>
      <c r="I65" s="11" t="s">
        <v>133</v>
      </c>
      <c r="J65" s="13" t="n">
        <v>45919</v>
      </c>
      <c r="K65" s="11" t="n">
        <v>2</v>
      </c>
      <c r="L65" s="11"/>
      <c r="M65" s="11" t="n">
        <f aca="false">K65-L65</f>
        <v>2</v>
      </c>
      <c r="N65" s="53" t="n">
        <f aca="false">H65*5.5</f>
        <v>2200</v>
      </c>
    </row>
    <row r="66" customFormat="false" ht="15" hidden="false" customHeight="true" outlineLevel="0" collapsed="false">
      <c r="A66" s="11" t="n">
        <v>23</v>
      </c>
      <c r="B66" s="11" t="s">
        <v>67</v>
      </c>
      <c r="C66" s="11" t="n">
        <v>100</v>
      </c>
      <c r="D66" s="11" t="n">
        <v>1000</v>
      </c>
      <c r="E66" s="11" t="s">
        <v>119</v>
      </c>
      <c r="F66" s="12" t="n">
        <f aca="false">M66*D66</f>
        <v>1000</v>
      </c>
      <c r="G66" s="11" t="s">
        <v>17</v>
      </c>
      <c r="H66" s="11" t="n">
        <f aca="false">(M66*(C66/1000))*D66</f>
        <v>100</v>
      </c>
      <c r="I66" s="11" t="s">
        <v>133</v>
      </c>
      <c r="J66" s="13" t="n">
        <v>45919</v>
      </c>
      <c r="K66" s="11" t="n">
        <v>1</v>
      </c>
      <c r="L66" s="11"/>
      <c r="M66" s="11" t="n">
        <f aca="false">K66-L66</f>
        <v>1</v>
      </c>
      <c r="N66" s="53" t="n">
        <f aca="false">H66*5.5</f>
        <v>550</v>
      </c>
    </row>
    <row r="67" customFormat="false" ht="15" hidden="false" customHeight="true" outlineLevel="0" collapsed="false">
      <c r="A67" s="11" t="n">
        <v>11</v>
      </c>
      <c r="B67" s="11" t="s">
        <v>67</v>
      </c>
      <c r="C67" s="11" t="n">
        <v>100</v>
      </c>
      <c r="D67" s="11" t="n">
        <v>1500</v>
      </c>
      <c r="E67" s="11" t="s">
        <v>119</v>
      </c>
      <c r="F67" s="12" t="n">
        <f aca="false">M67*D67</f>
        <v>1500</v>
      </c>
      <c r="G67" s="11" t="s">
        <v>17</v>
      </c>
      <c r="H67" s="11" t="n">
        <f aca="false">(M67*(C67/1000))*D67</f>
        <v>150</v>
      </c>
      <c r="I67" s="11" t="s">
        <v>120</v>
      </c>
      <c r="J67" s="13" t="n">
        <v>46069</v>
      </c>
      <c r="K67" s="11" t="n">
        <v>1</v>
      </c>
      <c r="L67" s="11"/>
      <c r="M67" s="11" t="n">
        <f aca="false">K67-L67</f>
        <v>1</v>
      </c>
      <c r="N67" s="53" t="n">
        <f aca="false">H67*5.5</f>
        <v>825</v>
      </c>
    </row>
    <row r="68" customFormat="false" ht="15" hidden="false" customHeight="true" outlineLevel="0" collapsed="false">
      <c r="A68" s="137" t="n">
        <v>4</v>
      </c>
      <c r="B68" s="11" t="s">
        <v>62</v>
      </c>
      <c r="C68" s="11" t="n">
        <v>100</v>
      </c>
      <c r="D68" s="11" t="n">
        <v>1000</v>
      </c>
      <c r="E68" s="11" t="s">
        <v>112</v>
      </c>
      <c r="F68" s="12" t="n">
        <f aca="false">M68*D68</f>
        <v>0</v>
      </c>
      <c r="G68" s="11" t="s">
        <v>17</v>
      </c>
      <c r="H68" s="11" t="n">
        <f aca="false">(M68*(C68/1000))*D68</f>
        <v>0</v>
      </c>
      <c r="I68" s="11" t="s">
        <v>113</v>
      </c>
      <c r="J68" s="13"/>
      <c r="K68" s="11" t="n">
        <v>2</v>
      </c>
      <c r="L68" s="11" t="n">
        <v>2</v>
      </c>
      <c r="M68" s="11" t="n">
        <f aca="false">K68-L68</f>
        <v>0</v>
      </c>
      <c r="N68" s="53" t="n">
        <f aca="false">H68*7.5</f>
        <v>0</v>
      </c>
    </row>
    <row r="69" customFormat="false" ht="15" hidden="false" customHeight="true" outlineLevel="0" collapsed="false">
      <c r="A69" s="11" t="n">
        <v>6</v>
      </c>
      <c r="B69" s="11" t="s">
        <v>58</v>
      </c>
      <c r="C69" s="11" t="n">
        <v>100</v>
      </c>
      <c r="D69" s="11" t="n">
        <v>1500</v>
      </c>
      <c r="E69" s="11" t="s">
        <v>116</v>
      </c>
      <c r="F69" s="12" t="n">
        <f aca="false">M69*D69</f>
        <v>4500</v>
      </c>
      <c r="G69" s="11" t="s">
        <v>17</v>
      </c>
      <c r="H69" s="11" t="n">
        <f aca="false">(M69*(C69/1000))*D69</f>
        <v>450</v>
      </c>
      <c r="I69" s="11" t="s">
        <v>90</v>
      </c>
      <c r="J69" s="138" t="n">
        <v>46114</v>
      </c>
      <c r="K69" s="11" t="n">
        <v>3</v>
      </c>
      <c r="L69" s="11"/>
      <c r="M69" s="11" t="n">
        <f aca="false">K69-L69</f>
        <v>3</v>
      </c>
      <c r="N69" s="53" t="n">
        <f aca="false">H69*6.5</f>
        <v>2925</v>
      </c>
    </row>
    <row r="70" customFormat="false" ht="15" hidden="false" customHeight="true" outlineLevel="0" collapsed="false">
      <c r="A70" s="11" t="n">
        <v>3</v>
      </c>
      <c r="B70" s="11" t="s">
        <v>58</v>
      </c>
      <c r="C70" s="11" t="n">
        <v>100</v>
      </c>
      <c r="D70" s="11" t="n">
        <v>1500</v>
      </c>
      <c r="E70" s="11" t="s">
        <v>116</v>
      </c>
      <c r="F70" s="12" t="n">
        <f aca="false">M70*D70</f>
        <v>1500</v>
      </c>
      <c r="G70" s="11" t="s">
        <v>17</v>
      </c>
      <c r="H70" s="11" t="n">
        <f aca="false">(M70*(C70/1000))*D70</f>
        <v>150</v>
      </c>
      <c r="I70" s="11" t="s">
        <v>90</v>
      </c>
      <c r="J70" s="142" t="n">
        <v>45924</v>
      </c>
      <c r="K70" s="11" t="n">
        <v>1</v>
      </c>
      <c r="L70" s="11"/>
      <c r="M70" s="11" t="n">
        <f aca="false">K70-L70</f>
        <v>1</v>
      </c>
      <c r="N70" s="53" t="n">
        <f aca="false">H70*6.5</f>
        <v>975</v>
      </c>
    </row>
    <row r="71" customFormat="false" ht="15" hidden="false" customHeight="true" outlineLevel="0" collapsed="false">
      <c r="A71" s="11" t="n">
        <v>3</v>
      </c>
      <c r="B71" s="11" t="s">
        <v>58</v>
      </c>
      <c r="C71" s="11" t="n">
        <v>100</v>
      </c>
      <c r="D71" s="11" t="n">
        <v>1000</v>
      </c>
      <c r="E71" s="11" t="s">
        <v>131</v>
      </c>
      <c r="F71" s="12" t="n">
        <f aca="false">M71*D71</f>
        <v>1000</v>
      </c>
      <c r="G71" s="141" t="s">
        <v>56</v>
      </c>
      <c r="H71" s="11" t="n">
        <f aca="false">(M71*(C71/1000))*D71</f>
        <v>100</v>
      </c>
      <c r="I71" s="11" t="s">
        <v>132</v>
      </c>
      <c r="J71" s="142"/>
      <c r="K71" s="11" t="n">
        <v>1</v>
      </c>
      <c r="L71" s="11"/>
      <c r="M71" s="11" t="n">
        <f aca="false">K71-L71</f>
        <v>1</v>
      </c>
      <c r="N71" s="53" t="n">
        <f aca="false">H71*8.5</f>
        <v>850</v>
      </c>
    </row>
    <row r="72" customFormat="false" ht="15" hidden="false" customHeight="true" outlineLevel="0" collapsed="false">
      <c r="A72" s="11" t="n">
        <v>1</v>
      </c>
      <c r="B72" s="11" t="s">
        <v>67</v>
      </c>
      <c r="C72" s="11" t="n">
        <v>100</v>
      </c>
      <c r="D72" s="11" t="n">
        <v>1000</v>
      </c>
      <c r="E72" s="11" t="s">
        <v>117</v>
      </c>
      <c r="F72" s="12" t="n">
        <f aca="false">M72*D72</f>
        <v>1000</v>
      </c>
      <c r="G72" s="11" t="s">
        <v>17</v>
      </c>
      <c r="H72" s="11" t="n">
        <f aca="false">(M72*(C72/1000))*D72</f>
        <v>100</v>
      </c>
      <c r="I72" s="11" t="s">
        <v>118</v>
      </c>
      <c r="J72" s="13" t="n">
        <v>46069</v>
      </c>
      <c r="K72" s="11" t="n">
        <v>1</v>
      </c>
      <c r="L72" s="11"/>
      <c r="M72" s="11" t="n">
        <f aca="false">K72-L72</f>
        <v>1</v>
      </c>
      <c r="N72" s="53" t="n">
        <f aca="false">H72*5.5</f>
        <v>550</v>
      </c>
    </row>
    <row r="73" customFormat="false" ht="15" hidden="false" customHeight="true" outlineLevel="0" collapsed="false">
      <c r="A73" s="11" t="n">
        <v>1</v>
      </c>
      <c r="B73" s="11" t="s">
        <v>67</v>
      </c>
      <c r="C73" s="11" t="n">
        <v>100</v>
      </c>
      <c r="D73" s="11" t="n">
        <v>1000</v>
      </c>
      <c r="E73" s="11" t="s">
        <v>117</v>
      </c>
      <c r="F73" s="12" t="n">
        <f aca="false">M73*D73</f>
        <v>1000</v>
      </c>
      <c r="G73" s="11" t="s">
        <v>17</v>
      </c>
      <c r="H73" s="11" t="n">
        <f aca="false">(M73*(C73/1000))*D73</f>
        <v>100</v>
      </c>
      <c r="I73" s="11" t="s">
        <v>118</v>
      </c>
      <c r="J73" s="13" t="n">
        <v>45268</v>
      </c>
      <c r="K73" s="11" t="n">
        <v>1</v>
      </c>
      <c r="L73" s="11"/>
      <c r="M73" s="11" t="n">
        <f aca="false">K73-L73</f>
        <v>1</v>
      </c>
      <c r="N73" s="53" t="n">
        <f aca="false">H73*5.5</f>
        <v>550</v>
      </c>
    </row>
    <row r="74" customFormat="false" ht="15" hidden="false" customHeight="true" outlineLevel="0" collapsed="false">
      <c r="A74" s="11" t="n">
        <v>11</v>
      </c>
      <c r="B74" s="11" t="s">
        <v>62</v>
      </c>
      <c r="C74" s="11" t="n">
        <v>100</v>
      </c>
      <c r="D74" s="11" t="n">
        <v>1000</v>
      </c>
      <c r="E74" s="11" t="s">
        <v>129</v>
      </c>
      <c r="F74" s="12" t="n">
        <f aca="false">M74*D74</f>
        <v>2000</v>
      </c>
      <c r="G74" s="11"/>
      <c r="H74" s="11" t="n">
        <f aca="false">(M74*(C74/1000))*D74</f>
        <v>200</v>
      </c>
      <c r="I74" s="11" t="s">
        <v>124</v>
      </c>
      <c r="J74" s="13" t="n">
        <v>45997</v>
      </c>
      <c r="K74" s="11" t="n">
        <v>4</v>
      </c>
      <c r="L74" s="11" t="n">
        <v>2</v>
      </c>
      <c r="M74" s="11" t="n">
        <f aca="false">K74-L74</f>
        <v>2</v>
      </c>
      <c r="N74" s="53" t="n">
        <f aca="false">H74*7.5</f>
        <v>1500</v>
      </c>
    </row>
    <row r="75" customFormat="false" ht="15" hidden="false" customHeight="true" outlineLevel="0" collapsed="false">
      <c r="A75" s="11" t="n">
        <v>12</v>
      </c>
      <c r="B75" s="11" t="s">
        <v>67</v>
      </c>
      <c r="C75" s="11" t="n">
        <v>100</v>
      </c>
      <c r="D75" s="11" t="n">
        <v>1000</v>
      </c>
      <c r="E75" s="11" t="s">
        <v>134</v>
      </c>
      <c r="F75" s="12" t="n">
        <f aca="false">M75*D75</f>
        <v>1000</v>
      </c>
      <c r="G75" s="11"/>
      <c r="H75" s="11" t="n">
        <f aca="false">(M75*(C75/1000))*D75</f>
        <v>100</v>
      </c>
      <c r="I75" s="11" t="s">
        <v>135</v>
      </c>
      <c r="J75" s="13" t="n">
        <v>46121</v>
      </c>
      <c r="K75" s="11" t="n">
        <v>1</v>
      </c>
      <c r="L75" s="11"/>
      <c r="M75" s="11" t="n">
        <f aca="false">K75-L75</f>
        <v>1</v>
      </c>
      <c r="N75" s="53" t="n">
        <f aca="false">H75*7.5</f>
        <v>750</v>
      </c>
    </row>
    <row r="76" customFormat="false" ht="15" hidden="false" customHeight="true" outlineLevel="0" collapsed="false">
      <c r="A76" s="11" t="n">
        <v>7</v>
      </c>
      <c r="B76" s="11" t="s">
        <v>58</v>
      </c>
      <c r="C76" s="11" t="n">
        <v>102</v>
      </c>
      <c r="D76" s="11" t="n">
        <v>1000</v>
      </c>
      <c r="E76" s="11" t="s">
        <v>116</v>
      </c>
      <c r="F76" s="12" t="n">
        <f aca="false">M76*D76</f>
        <v>0</v>
      </c>
      <c r="G76" s="11" t="s">
        <v>17</v>
      </c>
      <c r="H76" s="11" t="n">
        <f aca="false">(M76*(C76/1000))*D76</f>
        <v>0</v>
      </c>
      <c r="I76" s="11" t="s">
        <v>90</v>
      </c>
      <c r="J76" s="138" t="n">
        <v>45465</v>
      </c>
      <c r="K76" s="11" t="n">
        <v>1</v>
      </c>
      <c r="L76" s="11" t="n">
        <v>1</v>
      </c>
      <c r="M76" s="11" t="n">
        <f aca="false">K76-L76</f>
        <v>0</v>
      </c>
      <c r="N76" s="53" t="n">
        <f aca="false">H76*6.5</f>
        <v>0</v>
      </c>
    </row>
    <row r="77" customFormat="false" ht="15" hidden="false" customHeight="true" outlineLevel="0" collapsed="false">
      <c r="A77" s="11" t="n">
        <v>19</v>
      </c>
      <c r="B77" s="11" t="s">
        <v>67</v>
      </c>
      <c r="C77" s="11" t="n">
        <v>105</v>
      </c>
      <c r="D77" s="11" t="n">
        <v>2000</v>
      </c>
      <c r="E77" s="11" t="s">
        <v>119</v>
      </c>
      <c r="F77" s="12" t="n">
        <f aca="false">M77*D77</f>
        <v>2000</v>
      </c>
      <c r="G77" s="11" t="s">
        <v>17</v>
      </c>
      <c r="H77" s="11" t="n">
        <f aca="false">(M77*(C77/1000))*D77</f>
        <v>210</v>
      </c>
      <c r="I77" s="11" t="s">
        <v>120</v>
      </c>
      <c r="J77" s="13" t="n">
        <v>46150</v>
      </c>
      <c r="K77" s="11" t="n">
        <v>1</v>
      </c>
      <c r="L77" s="11"/>
      <c r="M77" s="11" t="n">
        <f aca="false">K77-L77</f>
        <v>1</v>
      </c>
      <c r="N77" s="53" t="n">
        <f aca="false">H77*5.5</f>
        <v>1155</v>
      </c>
    </row>
    <row r="78" customFormat="false" ht="15" hidden="false" customHeight="true" outlineLevel="0" collapsed="false">
      <c r="A78" s="11" t="n">
        <v>19</v>
      </c>
      <c r="B78" s="11" t="s">
        <v>67</v>
      </c>
      <c r="C78" s="11" t="n">
        <v>105</v>
      </c>
      <c r="D78" s="11" t="n">
        <v>2000</v>
      </c>
      <c r="E78" s="11" t="s">
        <v>119</v>
      </c>
      <c r="F78" s="12" t="n">
        <f aca="false">M78*D78</f>
        <v>2000</v>
      </c>
      <c r="G78" s="11" t="s">
        <v>17</v>
      </c>
      <c r="H78" s="11" t="n">
        <f aca="false">(M78*(C78/1000))*D78</f>
        <v>210</v>
      </c>
      <c r="I78" s="11" t="s">
        <v>120</v>
      </c>
      <c r="J78" s="13" t="n">
        <v>46150</v>
      </c>
      <c r="K78" s="11" t="n">
        <v>1</v>
      </c>
      <c r="L78" s="11"/>
      <c r="M78" s="11" t="n">
        <f aca="false">K78-L78</f>
        <v>1</v>
      </c>
      <c r="N78" s="53" t="n">
        <f aca="false">H78*5.5</f>
        <v>1155</v>
      </c>
    </row>
    <row r="79" customFormat="false" ht="15" hidden="false" customHeight="true" outlineLevel="0" collapsed="false">
      <c r="A79" s="11" t="n">
        <v>19</v>
      </c>
      <c r="B79" s="11" t="s">
        <v>67</v>
      </c>
      <c r="C79" s="11" t="n">
        <v>105</v>
      </c>
      <c r="D79" s="11" t="n">
        <v>2000</v>
      </c>
      <c r="E79" s="11" t="s">
        <v>119</v>
      </c>
      <c r="F79" s="12" t="n">
        <f aca="false">M79*D79</f>
        <v>2000</v>
      </c>
      <c r="G79" s="11" t="s">
        <v>17</v>
      </c>
      <c r="H79" s="11" t="n">
        <f aca="false">(M79*(C79/1000))*D79</f>
        <v>210</v>
      </c>
      <c r="I79" s="11" t="s">
        <v>120</v>
      </c>
      <c r="J79" s="13" t="n">
        <v>46150</v>
      </c>
      <c r="K79" s="11" t="n">
        <v>1</v>
      </c>
      <c r="L79" s="11"/>
      <c r="M79" s="11" t="n">
        <f aca="false">K79-L79</f>
        <v>1</v>
      </c>
      <c r="N79" s="53" t="n">
        <f aca="false">H79*5.5</f>
        <v>1155</v>
      </c>
    </row>
    <row r="80" customFormat="false" ht="15" hidden="false" customHeight="true" outlineLevel="0" collapsed="false">
      <c r="A80" s="11" t="n">
        <v>7</v>
      </c>
      <c r="B80" s="11" t="s">
        <v>58</v>
      </c>
      <c r="C80" s="11" t="n">
        <v>105</v>
      </c>
      <c r="D80" s="11" t="n">
        <v>1000</v>
      </c>
      <c r="E80" s="11" t="s">
        <v>116</v>
      </c>
      <c r="F80" s="12" t="n">
        <f aca="false">M80*D80</f>
        <v>1000</v>
      </c>
      <c r="G80" s="11" t="s">
        <v>17</v>
      </c>
      <c r="H80" s="11" t="n">
        <f aca="false">(M80*(C80/1000))*D80</f>
        <v>105</v>
      </c>
      <c r="I80" s="11" t="s">
        <v>90</v>
      </c>
      <c r="J80" s="13" t="n">
        <v>45992</v>
      </c>
      <c r="K80" s="11" t="n">
        <v>1</v>
      </c>
      <c r="L80" s="11"/>
      <c r="M80" s="11" t="n">
        <f aca="false">K80-L80</f>
        <v>1</v>
      </c>
      <c r="N80" s="53" t="n">
        <f aca="false">H80*6.5</f>
        <v>682.5</v>
      </c>
    </row>
    <row r="81" customFormat="false" ht="15" hidden="false" customHeight="true" outlineLevel="0" collapsed="false">
      <c r="A81" s="11" t="n">
        <v>11</v>
      </c>
      <c r="B81" s="11" t="s">
        <v>62</v>
      </c>
      <c r="C81" s="11" t="n">
        <v>105</v>
      </c>
      <c r="D81" s="11" t="n">
        <v>1000</v>
      </c>
      <c r="E81" s="11" t="s">
        <v>129</v>
      </c>
      <c r="F81" s="12" t="n">
        <f aca="false">M81*D81</f>
        <v>1000</v>
      </c>
      <c r="G81" s="11"/>
      <c r="H81" s="11" t="n">
        <f aca="false">(M81*(C81/1000))*D81</f>
        <v>105</v>
      </c>
      <c r="I81" s="11" t="s">
        <v>124</v>
      </c>
      <c r="J81" s="13" t="n">
        <v>45871</v>
      </c>
      <c r="K81" s="11" t="n">
        <v>1</v>
      </c>
      <c r="L81" s="11"/>
      <c r="M81" s="11" t="n">
        <f aca="false">K81-L81</f>
        <v>1</v>
      </c>
      <c r="N81" s="53" t="n">
        <f aca="false">H81*7.5</f>
        <v>787.5</v>
      </c>
    </row>
    <row r="82" customFormat="false" ht="15" hidden="false" customHeight="true" outlineLevel="0" collapsed="false">
      <c r="A82" s="11" t="n">
        <v>11</v>
      </c>
      <c r="B82" s="11" t="s">
        <v>62</v>
      </c>
      <c r="C82" s="11" t="n">
        <v>105</v>
      </c>
      <c r="D82" s="11" t="n">
        <v>1000</v>
      </c>
      <c r="E82" s="11" t="s">
        <v>129</v>
      </c>
      <c r="F82" s="12" t="n">
        <f aca="false">M82*D82</f>
        <v>1000</v>
      </c>
      <c r="G82" s="11"/>
      <c r="H82" s="11" t="n">
        <f aca="false">(M82*(C82/1000))*D82</f>
        <v>105</v>
      </c>
      <c r="I82" s="11" t="s">
        <v>124</v>
      </c>
      <c r="J82" s="13" t="n">
        <v>45841</v>
      </c>
      <c r="K82" s="11" t="n">
        <v>1</v>
      </c>
      <c r="L82" s="11"/>
      <c r="M82" s="11" t="n">
        <f aca="false">K82-L82</f>
        <v>1</v>
      </c>
      <c r="N82" s="53" t="n">
        <f aca="false">H82*7.5</f>
        <v>787.5</v>
      </c>
    </row>
    <row r="83" customFormat="false" ht="15" hidden="false" customHeight="true" outlineLevel="0" collapsed="false">
      <c r="A83" s="11" t="n">
        <v>12</v>
      </c>
      <c r="B83" s="11" t="s">
        <v>62</v>
      </c>
      <c r="C83" s="11" t="n">
        <v>105</v>
      </c>
      <c r="D83" s="11" t="n">
        <v>1000</v>
      </c>
      <c r="E83" s="11" t="s">
        <v>121</v>
      </c>
      <c r="F83" s="12" t="n">
        <f aca="false">M83*D83</f>
        <v>2000</v>
      </c>
      <c r="G83" s="11"/>
      <c r="H83" s="11" t="n">
        <f aca="false">(M83*(C83/1000))*D83</f>
        <v>210</v>
      </c>
      <c r="I83" s="11" t="s">
        <v>122</v>
      </c>
      <c r="J83" s="13" t="n">
        <v>45997</v>
      </c>
      <c r="K83" s="11" t="n">
        <v>2</v>
      </c>
      <c r="L83" s="11"/>
      <c r="M83" s="11" t="n">
        <f aca="false">K83-L83</f>
        <v>2</v>
      </c>
      <c r="N83" s="53" t="n">
        <f aca="false">H83*7.5</f>
        <v>1575</v>
      </c>
    </row>
    <row r="84" customFormat="false" ht="15" hidden="false" customHeight="true" outlineLevel="0" collapsed="false">
      <c r="A84" s="11" t="n">
        <v>12</v>
      </c>
      <c r="B84" s="11" t="s">
        <v>67</v>
      </c>
      <c r="C84" s="11" t="n">
        <v>105</v>
      </c>
      <c r="D84" s="11" t="n">
        <v>1000</v>
      </c>
      <c r="E84" s="11" t="s">
        <v>134</v>
      </c>
      <c r="F84" s="12" t="n">
        <f aca="false">M84*D84</f>
        <v>2000</v>
      </c>
      <c r="G84" s="11"/>
      <c r="H84" s="11" t="n">
        <f aca="false">(M84*(C84/1000))*D84</f>
        <v>210</v>
      </c>
      <c r="I84" s="11" t="s">
        <v>135</v>
      </c>
      <c r="J84" s="13" t="n">
        <v>45997</v>
      </c>
      <c r="K84" s="11" t="n">
        <v>2</v>
      </c>
      <c r="L84" s="11"/>
      <c r="M84" s="11" t="n">
        <f aca="false">K84-L84</f>
        <v>2</v>
      </c>
      <c r="N84" s="53" t="n">
        <f aca="false">H84*7.5</f>
        <v>1575</v>
      </c>
    </row>
    <row r="85" customFormat="false" ht="15" hidden="false" customHeight="true" outlineLevel="0" collapsed="false">
      <c r="A85" s="11" t="n">
        <v>10</v>
      </c>
      <c r="B85" s="11" t="s">
        <v>62</v>
      </c>
      <c r="C85" s="11" t="n">
        <v>110</v>
      </c>
      <c r="D85" s="11" t="n">
        <v>1000</v>
      </c>
      <c r="E85" s="11" t="s">
        <v>125</v>
      </c>
      <c r="F85" s="12" t="n">
        <f aca="false">M85*D85</f>
        <v>0</v>
      </c>
      <c r="G85" s="11" t="s">
        <v>17</v>
      </c>
      <c r="H85" s="11" t="n">
        <f aca="false">(M85*(C85/1000))*D85</f>
        <v>0</v>
      </c>
      <c r="I85" s="11" t="s">
        <v>126</v>
      </c>
      <c r="J85" s="13" t="n">
        <v>46163</v>
      </c>
      <c r="K85" s="11" t="n">
        <v>3</v>
      </c>
      <c r="L85" s="11" t="n">
        <v>3</v>
      </c>
      <c r="M85" s="11" t="n">
        <f aca="false">K85-L85</f>
        <v>0</v>
      </c>
      <c r="N85" s="53" t="n">
        <f aca="false">H85*7.5</f>
        <v>0</v>
      </c>
    </row>
    <row r="86" customFormat="false" ht="15" hidden="false" customHeight="true" outlineLevel="0" collapsed="false">
      <c r="A86" s="11" t="n">
        <v>10</v>
      </c>
      <c r="B86" s="11" t="s">
        <v>62</v>
      </c>
      <c r="C86" s="11" t="n">
        <v>110</v>
      </c>
      <c r="D86" s="11" t="n">
        <v>1000</v>
      </c>
      <c r="E86" s="11" t="s">
        <v>114</v>
      </c>
      <c r="F86" s="12" t="n">
        <f aca="false">M86*D86</f>
        <v>3000</v>
      </c>
      <c r="G86" s="11" t="s">
        <v>17</v>
      </c>
      <c r="H86" s="11" t="n">
        <f aca="false">(M86*(C86/1000))*D86</f>
        <v>330</v>
      </c>
      <c r="I86" s="11" t="s">
        <v>115</v>
      </c>
      <c r="J86" s="13" t="n">
        <v>46008</v>
      </c>
      <c r="K86" s="11" t="n">
        <v>4</v>
      </c>
      <c r="L86" s="11" t="n">
        <v>1</v>
      </c>
      <c r="M86" s="11" t="n">
        <f aca="false">K86-L86</f>
        <v>3</v>
      </c>
      <c r="N86" s="53" t="n">
        <f aca="false">H86*7.5</f>
        <v>2475</v>
      </c>
    </row>
    <row r="87" customFormat="false" ht="15" hidden="false" customHeight="true" outlineLevel="0" collapsed="false">
      <c r="A87" s="137" t="n">
        <v>4</v>
      </c>
      <c r="B87" s="11" t="s">
        <v>62</v>
      </c>
      <c r="C87" s="11" t="n">
        <v>110</v>
      </c>
      <c r="D87" s="11" t="n">
        <v>2000</v>
      </c>
      <c r="E87" s="11" t="s">
        <v>112</v>
      </c>
      <c r="F87" s="12" t="n">
        <f aca="false">M87*D87</f>
        <v>0</v>
      </c>
      <c r="G87" s="11" t="s">
        <v>17</v>
      </c>
      <c r="H87" s="11" t="n">
        <f aca="false">(M87*(C87/1000))*D87</f>
        <v>0</v>
      </c>
      <c r="I87" s="11" t="s">
        <v>113</v>
      </c>
      <c r="J87" s="13" t="n">
        <v>46163</v>
      </c>
      <c r="K87" s="11" t="n">
        <v>7</v>
      </c>
      <c r="L87" s="11" t="n">
        <v>7</v>
      </c>
      <c r="M87" s="11" t="n">
        <f aca="false">K87-L87</f>
        <v>0</v>
      </c>
      <c r="N87" s="53" t="n">
        <f aca="false">H87*7.5</f>
        <v>0</v>
      </c>
    </row>
    <row r="88" customFormat="false" ht="15" hidden="false" customHeight="true" outlineLevel="0" collapsed="false">
      <c r="A88" s="11" t="n">
        <v>7</v>
      </c>
      <c r="B88" s="11" t="s">
        <v>58</v>
      </c>
      <c r="C88" s="11" t="n">
        <v>110</v>
      </c>
      <c r="D88" s="11" t="n">
        <v>1000</v>
      </c>
      <c r="E88" s="11" t="s">
        <v>116</v>
      </c>
      <c r="F88" s="12" t="n">
        <f aca="false">M88*D88</f>
        <v>0</v>
      </c>
      <c r="G88" s="11" t="s">
        <v>17</v>
      </c>
      <c r="H88" s="11" t="n">
        <f aca="false">(M88*(C88/1000))*D88</f>
        <v>0</v>
      </c>
      <c r="I88" s="11" t="s">
        <v>90</v>
      </c>
      <c r="J88" s="13" t="n">
        <v>45992</v>
      </c>
      <c r="K88" s="11" t="n">
        <v>3</v>
      </c>
      <c r="L88" s="11" t="n">
        <v>3</v>
      </c>
      <c r="M88" s="11" t="n">
        <f aca="false">K88-L88</f>
        <v>0</v>
      </c>
      <c r="N88" s="53" t="n">
        <f aca="false">H88*6.5</f>
        <v>0</v>
      </c>
    </row>
    <row r="89" customFormat="false" ht="15" hidden="false" customHeight="true" outlineLevel="0" collapsed="false">
      <c r="A89" s="11" t="n">
        <v>7</v>
      </c>
      <c r="B89" s="11" t="s">
        <v>58</v>
      </c>
      <c r="C89" s="11" t="n">
        <v>110</v>
      </c>
      <c r="D89" s="11" t="n">
        <v>1000</v>
      </c>
      <c r="E89" s="11" t="s">
        <v>116</v>
      </c>
      <c r="F89" s="12" t="n">
        <f aca="false">M89*D89</f>
        <v>0</v>
      </c>
      <c r="G89" s="11" t="s">
        <v>17</v>
      </c>
      <c r="H89" s="11" t="n">
        <f aca="false">(M89*(C89/1000))*D89</f>
        <v>0</v>
      </c>
      <c r="I89" s="11" t="s">
        <v>90</v>
      </c>
      <c r="J89" s="138" t="n">
        <v>45387</v>
      </c>
      <c r="K89" s="11" t="n">
        <v>1</v>
      </c>
      <c r="L89" s="11" t="n">
        <v>1</v>
      </c>
      <c r="M89" s="11" t="n">
        <f aca="false">K89-L89</f>
        <v>0</v>
      </c>
      <c r="N89" s="53" t="n">
        <f aca="false">H89*6.5</f>
        <v>0</v>
      </c>
    </row>
    <row r="90" customFormat="false" ht="15" hidden="false" customHeight="true" outlineLevel="0" collapsed="false">
      <c r="A90" s="11" t="n">
        <v>7</v>
      </c>
      <c r="B90" s="11" t="s">
        <v>58</v>
      </c>
      <c r="C90" s="11" t="n">
        <v>110</v>
      </c>
      <c r="D90" s="11" t="n">
        <v>1000</v>
      </c>
      <c r="E90" s="11" t="s">
        <v>116</v>
      </c>
      <c r="F90" s="12" t="n">
        <f aca="false">M90*D90</f>
        <v>1000</v>
      </c>
      <c r="G90" s="11" t="s">
        <v>17</v>
      </c>
      <c r="H90" s="11" t="n">
        <f aca="false">(M90*(C90/1000))*D90</f>
        <v>110</v>
      </c>
      <c r="I90" s="11" t="s">
        <v>90</v>
      </c>
      <c r="J90" s="138" t="n">
        <v>46085</v>
      </c>
      <c r="K90" s="11" t="n">
        <v>1</v>
      </c>
      <c r="L90" s="11"/>
      <c r="M90" s="11" t="n">
        <f aca="false">K90-L90</f>
        <v>1</v>
      </c>
      <c r="N90" s="53" t="n">
        <f aca="false">H90*6.5</f>
        <v>715</v>
      </c>
    </row>
    <row r="91" customFormat="false" ht="15" hidden="false" customHeight="true" outlineLevel="0" collapsed="false">
      <c r="A91" s="11" t="n">
        <v>8</v>
      </c>
      <c r="B91" s="11" t="s">
        <v>58</v>
      </c>
      <c r="C91" s="11" t="n">
        <v>110</v>
      </c>
      <c r="D91" s="11" t="n">
        <v>1500</v>
      </c>
      <c r="E91" s="11" t="s">
        <v>116</v>
      </c>
      <c r="F91" s="12" t="n">
        <f aca="false">M91*D91</f>
        <v>1500</v>
      </c>
      <c r="G91" s="11" t="s">
        <v>17</v>
      </c>
      <c r="H91" s="11" t="n">
        <f aca="false">(M91*(C91/1000))*D91</f>
        <v>165</v>
      </c>
      <c r="I91" s="11" t="s">
        <v>90</v>
      </c>
      <c r="J91" s="13" t="n">
        <v>46114</v>
      </c>
      <c r="K91" s="11" t="n">
        <v>1</v>
      </c>
      <c r="L91" s="11"/>
      <c r="M91" s="11" t="n">
        <f aca="false">K91-L91</f>
        <v>1</v>
      </c>
      <c r="N91" s="53" t="n">
        <f aca="false">H91*6.5</f>
        <v>1072.5</v>
      </c>
    </row>
    <row r="92" customFormat="false" ht="15" hidden="false" customHeight="true" outlineLevel="0" collapsed="false">
      <c r="A92" s="11" t="n">
        <v>1</v>
      </c>
      <c r="B92" s="11" t="s">
        <v>67</v>
      </c>
      <c r="C92" s="11" t="n">
        <v>110</v>
      </c>
      <c r="D92" s="11" t="n">
        <v>1000</v>
      </c>
      <c r="E92" s="11" t="s">
        <v>117</v>
      </c>
      <c r="F92" s="12" t="n">
        <f aca="false">M92*D92</f>
        <v>2000</v>
      </c>
      <c r="G92" s="11" t="s">
        <v>17</v>
      </c>
      <c r="H92" s="11" t="n">
        <f aca="false">(M92*(C92/1000))*D92</f>
        <v>220</v>
      </c>
      <c r="I92" s="11" t="s">
        <v>118</v>
      </c>
      <c r="J92" s="13" t="n">
        <v>46069</v>
      </c>
      <c r="K92" s="11" t="n">
        <v>2</v>
      </c>
      <c r="L92" s="11"/>
      <c r="M92" s="11" t="n">
        <f aca="false">K92-L92</f>
        <v>2</v>
      </c>
      <c r="N92" s="53" t="n">
        <f aca="false">H92*5.5</f>
        <v>1210</v>
      </c>
    </row>
    <row r="93" customFormat="false" ht="15" hidden="false" customHeight="true" outlineLevel="0" collapsed="false">
      <c r="A93" s="11" t="n">
        <v>2</v>
      </c>
      <c r="B93" s="11" t="s">
        <v>67</v>
      </c>
      <c r="C93" s="11" t="n">
        <v>110</v>
      </c>
      <c r="D93" s="11" t="n">
        <v>1000</v>
      </c>
      <c r="E93" s="11" t="s">
        <v>127</v>
      </c>
      <c r="F93" s="12" t="n">
        <f aca="false">M93*D93</f>
        <v>4000</v>
      </c>
      <c r="G93" s="11" t="s">
        <v>17</v>
      </c>
      <c r="H93" s="11" t="n">
        <f aca="false">(M93*(C93/1000))*D93</f>
        <v>440</v>
      </c>
      <c r="I93" s="11" t="s">
        <v>128</v>
      </c>
      <c r="J93" s="13"/>
      <c r="K93" s="11" t="n">
        <v>9</v>
      </c>
      <c r="L93" s="11" t="n">
        <v>5</v>
      </c>
      <c r="M93" s="11" t="n">
        <f aca="false">K93-L93</f>
        <v>4</v>
      </c>
      <c r="N93" s="53" t="n">
        <f aca="false">H93*5.5</f>
        <v>2420</v>
      </c>
    </row>
    <row r="94" customFormat="false" ht="15" hidden="false" customHeight="true" outlineLevel="0" collapsed="false">
      <c r="A94" s="11" t="n">
        <v>11</v>
      </c>
      <c r="B94" s="11" t="s">
        <v>62</v>
      </c>
      <c r="C94" s="11" t="n">
        <v>110</v>
      </c>
      <c r="D94" s="11" t="n">
        <v>1000</v>
      </c>
      <c r="E94" s="11" t="s">
        <v>129</v>
      </c>
      <c r="F94" s="12" t="n">
        <f aca="false">M94*D94</f>
        <v>3000</v>
      </c>
      <c r="G94" s="11"/>
      <c r="H94" s="11" t="n">
        <f aca="false">(M94*(C94/1000))*D94</f>
        <v>330</v>
      </c>
      <c r="I94" s="11" t="s">
        <v>124</v>
      </c>
      <c r="J94" s="13" t="n">
        <v>45997</v>
      </c>
      <c r="K94" s="11" t="n">
        <v>3</v>
      </c>
      <c r="L94" s="11"/>
      <c r="M94" s="11" t="n">
        <f aca="false">K94-L94</f>
        <v>3</v>
      </c>
      <c r="N94" s="53" t="n">
        <f aca="false">H94*7.5</f>
        <v>2475</v>
      </c>
    </row>
    <row r="95" customFormat="false" ht="15" hidden="false" customHeight="true" outlineLevel="0" collapsed="false">
      <c r="A95" s="11" t="n">
        <v>11</v>
      </c>
      <c r="B95" s="11" t="s">
        <v>62</v>
      </c>
      <c r="C95" s="11" t="n">
        <v>110</v>
      </c>
      <c r="D95" s="11" t="n">
        <v>1000</v>
      </c>
      <c r="E95" s="11" t="s">
        <v>129</v>
      </c>
      <c r="F95" s="12" t="n">
        <f aca="false">M95*D95</f>
        <v>2000</v>
      </c>
      <c r="G95" s="11"/>
      <c r="H95" s="11" t="n">
        <f aca="false">(M95*(C95/1000))*D95</f>
        <v>220</v>
      </c>
      <c r="I95" s="11" t="s">
        <v>124</v>
      </c>
      <c r="J95" s="13" t="n">
        <v>45505</v>
      </c>
      <c r="K95" s="11" t="n">
        <v>2</v>
      </c>
      <c r="L95" s="11"/>
      <c r="M95" s="11" t="n">
        <f aca="false">K95-L95</f>
        <v>2</v>
      </c>
      <c r="N95" s="53" t="n">
        <f aca="false">H95*7.5</f>
        <v>1650</v>
      </c>
      <c r="O95" s="116"/>
    </row>
    <row r="96" customFormat="false" ht="15" hidden="false" customHeight="true" outlineLevel="0" collapsed="false">
      <c r="A96" s="11" t="n">
        <v>12</v>
      </c>
      <c r="B96" s="11" t="s">
        <v>67</v>
      </c>
      <c r="C96" s="11" t="n">
        <v>110</v>
      </c>
      <c r="D96" s="11" t="n">
        <v>500</v>
      </c>
      <c r="E96" s="11" t="s">
        <v>134</v>
      </c>
      <c r="F96" s="12" t="n">
        <f aca="false">M96*D96</f>
        <v>0</v>
      </c>
      <c r="G96" s="11"/>
      <c r="H96" s="11" t="n">
        <f aca="false">(M96*(C96/1000))*D96</f>
        <v>0</v>
      </c>
      <c r="I96" s="11" t="s">
        <v>135</v>
      </c>
      <c r="J96" s="13" t="n">
        <v>46121</v>
      </c>
      <c r="K96" s="11" t="n">
        <v>1</v>
      </c>
      <c r="L96" s="11" t="n">
        <v>1</v>
      </c>
      <c r="M96" s="11" t="n">
        <f aca="false">K96-L96</f>
        <v>0</v>
      </c>
      <c r="N96" s="53" t="n">
        <f aca="false">H96*7.5</f>
        <v>0</v>
      </c>
    </row>
    <row r="97" customFormat="false" ht="15" hidden="false" customHeight="true" outlineLevel="0" collapsed="false">
      <c r="A97" s="11" t="n">
        <v>20</v>
      </c>
      <c r="B97" s="11" t="s">
        <v>67</v>
      </c>
      <c r="C97" s="11" t="n">
        <v>111</v>
      </c>
      <c r="D97" s="11" t="n">
        <v>500</v>
      </c>
      <c r="E97" s="11" t="s">
        <v>119</v>
      </c>
      <c r="F97" s="12" t="n">
        <f aca="false">M97*D97</f>
        <v>500</v>
      </c>
      <c r="G97" s="11" t="s">
        <v>17</v>
      </c>
      <c r="H97" s="11" t="n">
        <f aca="false">(M97*(C97/1000))*D97</f>
        <v>55.5</v>
      </c>
      <c r="I97" s="11" t="s">
        <v>120</v>
      </c>
      <c r="J97" s="13"/>
      <c r="K97" s="11" t="n">
        <v>1</v>
      </c>
      <c r="L97" s="11"/>
      <c r="M97" s="11" t="n">
        <f aca="false">K97-L97</f>
        <v>1</v>
      </c>
      <c r="N97" s="53" t="n">
        <f aca="false">H97*5.5</f>
        <v>305.25</v>
      </c>
    </row>
    <row r="98" customFormat="false" ht="15" hidden="false" customHeight="true" outlineLevel="0" collapsed="false">
      <c r="A98" s="11" t="n">
        <v>7</v>
      </c>
      <c r="B98" s="11" t="s">
        <v>58</v>
      </c>
      <c r="C98" s="11" t="n">
        <v>112</v>
      </c>
      <c r="D98" s="11" t="n">
        <v>1500</v>
      </c>
      <c r="E98" s="11" t="s">
        <v>116</v>
      </c>
      <c r="F98" s="12" t="n">
        <f aca="false">M98*D98</f>
        <v>4500</v>
      </c>
      <c r="G98" s="11" t="s">
        <v>17</v>
      </c>
      <c r="H98" s="11" t="n">
        <f aca="false">(M98*(C98/1000))*D98</f>
        <v>504</v>
      </c>
      <c r="I98" s="11" t="s">
        <v>90</v>
      </c>
      <c r="J98" s="138" t="n">
        <v>46114</v>
      </c>
      <c r="K98" s="11" t="n">
        <v>3</v>
      </c>
      <c r="L98" s="11"/>
      <c r="M98" s="11" t="n">
        <f aca="false">K98-L98</f>
        <v>3</v>
      </c>
      <c r="N98" s="53" t="n">
        <f aca="false">H98*6.5</f>
        <v>3276</v>
      </c>
      <c r="O98" s="116"/>
    </row>
    <row r="99" customFormat="false" ht="15" hidden="false" customHeight="true" outlineLevel="0" collapsed="false">
      <c r="A99" s="11" t="n">
        <v>19</v>
      </c>
      <c r="B99" s="11" t="s">
        <v>67</v>
      </c>
      <c r="C99" s="11" t="n">
        <v>115</v>
      </c>
      <c r="D99" s="11" t="n">
        <v>2000</v>
      </c>
      <c r="E99" s="11" t="s">
        <v>119</v>
      </c>
      <c r="F99" s="12" t="n">
        <f aca="false">M99*D99</f>
        <v>2000</v>
      </c>
      <c r="G99" s="11" t="s">
        <v>17</v>
      </c>
      <c r="H99" s="11" t="n">
        <f aca="false">(M99*(C99/1000))*D99</f>
        <v>230</v>
      </c>
      <c r="I99" s="11" t="s">
        <v>120</v>
      </c>
      <c r="J99" s="13" t="n">
        <v>46150</v>
      </c>
      <c r="K99" s="11" t="n">
        <v>1</v>
      </c>
      <c r="L99" s="11"/>
      <c r="M99" s="11" t="n">
        <f aca="false">K99-L99</f>
        <v>1</v>
      </c>
      <c r="N99" s="53" t="n">
        <f aca="false">H99*5.5</f>
        <v>1265</v>
      </c>
      <c r="O99" s="116"/>
    </row>
    <row r="100" customFormat="false" ht="15" hidden="false" customHeight="true" outlineLevel="0" collapsed="false">
      <c r="A100" s="11" t="n">
        <v>19</v>
      </c>
      <c r="B100" s="11" t="s">
        <v>67</v>
      </c>
      <c r="C100" s="11" t="n">
        <v>115</v>
      </c>
      <c r="D100" s="11" t="n">
        <v>1500</v>
      </c>
      <c r="E100" s="11" t="s">
        <v>119</v>
      </c>
      <c r="F100" s="12" t="n">
        <f aca="false">M100*D100</f>
        <v>3000</v>
      </c>
      <c r="G100" s="11" t="s">
        <v>17</v>
      </c>
      <c r="H100" s="11" t="n">
        <f aca="false">(M100*(C100/1000))*D100</f>
        <v>345</v>
      </c>
      <c r="I100" s="11" t="s">
        <v>120</v>
      </c>
      <c r="J100" s="13" t="n">
        <v>46150</v>
      </c>
      <c r="K100" s="11" t="n">
        <v>2</v>
      </c>
      <c r="L100" s="11"/>
      <c r="M100" s="11" t="n">
        <f aca="false">K100-L100</f>
        <v>2</v>
      </c>
      <c r="N100" s="53" t="n">
        <f aca="false">H100*5.5</f>
        <v>1897.5</v>
      </c>
      <c r="O100" s="116"/>
    </row>
    <row r="101" customFormat="false" ht="15" hidden="false" customHeight="true" outlineLevel="0" collapsed="false">
      <c r="A101" s="11" t="n">
        <v>23</v>
      </c>
      <c r="B101" s="11" t="s">
        <v>67</v>
      </c>
      <c r="C101" s="11" t="n">
        <v>115</v>
      </c>
      <c r="D101" s="11" t="n">
        <v>600</v>
      </c>
      <c r="E101" s="11" t="s">
        <v>119</v>
      </c>
      <c r="F101" s="12" t="n">
        <f aca="false">M101*D101</f>
        <v>0</v>
      </c>
      <c r="G101" s="11" t="s">
        <v>17</v>
      </c>
      <c r="H101" s="11" t="n">
        <f aca="false">(M101*(C101/1000))*D101</f>
        <v>0</v>
      </c>
      <c r="I101" s="11" t="s">
        <v>120</v>
      </c>
      <c r="J101" s="13" t="n">
        <v>45704</v>
      </c>
      <c r="K101" s="11" t="n">
        <v>1</v>
      </c>
      <c r="L101" s="11" t="n">
        <v>1</v>
      </c>
      <c r="M101" s="11" t="n">
        <f aca="false">K101-L101</f>
        <v>0</v>
      </c>
      <c r="N101" s="53" t="n">
        <f aca="false">H101*5.5</f>
        <v>0</v>
      </c>
      <c r="O101" s="116"/>
    </row>
    <row r="102" customFormat="false" ht="15" hidden="false" customHeight="true" outlineLevel="0" collapsed="false">
      <c r="A102" s="11" t="n">
        <v>20</v>
      </c>
      <c r="B102" s="11" t="s">
        <v>67</v>
      </c>
      <c r="C102" s="11" t="n">
        <v>115</v>
      </c>
      <c r="D102" s="11" t="n">
        <v>1000</v>
      </c>
      <c r="E102" s="11" t="s">
        <v>119</v>
      </c>
      <c r="F102" s="12" t="n">
        <f aca="false">M102*D102</f>
        <v>1000</v>
      </c>
      <c r="G102" s="11" t="s">
        <v>17</v>
      </c>
      <c r="H102" s="11" t="n">
        <f aca="false">(M102*(C102/1000))*D102</f>
        <v>115</v>
      </c>
      <c r="I102" s="11" t="s">
        <v>120</v>
      </c>
      <c r="J102" s="13" t="n">
        <v>46069</v>
      </c>
      <c r="K102" s="11" t="n">
        <v>1</v>
      </c>
      <c r="L102" s="11"/>
      <c r="M102" s="11" t="n">
        <f aca="false">K102-L102</f>
        <v>1</v>
      </c>
      <c r="N102" s="53" t="n">
        <f aca="false">H102*5.5</f>
        <v>632.5</v>
      </c>
    </row>
    <row r="103" customFormat="false" ht="15" hidden="false" customHeight="true" outlineLevel="0" collapsed="false">
      <c r="A103" s="11" t="n">
        <v>23</v>
      </c>
      <c r="B103" s="11" t="s">
        <v>67</v>
      </c>
      <c r="C103" s="11" t="n">
        <v>115</v>
      </c>
      <c r="D103" s="11" t="n">
        <v>1000</v>
      </c>
      <c r="E103" s="11" t="s">
        <v>119</v>
      </c>
      <c r="F103" s="12" t="n">
        <f aca="false">M103*D103</f>
        <v>1000</v>
      </c>
      <c r="G103" s="11" t="s">
        <v>17</v>
      </c>
      <c r="H103" s="11" t="n">
        <f aca="false">(M103*(C103/1000))*D103</f>
        <v>115</v>
      </c>
      <c r="I103" s="11" t="s">
        <v>120</v>
      </c>
      <c r="J103" s="13" t="n">
        <v>46069</v>
      </c>
      <c r="K103" s="11" t="n">
        <v>1</v>
      </c>
      <c r="L103" s="11"/>
      <c r="M103" s="11" t="n">
        <f aca="false">K103-L103</f>
        <v>1</v>
      </c>
      <c r="N103" s="53" t="n">
        <f aca="false">H103*5.5</f>
        <v>632.5</v>
      </c>
    </row>
    <row r="104" customFormat="false" ht="15" hidden="false" customHeight="true" outlineLevel="0" collapsed="false">
      <c r="A104" s="11" t="n">
        <v>6</v>
      </c>
      <c r="B104" s="128" t="s">
        <v>58</v>
      </c>
      <c r="C104" s="11" t="n">
        <v>115</v>
      </c>
      <c r="D104" s="128" t="n">
        <v>1000</v>
      </c>
      <c r="E104" s="11" t="s">
        <v>116</v>
      </c>
      <c r="F104" s="12" t="n">
        <f aca="false">M104*D104</f>
        <v>2000</v>
      </c>
      <c r="G104" s="11" t="s">
        <v>17</v>
      </c>
      <c r="H104" s="11" t="n">
        <f aca="false">(M104*(C104/1000))*D104</f>
        <v>230</v>
      </c>
      <c r="I104" s="11" t="s">
        <v>90</v>
      </c>
      <c r="J104" s="138" t="n">
        <v>45608</v>
      </c>
      <c r="K104" s="128" t="n">
        <v>2</v>
      </c>
      <c r="L104" s="128"/>
      <c r="M104" s="11" t="n">
        <f aca="false">K104-L104</f>
        <v>2</v>
      </c>
      <c r="N104" s="53" t="n">
        <f aca="false">H104*6.5</f>
        <v>1495</v>
      </c>
      <c r="O104" s="116"/>
    </row>
    <row r="105" customFormat="false" ht="15" hidden="false" customHeight="true" outlineLevel="0" collapsed="false">
      <c r="A105" s="11" t="n">
        <v>6</v>
      </c>
      <c r="B105" s="11" t="s">
        <v>58</v>
      </c>
      <c r="C105" s="11" t="n">
        <v>115</v>
      </c>
      <c r="D105" s="11" t="n">
        <v>700</v>
      </c>
      <c r="E105" s="11" t="s">
        <v>116</v>
      </c>
      <c r="F105" s="12" t="n">
        <f aca="false">M105*D105</f>
        <v>700</v>
      </c>
      <c r="G105" s="11" t="s">
        <v>17</v>
      </c>
      <c r="H105" s="11" t="n">
        <f aca="false">(M105*(C105/1000))*D105</f>
        <v>80.5</v>
      </c>
      <c r="I105" s="11" t="s">
        <v>90</v>
      </c>
      <c r="J105" s="13"/>
      <c r="K105" s="11" t="n">
        <v>1</v>
      </c>
      <c r="L105" s="11"/>
      <c r="M105" s="11" t="n">
        <f aca="false">K105-L105</f>
        <v>1</v>
      </c>
      <c r="N105" s="53" t="n">
        <f aca="false">H105*6.5</f>
        <v>523.25</v>
      </c>
      <c r="O105" s="116"/>
    </row>
    <row r="106" customFormat="false" ht="15" hidden="false" customHeight="true" outlineLevel="0" collapsed="false">
      <c r="A106" s="137" t="n">
        <v>9</v>
      </c>
      <c r="B106" s="11" t="s">
        <v>62</v>
      </c>
      <c r="C106" s="11" t="n">
        <v>120</v>
      </c>
      <c r="D106" s="11" t="n">
        <v>1000</v>
      </c>
      <c r="E106" s="11" t="s">
        <v>112</v>
      </c>
      <c r="F106" s="12" t="n">
        <f aca="false">M106*D106</f>
        <v>0</v>
      </c>
      <c r="G106" s="11" t="s">
        <v>17</v>
      </c>
      <c r="H106" s="11" t="n">
        <f aca="false">(M106*(C106/1000))*D106</f>
        <v>0</v>
      </c>
      <c r="I106" s="11" t="s">
        <v>113</v>
      </c>
      <c r="J106" s="13" t="n">
        <v>45953</v>
      </c>
      <c r="K106" s="11" t="n">
        <v>1</v>
      </c>
      <c r="L106" s="11" t="n">
        <v>1</v>
      </c>
      <c r="M106" s="11" t="n">
        <f aca="false">K106-L106</f>
        <v>0</v>
      </c>
      <c r="N106" s="53" t="n">
        <f aca="false">H106*7.5</f>
        <v>0</v>
      </c>
      <c r="O106" s="116"/>
    </row>
    <row r="107" customFormat="false" ht="15" hidden="false" customHeight="true" outlineLevel="0" collapsed="false">
      <c r="A107" s="137" t="n">
        <v>4</v>
      </c>
      <c r="B107" s="11" t="s">
        <v>62</v>
      </c>
      <c r="C107" s="11" t="n">
        <v>120</v>
      </c>
      <c r="D107" s="11" t="n">
        <v>1000</v>
      </c>
      <c r="E107" s="11" t="s">
        <v>112</v>
      </c>
      <c r="F107" s="12" t="n">
        <f aca="false">M107*D107</f>
        <v>5000</v>
      </c>
      <c r="G107" s="11" t="s">
        <v>17</v>
      </c>
      <c r="H107" s="11" t="n">
        <f aca="false">(M107*(C107/1000))*D107</f>
        <v>600</v>
      </c>
      <c r="I107" s="11" t="s">
        <v>113</v>
      </c>
      <c r="J107" s="13"/>
      <c r="K107" s="11" t="n">
        <v>6</v>
      </c>
      <c r="L107" s="11" t="n">
        <v>1</v>
      </c>
      <c r="M107" s="11" t="n">
        <f aca="false">K107-L107</f>
        <v>5</v>
      </c>
      <c r="N107" s="53" t="n">
        <f aca="false">H107*7.5</f>
        <v>4500</v>
      </c>
      <c r="O107" s="116"/>
    </row>
    <row r="108" customFormat="false" ht="15" hidden="false" customHeight="true" outlineLevel="0" collapsed="false">
      <c r="A108" s="137" t="n">
        <v>4</v>
      </c>
      <c r="B108" s="11" t="s">
        <v>62</v>
      </c>
      <c r="C108" s="11" t="n">
        <v>120</v>
      </c>
      <c r="D108" s="11" t="n">
        <v>2000</v>
      </c>
      <c r="E108" s="11" t="s">
        <v>112</v>
      </c>
      <c r="F108" s="12" t="n">
        <f aca="false">M108*D108</f>
        <v>0</v>
      </c>
      <c r="G108" s="11" t="s">
        <v>17</v>
      </c>
      <c r="H108" s="11" t="n">
        <f aca="false">(M108*(C108/1000))*D108</f>
        <v>0</v>
      </c>
      <c r="I108" s="11" t="s">
        <v>113</v>
      </c>
      <c r="J108" s="13"/>
      <c r="K108" s="11" t="n">
        <v>1</v>
      </c>
      <c r="L108" s="11" t="n">
        <v>1</v>
      </c>
      <c r="M108" s="11" t="n">
        <f aca="false">K108-L108</f>
        <v>0</v>
      </c>
      <c r="N108" s="53" t="n">
        <f aca="false">H108*7.5</f>
        <v>0</v>
      </c>
      <c r="O108" s="116"/>
    </row>
    <row r="109" customFormat="false" ht="15" hidden="false" customHeight="true" outlineLevel="0" collapsed="false">
      <c r="A109" s="137" t="n">
        <v>4</v>
      </c>
      <c r="B109" s="11" t="s">
        <v>62</v>
      </c>
      <c r="C109" s="11" t="n">
        <v>120</v>
      </c>
      <c r="D109" s="11" t="n">
        <v>2000</v>
      </c>
      <c r="E109" s="11" t="s">
        <v>112</v>
      </c>
      <c r="F109" s="12" t="n">
        <f aca="false">M109*D109</f>
        <v>0</v>
      </c>
      <c r="G109" s="11" t="s">
        <v>17</v>
      </c>
      <c r="H109" s="11" t="n">
        <f aca="false">(M109*(C109/1000))*D109</f>
        <v>0</v>
      </c>
      <c r="I109" s="11" t="s">
        <v>113</v>
      </c>
      <c r="J109" s="13" t="n">
        <v>38799</v>
      </c>
      <c r="K109" s="11" t="n">
        <v>1</v>
      </c>
      <c r="L109" s="11" t="n">
        <v>1</v>
      </c>
      <c r="M109" s="11" t="n">
        <f aca="false">K109-L109</f>
        <v>0</v>
      </c>
      <c r="N109" s="53" t="n">
        <f aca="false">H109*7.5</f>
        <v>0</v>
      </c>
    </row>
    <row r="110" customFormat="false" ht="15" hidden="false" customHeight="true" outlineLevel="0" collapsed="false">
      <c r="A110" s="11" t="n">
        <v>6</v>
      </c>
      <c r="B110" s="128" t="s">
        <v>58</v>
      </c>
      <c r="C110" s="11" t="n">
        <v>120</v>
      </c>
      <c r="D110" s="128" t="n">
        <v>1000</v>
      </c>
      <c r="E110" s="11" t="s">
        <v>116</v>
      </c>
      <c r="F110" s="12" t="n">
        <f aca="false">M110*D110</f>
        <v>2000</v>
      </c>
      <c r="G110" s="11" t="s">
        <v>17</v>
      </c>
      <c r="H110" s="11" t="n">
        <f aca="false">(M110*(C110/1000))*D110</f>
        <v>240</v>
      </c>
      <c r="I110" s="11" t="s">
        <v>90</v>
      </c>
      <c r="J110" s="13" t="n">
        <v>45635</v>
      </c>
      <c r="K110" s="128" t="n">
        <v>2</v>
      </c>
      <c r="L110" s="128"/>
      <c r="M110" s="11" t="n">
        <f aca="false">K110-L110</f>
        <v>2</v>
      </c>
      <c r="N110" s="53" t="n">
        <f aca="false">H110*6.5</f>
        <v>1560</v>
      </c>
      <c r="O110" s="116"/>
    </row>
    <row r="111" customFormat="false" ht="15" hidden="false" customHeight="true" outlineLevel="0" collapsed="false">
      <c r="A111" s="11" t="n">
        <v>6</v>
      </c>
      <c r="B111" s="11" t="s">
        <v>58</v>
      </c>
      <c r="C111" s="11" t="n">
        <v>120</v>
      </c>
      <c r="D111" s="11" t="n">
        <v>1000</v>
      </c>
      <c r="E111" s="11" t="s">
        <v>116</v>
      </c>
      <c r="F111" s="12" t="n">
        <f aca="false">M111*D111</f>
        <v>2000</v>
      </c>
      <c r="G111" s="11" t="s">
        <v>17</v>
      </c>
      <c r="H111" s="11" t="n">
        <f aca="false">(M111*(C111/1000))*D111</f>
        <v>240</v>
      </c>
      <c r="I111" s="11" t="s">
        <v>90</v>
      </c>
      <c r="J111" s="13" t="n">
        <v>45585</v>
      </c>
      <c r="K111" s="11" t="n">
        <v>2</v>
      </c>
      <c r="L111" s="11"/>
      <c r="M111" s="11" t="n">
        <f aca="false">K111-L111</f>
        <v>2</v>
      </c>
      <c r="N111" s="53" t="n">
        <f aca="false">H111*6.5</f>
        <v>1560</v>
      </c>
      <c r="O111" s="116"/>
    </row>
    <row r="112" customFormat="false" ht="15" hidden="false" customHeight="true" outlineLevel="0" collapsed="false">
      <c r="A112" s="11" t="n">
        <v>7</v>
      </c>
      <c r="B112" s="11" t="s">
        <v>58</v>
      </c>
      <c r="C112" s="11" t="n">
        <v>120</v>
      </c>
      <c r="D112" s="11" t="n">
        <v>500</v>
      </c>
      <c r="E112" s="11" t="s">
        <v>116</v>
      </c>
      <c r="F112" s="12" t="n">
        <f aca="false">M112*D112</f>
        <v>500</v>
      </c>
      <c r="G112" s="11" t="s">
        <v>17</v>
      </c>
      <c r="H112" s="11" t="n">
        <f aca="false">(M112*(C112/1000))*D112</f>
        <v>60</v>
      </c>
      <c r="I112" s="11" t="s">
        <v>90</v>
      </c>
      <c r="J112" s="13" t="n">
        <v>45418</v>
      </c>
      <c r="K112" s="11" t="n">
        <v>1</v>
      </c>
      <c r="L112" s="11"/>
      <c r="M112" s="11" t="n">
        <f aca="false">K112-L112</f>
        <v>1</v>
      </c>
      <c r="N112" s="53" t="n">
        <f aca="false">H112*6.5</f>
        <v>390</v>
      </c>
      <c r="O112" s="116"/>
    </row>
    <row r="113" customFormat="false" ht="15" hidden="false" customHeight="true" outlineLevel="0" collapsed="false">
      <c r="A113" s="11" t="n">
        <v>7</v>
      </c>
      <c r="B113" s="11" t="s">
        <v>58</v>
      </c>
      <c r="C113" s="11" t="n">
        <v>120</v>
      </c>
      <c r="D113" s="11" t="n">
        <v>1000</v>
      </c>
      <c r="E113" s="11" t="s">
        <v>116</v>
      </c>
      <c r="F113" s="12" t="n">
        <f aca="false">M113*D113</f>
        <v>1000</v>
      </c>
      <c r="G113" s="11" t="s">
        <v>17</v>
      </c>
      <c r="H113" s="11" t="n">
        <f aca="false">(M113*(C113/1000))*D113</f>
        <v>120</v>
      </c>
      <c r="I113" s="11" t="s">
        <v>90</v>
      </c>
      <c r="J113" s="138" t="n">
        <v>45418</v>
      </c>
      <c r="K113" s="11" t="n">
        <v>1</v>
      </c>
      <c r="L113" s="11"/>
      <c r="M113" s="11" t="n">
        <f aca="false">K113-L113</f>
        <v>1</v>
      </c>
      <c r="N113" s="53" t="n">
        <f aca="false">H113*6.5</f>
        <v>780</v>
      </c>
      <c r="O113" s="116"/>
    </row>
    <row r="114" customFormat="false" ht="15" hidden="false" customHeight="true" outlineLevel="0" collapsed="false">
      <c r="A114" s="11" t="n">
        <v>3</v>
      </c>
      <c r="B114" s="11" t="s">
        <v>58</v>
      </c>
      <c r="C114" s="11" t="n">
        <v>120</v>
      </c>
      <c r="D114" s="11" t="n">
        <v>1500</v>
      </c>
      <c r="E114" s="11" t="s">
        <v>131</v>
      </c>
      <c r="F114" s="12" t="n">
        <f aca="false">M114*D114</f>
        <v>1500</v>
      </c>
      <c r="G114" s="141" t="s">
        <v>56</v>
      </c>
      <c r="H114" s="11" t="n">
        <f aca="false">(M114*(C114/1000))*D114</f>
        <v>180</v>
      </c>
      <c r="I114" s="11" t="s">
        <v>132</v>
      </c>
      <c r="J114" s="13" t="n">
        <v>45635</v>
      </c>
      <c r="K114" s="11" t="n">
        <v>1</v>
      </c>
      <c r="L114" s="11"/>
      <c r="M114" s="11" t="n">
        <f aca="false">K114-L114</f>
        <v>1</v>
      </c>
      <c r="N114" s="53" t="n">
        <f aca="false">H114*8.5</f>
        <v>1530</v>
      </c>
      <c r="O114" s="116"/>
    </row>
    <row r="115" customFormat="false" ht="15" hidden="false" customHeight="true" outlineLevel="0" collapsed="false">
      <c r="A115" s="11" t="n">
        <v>11</v>
      </c>
      <c r="B115" s="11" t="s">
        <v>62</v>
      </c>
      <c r="C115" s="11" t="n">
        <v>120</v>
      </c>
      <c r="D115" s="11" t="n">
        <v>1000</v>
      </c>
      <c r="E115" s="11" t="s">
        <v>129</v>
      </c>
      <c r="F115" s="12" t="n">
        <f aca="false">M115*D115</f>
        <v>4000</v>
      </c>
      <c r="G115" s="11"/>
      <c r="H115" s="11" t="n">
        <f aca="false">(M115*(C115/1000))*D115</f>
        <v>480</v>
      </c>
      <c r="I115" s="11" t="s">
        <v>124</v>
      </c>
      <c r="J115" s="13" t="n">
        <v>45997</v>
      </c>
      <c r="K115" s="11" t="n">
        <v>4</v>
      </c>
      <c r="L115" s="11"/>
      <c r="M115" s="11" t="n">
        <f aca="false">K115-L115</f>
        <v>4</v>
      </c>
      <c r="N115" s="53" t="n">
        <f aca="false">H115*7.5</f>
        <v>3600</v>
      </c>
    </row>
    <row r="116" customFormat="false" ht="15" hidden="false" customHeight="true" outlineLevel="0" collapsed="false">
      <c r="A116" s="11" t="n">
        <v>12</v>
      </c>
      <c r="B116" s="11" t="s">
        <v>67</v>
      </c>
      <c r="C116" s="11" t="n">
        <v>120</v>
      </c>
      <c r="D116" s="11" t="n">
        <v>1000</v>
      </c>
      <c r="E116" s="11" t="s">
        <v>134</v>
      </c>
      <c r="F116" s="12" t="n">
        <f aca="false">M116*D116</f>
        <v>1000</v>
      </c>
      <c r="G116" s="11"/>
      <c r="H116" s="11" t="n">
        <f aca="false">(M116*(C116/1000))*D116</f>
        <v>120</v>
      </c>
      <c r="I116" s="11" t="s">
        <v>135</v>
      </c>
      <c r="J116" s="13" t="n">
        <v>46121</v>
      </c>
      <c r="K116" s="11" t="n">
        <v>4</v>
      </c>
      <c r="L116" s="11" t="n">
        <v>3</v>
      </c>
      <c r="M116" s="11" t="n">
        <f aca="false">K116-L116</f>
        <v>1</v>
      </c>
      <c r="N116" s="53" t="n">
        <f aca="false">H116*7.5</f>
        <v>900</v>
      </c>
    </row>
    <row r="117" customFormat="false" ht="15" hidden="false" customHeight="true" outlineLevel="0" collapsed="false">
      <c r="A117" s="11" t="n">
        <v>7</v>
      </c>
      <c r="B117" s="11" t="s">
        <v>62</v>
      </c>
      <c r="C117" s="11" t="n">
        <v>125</v>
      </c>
      <c r="D117" s="11" t="n">
        <v>1000</v>
      </c>
      <c r="E117" s="11" t="s">
        <v>125</v>
      </c>
      <c r="F117" s="12" t="n">
        <f aca="false">M117*D117</f>
        <v>1000</v>
      </c>
      <c r="G117" s="11" t="s">
        <v>17</v>
      </c>
      <c r="H117" s="11" t="n">
        <f aca="false">(M117*(C117/1000))*D117</f>
        <v>125</v>
      </c>
      <c r="I117" s="11" t="s">
        <v>126</v>
      </c>
      <c r="J117" s="13" t="n">
        <v>46194</v>
      </c>
      <c r="K117" s="11" t="n">
        <v>1</v>
      </c>
      <c r="L117" s="11"/>
      <c r="M117" s="11" t="n">
        <f aca="false">K117-L117</f>
        <v>1</v>
      </c>
      <c r="N117" s="53" t="n">
        <f aca="false">H117*7.5</f>
        <v>937.5</v>
      </c>
    </row>
    <row r="118" customFormat="false" ht="15" hidden="false" customHeight="true" outlineLevel="0" collapsed="false">
      <c r="A118" s="11" t="n">
        <v>11</v>
      </c>
      <c r="B118" s="11" t="s">
        <v>62</v>
      </c>
      <c r="C118" s="11" t="n">
        <v>125</v>
      </c>
      <c r="D118" s="11" t="n">
        <v>1000</v>
      </c>
      <c r="E118" s="11" t="s">
        <v>129</v>
      </c>
      <c r="F118" s="12" t="n">
        <f aca="false">M118*D118</f>
        <v>2000</v>
      </c>
      <c r="G118" s="11"/>
      <c r="H118" s="11" t="n">
        <f aca="false">(M118*(C118/1000))*D118</f>
        <v>250</v>
      </c>
      <c r="I118" s="11" t="s">
        <v>124</v>
      </c>
      <c r="J118" s="13" t="n">
        <v>45997</v>
      </c>
      <c r="K118" s="11" t="n">
        <v>3</v>
      </c>
      <c r="L118" s="11" t="n">
        <v>1</v>
      </c>
      <c r="M118" s="11" t="n">
        <f aca="false">K118-L118</f>
        <v>2</v>
      </c>
      <c r="N118" s="53" t="n">
        <f aca="false">H118*7.5</f>
        <v>1875</v>
      </c>
    </row>
    <row r="119" customFormat="false" ht="15" hidden="false" customHeight="true" outlineLevel="0" collapsed="false">
      <c r="A119" s="11" t="n">
        <v>12</v>
      </c>
      <c r="B119" s="11" t="s">
        <v>58</v>
      </c>
      <c r="C119" s="11" t="n">
        <v>128</v>
      </c>
      <c r="D119" s="11" t="n">
        <v>800</v>
      </c>
      <c r="E119" s="11" t="s">
        <v>136</v>
      </c>
      <c r="F119" s="12" t="n">
        <f aca="false">M119*D119</f>
        <v>800</v>
      </c>
      <c r="G119" s="11" t="s">
        <v>17</v>
      </c>
      <c r="H119" s="11" t="n">
        <f aca="false">(M119*(C119/1000))*D119</f>
        <v>102.4</v>
      </c>
      <c r="I119" s="11" t="s">
        <v>137</v>
      </c>
      <c r="J119" s="13" t="n">
        <v>45812</v>
      </c>
      <c r="K119" s="11" t="n">
        <v>1</v>
      </c>
      <c r="L119" s="11"/>
      <c r="M119" s="11" t="n">
        <f aca="false">K119-L119</f>
        <v>1</v>
      </c>
      <c r="N119" s="53" t="n">
        <f aca="false">H119*7.5</f>
        <v>768</v>
      </c>
    </row>
    <row r="120" customFormat="false" ht="15" hidden="false" customHeight="true" outlineLevel="0" collapsed="false">
      <c r="A120" s="11" t="n">
        <v>24</v>
      </c>
      <c r="B120" s="11" t="s">
        <v>62</v>
      </c>
      <c r="C120" s="11" t="n">
        <v>130</v>
      </c>
      <c r="D120" s="11" t="n">
        <v>1000</v>
      </c>
      <c r="E120" s="11" t="s">
        <v>114</v>
      </c>
      <c r="F120" s="12" t="n">
        <f aca="false">M120*D120</f>
        <v>2000</v>
      </c>
      <c r="G120" s="11" t="s">
        <v>17</v>
      </c>
      <c r="H120" s="11" t="n">
        <f aca="false">(M120*(C120/1000))*D120</f>
        <v>260</v>
      </c>
      <c r="I120" s="11" t="s">
        <v>115</v>
      </c>
      <c r="J120" s="13" t="n">
        <v>46194</v>
      </c>
      <c r="K120" s="11" t="n">
        <v>2</v>
      </c>
      <c r="L120" s="11"/>
      <c r="M120" s="11" t="n">
        <f aca="false">K120-L120</f>
        <v>2</v>
      </c>
      <c r="N120" s="53" t="n">
        <f aca="false">H120*7.5</f>
        <v>1950</v>
      </c>
    </row>
    <row r="121" customFormat="false" ht="15" hidden="false" customHeight="true" outlineLevel="0" collapsed="false">
      <c r="A121" s="11" t="n">
        <v>19</v>
      </c>
      <c r="B121" s="11" t="s">
        <v>67</v>
      </c>
      <c r="C121" s="11" t="n">
        <v>130</v>
      </c>
      <c r="D121" s="11" t="n">
        <v>2000</v>
      </c>
      <c r="E121" s="11" t="s">
        <v>119</v>
      </c>
      <c r="F121" s="12" t="n">
        <f aca="false">M121*D121</f>
        <v>4000</v>
      </c>
      <c r="G121" s="11" t="s">
        <v>17</v>
      </c>
      <c r="H121" s="11" t="n">
        <f aca="false">(M121*(C121/1000))*D121</f>
        <v>520</v>
      </c>
      <c r="I121" s="11" t="s">
        <v>120</v>
      </c>
      <c r="J121" s="13" t="n">
        <v>46150</v>
      </c>
      <c r="K121" s="11" t="n">
        <v>2</v>
      </c>
      <c r="L121" s="11"/>
      <c r="M121" s="11" t="n">
        <f aca="false">K121-L121</f>
        <v>2</v>
      </c>
      <c r="N121" s="53" t="n">
        <f aca="false">H121*5.5</f>
        <v>2860</v>
      </c>
    </row>
    <row r="122" customFormat="false" ht="15" hidden="false" customHeight="true" outlineLevel="0" collapsed="false">
      <c r="A122" s="137" t="n">
        <v>5</v>
      </c>
      <c r="B122" s="11" t="s">
        <v>62</v>
      </c>
      <c r="C122" s="11" t="n">
        <v>130</v>
      </c>
      <c r="D122" s="11" t="n">
        <v>1000</v>
      </c>
      <c r="E122" s="11" t="s">
        <v>112</v>
      </c>
      <c r="F122" s="12" t="n">
        <f aca="false">M122*D122</f>
        <v>0</v>
      </c>
      <c r="G122" s="11" t="s">
        <v>17</v>
      </c>
      <c r="H122" s="11" t="n">
        <f aca="false">(M122*(C122/1000))*D122</f>
        <v>0</v>
      </c>
      <c r="I122" s="11" t="s">
        <v>113</v>
      </c>
      <c r="J122" s="13" t="n">
        <v>46163</v>
      </c>
      <c r="K122" s="11" t="n">
        <v>1</v>
      </c>
      <c r="L122" s="11" t="n">
        <v>1</v>
      </c>
      <c r="M122" s="11" t="n">
        <f aca="false">K122-L122</f>
        <v>0</v>
      </c>
      <c r="N122" s="53" t="n">
        <f aca="false">H122*7.5</f>
        <v>0</v>
      </c>
    </row>
    <row r="123" customFormat="false" ht="15" hidden="false" customHeight="true" outlineLevel="0" collapsed="false">
      <c r="A123" s="137" t="n">
        <v>5</v>
      </c>
      <c r="B123" s="11" t="s">
        <v>62</v>
      </c>
      <c r="C123" s="11" t="n">
        <v>130</v>
      </c>
      <c r="D123" s="11" t="n">
        <v>1000</v>
      </c>
      <c r="E123" s="11" t="s">
        <v>112</v>
      </c>
      <c r="F123" s="12" t="n">
        <f aca="false">M123*D123</f>
        <v>0</v>
      </c>
      <c r="G123" s="11" t="s">
        <v>17</v>
      </c>
      <c r="H123" s="11" t="n">
        <f aca="false">(M123*(C123/1000))*D123</f>
        <v>0</v>
      </c>
      <c r="I123" s="11" t="s">
        <v>113</v>
      </c>
      <c r="J123" s="13" t="n">
        <v>45953</v>
      </c>
      <c r="K123" s="11" t="n">
        <v>1</v>
      </c>
      <c r="L123" s="11" t="n">
        <v>1</v>
      </c>
      <c r="M123" s="11" t="n">
        <f aca="false">K123-L123</f>
        <v>0</v>
      </c>
      <c r="N123" s="53" t="n">
        <f aca="false">H123*7.5</f>
        <v>0</v>
      </c>
    </row>
    <row r="124" customFormat="false" ht="15" hidden="false" customHeight="true" outlineLevel="0" collapsed="false">
      <c r="A124" s="11" t="n">
        <v>6</v>
      </c>
      <c r="B124" s="11" t="s">
        <v>58</v>
      </c>
      <c r="C124" s="11" t="n">
        <v>130</v>
      </c>
      <c r="D124" s="11" t="n">
        <v>1000</v>
      </c>
      <c r="E124" s="11" t="s">
        <v>116</v>
      </c>
      <c r="F124" s="12" t="n">
        <f aca="false">M124*D124</f>
        <v>1000</v>
      </c>
      <c r="G124" s="11" t="s">
        <v>17</v>
      </c>
      <c r="H124" s="11" t="n">
        <f aca="false">(M124*(C124/1000))*D124</f>
        <v>130</v>
      </c>
      <c r="I124" s="11" t="s">
        <v>90</v>
      </c>
      <c r="J124" s="138" t="n">
        <v>45924</v>
      </c>
      <c r="K124" s="11" t="n">
        <v>1</v>
      </c>
      <c r="L124" s="11"/>
      <c r="M124" s="11" t="n">
        <f aca="false">K124-L124</f>
        <v>1</v>
      </c>
      <c r="N124" s="53" t="n">
        <f aca="false">H124*6.5</f>
        <v>845</v>
      </c>
    </row>
    <row r="125" customFormat="false" ht="15" hidden="false" customHeight="true" outlineLevel="0" collapsed="false">
      <c r="A125" s="11" t="n">
        <v>7</v>
      </c>
      <c r="B125" s="11" t="s">
        <v>58</v>
      </c>
      <c r="C125" s="11" t="n">
        <v>130</v>
      </c>
      <c r="D125" s="11" t="n">
        <v>1000</v>
      </c>
      <c r="E125" s="11" t="s">
        <v>116</v>
      </c>
      <c r="F125" s="12" t="n">
        <f aca="false">M125*D125</f>
        <v>1000</v>
      </c>
      <c r="G125" s="11" t="s">
        <v>17</v>
      </c>
      <c r="H125" s="11" t="n">
        <f aca="false">(M125*(C125/1000))*D125</f>
        <v>130</v>
      </c>
      <c r="I125" s="11" t="s">
        <v>90</v>
      </c>
      <c r="J125" s="138" t="n">
        <v>45931</v>
      </c>
      <c r="K125" s="11" t="n">
        <v>1</v>
      </c>
      <c r="L125" s="11"/>
      <c r="M125" s="11" t="n">
        <f aca="false">K125-L125</f>
        <v>1</v>
      </c>
      <c r="N125" s="53" t="n">
        <f aca="false">H125*6.5</f>
        <v>845</v>
      </c>
    </row>
    <row r="126" customFormat="false" ht="15" hidden="false" customHeight="true" outlineLevel="0" collapsed="false">
      <c r="A126" s="11" t="n">
        <v>7</v>
      </c>
      <c r="B126" s="11" t="s">
        <v>58</v>
      </c>
      <c r="C126" s="11" t="n">
        <v>130</v>
      </c>
      <c r="D126" s="11" t="n">
        <v>1000</v>
      </c>
      <c r="E126" s="11" t="s">
        <v>116</v>
      </c>
      <c r="F126" s="12" t="n">
        <f aca="false">M126*D126</f>
        <v>1000</v>
      </c>
      <c r="G126" s="11" t="s">
        <v>17</v>
      </c>
      <c r="H126" s="11" t="n">
        <f aca="false">(M126*(C126/1000))*D126</f>
        <v>130</v>
      </c>
      <c r="I126" s="11" t="s">
        <v>90</v>
      </c>
      <c r="J126" s="138" t="n">
        <v>45606</v>
      </c>
      <c r="K126" s="11" t="n">
        <v>1</v>
      </c>
      <c r="L126" s="11"/>
      <c r="M126" s="11" t="n">
        <f aca="false">K126-L126</f>
        <v>1</v>
      </c>
      <c r="N126" s="53" t="n">
        <f aca="false">H126*6.5</f>
        <v>845</v>
      </c>
    </row>
    <row r="127" customFormat="false" ht="15" hidden="false" customHeight="true" outlineLevel="0" collapsed="false">
      <c r="A127" s="11" t="n">
        <v>7</v>
      </c>
      <c r="B127" s="11" t="s">
        <v>58</v>
      </c>
      <c r="C127" s="11" t="n">
        <v>130</v>
      </c>
      <c r="D127" s="11" t="n">
        <v>1000</v>
      </c>
      <c r="E127" s="11" t="s">
        <v>116</v>
      </c>
      <c r="F127" s="12" t="n">
        <f aca="false">M127*D127</f>
        <v>1000</v>
      </c>
      <c r="G127" s="11" t="s">
        <v>17</v>
      </c>
      <c r="H127" s="11" t="n">
        <f aca="false">(M127*(C127/1000))*D127</f>
        <v>130</v>
      </c>
      <c r="I127" s="11" t="s">
        <v>90</v>
      </c>
      <c r="J127" s="138" t="n">
        <v>45992</v>
      </c>
      <c r="K127" s="11" t="n">
        <v>1</v>
      </c>
      <c r="L127" s="11"/>
      <c r="M127" s="11" t="n">
        <f aca="false">K127-L127</f>
        <v>1</v>
      </c>
      <c r="N127" s="53" t="n">
        <f aca="false">H127*6.5</f>
        <v>845</v>
      </c>
    </row>
    <row r="128" customFormat="false" ht="15" hidden="false" customHeight="true" outlineLevel="0" collapsed="false">
      <c r="A128" s="11" t="n">
        <v>7</v>
      </c>
      <c r="B128" s="11" t="s">
        <v>58</v>
      </c>
      <c r="C128" s="11" t="n">
        <v>130</v>
      </c>
      <c r="D128" s="11" t="n">
        <v>1000</v>
      </c>
      <c r="E128" s="11" t="s">
        <v>116</v>
      </c>
      <c r="F128" s="12" t="n">
        <f aca="false">M128*D128</f>
        <v>1000</v>
      </c>
      <c r="G128" s="11" t="s">
        <v>17</v>
      </c>
      <c r="H128" s="11" t="n">
        <f aca="false">(M128*(C128/1000))*D128</f>
        <v>130</v>
      </c>
      <c r="I128" s="11" t="s">
        <v>90</v>
      </c>
      <c r="J128" s="138" t="n">
        <v>45784</v>
      </c>
      <c r="K128" s="11" t="n">
        <v>1</v>
      </c>
      <c r="L128" s="11"/>
      <c r="M128" s="11" t="n">
        <f aca="false">K128-L128</f>
        <v>1</v>
      </c>
      <c r="N128" s="53" t="n">
        <f aca="false">H128*6.5</f>
        <v>845</v>
      </c>
    </row>
    <row r="129" customFormat="false" ht="15" hidden="false" customHeight="true" outlineLevel="0" collapsed="false">
      <c r="A129" s="11" t="n">
        <v>1</v>
      </c>
      <c r="B129" s="11" t="s">
        <v>67</v>
      </c>
      <c r="C129" s="11" t="n">
        <v>130</v>
      </c>
      <c r="D129" s="11" t="n">
        <v>1000</v>
      </c>
      <c r="E129" s="11" t="s">
        <v>117</v>
      </c>
      <c r="F129" s="12" t="n">
        <f aca="false">M129*D129</f>
        <v>1000</v>
      </c>
      <c r="G129" s="11" t="s">
        <v>17</v>
      </c>
      <c r="H129" s="11" t="n">
        <f aca="false">(M129*(C129/1000))*D129</f>
        <v>130</v>
      </c>
      <c r="I129" s="11" t="s">
        <v>118</v>
      </c>
      <c r="J129" s="13" t="n">
        <v>46069</v>
      </c>
      <c r="K129" s="11" t="n">
        <v>1</v>
      </c>
      <c r="L129" s="11"/>
      <c r="M129" s="11" t="n">
        <f aca="false">K129-L129</f>
        <v>1</v>
      </c>
      <c r="N129" s="53" t="n">
        <f aca="false">H129*5.5</f>
        <v>715</v>
      </c>
    </row>
    <row r="130" customFormat="false" ht="15" hidden="false" customHeight="true" outlineLevel="0" collapsed="false">
      <c r="A130" s="11" t="n">
        <v>5</v>
      </c>
      <c r="B130" s="11" t="s">
        <v>67</v>
      </c>
      <c r="C130" s="11" t="n">
        <v>130</v>
      </c>
      <c r="D130" s="11" t="n">
        <v>1000</v>
      </c>
      <c r="E130" s="11" t="s">
        <v>127</v>
      </c>
      <c r="F130" s="12" t="n">
        <f aca="false">M130*D130</f>
        <v>1000</v>
      </c>
      <c r="G130" s="11" t="s">
        <v>17</v>
      </c>
      <c r="H130" s="11" t="n">
        <f aca="false">(M130*(C130/1000))*D130</f>
        <v>130</v>
      </c>
      <c r="I130" s="11" t="s">
        <v>128</v>
      </c>
      <c r="J130" s="13" t="n">
        <v>46121</v>
      </c>
      <c r="K130" s="11" t="n">
        <v>2</v>
      </c>
      <c r="L130" s="11" t="n">
        <v>1</v>
      </c>
      <c r="M130" s="11" t="n">
        <f aca="false">K130-L130</f>
        <v>1</v>
      </c>
      <c r="N130" s="53" t="n">
        <f aca="false">H130*5.5</f>
        <v>715</v>
      </c>
    </row>
    <row r="131" customFormat="false" ht="15" hidden="false" customHeight="true" outlineLevel="0" collapsed="false">
      <c r="A131" s="11" t="n">
        <v>10</v>
      </c>
      <c r="B131" s="11" t="s">
        <v>62</v>
      </c>
      <c r="C131" s="11" t="n">
        <v>131</v>
      </c>
      <c r="D131" s="11" t="n">
        <v>1000</v>
      </c>
      <c r="E131" s="11" t="s">
        <v>114</v>
      </c>
      <c r="F131" s="12" t="n">
        <f aca="false">M131*D131</f>
        <v>3000</v>
      </c>
      <c r="G131" s="11" t="s">
        <v>17</v>
      </c>
      <c r="H131" s="11" t="n">
        <f aca="false">(M131*(C131/1000))*D131</f>
        <v>393</v>
      </c>
      <c r="I131" s="11" t="s">
        <v>115</v>
      </c>
      <c r="J131" s="13" t="n">
        <v>45998</v>
      </c>
      <c r="K131" s="11" t="n">
        <v>3</v>
      </c>
      <c r="L131" s="11"/>
      <c r="M131" s="11" t="n">
        <f aca="false">K131-L131</f>
        <v>3</v>
      </c>
      <c r="N131" s="53" t="n">
        <f aca="false">H131*7.5</f>
        <v>2947.5</v>
      </c>
    </row>
    <row r="132" customFormat="false" ht="15" hidden="false" customHeight="true" outlineLevel="0" collapsed="false">
      <c r="A132" s="137" t="n">
        <v>5</v>
      </c>
      <c r="B132" s="11" t="s">
        <v>62</v>
      </c>
      <c r="C132" s="11" t="n">
        <v>132</v>
      </c>
      <c r="D132" s="11" t="n">
        <v>1000</v>
      </c>
      <c r="E132" s="11" t="s">
        <v>112</v>
      </c>
      <c r="F132" s="12" t="n">
        <f aca="false">M132*D132</f>
        <v>3000</v>
      </c>
      <c r="G132" s="11" t="s">
        <v>17</v>
      </c>
      <c r="H132" s="11" t="n">
        <f aca="false">(M132*(C132/1000))*D132</f>
        <v>396</v>
      </c>
      <c r="I132" s="11" t="s">
        <v>113</v>
      </c>
      <c r="J132" s="13" t="n">
        <v>46163</v>
      </c>
      <c r="K132" s="11" t="n">
        <v>3</v>
      </c>
      <c r="L132" s="11"/>
      <c r="M132" s="11" t="n">
        <f aca="false">K132-L132</f>
        <v>3</v>
      </c>
      <c r="N132" s="53" t="n">
        <f aca="false">H132*7.5</f>
        <v>2970</v>
      </c>
    </row>
    <row r="133" customFormat="false" ht="15" hidden="false" customHeight="true" outlineLevel="0" collapsed="false">
      <c r="A133" s="11" t="n">
        <v>22</v>
      </c>
      <c r="B133" s="11" t="s">
        <v>62</v>
      </c>
      <c r="C133" s="11" t="n">
        <v>135</v>
      </c>
      <c r="D133" s="11" t="n">
        <v>1000</v>
      </c>
      <c r="E133" s="11" t="s">
        <v>114</v>
      </c>
      <c r="F133" s="12" t="n">
        <f aca="false">M133*D133</f>
        <v>0</v>
      </c>
      <c r="G133" s="11" t="s">
        <v>17</v>
      </c>
      <c r="H133" s="11" t="n">
        <f aca="false">(M133*(C133/1000))*D133</f>
        <v>0</v>
      </c>
      <c r="I133" s="11" t="s">
        <v>115</v>
      </c>
      <c r="J133" s="13" t="n">
        <v>45998</v>
      </c>
      <c r="K133" s="11" t="n">
        <v>1</v>
      </c>
      <c r="L133" s="11" t="n">
        <v>1</v>
      </c>
      <c r="M133" s="11" t="n">
        <f aca="false">K133-L133</f>
        <v>0</v>
      </c>
      <c r="N133" s="53" t="n">
        <f aca="false">H133*7.5</f>
        <v>0</v>
      </c>
    </row>
    <row r="134" customFormat="false" ht="15" hidden="false" customHeight="true" outlineLevel="0" collapsed="false">
      <c r="A134" s="11" t="n">
        <v>23</v>
      </c>
      <c r="B134" s="11" t="s">
        <v>67</v>
      </c>
      <c r="C134" s="11" t="n">
        <v>135</v>
      </c>
      <c r="D134" s="11" t="n">
        <v>1000</v>
      </c>
      <c r="E134" s="11" t="s">
        <v>119</v>
      </c>
      <c r="F134" s="12" t="n">
        <f aca="false">M134*D134</f>
        <v>0</v>
      </c>
      <c r="G134" s="11" t="s">
        <v>17</v>
      </c>
      <c r="H134" s="11" t="n">
        <f aca="false">(M134*(C134/1000))*D134</f>
        <v>0</v>
      </c>
      <c r="I134" s="11" t="s">
        <v>133</v>
      </c>
      <c r="J134" s="13" t="n">
        <v>46153</v>
      </c>
      <c r="K134" s="11" t="n">
        <v>1</v>
      </c>
      <c r="L134" s="11" t="n">
        <v>1</v>
      </c>
      <c r="M134" s="11" t="n">
        <f aca="false">K134-L134</f>
        <v>0</v>
      </c>
      <c r="N134" s="53" t="n">
        <f aca="false">H134*5.5</f>
        <v>0</v>
      </c>
    </row>
    <row r="135" customFormat="false" ht="15" hidden="false" customHeight="true" outlineLevel="0" collapsed="false">
      <c r="A135" s="11" t="n">
        <v>6</v>
      </c>
      <c r="B135" s="11" t="s">
        <v>58</v>
      </c>
      <c r="C135" s="11" t="n">
        <v>135</v>
      </c>
      <c r="D135" s="11" t="n">
        <v>1000</v>
      </c>
      <c r="E135" s="11" t="s">
        <v>116</v>
      </c>
      <c r="F135" s="12" t="n">
        <f aca="false">M135*D135</f>
        <v>2000</v>
      </c>
      <c r="G135" s="11" t="s">
        <v>17</v>
      </c>
      <c r="H135" s="11" t="n">
        <f aca="false">(M135*(C135/1000))*D135</f>
        <v>270</v>
      </c>
      <c r="I135" s="11" t="s">
        <v>90</v>
      </c>
      <c r="J135" s="138" t="n">
        <v>45849</v>
      </c>
      <c r="K135" s="11" t="n">
        <v>2</v>
      </c>
      <c r="L135" s="11"/>
      <c r="M135" s="11" t="n">
        <f aca="false">K135-L135</f>
        <v>2</v>
      </c>
      <c r="N135" s="53" t="n">
        <f aca="false">H135*6.5</f>
        <v>1755</v>
      </c>
    </row>
    <row r="136" customFormat="false" ht="15" hidden="false" customHeight="true" outlineLevel="0" collapsed="false">
      <c r="A136" s="11" t="n">
        <v>7</v>
      </c>
      <c r="B136" s="11" t="s">
        <v>58</v>
      </c>
      <c r="C136" s="11" t="n">
        <v>140</v>
      </c>
      <c r="D136" s="11" t="n">
        <v>1000</v>
      </c>
      <c r="E136" s="11" t="s">
        <v>116</v>
      </c>
      <c r="F136" s="12" t="n">
        <f aca="false">M136*D136</f>
        <v>2000</v>
      </c>
      <c r="G136" s="11" t="s">
        <v>17</v>
      </c>
      <c r="H136" s="11" t="n">
        <f aca="false">(M136*(C136/1000))*D136</f>
        <v>280</v>
      </c>
      <c r="I136" s="11" t="s">
        <v>90</v>
      </c>
      <c r="J136" s="138" t="n">
        <v>45959</v>
      </c>
      <c r="K136" s="11" t="n">
        <v>2</v>
      </c>
      <c r="L136" s="11"/>
      <c r="M136" s="11" t="n">
        <f aca="false">K136-L136</f>
        <v>2</v>
      </c>
      <c r="N136" s="53" t="n">
        <f aca="false">H136*6.5</f>
        <v>1820</v>
      </c>
    </row>
    <row r="137" customFormat="false" ht="15" hidden="false" customHeight="true" outlineLevel="0" collapsed="false">
      <c r="A137" s="11" t="n">
        <v>7</v>
      </c>
      <c r="B137" s="11" t="s">
        <v>58</v>
      </c>
      <c r="C137" s="11" t="n">
        <v>140</v>
      </c>
      <c r="D137" s="11" t="n">
        <v>1000</v>
      </c>
      <c r="E137" s="11" t="s">
        <v>116</v>
      </c>
      <c r="F137" s="12" t="n">
        <f aca="false">M137*D137</f>
        <v>1000</v>
      </c>
      <c r="G137" s="11" t="s">
        <v>17</v>
      </c>
      <c r="H137" s="11" t="n">
        <f aca="false">(M137*(C137/1000))*D137</f>
        <v>140</v>
      </c>
      <c r="I137" s="11" t="s">
        <v>90</v>
      </c>
      <c r="J137" s="138" t="n">
        <v>45959</v>
      </c>
      <c r="K137" s="11" t="n">
        <v>1</v>
      </c>
      <c r="L137" s="11"/>
      <c r="M137" s="11" t="n">
        <f aca="false">K137-L137</f>
        <v>1</v>
      </c>
      <c r="N137" s="53" t="n">
        <f aca="false">H137*6.5</f>
        <v>910</v>
      </c>
    </row>
    <row r="138" customFormat="false" ht="15" hidden="false" customHeight="true" outlineLevel="0" collapsed="false">
      <c r="A138" s="11" t="n">
        <v>5</v>
      </c>
      <c r="B138" s="11" t="s">
        <v>67</v>
      </c>
      <c r="C138" s="11" t="n">
        <v>140</v>
      </c>
      <c r="D138" s="11" t="n">
        <v>1000</v>
      </c>
      <c r="E138" s="11" t="s">
        <v>127</v>
      </c>
      <c r="F138" s="12" t="n">
        <f aca="false">M138*D138</f>
        <v>1000</v>
      </c>
      <c r="G138" s="11" t="s">
        <v>17</v>
      </c>
      <c r="H138" s="11" t="n">
        <f aca="false">(M138*(C138/1000))*D138</f>
        <v>140</v>
      </c>
      <c r="I138" s="11" t="s">
        <v>128</v>
      </c>
      <c r="J138" s="13" t="n">
        <v>38816</v>
      </c>
      <c r="K138" s="11" t="n">
        <v>1</v>
      </c>
      <c r="L138" s="11"/>
      <c r="M138" s="11" t="n">
        <f aca="false">K138-L138</f>
        <v>1</v>
      </c>
      <c r="N138" s="53" t="n">
        <f aca="false">H138*5.5</f>
        <v>770</v>
      </c>
    </row>
    <row r="139" customFormat="false" ht="15" hidden="false" customHeight="true" outlineLevel="0" collapsed="false">
      <c r="A139" s="11" t="n">
        <v>22</v>
      </c>
      <c r="B139" s="11" t="s">
        <v>62</v>
      </c>
      <c r="C139" s="11" t="n">
        <v>145</v>
      </c>
      <c r="D139" s="11" t="n">
        <v>1000</v>
      </c>
      <c r="E139" s="11" t="s">
        <v>114</v>
      </c>
      <c r="F139" s="12" t="n">
        <f aca="false">M139*D139</f>
        <v>2000</v>
      </c>
      <c r="G139" s="11" t="s">
        <v>17</v>
      </c>
      <c r="H139" s="11" t="n">
        <f aca="false">(M139*(C139/1000))*D139</f>
        <v>290</v>
      </c>
      <c r="I139" s="11" t="s">
        <v>115</v>
      </c>
      <c r="J139" s="13" t="n">
        <v>45998</v>
      </c>
      <c r="K139" s="11" t="n">
        <v>2</v>
      </c>
      <c r="L139" s="11"/>
      <c r="M139" s="11" t="n">
        <f aca="false">K139-L139</f>
        <v>2</v>
      </c>
      <c r="N139" s="53" t="n">
        <f aca="false">H139*7.5</f>
        <v>2175</v>
      </c>
    </row>
    <row r="140" customFormat="false" ht="15" hidden="false" customHeight="true" outlineLevel="0" collapsed="false">
      <c r="A140" s="137" t="n">
        <v>9</v>
      </c>
      <c r="B140" s="11" t="s">
        <v>62</v>
      </c>
      <c r="C140" s="11" t="n">
        <v>145</v>
      </c>
      <c r="D140" s="11" t="n">
        <v>2000</v>
      </c>
      <c r="E140" s="11" t="s">
        <v>112</v>
      </c>
      <c r="F140" s="12" t="n">
        <f aca="false">M140*D140</f>
        <v>4000</v>
      </c>
      <c r="G140" s="11" t="s">
        <v>17</v>
      </c>
      <c r="H140" s="11" t="n">
        <f aca="false">(M140*(C140/1000))*D140</f>
        <v>580</v>
      </c>
      <c r="I140" s="11" t="s">
        <v>113</v>
      </c>
      <c r="J140" s="13" t="n">
        <v>45953</v>
      </c>
      <c r="K140" s="11" t="n">
        <v>3</v>
      </c>
      <c r="L140" s="11" t="n">
        <v>1</v>
      </c>
      <c r="M140" s="11" t="n">
        <f aca="false">K140-L140</f>
        <v>2</v>
      </c>
      <c r="N140" s="53" t="n">
        <f aca="false">H140*7.5</f>
        <v>4350</v>
      </c>
    </row>
    <row r="141" customFormat="false" ht="15" hidden="false" customHeight="true" outlineLevel="0" collapsed="false">
      <c r="A141" s="11" t="n">
        <v>6</v>
      </c>
      <c r="B141" s="11" t="s">
        <v>58</v>
      </c>
      <c r="C141" s="11" t="n">
        <v>145</v>
      </c>
      <c r="D141" s="11" t="n">
        <v>1000</v>
      </c>
      <c r="E141" s="11" t="s">
        <v>116</v>
      </c>
      <c r="F141" s="12" t="n">
        <f aca="false">M141*D141</f>
        <v>4000</v>
      </c>
      <c r="G141" s="11" t="s">
        <v>17</v>
      </c>
      <c r="H141" s="11" t="n">
        <f aca="false">(M141*(C141/1000))*D141</f>
        <v>580</v>
      </c>
      <c r="I141" s="11" t="s">
        <v>90</v>
      </c>
      <c r="J141" s="138" t="n">
        <v>45608</v>
      </c>
      <c r="K141" s="11" t="n">
        <v>4</v>
      </c>
      <c r="L141" s="11"/>
      <c r="M141" s="11" t="n">
        <f aca="false">K141-L141</f>
        <v>4</v>
      </c>
      <c r="N141" s="53" t="n">
        <f aca="false">H141*6.5</f>
        <v>3770</v>
      </c>
    </row>
    <row r="142" customFormat="false" ht="15" hidden="false" customHeight="true" outlineLevel="0" collapsed="false">
      <c r="A142" s="11" t="n">
        <v>3</v>
      </c>
      <c r="B142" s="11" t="s">
        <v>58</v>
      </c>
      <c r="C142" s="11" t="n">
        <v>145</v>
      </c>
      <c r="D142" s="11" t="n">
        <v>1500</v>
      </c>
      <c r="E142" s="11" t="s">
        <v>131</v>
      </c>
      <c r="F142" s="12" t="n">
        <f aca="false">M142*D142</f>
        <v>1500</v>
      </c>
      <c r="G142" s="141" t="s">
        <v>56</v>
      </c>
      <c r="H142" s="11" t="n">
        <f aca="false">(M142*(C142/1000))*D142</f>
        <v>217.5</v>
      </c>
      <c r="I142" s="11" t="s">
        <v>132</v>
      </c>
      <c r="J142" s="13"/>
      <c r="K142" s="11" t="n">
        <v>1</v>
      </c>
      <c r="L142" s="11"/>
      <c r="M142" s="11" t="n">
        <f aca="false">K142-L142</f>
        <v>1</v>
      </c>
      <c r="N142" s="53" t="n">
        <f aca="false">H142*8.5</f>
        <v>1848.75</v>
      </c>
      <c r="O142" s="116"/>
    </row>
    <row r="143" customFormat="false" ht="15" hidden="false" customHeight="true" outlineLevel="0" collapsed="false">
      <c r="A143" s="137" t="n">
        <v>5</v>
      </c>
      <c r="B143" s="11" t="s">
        <v>62</v>
      </c>
      <c r="C143" s="11" t="n">
        <v>150</v>
      </c>
      <c r="D143" s="11" t="n">
        <v>2000</v>
      </c>
      <c r="E143" s="11" t="s">
        <v>112</v>
      </c>
      <c r="F143" s="12" t="n">
        <f aca="false">M143*D143</f>
        <v>0</v>
      </c>
      <c r="G143" s="11" t="s">
        <v>17</v>
      </c>
      <c r="H143" s="11" t="n">
        <f aca="false">(M143*(C143/1000))*D143</f>
        <v>0</v>
      </c>
      <c r="I143" s="11" t="s">
        <v>113</v>
      </c>
      <c r="J143" s="13"/>
      <c r="K143" s="11" t="n">
        <v>2</v>
      </c>
      <c r="L143" s="11" t="n">
        <v>2</v>
      </c>
      <c r="M143" s="11" t="n">
        <f aca="false">K143-L143</f>
        <v>0</v>
      </c>
      <c r="N143" s="53" t="n">
        <f aca="false">H143*7.5</f>
        <v>0</v>
      </c>
      <c r="O143" s="116"/>
    </row>
    <row r="144" customFormat="false" ht="15" hidden="false" customHeight="true" outlineLevel="0" collapsed="false">
      <c r="A144" s="11" t="n">
        <v>6</v>
      </c>
      <c r="B144" s="11" t="s">
        <v>58</v>
      </c>
      <c r="C144" s="11" t="n">
        <v>150</v>
      </c>
      <c r="D144" s="11" t="n">
        <v>1500</v>
      </c>
      <c r="E144" s="11" t="s">
        <v>116</v>
      </c>
      <c r="F144" s="12" t="n">
        <f aca="false">M144*D144</f>
        <v>1500</v>
      </c>
      <c r="G144" s="11" t="s">
        <v>17</v>
      </c>
      <c r="H144" s="11" t="n">
        <f aca="false">(M144*(C144/1000))*D144</f>
        <v>225</v>
      </c>
      <c r="I144" s="11" t="s">
        <v>90</v>
      </c>
      <c r="J144" s="138" t="n">
        <v>45715</v>
      </c>
      <c r="K144" s="11" t="n">
        <v>1</v>
      </c>
      <c r="L144" s="11"/>
      <c r="M144" s="11" t="n">
        <f aca="false">K144-L144</f>
        <v>1</v>
      </c>
      <c r="N144" s="53" t="n">
        <f aca="false">H144*6.5</f>
        <v>1462.5</v>
      </c>
      <c r="O144" s="116"/>
    </row>
    <row r="145" customFormat="false" ht="15" hidden="false" customHeight="true" outlineLevel="0" collapsed="false">
      <c r="A145" s="11" t="n">
        <v>7</v>
      </c>
      <c r="B145" s="11" t="s">
        <v>62</v>
      </c>
      <c r="C145" s="11" t="n">
        <v>155</v>
      </c>
      <c r="D145" s="11" t="n">
        <v>1000</v>
      </c>
      <c r="E145" s="11" t="s">
        <v>125</v>
      </c>
      <c r="F145" s="12" t="n">
        <f aca="false">M145*D145</f>
        <v>2000</v>
      </c>
      <c r="G145" s="11" t="s">
        <v>17</v>
      </c>
      <c r="H145" s="11" t="n">
        <f aca="false">(M145*(C145/1000))*D145</f>
        <v>310</v>
      </c>
      <c r="I145" s="11" t="s">
        <v>126</v>
      </c>
      <c r="J145" s="13" t="n">
        <v>46194</v>
      </c>
      <c r="K145" s="11" t="n">
        <v>3</v>
      </c>
      <c r="L145" s="11" t="n">
        <v>1</v>
      </c>
      <c r="M145" s="11" t="n">
        <f aca="false">K145-L145</f>
        <v>2</v>
      </c>
      <c r="N145" s="53" t="n">
        <f aca="false">H145*7.5</f>
        <v>2325</v>
      </c>
    </row>
    <row r="146" customFormat="false" ht="15" hidden="false" customHeight="true" outlineLevel="0" collapsed="false">
      <c r="A146" s="11" t="n">
        <v>24</v>
      </c>
      <c r="B146" s="11" t="s">
        <v>62</v>
      </c>
      <c r="C146" s="11" t="n">
        <v>155</v>
      </c>
      <c r="D146" s="11" t="n">
        <v>1000</v>
      </c>
      <c r="E146" s="11" t="s">
        <v>114</v>
      </c>
      <c r="F146" s="12" t="n">
        <f aca="false">M146*D146</f>
        <v>1000</v>
      </c>
      <c r="G146" s="11" t="s">
        <v>17</v>
      </c>
      <c r="H146" s="11" t="n">
        <f aca="false">(M146*(C146/1000))*D146</f>
        <v>155</v>
      </c>
      <c r="I146" s="11" t="s">
        <v>115</v>
      </c>
      <c r="J146" s="13" t="n">
        <v>46194</v>
      </c>
      <c r="K146" s="11" t="n">
        <v>1</v>
      </c>
      <c r="L146" s="11"/>
      <c r="M146" s="11" t="n">
        <f aca="false">K146-L146</f>
        <v>1</v>
      </c>
      <c r="N146" s="53" t="n">
        <f aca="false">H146*7.5</f>
        <v>1162.5</v>
      </c>
    </row>
    <row r="147" customFormat="false" ht="15" hidden="false" customHeight="true" outlineLevel="0" collapsed="false">
      <c r="A147" s="11" t="n">
        <v>19</v>
      </c>
      <c r="B147" s="11" t="s">
        <v>67</v>
      </c>
      <c r="C147" s="11" t="n">
        <v>155</v>
      </c>
      <c r="D147" s="11" t="n">
        <v>2000</v>
      </c>
      <c r="E147" s="11" t="s">
        <v>119</v>
      </c>
      <c r="F147" s="12" t="n">
        <f aca="false">M147*D147</f>
        <v>4000</v>
      </c>
      <c r="G147" s="11" t="s">
        <v>17</v>
      </c>
      <c r="H147" s="11" t="n">
        <f aca="false">(M147*(C147/1000))*D147</f>
        <v>620</v>
      </c>
      <c r="I147" s="11" t="s">
        <v>120</v>
      </c>
      <c r="J147" s="13" t="n">
        <v>46150</v>
      </c>
      <c r="K147" s="11" t="n">
        <v>2</v>
      </c>
      <c r="L147" s="11"/>
      <c r="M147" s="11" t="n">
        <f aca="false">K147-L147</f>
        <v>2</v>
      </c>
      <c r="N147" s="53" t="n">
        <f aca="false">H147*5.5</f>
        <v>3410</v>
      </c>
    </row>
    <row r="148" customFormat="false" ht="15" hidden="false" customHeight="true" outlineLevel="0" collapsed="false">
      <c r="A148" s="11" t="n">
        <v>8</v>
      </c>
      <c r="B148" s="11" t="s">
        <v>58</v>
      </c>
      <c r="C148" s="11" t="n">
        <v>155</v>
      </c>
      <c r="D148" s="11" t="n">
        <v>1000</v>
      </c>
      <c r="E148" s="11" t="s">
        <v>116</v>
      </c>
      <c r="F148" s="12" t="n">
        <f aca="false">M148*D148</f>
        <v>4000</v>
      </c>
      <c r="G148" s="11" t="s">
        <v>17</v>
      </c>
      <c r="H148" s="11" t="n">
        <f aca="false">(M148*(C148/1000))*D148</f>
        <v>620</v>
      </c>
      <c r="I148" s="11" t="s">
        <v>90</v>
      </c>
      <c r="J148" s="138" t="n">
        <v>45992</v>
      </c>
      <c r="K148" s="11" t="n">
        <v>4</v>
      </c>
      <c r="L148" s="11"/>
      <c r="M148" s="11" t="n">
        <f aca="false">K148-L148</f>
        <v>4</v>
      </c>
      <c r="N148" s="53" t="n">
        <f aca="false">H148*6.5</f>
        <v>4030</v>
      </c>
    </row>
    <row r="149" customFormat="false" ht="15" hidden="false" customHeight="true" outlineLevel="0" collapsed="false">
      <c r="A149" s="11" t="n">
        <v>3</v>
      </c>
      <c r="B149" s="11" t="s">
        <v>58</v>
      </c>
      <c r="C149" s="11" t="n">
        <v>155</v>
      </c>
      <c r="D149" s="11" t="n">
        <v>1000</v>
      </c>
      <c r="E149" s="11" t="s">
        <v>116</v>
      </c>
      <c r="F149" s="12" t="n">
        <f aca="false">M149*D149</f>
        <v>1000</v>
      </c>
      <c r="G149" s="11" t="s">
        <v>17</v>
      </c>
      <c r="H149" s="11" t="n">
        <f aca="false">(M149*(C149/1000))*D149</f>
        <v>155</v>
      </c>
      <c r="I149" s="11" t="s">
        <v>90</v>
      </c>
      <c r="J149" s="13" t="n">
        <v>46099</v>
      </c>
      <c r="K149" s="11" t="n">
        <v>1</v>
      </c>
      <c r="L149" s="11"/>
      <c r="M149" s="11" t="n">
        <f aca="false">K149-L149</f>
        <v>1</v>
      </c>
      <c r="N149" s="53" t="n">
        <f aca="false">H149*6.5</f>
        <v>1007.5</v>
      </c>
      <c r="O149" s="116"/>
    </row>
    <row r="150" customFormat="false" ht="15" hidden="false" customHeight="true" outlineLevel="0" collapsed="false">
      <c r="A150" s="11" t="n">
        <v>8</v>
      </c>
      <c r="B150" s="11" t="s">
        <v>58</v>
      </c>
      <c r="C150" s="11" t="n">
        <v>155</v>
      </c>
      <c r="D150" s="11" t="n">
        <v>1000</v>
      </c>
      <c r="E150" s="11" t="s">
        <v>116</v>
      </c>
      <c r="F150" s="12" t="n">
        <f aca="false">M150*D150</f>
        <v>3000</v>
      </c>
      <c r="G150" s="11" t="s">
        <v>17</v>
      </c>
      <c r="H150" s="11" t="n">
        <f aca="false">(M150*(C150/1000))*D150</f>
        <v>465</v>
      </c>
      <c r="I150" s="11" t="s">
        <v>90</v>
      </c>
      <c r="J150" s="138" t="n">
        <v>45992</v>
      </c>
      <c r="K150" s="11" t="n">
        <v>3</v>
      </c>
      <c r="L150" s="11"/>
      <c r="M150" s="11" t="n">
        <f aca="false">K150-L150</f>
        <v>3</v>
      </c>
      <c r="N150" s="53" t="n">
        <f aca="false">H150*6.5</f>
        <v>3022.5</v>
      </c>
    </row>
    <row r="151" customFormat="false" ht="15" hidden="false" customHeight="true" outlineLevel="0" collapsed="false">
      <c r="A151" s="11" t="n">
        <v>6</v>
      </c>
      <c r="B151" s="11" t="s">
        <v>58</v>
      </c>
      <c r="C151" s="11" t="n">
        <v>155</v>
      </c>
      <c r="D151" s="11" t="n">
        <v>1000</v>
      </c>
      <c r="E151" s="11" t="s">
        <v>116</v>
      </c>
      <c r="F151" s="12" t="n">
        <f aca="false">M151*D151</f>
        <v>1000</v>
      </c>
      <c r="G151" s="11" t="s">
        <v>17</v>
      </c>
      <c r="H151" s="11" t="n">
        <f aca="false">(M151*(C151/1000))*D151</f>
        <v>155</v>
      </c>
      <c r="I151" s="11" t="s">
        <v>90</v>
      </c>
      <c r="J151" s="13" t="n">
        <v>46099</v>
      </c>
      <c r="K151" s="11" t="n">
        <v>1</v>
      </c>
      <c r="L151" s="11"/>
      <c r="M151" s="11" t="n">
        <f aca="false">K151-L151</f>
        <v>1</v>
      </c>
      <c r="N151" s="53" t="n">
        <f aca="false">H151*6.5</f>
        <v>1007.5</v>
      </c>
    </row>
    <row r="152" customFormat="false" ht="15" hidden="false" customHeight="true" outlineLevel="0" collapsed="false">
      <c r="A152" s="137" t="n">
        <v>4</v>
      </c>
      <c r="B152" s="11" t="s">
        <v>62</v>
      </c>
      <c r="C152" s="11" t="n">
        <v>160</v>
      </c>
      <c r="D152" s="11" t="n">
        <v>1000</v>
      </c>
      <c r="E152" s="11" t="s">
        <v>112</v>
      </c>
      <c r="F152" s="12" t="n">
        <f aca="false">M152*D152</f>
        <v>1000</v>
      </c>
      <c r="G152" s="11" t="s">
        <v>17</v>
      </c>
      <c r="H152" s="11" t="n">
        <f aca="false">(M152*(C152/1000))*D152</f>
        <v>160</v>
      </c>
      <c r="I152" s="11" t="s">
        <v>113</v>
      </c>
      <c r="J152" s="13" t="n">
        <v>46163</v>
      </c>
      <c r="K152" s="11" t="n">
        <v>1</v>
      </c>
      <c r="L152" s="11"/>
      <c r="M152" s="11" t="n">
        <f aca="false">K152-L152</f>
        <v>1</v>
      </c>
      <c r="N152" s="53" t="n">
        <f aca="false">H152*7.5</f>
        <v>1200</v>
      </c>
    </row>
    <row r="153" customFormat="false" ht="15" hidden="false" customHeight="true" outlineLevel="0" collapsed="false">
      <c r="A153" s="137" t="n">
        <v>9</v>
      </c>
      <c r="B153" s="11" t="s">
        <v>62</v>
      </c>
      <c r="C153" s="11" t="n">
        <v>160</v>
      </c>
      <c r="D153" s="11" t="n">
        <v>1500</v>
      </c>
      <c r="E153" s="11" t="s">
        <v>112</v>
      </c>
      <c r="F153" s="12" t="n">
        <f aca="false">M153*D153</f>
        <v>3000</v>
      </c>
      <c r="G153" s="11" t="s">
        <v>17</v>
      </c>
      <c r="H153" s="11" t="n">
        <f aca="false">(M153*(C153/1000))*D153</f>
        <v>480</v>
      </c>
      <c r="I153" s="11" t="s">
        <v>113</v>
      </c>
      <c r="J153" s="13" t="n">
        <v>46176</v>
      </c>
      <c r="K153" s="11" t="n">
        <v>2</v>
      </c>
      <c r="L153" s="11"/>
      <c r="M153" s="11" t="n">
        <f aca="false">K153-L153</f>
        <v>2</v>
      </c>
      <c r="N153" s="53" t="n">
        <f aca="false">H153*7.5</f>
        <v>3600</v>
      </c>
    </row>
    <row r="154" customFormat="false" ht="15" hidden="false" customHeight="true" outlineLevel="0" collapsed="false">
      <c r="A154" s="11" t="n">
        <v>7</v>
      </c>
      <c r="B154" s="11" t="s">
        <v>58</v>
      </c>
      <c r="C154" s="11" t="n">
        <v>160</v>
      </c>
      <c r="D154" s="11" t="n">
        <v>1500</v>
      </c>
      <c r="E154" s="11" t="s">
        <v>116</v>
      </c>
      <c r="F154" s="12" t="n">
        <f aca="false">M154*D154</f>
        <v>1500</v>
      </c>
      <c r="G154" s="11" t="s">
        <v>17</v>
      </c>
      <c r="H154" s="11" t="n">
        <f aca="false">(M154*(C154/1000))*D154</f>
        <v>240</v>
      </c>
      <c r="I154" s="11" t="s">
        <v>90</v>
      </c>
      <c r="J154" s="138" t="n">
        <v>45959</v>
      </c>
      <c r="K154" s="11" t="n">
        <v>1</v>
      </c>
      <c r="L154" s="11"/>
      <c r="M154" s="11" t="n">
        <f aca="false">K154-L154</f>
        <v>1</v>
      </c>
      <c r="N154" s="53" t="n">
        <f aca="false">H154*6.5</f>
        <v>1560</v>
      </c>
    </row>
    <row r="155" customFormat="false" ht="15" hidden="false" customHeight="true" outlineLevel="0" collapsed="false">
      <c r="A155" s="11" t="n">
        <v>7</v>
      </c>
      <c r="B155" s="11" t="s">
        <v>58</v>
      </c>
      <c r="C155" s="11" t="n">
        <v>160</v>
      </c>
      <c r="D155" s="11" t="n">
        <v>1000</v>
      </c>
      <c r="E155" s="11" t="s">
        <v>116</v>
      </c>
      <c r="F155" s="12" t="n">
        <f aca="false">M155*D155</f>
        <v>1000</v>
      </c>
      <c r="G155" s="11" t="s">
        <v>17</v>
      </c>
      <c r="H155" s="11" t="n">
        <f aca="false">(M155*(C155/1000))*D155</f>
        <v>160</v>
      </c>
      <c r="I155" s="11" t="s">
        <v>90</v>
      </c>
      <c r="J155" s="138" t="n">
        <v>45959</v>
      </c>
      <c r="K155" s="11" t="n">
        <v>1</v>
      </c>
      <c r="L155" s="11"/>
      <c r="M155" s="11" t="n">
        <f aca="false">K155-L155</f>
        <v>1</v>
      </c>
      <c r="N155" s="53" t="n">
        <f aca="false">H155*6.5</f>
        <v>1040</v>
      </c>
    </row>
    <row r="156" customFormat="false" ht="15" hidden="false" customHeight="true" outlineLevel="0" collapsed="false">
      <c r="A156" s="11" t="n">
        <v>12</v>
      </c>
      <c r="B156" s="11" t="s">
        <v>67</v>
      </c>
      <c r="C156" s="11" t="n">
        <v>163</v>
      </c>
      <c r="D156" s="11" t="n">
        <v>500</v>
      </c>
      <c r="E156" s="11" t="s">
        <v>138</v>
      </c>
      <c r="F156" s="12" t="n">
        <f aca="false">M156*D156</f>
        <v>500</v>
      </c>
      <c r="G156" s="11"/>
      <c r="H156" s="11" t="n">
        <f aca="false">(M156*(C156/1000))*D156</f>
        <v>81.5</v>
      </c>
      <c r="I156" s="11" t="s">
        <v>139</v>
      </c>
      <c r="J156" s="13"/>
      <c r="K156" s="11" t="n">
        <v>1</v>
      </c>
      <c r="L156" s="11"/>
      <c r="M156" s="11" t="n">
        <f aca="false">K156-L156</f>
        <v>1</v>
      </c>
      <c r="N156" s="53" t="n">
        <f aca="false">H156*7.5</f>
        <v>611.25</v>
      </c>
    </row>
    <row r="157" customFormat="false" ht="15" hidden="false" customHeight="true" outlineLevel="0" collapsed="false">
      <c r="A157" s="11" t="n">
        <v>7</v>
      </c>
      <c r="B157" s="11" t="s">
        <v>58</v>
      </c>
      <c r="C157" s="11" t="n">
        <v>165</v>
      </c>
      <c r="D157" s="11" t="n">
        <v>1500</v>
      </c>
      <c r="E157" s="11" t="s">
        <v>116</v>
      </c>
      <c r="F157" s="12" t="n">
        <f aca="false">M157*D157</f>
        <v>1500</v>
      </c>
      <c r="G157" s="11" t="s">
        <v>17</v>
      </c>
      <c r="H157" s="11" t="n">
        <f aca="false">(M157*(C157/1000))*D157</f>
        <v>247.5</v>
      </c>
      <c r="I157" s="11" t="s">
        <v>90</v>
      </c>
      <c r="J157" s="138" t="n">
        <v>45849</v>
      </c>
      <c r="K157" s="11" t="n">
        <v>1</v>
      </c>
      <c r="L157" s="11"/>
      <c r="M157" s="11" t="n">
        <f aca="false">K157-L157</f>
        <v>1</v>
      </c>
      <c r="N157" s="53" t="n">
        <f aca="false">H157*6.5</f>
        <v>1608.75</v>
      </c>
    </row>
    <row r="158" customFormat="false" ht="15" hidden="false" customHeight="true" outlineLevel="0" collapsed="false">
      <c r="A158" s="11" t="n">
        <v>7</v>
      </c>
      <c r="B158" s="11" t="s">
        <v>58</v>
      </c>
      <c r="C158" s="11" t="n">
        <v>165</v>
      </c>
      <c r="D158" s="11" t="n">
        <v>1500</v>
      </c>
      <c r="E158" s="11" t="s">
        <v>116</v>
      </c>
      <c r="F158" s="12" t="n">
        <f aca="false">M158*D158</f>
        <v>1500</v>
      </c>
      <c r="G158" s="11" t="s">
        <v>17</v>
      </c>
      <c r="H158" s="11" t="n">
        <f aca="false">(M158*(C158/1000))*D158</f>
        <v>247.5</v>
      </c>
      <c r="I158" s="11" t="s">
        <v>90</v>
      </c>
      <c r="J158" s="13" t="n">
        <v>45849</v>
      </c>
      <c r="K158" s="11" t="n">
        <v>1</v>
      </c>
      <c r="L158" s="11"/>
      <c r="M158" s="11" t="n">
        <f aca="false">K158-L158</f>
        <v>1</v>
      </c>
      <c r="N158" s="53" t="n">
        <f aca="false">H158*6.5</f>
        <v>1608.75</v>
      </c>
    </row>
    <row r="159" customFormat="false" ht="15" hidden="false" customHeight="true" outlineLevel="0" collapsed="false">
      <c r="A159" s="11" t="n">
        <v>7</v>
      </c>
      <c r="B159" s="11" t="s">
        <v>58</v>
      </c>
      <c r="C159" s="11" t="n">
        <v>180</v>
      </c>
      <c r="D159" s="11" t="n">
        <v>1000</v>
      </c>
      <c r="E159" s="11" t="s">
        <v>116</v>
      </c>
      <c r="F159" s="12" t="n">
        <f aca="false">M159*D159</f>
        <v>1000</v>
      </c>
      <c r="G159" s="11" t="s">
        <v>17</v>
      </c>
      <c r="H159" s="11" t="n">
        <f aca="false">(M159*(C159/1000))*D159</f>
        <v>180</v>
      </c>
      <c r="I159" s="11" t="s">
        <v>90</v>
      </c>
      <c r="J159" s="138" t="n">
        <v>45465</v>
      </c>
      <c r="K159" s="11" t="n">
        <v>1</v>
      </c>
      <c r="L159" s="11"/>
      <c r="M159" s="11" t="n">
        <f aca="false">K159-L159</f>
        <v>1</v>
      </c>
      <c r="N159" s="53" t="n">
        <f aca="false">H159*6.5</f>
        <v>1170</v>
      </c>
    </row>
    <row r="160" customFormat="false" ht="15" hidden="false" customHeight="true" outlineLevel="0" collapsed="false">
      <c r="A160" s="11" t="n">
        <v>23</v>
      </c>
      <c r="B160" s="11" t="s">
        <v>62</v>
      </c>
      <c r="C160" s="11" t="n">
        <v>205</v>
      </c>
      <c r="D160" s="11" t="n">
        <v>1000</v>
      </c>
      <c r="E160" s="11" t="s">
        <v>114</v>
      </c>
      <c r="F160" s="12" t="n">
        <f aca="false">M160*D160</f>
        <v>1000</v>
      </c>
      <c r="G160" s="11" t="s">
        <v>17</v>
      </c>
      <c r="H160" s="11" t="n">
        <f aca="false">(M160*(C160/1000))*D160</f>
        <v>205</v>
      </c>
      <c r="I160" s="11" t="s">
        <v>115</v>
      </c>
      <c r="J160" s="13" t="n">
        <v>45930</v>
      </c>
      <c r="K160" s="11" t="n">
        <v>1</v>
      </c>
      <c r="L160" s="11"/>
      <c r="M160" s="11" t="n">
        <f aca="false">K160-L160</f>
        <v>1</v>
      </c>
      <c r="N160" s="53" t="n">
        <f aca="false">H160*7.5</f>
        <v>1537.5</v>
      </c>
    </row>
    <row r="161" customFormat="false" ht="15" hidden="false" customHeight="true" outlineLevel="0" collapsed="false">
      <c r="A161" s="137" t="n">
        <v>11</v>
      </c>
      <c r="B161" s="11" t="s">
        <v>62</v>
      </c>
      <c r="C161" s="11" t="n">
        <v>205</v>
      </c>
      <c r="D161" s="11" t="n">
        <v>1500</v>
      </c>
      <c r="E161" s="11" t="s">
        <v>112</v>
      </c>
      <c r="F161" s="12" t="n">
        <f aca="false">M161*D161</f>
        <v>1500</v>
      </c>
      <c r="G161" s="11" t="s">
        <v>17</v>
      </c>
      <c r="H161" s="11" t="n">
        <f aca="false">(M161*(C161/1000))*D161</f>
        <v>307.5</v>
      </c>
      <c r="I161" s="11" t="s">
        <v>113</v>
      </c>
      <c r="J161" s="13" t="n">
        <v>45930</v>
      </c>
      <c r="K161" s="11" t="n">
        <v>1</v>
      </c>
      <c r="L161" s="11"/>
      <c r="M161" s="11" t="n">
        <f aca="false">K161-L161</f>
        <v>1</v>
      </c>
      <c r="N161" s="53" t="n">
        <f aca="false">H161*7.5</f>
        <v>2306.25</v>
      </c>
    </row>
    <row r="162" customFormat="false" ht="15" hidden="false" customHeight="true" outlineLevel="0" collapsed="false">
      <c r="A162" s="11" t="n">
        <v>23</v>
      </c>
      <c r="B162" s="11" t="s">
        <v>62</v>
      </c>
      <c r="C162" s="11" t="n">
        <v>210</v>
      </c>
      <c r="D162" s="11" t="n">
        <v>1000</v>
      </c>
      <c r="E162" s="11" t="s">
        <v>114</v>
      </c>
      <c r="F162" s="12" t="n">
        <f aca="false">M162*D162</f>
        <v>3000</v>
      </c>
      <c r="G162" s="11" t="s">
        <v>17</v>
      </c>
      <c r="H162" s="11" t="n">
        <f aca="false">(M162*(C162/1000))*D162</f>
        <v>630</v>
      </c>
      <c r="I162" s="11" t="s">
        <v>115</v>
      </c>
      <c r="J162" s="13" t="n">
        <v>45930</v>
      </c>
      <c r="K162" s="11" t="n">
        <v>3</v>
      </c>
      <c r="L162" s="11"/>
      <c r="M162" s="11" t="n">
        <f aca="false">K162-L162</f>
        <v>3</v>
      </c>
      <c r="N162" s="53" t="n">
        <f aca="false">H162*7.5</f>
        <v>4725</v>
      </c>
    </row>
    <row r="163" customFormat="false" ht="15" hidden="false" customHeight="true" outlineLevel="0" collapsed="false">
      <c r="A163" s="137" t="n">
        <v>9</v>
      </c>
      <c r="B163" s="11" t="s">
        <v>62</v>
      </c>
      <c r="C163" s="11" t="n">
        <v>210</v>
      </c>
      <c r="D163" s="11" t="n">
        <v>2000</v>
      </c>
      <c r="E163" s="11" t="s">
        <v>112</v>
      </c>
      <c r="F163" s="12" t="n">
        <f aca="false">M163*D163</f>
        <v>4000</v>
      </c>
      <c r="G163" s="11" t="s">
        <v>17</v>
      </c>
      <c r="H163" s="11" t="n">
        <f aca="false">(M163*(C163/1000))*D163</f>
        <v>840</v>
      </c>
      <c r="I163" s="11" t="s">
        <v>113</v>
      </c>
      <c r="J163" s="13" t="n">
        <v>45953</v>
      </c>
      <c r="K163" s="11" t="n">
        <v>5</v>
      </c>
      <c r="L163" s="11" t="n">
        <v>3</v>
      </c>
      <c r="M163" s="11" t="n">
        <f aca="false">K163-L163</f>
        <v>2</v>
      </c>
      <c r="N163" s="53" t="n">
        <f aca="false">H163*7.5</f>
        <v>6300</v>
      </c>
      <c r="O163" s="1" t="s">
        <v>71</v>
      </c>
    </row>
    <row r="164" customFormat="false" ht="15" hidden="false" customHeight="true" outlineLevel="0" collapsed="false">
      <c r="A164" s="137" t="n">
        <v>8</v>
      </c>
      <c r="B164" s="11" t="s">
        <v>62</v>
      </c>
      <c r="C164" s="11" t="n">
        <v>210</v>
      </c>
      <c r="D164" s="11" t="n">
        <v>1500</v>
      </c>
      <c r="E164" s="11" t="s">
        <v>112</v>
      </c>
      <c r="F164" s="12" t="n">
        <f aca="false">M164*D164</f>
        <v>6000</v>
      </c>
      <c r="G164" s="11" t="s">
        <v>17</v>
      </c>
      <c r="H164" s="11" t="n">
        <f aca="false">(M164*(C164/1000))*D164</f>
        <v>1260</v>
      </c>
      <c r="I164" s="11" t="s">
        <v>113</v>
      </c>
      <c r="J164" s="13" t="n">
        <v>46176</v>
      </c>
      <c r="K164" s="11" t="n">
        <v>4</v>
      </c>
      <c r="L164" s="11"/>
      <c r="M164" s="11" t="n">
        <f aca="false">K164-L164</f>
        <v>4</v>
      </c>
      <c r="N164" s="53" t="n">
        <f aca="false">H164*7.5</f>
        <v>9450</v>
      </c>
    </row>
    <row r="165" customFormat="false" ht="15" hidden="false" customHeight="true" outlineLevel="0" collapsed="false">
      <c r="A165" s="137" t="n">
        <v>9</v>
      </c>
      <c r="B165" s="11" t="s">
        <v>62</v>
      </c>
      <c r="C165" s="11" t="n">
        <v>210</v>
      </c>
      <c r="D165" s="11" t="n">
        <v>1500</v>
      </c>
      <c r="E165" s="11" t="s">
        <v>112</v>
      </c>
      <c r="F165" s="12" t="n">
        <f aca="false">M165*D165</f>
        <v>4500</v>
      </c>
      <c r="G165" s="11" t="s">
        <v>17</v>
      </c>
      <c r="H165" s="11" t="n">
        <f aca="false">(M165*(C165/1000))*D165</f>
        <v>945</v>
      </c>
      <c r="I165" s="11" t="s">
        <v>113</v>
      </c>
      <c r="J165" s="13" t="n">
        <v>46176</v>
      </c>
      <c r="K165" s="11" t="n">
        <v>3</v>
      </c>
      <c r="L165" s="11"/>
      <c r="M165" s="11" t="n">
        <f aca="false">K165-L165</f>
        <v>3</v>
      </c>
      <c r="N165" s="53" t="n">
        <f aca="false">H165*7.5</f>
        <v>7087.5</v>
      </c>
    </row>
    <row r="166" customFormat="false" ht="15" hidden="false" customHeight="true" outlineLevel="0" collapsed="false">
      <c r="A166" s="137" t="n">
        <v>9</v>
      </c>
      <c r="B166" s="11" t="s">
        <v>62</v>
      </c>
      <c r="C166" s="11" t="n">
        <v>210</v>
      </c>
      <c r="D166" s="11" t="n">
        <v>1500</v>
      </c>
      <c r="E166" s="11" t="s">
        <v>112</v>
      </c>
      <c r="F166" s="12" t="n">
        <f aca="false">M166*D166</f>
        <v>1500</v>
      </c>
      <c r="G166" s="11" t="s">
        <v>17</v>
      </c>
      <c r="H166" s="11" t="n">
        <f aca="false">(M166*(C166/1000))*D166</f>
        <v>315</v>
      </c>
      <c r="I166" s="11" t="s">
        <v>113</v>
      </c>
      <c r="J166" s="13" t="n">
        <v>46176</v>
      </c>
      <c r="K166" s="11" t="n">
        <v>1</v>
      </c>
      <c r="L166" s="11"/>
      <c r="M166" s="11" t="n">
        <f aca="false">K166-L166</f>
        <v>1</v>
      </c>
      <c r="N166" s="53" t="n">
        <f aca="false">H166*7.5</f>
        <v>2362.5</v>
      </c>
    </row>
    <row r="167" customFormat="false" ht="15" hidden="false" customHeight="true" outlineLevel="0" collapsed="false">
      <c r="A167" s="137" t="n">
        <v>9</v>
      </c>
      <c r="B167" s="11" t="s">
        <v>62</v>
      </c>
      <c r="C167" s="11" t="n">
        <v>210</v>
      </c>
      <c r="D167" s="11" t="n">
        <v>1000</v>
      </c>
      <c r="E167" s="11" t="s">
        <v>112</v>
      </c>
      <c r="F167" s="12" t="n">
        <f aca="false">M167*D167</f>
        <v>1000</v>
      </c>
      <c r="G167" s="11" t="s">
        <v>17</v>
      </c>
      <c r="H167" s="11" t="n">
        <f aca="false">(M167*(C167/1000))*D167</f>
        <v>210</v>
      </c>
      <c r="I167" s="11" t="s">
        <v>113</v>
      </c>
      <c r="J167" s="13" t="n">
        <v>46176</v>
      </c>
      <c r="K167" s="11" t="n">
        <v>1</v>
      </c>
      <c r="L167" s="11"/>
      <c r="M167" s="11" t="n">
        <f aca="false">K167-L167</f>
        <v>1</v>
      </c>
      <c r="N167" s="53" t="n">
        <f aca="false">H167*7.5</f>
        <v>1575</v>
      </c>
    </row>
    <row r="168" customFormat="false" ht="15" hidden="false" customHeight="true" outlineLevel="0" collapsed="false">
      <c r="A168" s="137" t="n">
        <v>9</v>
      </c>
      <c r="B168" s="11" t="s">
        <v>62</v>
      </c>
      <c r="C168" s="11" t="n">
        <v>210</v>
      </c>
      <c r="D168" s="11" t="n">
        <v>700</v>
      </c>
      <c r="E168" s="11" t="s">
        <v>112</v>
      </c>
      <c r="F168" s="12" t="n">
        <f aca="false">M168*D168</f>
        <v>700</v>
      </c>
      <c r="G168" s="11" t="s">
        <v>17</v>
      </c>
      <c r="H168" s="11" t="n">
        <f aca="false">(M168*(C168/1000))*D168</f>
        <v>147</v>
      </c>
      <c r="I168" s="11" t="s">
        <v>113</v>
      </c>
      <c r="J168" s="13" t="n">
        <v>46176</v>
      </c>
      <c r="K168" s="11" t="n">
        <v>1</v>
      </c>
      <c r="L168" s="11"/>
      <c r="M168" s="11" t="n">
        <f aca="false">K168-L168</f>
        <v>1</v>
      </c>
      <c r="N168" s="53" t="n">
        <f aca="false">H168*7.5</f>
        <v>1102.5</v>
      </c>
    </row>
    <row r="169" customFormat="false" ht="15" hidden="false" customHeight="true" outlineLevel="0" collapsed="false">
      <c r="A169" s="11" t="n">
        <v>8</v>
      </c>
      <c r="B169" s="11" t="s">
        <v>58</v>
      </c>
      <c r="C169" s="11" t="n">
        <v>210</v>
      </c>
      <c r="D169" s="11" t="n">
        <v>1500</v>
      </c>
      <c r="E169" s="11" t="s">
        <v>116</v>
      </c>
      <c r="F169" s="12" t="n">
        <f aca="false">M169*D169</f>
        <v>1500</v>
      </c>
      <c r="G169" s="11" t="s">
        <v>17</v>
      </c>
      <c r="H169" s="11" t="n">
        <f aca="false">(M169*(C169/1000))*D169</f>
        <v>315</v>
      </c>
      <c r="I169" s="11" t="s">
        <v>90</v>
      </c>
      <c r="J169" s="138" t="n">
        <v>46099</v>
      </c>
      <c r="K169" s="11" t="n">
        <v>1</v>
      </c>
      <c r="L169" s="11"/>
      <c r="M169" s="11" t="n">
        <f aca="false">K169-L169</f>
        <v>1</v>
      </c>
      <c r="N169" s="53" t="n">
        <f aca="false">H169*6.5</f>
        <v>2047.5</v>
      </c>
    </row>
    <row r="170" customFormat="false" ht="15" hidden="false" customHeight="true" outlineLevel="0" collapsed="false">
      <c r="A170" s="11" t="n">
        <v>8</v>
      </c>
      <c r="B170" s="11" t="s">
        <v>58</v>
      </c>
      <c r="C170" s="11" t="n">
        <v>210</v>
      </c>
      <c r="D170" s="11" t="n">
        <v>500</v>
      </c>
      <c r="E170" s="11" t="s">
        <v>116</v>
      </c>
      <c r="F170" s="12" t="n">
        <f aca="false">M170*D170</f>
        <v>500</v>
      </c>
      <c r="G170" s="11" t="s">
        <v>17</v>
      </c>
      <c r="H170" s="11" t="n">
        <f aca="false">(M170*(C170/1000))*D170</f>
        <v>105</v>
      </c>
      <c r="I170" s="11" t="s">
        <v>90</v>
      </c>
      <c r="J170" s="138"/>
      <c r="K170" s="11" t="n">
        <v>2</v>
      </c>
      <c r="L170" s="11" t="n">
        <v>1</v>
      </c>
      <c r="M170" s="11" t="n">
        <f aca="false">K170-L170</f>
        <v>1</v>
      </c>
      <c r="N170" s="53" t="n">
        <f aca="false">H170*6.5</f>
        <v>682.5</v>
      </c>
    </row>
    <row r="171" customFormat="false" ht="15" hidden="false" customHeight="true" outlineLevel="0" collapsed="false">
      <c r="A171" s="11" t="n">
        <v>8</v>
      </c>
      <c r="B171" s="11" t="s">
        <v>58</v>
      </c>
      <c r="C171" s="11" t="n">
        <v>210</v>
      </c>
      <c r="D171" s="11" t="n">
        <v>1500</v>
      </c>
      <c r="E171" s="11" t="s">
        <v>116</v>
      </c>
      <c r="F171" s="12" t="n">
        <f aca="false">M171*D171</f>
        <v>3000</v>
      </c>
      <c r="G171" s="11" t="s">
        <v>17</v>
      </c>
      <c r="H171" s="11" t="n">
        <f aca="false">(M171*(C171/1000))*D171</f>
        <v>630</v>
      </c>
      <c r="I171" s="11" t="s">
        <v>90</v>
      </c>
      <c r="J171" s="13" t="n">
        <v>46169</v>
      </c>
      <c r="K171" s="11" t="n">
        <v>2</v>
      </c>
      <c r="L171" s="11"/>
      <c r="M171" s="11" t="n">
        <f aca="false">K171-L171</f>
        <v>2</v>
      </c>
      <c r="N171" s="53" t="n">
        <f aca="false">H171*6.5</f>
        <v>4095</v>
      </c>
    </row>
    <row r="172" s="143" customFormat="true" ht="15" hidden="false" customHeight="true" outlineLevel="0" collapsed="false">
      <c r="A172" s="11" t="n">
        <v>7</v>
      </c>
      <c r="B172" s="11" t="s">
        <v>58</v>
      </c>
      <c r="C172" s="11" t="n">
        <v>210</v>
      </c>
      <c r="D172" s="11" t="n">
        <v>1500</v>
      </c>
      <c r="E172" s="11" t="s">
        <v>116</v>
      </c>
      <c r="F172" s="12" t="n">
        <f aca="false">M172*D172</f>
        <v>3000</v>
      </c>
      <c r="G172" s="11" t="s">
        <v>17</v>
      </c>
      <c r="H172" s="11" t="n">
        <f aca="false">(M172*(C172/1000))*D172</f>
        <v>630</v>
      </c>
      <c r="I172" s="11" t="s">
        <v>90</v>
      </c>
      <c r="J172" s="13" t="n">
        <v>46169</v>
      </c>
      <c r="K172" s="11" t="n">
        <v>2</v>
      </c>
      <c r="L172" s="11"/>
      <c r="M172" s="11" t="n">
        <f aca="false">K172-L172</f>
        <v>2</v>
      </c>
      <c r="N172" s="53" t="n">
        <f aca="false">H172*6.5</f>
        <v>4095</v>
      </c>
    </row>
    <row r="173" s="143" customFormat="true" ht="15" hidden="false" customHeight="true" outlineLevel="0" collapsed="false">
      <c r="A173" s="11" t="n">
        <v>9</v>
      </c>
      <c r="B173" s="11" t="s">
        <v>58</v>
      </c>
      <c r="C173" s="11" t="n">
        <v>210</v>
      </c>
      <c r="D173" s="11" t="n">
        <v>1500</v>
      </c>
      <c r="E173" s="11" t="s">
        <v>116</v>
      </c>
      <c r="F173" s="12" t="n">
        <f aca="false">M173*D173</f>
        <v>1500</v>
      </c>
      <c r="G173" s="11" t="s">
        <v>17</v>
      </c>
      <c r="H173" s="11" t="n">
        <f aca="false">(M173*(C173/1000))*D173</f>
        <v>315</v>
      </c>
      <c r="I173" s="11" t="s">
        <v>90</v>
      </c>
      <c r="J173" s="13" t="n">
        <v>46086</v>
      </c>
      <c r="K173" s="11" t="n">
        <v>1</v>
      </c>
      <c r="L173" s="11"/>
      <c r="M173" s="11" t="n">
        <f aca="false">K173-L173</f>
        <v>1</v>
      </c>
      <c r="N173" s="53" t="n">
        <f aca="false">H173*6.5</f>
        <v>2047.5</v>
      </c>
    </row>
    <row r="174" customFormat="false" ht="15" hidden="false" customHeight="true" outlineLevel="0" collapsed="false">
      <c r="A174" s="11" t="n">
        <v>1</v>
      </c>
      <c r="B174" s="11" t="s">
        <v>67</v>
      </c>
      <c r="C174" s="11" t="n">
        <v>210</v>
      </c>
      <c r="D174" s="11" t="n">
        <v>1000</v>
      </c>
      <c r="E174" s="11" t="s">
        <v>117</v>
      </c>
      <c r="F174" s="12" t="n">
        <f aca="false">M174*D174</f>
        <v>1000</v>
      </c>
      <c r="G174" s="11" t="s">
        <v>17</v>
      </c>
      <c r="H174" s="11" t="n">
        <f aca="false">(M174*(C174/1000))*D174</f>
        <v>210</v>
      </c>
      <c r="I174" s="11" t="s">
        <v>118</v>
      </c>
      <c r="J174" s="13" t="n">
        <v>46061</v>
      </c>
      <c r="K174" s="11" t="n">
        <v>1</v>
      </c>
      <c r="L174" s="11"/>
      <c r="M174" s="11" t="n">
        <f aca="false">K174-L174</f>
        <v>1</v>
      </c>
      <c r="N174" s="53" t="n">
        <f aca="false">H174*5.5</f>
        <v>1155</v>
      </c>
    </row>
    <row r="175" s="143" customFormat="true" ht="15" hidden="false" customHeight="true" outlineLevel="0" collapsed="false">
      <c r="A175" s="11" t="n">
        <v>1</v>
      </c>
      <c r="B175" s="11" t="s">
        <v>67</v>
      </c>
      <c r="C175" s="11" t="n">
        <v>210</v>
      </c>
      <c r="D175" s="11" t="n">
        <v>1000</v>
      </c>
      <c r="E175" s="11" t="s">
        <v>127</v>
      </c>
      <c r="F175" s="12" t="n">
        <f aca="false">M175*D175</f>
        <v>6000</v>
      </c>
      <c r="G175" s="11" t="s">
        <v>17</v>
      </c>
      <c r="H175" s="11" t="n">
        <f aca="false">(M175*(C175/1000))*D175</f>
        <v>1260</v>
      </c>
      <c r="I175" s="11" t="s">
        <v>128</v>
      </c>
      <c r="J175" s="13" t="n">
        <v>46175</v>
      </c>
      <c r="K175" s="11" t="n">
        <v>6</v>
      </c>
      <c r="L175" s="11"/>
      <c r="M175" s="11" t="n">
        <f aca="false">K175-L175</f>
        <v>6</v>
      </c>
      <c r="N175" s="53" t="n">
        <f aca="false">H175*5.5</f>
        <v>6930</v>
      </c>
    </row>
    <row r="176" customFormat="false" ht="15" hidden="false" customHeight="true" outlineLevel="0" collapsed="false">
      <c r="A176" s="11" t="n">
        <v>2</v>
      </c>
      <c r="B176" s="11" t="s">
        <v>67</v>
      </c>
      <c r="C176" s="11" t="n">
        <v>210</v>
      </c>
      <c r="D176" s="11" t="n">
        <v>1000</v>
      </c>
      <c r="E176" s="11" t="s">
        <v>127</v>
      </c>
      <c r="F176" s="12" t="n">
        <f aca="false">M176*D176</f>
        <v>7000</v>
      </c>
      <c r="G176" s="11" t="s">
        <v>17</v>
      </c>
      <c r="H176" s="11" t="n">
        <f aca="false">(M176*(C176/1000))*D176</f>
        <v>1470</v>
      </c>
      <c r="I176" s="11" t="s">
        <v>128</v>
      </c>
      <c r="J176" s="13" t="n">
        <v>46175</v>
      </c>
      <c r="K176" s="11" t="n">
        <v>7</v>
      </c>
      <c r="L176" s="11"/>
      <c r="M176" s="11" t="n">
        <f aca="false">K176-L176</f>
        <v>7</v>
      </c>
      <c r="N176" s="53" t="n">
        <f aca="false">H176*5.5</f>
        <v>8085</v>
      </c>
    </row>
    <row r="177" s="143" customFormat="true" ht="15" hidden="false" customHeight="true" outlineLevel="0" collapsed="false">
      <c r="A177" s="11" t="n">
        <v>7</v>
      </c>
      <c r="B177" s="11" t="s">
        <v>62</v>
      </c>
      <c r="C177" s="11" t="n">
        <v>220</v>
      </c>
      <c r="D177" s="11" t="n">
        <v>1000</v>
      </c>
      <c r="E177" s="11" t="s">
        <v>125</v>
      </c>
      <c r="F177" s="12" t="n">
        <f aca="false">M177*D177</f>
        <v>1000</v>
      </c>
      <c r="G177" s="11" t="s">
        <v>17</v>
      </c>
      <c r="H177" s="11" t="n">
        <f aca="false">(M177*(C177/1000))*D177</f>
        <v>220</v>
      </c>
      <c r="I177" s="11" t="s">
        <v>126</v>
      </c>
      <c r="J177" s="13" t="n">
        <v>46194</v>
      </c>
      <c r="K177" s="11" t="n">
        <v>1</v>
      </c>
      <c r="L177" s="11"/>
      <c r="M177" s="11" t="n">
        <f aca="false">K177-L177</f>
        <v>1</v>
      </c>
      <c r="N177" s="53" t="n">
        <f aca="false">H177*7.5</f>
        <v>1650</v>
      </c>
    </row>
    <row r="178" customFormat="false" ht="15" hidden="false" customHeight="true" outlineLevel="0" collapsed="false">
      <c r="A178" s="11" t="n">
        <v>23</v>
      </c>
      <c r="B178" s="11" t="s">
        <v>62</v>
      </c>
      <c r="C178" s="11" t="n">
        <v>220</v>
      </c>
      <c r="D178" s="11" t="n">
        <v>1000</v>
      </c>
      <c r="E178" s="11" t="s">
        <v>114</v>
      </c>
      <c r="F178" s="12" t="n">
        <f aca="false">M178*D178</f>
        <v>1000</v>
      </c>
      <c r="G178" s="11" t="s">
        <v>17</v>
      </c>
      <c r="H178" s="11" t="n">
        <f aca="false">(M178*(C178/1000))*D178</f>
        <v>220</v>
      </c>
      <c r="I178" s="11" t="s">
        <v>115</v>
      </c>
      <c r="J178" s="13" t="n">
        <v>45930</v>
      </c>
      <c r="K178" s="11" t="n">
        <v>1</v>
      </c>
      <c r="L178" s="11"/>
      <c r="M178" s="11" t="n">
        <f aca="false">K178-L178</f>
        <v>1</v>
      </c>
      <c r="N178" s="53" t="n">
        <f aca="false">H178*7.5</f>
        <v>1650</v>
      </c>
    </row>
    <row r="179" customFormat="false" ht="15" hidden="false" customHeight="true" outlineLevel="0" collapsed="false">
      <c r="A179" s="137" t="n">
        <v>9</v>
      </c>
      <c r="B179" s="11" t="s">
        <v>62</v>
      </c>
      <c r="C179" s="11" t="n">
        <v>220</v>
      </c>
      <c r="D179" s="11" t="n">
        <v>1500</v>
      </c>
      <c r="E179" s="11" t="s">
        <v>112</v>
      </c>
      <c r="F179" s="12" t="n">
        <f aca="false">M179*D179</f>
        <v>1500</v>
      </c>
      <c r="G179" s="11" t="s">
        <v>17</v>
      </c>
      <c r="H179" s="11" t="n">
        <f aca="false">(M179*(C179/1000))*D179</f>
        <v>330</v>
      </c>
      <c r="I179" s="11" t="s">
        <v>113</v>
      </c>
      <c r="J179" s="13" t="n">
        <v>45930</v>
      </c>
      <c r="K179" s="11" t="n">
        <v>1</v>
      </c>
      <c r="L179" s="11"/>
      <c r="M179" s="11" t="n">
        <f aca="false">K179-L179</f>
        <v>1</v>
      </c>
      <c r="N179" s="53" t="n">
        <f aca="false">H179*7.5</f>
        <v>2475</v>
      </c>
      <c r="O179" s="143"/>
    </row>
    <row r="180" customFormat="false" ht="15" hidden="false" customHeight="true" outlineLevel="0" collapsed="false">
      <c r="A180" s="137" t="n">
        <v>11</v>
      </c>
      <c r="B180" s="11" t="s">
        <v>62</v>
      </c>
      <c r="C180" s="11" t="n">
        <v>220</v>
      </c>
      <c r="D180" s="11" t="n">
        <v>1500</v>
      </c>
      <c r="E180" s="11" t="s">
        <v>112</v>
      </c>
      <c r="F180" s="12" t="n">
        <f aca="false">M180*D180</f>
        <v>1500</v>
      </c>
      <c r="G180" s="11" t="s">
        <v>17</v>
      </c>
      <c r="H180" s="11" t="n">
        <f aca="false">(M180*(C180/1000))*D180</f>
        <v>330</v>
      </c>
      <c r="I180" s="11" t="s">
        <v>113</v>
      </c>
      <c r="J180" s="13" t="n">
        <v>45930</v>
      </c>
      <c r="K180" s="11" t="n">
        <v>1</v>
      </c>
      <c r="L180" s="11"/>
      <c r="M180" s="11" t="n">
        <f aca="false">K180-L180</f>
        <v>1</v>
      </c>
      <c r="N180" s="53" t="n">
        <f aca="false">H180*7.5</f>
        <v>2475</v>
      </c>
      <c r="O180" s="143"/>
    </row>
    <row r="181" s="143" customFormat="true" ht="15" hidden="false" customHeight="true" outlineLevel="0" collapsed="false">
      <c r="A181" s="11" t="n">
        <v>9</v>
      </c>
      <c r="B181" s="11" t="s">
        <v>58</v>
      </c>
      <c r="C181" s="11" t="n">
        <v>220</v>
      </c>
      <c r="D181" s="11" t="n">
        <v>800</v>
      </c>
      <c r="E181" s="11" t="s">
        <v>116</v>
      </c>
      <c r="F181" s="12" t="n">
        <f aca="false">M181*D181</f>
        <v>800</v>
      </c>
      <c r="G181" s="11" t="s">
        <v>17</v>
      </c>
      <c r="H181" s="11" t="n">
        <f aca="false">(M181*(C181/1000))*D181</f>
        <v>176</v>
      </c>
      <c r="I181" s="11" t="s">
        <v>90</v>
      </c>
      <c r="J181" s="138" t="n">
        <v>46104</v>
      </c>
      <c r="K181" s="11" t="n">
        <v>1</v>
      </c>
      <c r="L181" s="11"/>
      <c r="M181" s="11" t="n">
        <f aca="false">K181-L181</f>
        <v>1</v>
      </c>
      <c r="N181" s="53" t="n">
        <f aca="false">H181*6.5</f>
        <v>1144</v>
      </c>
      <c r="O181" s="116"/>
    </row>
    <row r="182" customFormat="false" ht="15" hidden="false" customHeight="true" outlineLevel="0" collapsed="false">
      <c r="A182" s="11" t="n">
        <v>7</v>
      </c>
      <c r="B182" s="11" t="s">
        <v>58</v>
      </c>
      <c r="C182" s="11" t="n">
        <v>220</v>
      </c>
      <c r="D182" s="11" t="n">
        <v>1000</v>
      </c>
      <c r="E182" s="11" t="s">
        <v>116</v>
      </c>
      <c r="F182" s="12" t="n">
        <f aca="false">M182*D182</f>
        <v>1000</v>
      </c>
      <c r="G182" s="11" t="s">
        <v>17</v>
      </c>
      <c r="H182" s="11" t="n">
        <f aca="false">(M182*(C182/1000))*D182</f>
        <v>220</v>
      </c>
      <c r="I182" s="11" t="s">
        <v>90</v>
      </c>
      <c r="J182" s="13" t="n">
        <v>45959</v>
      </c>
      <c r="K182" s="11" t="n">
        <v>1</v>
      </c>
      <c r="L182" s="11"/>
      <c r="M182" s="11" t="n">
        <f aca="false">K182-L182</f>
        <v>1</v>
      </c>
      <c r="N182" s="53" t="n">
        <f aca="false">H182*6.5</f>
        <v>1430</v>
      </c>
    </row>
    <row r="183" customFormat="false" ht="15" hidden="false" customHeight="true" outlineLevel="0" collapsed="false">
      <c r="A183" s="11" t="n">
        <v>8</v>
      </c>
      <c r="B183" s="11" t="s">
        <v>58</v>
      </c>
      <c r="C183" s="11" t="n">
        <v>220</v>
      </c>
      <c r="D183" s="11" t="n">
        <v>1500</v>
      </c>
      <c r="E183" s="11" t="s">
        <v>116</v>
      </c>
      <c r="F183" s="12" t="n">
        <f aca="false">M183*D183</f>
        <v>3000</v>
      </c>
      <c r="G183" s="11" t="s">
        <v>17</v>
      </c>
      <c r="H183" s="11" t="n">
        <f aca="false">(M183*(C183/1000))*D183</f>
        <v>660</v>
      </c>
      <c r="I183" s="11" t="s">
        <v>90</v>
      </c>
      <c r="J183" s="13" t="n">
        <v>46177</v>
      </c>
      <c r="K183" s="11" t="n">
        <v>2</v>
      </c>
      <c r="L183" s="11"/>
      <c r="M183" s="11" t="n">
        <f aca="false">K183-L183</f>
        <v>2</v>
      </c>
      <c r="N183" s="53" t="n">
        <f aca="false">H183*6.5</f>
        <v>4290</v>
      </c>
      <c r="O183" s="143"/>
    </row>
    <row r="184" customFormat="false" ht="15" hidden="false" customHeight="true" outlineLevel="0" collapsed="false">
      <c r="A184" s="11" t="n">
        <v>3</v>
      </c>
      <c r="B184" s="11" t="s">
        <v>58</v>
      </c>
      <c r="C184" s="11" t="n">
        <v>220</v>
      </c>
      <c r="D184" s="11" t="n">
        <v>1500</v>
      </c>
      <c r="E184" s="11" t="s">
        <v>131</v>
      </c>
      <c r="F184" s="12" t="n">
        <f aca="false">M184*D184</f>
        <v>1500</v>
      </c>
      <c r="G184" s="141" t="s">
        <v>56</v>
      </c>
      <c r="H184" s="11" t="n">
        <f aca="false">(M184*(C184/1000))*D184</f>
        <v>330</v>
      </c>
      <c r="I184" s="11" t="s">
        <v>132</v>
      </c>
      <c r="J184" s="13" t="n">
        <v>45635</v>
      </c>
      <c r="K184" s="11" t="n">
        <v>1</v>
      </c>
      <c r="L184" s="11"/>
      <c r="M184" s="11" t="n">
        <f aca="false">K184-L184</f>
        <v>1</v>
      </c>
      <c r="N184" s="53" t="n">
        <f aca="false">H184*8.5</f>
        <v>2805</v>
      </c>
      <c r="O184" s="143"/>
    </row>
    <row r="185" customFormat="false" ht="15" hidden="false" customHeight="true" outlineLevel="0" collapsed="false">
      <c r="A185" s="11" t="n">
        <v>7</v>
      </c>
      <c r="B185" s="11" t="s">
        <v>62</v>
      </c>
      <c r="C185" s="11" t="n">
        <v>235</v>
      </c>
      <c r="D185" s="11" t="n">
        <v>1000</v>
      </c>
      <c r="E185" s="11" t="s">
        <v>125</v>
      </c>
      <c r="F185" s="12" t="n">
        <f aca="false">M185*D185</f>
        <v>1000</v>
      </c>
      <c r="G185" s="11" t="s">
        <v>17</v>
      </c>
      <c r="H185" s="11" t="n">
        <f aca="false">(M185*(C185/1000))*D185</f>
        <v>235</v>
      </c>
      <c r="I185" s="11" t="s">
        <v>126</v>
      </c>
      <c r="J185" s="13" t="n">
        <v>46163</v>
      </c>
      <c r="K185" s="11" t="n">
        <v>1</v>
      </c>
      <c r="L185" s="11"/>
      <c r="M185" s="11" t="n">
        <f aca="false">K185-L185</f>
        <v>1</v>
      </c>
      <c r="N185" s="53" t="n">
        <f aca="false">H185*7.5</f>
        <v>1762.5</v>
      </c>
    </row>
    <row r="186" customFormat="false" ht="15" hidden="false" customHeight="true" outlineLevel="0" collapsed="false">
      <c r="A186" s="11" t="n">
        <v>7</v>
      </c>
      <c r="B186" s="11" t="s">
        <v>62</v>
      </c>
      <c r="C186" s="11" t="n">
        <v>235</v>
      </c>
      <c r="D186" s="11" t="n">
        <v>1000</v>
      </c>
      <c r="E186" s="11" t="s">
        <v>125</v>
      </c>
      <c r="F186" s="12" t="n">
        <f aca="false">M186*D186</f>
        <v>1000</v>
      </c>
      <c r="G186" s="11" t="s">
        <v>17</v>
      </c>
      <c r="H186" s="11" t="n">
        <f aca="false">(M186*(C186/1000))*D186</f>
        <v>235</v>
      </c>
      <c r="I186" s="11" t="s">
        <v>126</v>
      </c>
      <c r="J186" s="13" t="n">
        <v>46194</v>
      </c>
      <c r="K186" s="11" t="n">
        <v>2</v>
      </c>
      <c r="L186" s="11" t="n">
        <v>1</v>
      </c>
      <c r="M186" s="11" t="n">
        <f aca="false">K186-L186</f>
        <v>1</v>
      </c>
      <c r="N186" s="53" t="n">
        <f aca="false">H186*7.5</f>
        <v>1762.5</v>
      </c>
    </row>
    <row r="187" customFormat="false" ht="15" hidden="false" customHeight="true" outlineLevel="0" collapsed="false">
      <c r="A187" s="11" t="n">
        <v>2</v>
      </c>
      <c r="B187" s="11" t="s">
        <v>58</v>
      </c>
      <c r="C187" s="11" t="n">
        <v>235</v>
      </c>
      <c r="D187" s="11" t="n">
        <v>1000</v>
      </c>
      <c r="E187" s="11" t="s">
        <v>116</v>
      </c>
      <c r="F187" s="12" t="n">
        <f aca="false">M187*D187</f>
        <v>4000</v>
      </c>
      <c r="G187" s="11" t="s">
        <v>17</v>
      </c>
      <c r="H187" s="11" t="n">
        <f aca="false">(M187*(C187/1000))*D187</f>
        <v>940</v>
      </c>
      <c r="I187" s="11" t="s">
        <v>90</v>
      </c>
      <c r="J187" s="13" t="n">
        <v>45752</v>
      </c>
      <c r="K187" s="11" t="n">
        <v>4</v>
      </c>
      <c r="L187" s="11"/>
      <c r="M187" s="11" t="n">
        <f aca="false">K187-L187</f>
        <v>4</v>
      </c>
      <c r="N187" s="53" t="n">
        <f aca="false">H187*6.5</f>
        <v>6110</v>
      </c>
    </row>
    <row r="188" customFormat="false" ht="15" hidden="false" customHeight="true" outlineLevel="0" collapsed="false">
      <c r="A188" s="11" t="n">
        <v>2</v>
      </c>
      <c r="B188" s="11" t="s">
        <v>58</v>
      </c>
      <c r="C188" s="11" t="n">
        <v>235</v>
      </c>
      <c r="D188" s="11" t="n">
        <v>500</v>
      </c>
      <c r="E188" s="11" t="s">
        <v>116</v>
      </c>
      <c r="F188" s="12" t="n">
        <f aca="false">M188*D188</f>
        <v>500</v>
      </c>
      <c r="G188" s="11" t="s">
        <v>17</v>
      </c>
      <c r="H188" s="11" t="n">
        <f aca="false">(M188*(C188/1000))*D188</f>
        <v>117.5</v>
      </c>
      <c r="I188" s="11" t="s">
        <v>90</v>
      </c>
      <c r="J188" s="13"/>
      <c r="K188" s="11" t="n">
        <v>1</v>
      </c>
      <c r="L188" s="11"/>
      <c r="M188" s="11" t="n">
        <f aca="false">K188-L188</f>
        <v>1</v>
      </c>
      <c r="N188" s="53" t="n">
        <f aca="false">H188*6.5</f>
        <v>763.75</v>
      </c>
    </row>
    <row r="189" customFormat="false" ht="15" hidden="false" customHeight="true" outlineLevel="0" collapsed="false">
      <c r="A189" s="11" t="n">
        <v>12</v>
      </c>
      <c r="B189" s="11" t="s">
        <v>58</v>
      </c>
      <c r="C189" s="11" t="n">
        <v>240</v>
      </c>
      <c r="D189" s="11" t="n">
        <v>1100</v>
      </c>
      <c r="E189" s="11" t="s">
        <v>136</v>
      </c>
      <c r="F189" s="12" t="n">
        <f aca="false">M189*D189</f>
        <v>4400</v>
      </c>
      <c r="G189" s="11" t="s">
        <v>17</v>
      </c>
      <c r="H189" s="11" t="n">
        <f aca="false">(M189*(C189/1000))*D189</f>
        <v>1056</v>
      </c>
      <c r="I189" s="11" t="s">
        <v>137</v>
      </c>
      <c r="J189" s="13" t="n">
        <v>45812</v>
      </c>
      <c r="K189" s="11" t="n">
        <v>4</v>
      </c>
      <c r="L189" s="11"/>
      <c r="M189" s="11" t="n">
        <f aca="false">K189-L189</f>
        <v>4</v>
      </c>
      <c r="N189" s="53" t="n">
        <f aca="false">H189*7.5</f>
        <v>7920</v>
      </c>
      <c r="O189" s="143"/>
    </row>
    <row r="190" customFormat="false" ht="15" hidden="false" customHeight="true" outlineLevel="0" collapsed="false">
      <c r="A190" s="11" t="n">
        <v>2</v>
      </c>
      <c r="B190" s="11" t="s">
        <v>58</v>
      </c>
      <c r="C190" s="11" t="n">
        <v>250</v>
      </c>
      <c r="D190" s="11" t="n">
        <v>500</v>
      </c>
      <c r="E190" s="11" t="s">
        <v>116</v>
      </c>
      <c r="F190" s="12" t="n">
        <f aca="false">M190*D190</f>
        <v>0</v>
      </c>
      <c r="G190" s="11" t="s">
        <v>17</v>
      </c>
      <c r="H190" s="11" t="n">
        <f aca="false">(M190*(C190/1000))*D190</f>
        <v>0</v>
      </c>
      <c r="I190" s="11" t="s">
        <v>90</v>
      </c>
      <c r="J190" s="13"/>
      <c r="K190" s="11" t="n">
        <v>1</v>
      </c>
      <c r="L190" s="11" t="n">
        <v>1</v>
      </c>
      <c r="M190" s="11" t="n">
        <f aca="false">K190-L190</f>
        <v>0</v>
      </c>
      <c r="N190" s="53" t="n">
        <f aca="false">H190*6.5</f>
        <v>0</v>
      </c>
    </row>
    <row r="191" customFormat="false" ht="15" hidden="false" customHeight="true" outlineLevel="0" collapsed="false">
      <c r="A191" s="11" t="n">
        <v>22</v>
      </c>
      <c r="B191" s="11" t="s">
        <v>62</v>
      </c>
      <c r="C191" s="11" t="n">
        <v>250</v>
      </c>
      <c r="D191" s="11" t="n">
        <v>1000</v>
      </c>
      <c r="E191" s="11" t="s">
        <v>114</v>
      </c>
      <c r="F191" s="12" t="n">
        <f aca="false">M191*D191</f>
        <v>1000</v>
      </c>
      <c r="G191" s="11" t="s">
        <v>17</v>
      </c>
      <c r="H191" s="11" t="n">
        <f aca="false">(M191*(C191/1000))*D191</f>
        <v>250</v>
      </c>
      <c r="I191" s="11" t="s">
        <v>115</v>
      </c>
      <c r="J191" s="13" t="n">
        <v>45998</v>
      </c>
      <c r="K191" s="11" t="n">
        <v>1</v>
      </c>
      <c r="L191" s="11"/>
      <c r="M191" s="11" t="n">
        <f aca="false">K191-L191</f>
        <v>1</v>
      </c>
      <c r="N191" s="53" t="n">
        <f aca="false">H191*7.5</f>
        <v>1875</v>
      </c>
    </row>
    <row r="192" customFormat="false" ht="15" hidden="false" customHeight="true" outlineLevel="0" collapsed="false">
      <c r="A192" s="137" t="n">
        <v>11</v>
      </c>
      <c r="B192" s="11" t="s">
        <v>62</v>
      </c>
      <c r="C192" s="11" t="n">
        <v>250</v>
      </c>
      <c r="D192" s="11" t="n">
        <v>1500</v>
      </c>
      <c r="E192" s="11" t="s">
        <v>112</v>
      </c>
      <c r="F192" s="12" t="n">
        <f aca="false">M192*D192</f>
        <v>1500</v>
      </c>
      <c r="G192" s="11" t="s">
        <v>17</v>
      </c>
      <c r="H192" s="11" t="n">
        <f aca="false">(M192*(C192/1000))*D192</f>
        <v>375</v>
      </c>
      <c r="I192" s="11" t="s">
        <v>113</v>
      </c>
      <c r="J192" s="13" t="n">
        <v>45930</v>
      </c>
      <c r="K192" s="11" t="n">
        <v>1</v>
      </c>
      <c r="L192" s="11"/>
      <c r="M192" s="11" t="n">
        <f aca="false">K192-L192</f>
        <v>1</v>
      </c>
      <c r="N192" s="53" t="n">
        <f aca="false">H192*7.5</f>
        <v>2812.5</v>
      </c>
    </row>
    <row r="193" customFormat="false" ht="15" hidden="false" customHeight="true" outlineLevel="0" collapsed="false">
      <c r="A193" s="11" t="n">
        <v>2</v>
      </c>
      <c r="B193" s="11" t="s">
        <v>58</v>
      </c>
      <c r="C193" s="11" t="n">
        <v>250</v>
      </c>
      <c r="D193" s="11" t="n">
        <v>600</v>
      </c>
      <c r="E193" s="11" t="s">
        <v>116</v>
      </c>
      <c r="F193" s="12" t="n">
        <f aca="false">M193*D193</f>
        <v>0</v>
      </c>
      <c r="G193" s="11" t="s">
        <v>17</v>
      </c>
      <c r="H193" s="11" t="n">
        <f aca="false">(M193*(C193/1000))*D193</f>
        <v>0</v>
      </c>
      <c r="I193" s="11" t="s">
        <v>90</v>
      </c>
      <c r="J193" s="13" t="n">
        <v>45584</v>
      </c>
      <c r="K193" s="11" t="n">
        <v>2</v>
      </c>
      <c r="L193" s="11" t="n">
        <v>2</v>
      </c>
      <c r="M193" s="11" t="n">
        <f aca="false">K193-L193</f>
        <v>0</v>
      </c>
      <c r="N193" s="53" t="n">
        <f aca="false">H193*6.5</f>
        <v>0</v>
      </c>
    </row>
    <row r="194" customFormat="false" ht="15" hidden="false" customHeight="true" outlineLevel="0" collapsed="false">
      <c r="A194" s="11" t="n">
        <v>12</v>
      </c>
      <c r="B194" s="11" t="s">
        <v>67</v>
      </c>
      <c r="C194" s="11" t="n">
        <v>250</v>
      </c>
      <c r="D194" s="11" t="n">
        <v>1000</v>
      </c>
      <c r="E194" s="11" t="s">
        <v>134</v>
      </c>
      <c r="F194" s="12" t="n">
        <f aca="false">M194*D194</f>
        <v>0</v>
      </c>
      <c r="G194" s="11"/>
      <c r="H194" s="11" t="n">
        <f aca="false">(M194*(C194/1000))*D194</f>
        <v>0</v>
      </c>
      <c r="I194" s="11" t="s">
        <v>135</v>
      </c>
      <c r="J194" s="13" t="n">
        <v>46121</v>
      </c>
      <c r="K194" s="11" t="n">
        <v>2</v>
      </c>
      <c r="L194" s="11" t="n">
        <v>2</v>
      </c>
      <c r="M194" s="11" t="n">
        <f aca="false">K194-L194</f>
        <v>0</v>
      </c>
      <c r="N194" s="53" t="n">
        <f aca="false">H194*7.5</f>
        <v>0</v>
      </c>
    </row>
    <row r="195" customFormat="false" ht="15" hidden="false" customHeight="true" outlineLevel="0" collapsed="false">
      <c r="A195" s="11" t="n">
        <v>12</v>
      </c>
      <c r="B195" s="11" t="s">
        <v>67</v>
      </c>
      <c r="C195" s="11" t="n">
        <v>275</v>
      </c>
      <c r="D195" s="11" t="n">
        <v>1000</v>
      </c>
      <c r="E195" s="11" t="s">
        <v>134</v>
      </c>
      <c r="F195" s="12" t="n">
        <f aca="false">M195*D195</f>
        <v>1000</v>
      </c>
      <c r="G195" s="11"/>
      <c r="H195" s="11" t="n">
        <f aca="false">(M195*(C195/1000))*D195</f>
        <v>275</v>
      </c>
      <c r="I195" s="11" t="s">
        <v>135</v>
      </c>
      <c r="J195" s="13" t="n">
        <v>46121</v>
      </c>
      <c r="K195" s="11" t="n">
        <v>1</v>
      </c>
      <c r="L195" s="11"/>
      <c r="M195" s="11" t="n">
        <f aca="false">K195-L195</f>
        <v>1</v>
      </c>
      <c r="N195" s="53" t="n">
        <f aca="false">H195*7.5</f>
        <v>2062.5</v>
      </c>
    </row>
    <row r="196" customFormat="false" ht="15" hidden="false" customHeight="true" outlineLevel="0" collapsed="false">
      <c r="A196" s="11" t="n">
        <v>23</v>
      </c>
      <c r="B196" s="11" t="s">
        <v>62</v>
      </c>
      <c r="C196" s="11" t="n">
        <v>333</v>
      </c>
      <c r="D196" s="11" t="n">
        <v>1000</v>
      </c>
      <c r="E196" s="11" t="s">
        <v>114</v>
      </c>
      <c r="F196" s="12" t="n">
        <f aca="false">M196*D196</f>
        <v>0</v>
      </c>
      <c r="G196" s="11" t="s">
        <v>17</v>
      </c>
      <c r="H196" s="11" t="n">
        <f aca="false">(M196*(C196/1000))*D196</f>
        <v>0</v>
      </c>
      <c r="I196" s="11" t="s">
        <v>115</v>
      </c>
      <c r="J196" s="13" t="n">
        <v>45998</v>
      </c>
      <c r="K196" s="11" t="n">
        <v>2</v>
      </c>
      <c r="L196" s="11" t="n">
        <v>2</v>
      </c>
      <c r="M196" s="11" t="n">
        <f aca="false">K196-L196</f>
        <v>0</v>
      </c>
      <c r="N196" s="53" t="n">
        <f aca="false">H196*7.5</f>
        <v>0</v>
      </c>
    </row>
    <row r="197" customFormat="false" ht="15" hidden="false" customHeight="true" outlineLevel="0" collapsed="false">
      <c r="A197" s="11" t="n">
        <v>20</v>
      </c>
      <c r="B197" s="11" t="s">
        <v>67</v>
      </c>
      <c r="C197" s="11" t="n">
        <v>333</v>
      </c>
      <c r="D197" s="11" t="n">
        <v>500</v>
      </c>
      <c r="E197" s="11" t="s">
        <v>119</v>
      </c>
      <c r="F197" s="12" t="n">
        <f aca="false">M197*D197</f>
        <v>500</v>
      </c>
      <c r="G197" s="11" t="s">
        <v>17</v>
      </c>
      <c r="H197" s="11" t="n">
        <f aca="false">(M197*(C197/1000))*D197</f>
        <v>166.5</v>
      </c>
      <c r="I197" s="11" t="s">
        <v>120</v>
      </c>
      <c r="J197" s="13" t="n">
        <v>46153</v>
      </c>
      <c r="K197" s="11" t="n">
        <v>1</v>
      </c>
      <c r="L197" s="11"/>
      <c r="M197" s="11" t="n">
        <f aca="false">K197-L197</f>
        <v>1</v>
      </c>
      <c r="N197" s="53" t="n">
        <f aca="false">H197*5.5</f>
        <v>915.75</v>
      </c>
    </row>
    <row r="198" customFormat="false" ht="15" hidden="false" customHeight="true" outlineLevel="0" collapsed="false">
      <c r="A198" s="11" t="n">
        <v>11</v>
      </c>
      <c r="B198" s="11" t="s">
        <v>62</v>
      </c>
      <c r="C198" s="11" t="n">
        <v>333</v>
      </c>
      <c r="D198" s="11" t="n">
        <v>1000</v>
      </c>
      <c r="E198" s="11" t="s">
        <v>123</v>
      </c>
      <c r="F198" s="12" t="n">
        <f aca="false">M198*D198</f>
        <v>1000</v>
      </c>
      <c r="G198" s="11"/>
      <c r="H198" s="11" t="n">
        <f aca="false">(M198*(C198/1000))*D198</f>
        <v>333</v>
      </c>
      <c r="I198" s="11" t="s">
        <v>140</v>
      </c>
      <c r="J198" s="13" t="n">
        <v>46121</v>
      </c>
      <c r="K198" s="11" t="n">
        <v>1</v>
      </c>
      <c r="L198" s="11"/>
      <c r="M198" s="11" t="n">
        <f aca="false">K198-L198</f>
        <v>1</v>
      </c>
      <c r="N198" s="53" t="n">
        <f aca="false">H198*7.5</f>
        <v>2497.5</v>
      </c>
    </row>
    <row r="199" customFormat="false" ht="15" hidden="false" customHeight="true" outlineLevel="0" collapsed="false">
      <c r="A199" s="11" t="n">
        <v>12</v>
      </c>
      <c r="B199" s="11" t="s">
        <v>67</v>
      </c>
      <c r="C199" s="11" t="n">
        <v>333</v>
      </c>
      <c r="D199" s="11" t="n">
        <v>1000</v>
      </c>
      <c r="E199" s="11" t="s">
        <v>134</v>
      </c>
      <c r="F199" s="12" t="n">
        <f aca="false">M199*D199</f>
        <v>2000</v>
      </c>
      <c r="G199" s="11"/>
      <c r="H199" s="11" t="n">
        <f aca="false">(M199*(C199/1000))*D199</f>
        <v>666</v>
      </c>
      <c r="I199" s="11" t="s">
        <v>135</v>
      </c>
      <c r="J199" s="13" t="n">
        <v>46121</v>
      </c>
      <c r="K199" s="11" t="n">
        <v>2</v>
      </c>
      <c r="L199" s="11"/>
      <c r="M199" s="11" t="n">
        <f aca="false">K199-L199</f>
        <v>2</v>
      </c>
      <c r="N199" s="53" t="n">
        <f aca="false">H199*7.5</f>
        <v>4995</v>
      </c>
    </row>
    <row r="200" customFormat="false" ht="15" hidden="false" customHeight="true" outlineLevel="0" collapsed="false">
      <c r="A200" s="11" t="n">
        <v>23</v>
      </c>
      <c r="B200" s="11" t="s">
        <v>67</v>
      </c>
      <c r="C200" s="11" t="n">
        <v>334</v>
      </c>
      <c r="D200" s="11" t="n">
        <v>1000</v>
      </c>
      <c r="E200" s="11" t="s">
        <v>119</v>
      </c>
      <c r="F200" s="12" t="n">
        <f aca="false">M200*D200</f>
        <v>2000</v>
      </c>
      <c r="G200" s="11" t="s">
        <v>17</v>
      </c>
      <c r="H200" s="11" t="n">
        <f aca="false">(M200*(C200/1000))*D200</f>
        <v>668</v>
      </c>
      <c r="I200" s="11" t="s">
        <v>133</v>
      </c>
      <c r="J200" s="13" t="n">
        <v>46153</v>
      </c>
      <c r="K200" s="11" t="n">
        <v>2</v>
      </c>
      <c r="L200" s="11"/>
      <c r="M200" s="11" t="n">
        <f aca="false">K200-L200</f>
        <v>2</v>
      </c>
      <c r="N200" s="53" t="n">
        <f aca="false">H200*5.5</f>
        <v>3674</v>
      </c>
    </row>
    <row r="201" customFormat="false" ht="15" hidden="false" customHeight="true" outlineLevel="0" collapsed="false">
      <c r="A201" s="11" t="n">
        <v>11</v>
      </c>
      <c r="B201" s="11" t="s">
        <v>62</v>
      </c>
      <c r="C201" s="11" t="n">
        <v>334</v>
      </c>
      <c r="D201" s="11" t="n">
        <v>1000</v>
      </c>
      <c r="E201" s="11" t="s">
        <v>123</v>
      </c>
      <c r="F201" s="12" t="n">
        <f aca="false">M201*D201</f>
        <v>1000</v>
      </c>
      <c r="G201" s="11"/>
      <c r="H201" s="11" t="n">
        <f aca="false">(M201*(C201/1000))*D201</f>
        <v>334</v>
      </c>
      <c r="I201" s="11" t="s">
        <v>140</v>
      </c>
      <c r="J201" s="13" t="n">
        <v>46121</v>
      </c>
      <c r="K201" s="11" t="n">
        <v>1</v>
      </c>
      <c r="L201" s="11"/>
      <c r="M201" s="11" t="n">
        <f aca="false">K201-L201</f>
        <v>1</v>
      </c>
      <c r="N201" s="53" t="n">
        <f aca="false">H201*7.5</f>
        <v>2505</v>
      </c>
    </row>
    <row r="202" customFormat="false" ht="15" hidden="false" customHeight="true" outlineLevel="0" collapsed="false">
      <c r="A202" s="11" t="n">
        <v>12</v>
      </c>
      <c r="B202" s="11" t="s">
        <v>67</v>
      </c>
      <c r="C202" s="11" t="n">
        <v>334</v>
      </c>
      <c r="D202" s="11" t="n">
        <v>1000</v>
      </c>
      <c r="E202" s="11" t="s">
        <v>134</v>
      </c>
      <c r="F202" s="12" t="n">
        <f aca="false">M202*D202</f>
        <v>1000</v>
      </c>
      <c r="G202" s="11"/>
      <c r="H202" s="11" t="n">
        <f aca="false">(M202*(C202/1000))*D202</f>
        <v>334</v>
      </c>
      <c r="I202" s="11" t="s">
        <v>135</v>
      </c>
      <c r="J202" s="13" t="n">
        <v>46121</v>
      </c>
      <c r="K202" s="11" t="n">
        <v>1</v>
      </c>
      <c r="L202" s="11"/>
      <c r="M202" s="11" t="n">
        <f aca="false">K202-L202</f>
        <v>1</v>
      </c>
      <c r="N202" s="53" t="n">
        <f aca="false">H202*7.5</f>
        <v>2505</v>
      </c>
    </row>
    <row r="203" customFormat="false" ht="15" hidden="false" customHeight="true" outlineLevel="0" collapsed="false">
      <c r="G203" s="1" t="n">
        <v>1</v>
      </c>
    </row>
    <row r="204" customFormat="false" ht="15" hidden="false" customHeight="true" outlineLevel="0" collapsed="false">
      <c r="A204" s="11" t="s">
        <v>141</v>
      </c>
      <c r="B204" s="11" t="s">
        <v>62</v>
      </c>
      <c r="C204" s="11" t="n">
        <v>55</v>
      </c>
      <c r="D204" s="11" t="n">
        <v>1500</v>
      </c>
      <c r="E204" s="11" t="s">
        <v>129</v>
      </c>
      <c r="F204" s="12" t="n">
        <f aca="false">M204*D204</f>
        <v>1500</v>
      </c>
      <c r="G204" s="11"/>
      <c r="H204" s="11" t="n">
        <f aca="false">(M204*(C204/1000))*D204</f>
        <v>82.5</v>
      </c>
      <c r="I204" s="11" t="s">
        <v>142</v>
      </c>
      <c r="J204" s="13" t="n">
        <v>46218</v>
      </c>
      <c r="K204" s="11" t="n">
        <v>1</v>
      </c>
      <c r="L204" s="11"/>
      <c r="M204" s="11" t="n">
        <f aca="false">K204-L204</f>
        <v>1</v>
      </c>
      <c r="N204" s="53" t="n">
        <f aca="false">H204*7.5</f>
        <v>618.75</v>
      </c>
    </row>
    <row r="205" customFormat="false" ht="15" hidden="false" customHeight="true" outlineLevel="0" collapsed="false">
      <c r="A205" s="11" t="s">
        <v>141</v>
      </c>
      <c r="B205" s="11" t="s">
        <v>62</v>
      </c>
      <c r="C205" s="11" t="n">
        <v>85</v>
      </c>
      <c r="D205" s="11" t="n">
        <v>1500</v>
      </c>
      <c r="E205" s="11" t="s">
        <v>129</v>
      </c>
      <c r="F205" s="12" t="n">
        <f aca="false">M205*D205</f>
        <v>3000</v>
      </c>
      <c r="G205" s="11"/>
      <c r="H205" s="11" t="n">
        <f aca="false">(M205*(C205/1000))*D205</f>
        <v>255</v>
      </c>
      <c r="I205" s="11" t="s">
        <v>142</v>
      </c>
      <c r="J205" s="13" t="n">
        <v>46218</v>
      </c>
      <c r="K205" s="11" t="n">
        <v>2</v>
      </c>
      <c r="L205" s="11"/>
      <c r="M205" s="11" t="n">
        <f aca="false">K205-L205</f>
        <v>2</v>
      </c>
      <c r="N205" s="53" t="n">
        <f aca="false">H205*7.5</f>
        <v>1912.5</v>
      </c>
    </row>
    <row r="206" customFormat="false" ht="15" hidden="false" customHeight="true" outlineLevel="0" collapsed="false">
      <c r="A206" s="11" t="s">
        <v>141</v>
      </c>
      <c r="B206" s="11" t="s">
        <v>62</v>
      </c>
      <c r="C206" s="11" t="n">
        <v>110</v>
      </c>
      <c r="D206" s="11" t="n">
        <v>1500</v>
      </c>
      <c r="E206" s="11" t="s">
        <v>129</v>
      </c>
      <c r="F206" s="12" t="n">
        <f aca="false">M206*D206</f>
        <v>7500</v>
      </c>
      <c r="G206" s="11"/>
      <c r="H206" s="11" t="n">
        <f aca="false">(M206*(C206/1000))*D206</f>
        <v>825</v>
      </c>
      <c r="I206" s="11" t="s">
        <v>142</v>
      </c>
      <c r="J206" s="13" t="n">
        <v>46218</v>
      </c>
      <c r="K206" s="11" t="n">
        <v>5</v>
      </c>
      <c r="L206" s="11"/>
      <c r="M206" s="11" t="n">
        <f aca="false">K206-L206</f>
        <v>5</v>
      </c>
      <c r="N206" s="53" t="n">
        <f aca="false">H206*7.5</f>
        <v>6187.5</v>
      </c>
    </row>
    <row r="207" customFormat="false" ht="15" hidden="false" customHeight="true" outlineLevel="0" collapsed="false">
      <c r="A207" s="11" t="s">
        <v>141</v>
      </c>
      <c r="B207" s="11" t="s">
        <v>62</v>
      </c>
      <c r="C207" s="11" t="n">
        <v>120</v>
      </c>
      <c r="D207" s="11" t="n">
        <v>1500</v>
      </c>
      <c r="E207" s="11" t="s">
        <v>129</v>
      </c>
      <c r="F207" s="12" t="n">
        <f aca="false">M207*D207</f>
        <v>1500</v>
      </c>
      <c r="G207" s="11"/>
      <c r="H207" s="11" t="n">
        <f aca="false">(M207*(C207/1000))*D207</f>
        <v>180</v>
      </c>
      <c r="I207" s="11" t="s">
        <v>142</v>
      </c>
      <c r="J207" s="13" t="n">
        <v>46218</v>
      </c>
      <c r="K207" s="11" t="n">
        <v>1</v>
      </c>
      <c r="L207" s="11"/>
      <c r="M207" s="11" t="n">
        <f aca="false">K207-L207</f>
        <v>1</v>
      </c>
      <c r="N207" s="53" t="n">
        <f aca="false">H207*7.5</f>
        <v>1350</v>
      </c>
    </row>
    <row r="208" customFormat="false" ht="15" hidden="false" customHeight="true" outlineLevel="0" collapsed="false">
      <c r="A208" s="11" t="s">
        <v>141</v>
      </c>
      <c r="B208" s="11" t="s">
        <v>62</v>
      </c>
      <c r="C208" s="11" t="n">
        <v>125</v>
      </c>
      <c r="D208" s="11" t="n">
        <v>1500</v>
      </c>
      <c r="E208" s="11" t="s">
        <v>129</v>
      </c>
      <c r="F208" s="12" t="n">
        <f aca="false">M208*D208</f>
        <v>1500</v>
      </c>
      <c r="G208" s="11"/>
      <c r="H208" s="11" t="n">
        <f aca="false">(M208*(C208/1000))*D208</f>
        <v>187.5</v>
      </c>
      <c r="I208" s="11" t="s">
        <v>142</v>
      </c>
      <c r="J208" s="13" t="n">
        <v>46218</v>
      </c>
      <c r="K208" s="11" t="n">
        <v>1</v>
      </c>
      <c r="L208" s="11"/>
      <c r="M208" s="11" t="n">
        <f aca="false">K208-L208</f>
        <v>1</v>
      </c>
      <c r="N208" s="53" t="n">
        <f aca="false">H208*7.5</f>
        <v>1406.25</v>
      </c>
    </row>
    <row r="209" customFormat="false" ht="15" hidden="false" customHeight="true" outlineLevel="0" collapsed="false">
      <c r="A209" s="11" t="s">
        <v>141</v>
      </c>
      <c r="B209" s="11" t="s">
        <v>62</v>
      </c>
      <c r="C209" s="11" t="n">
        <v>150</v>
      </c>
      <c r="D209" s="11" t="n">
        <v>1500</v>
      </c>
      <c r="E209" s="11" t="s">
        <v>129</v>
      </c>
      <c r="F209" s="12" t="n">
        <f aca="false">M209*D209</f>
        <v>1500</v>
      </c>
      <c r="G209" s="11"/>
      <c r="H209" s="11" t="n">
        <f aca="false">(M209*(C209/1000))*D209</f>
        <v>225</v>
      </c>
      <c r="I209" s="11" t="s">
        <v>142</v>
      </c>
      <c r="J209" s="13" t="n">
        <v>46218</v>
      </c>
      <c r="K209" s="11" t="n">
        <v>1</v>
      </c>
      <c r="L209" s="11"/>
      <c r="M209" s="11" t="n">
        <f aca="false">K209-L209</f>
        <v>1</v>
      </c>
      <c r="N209" s="53" t="n">
        <f aca="false">H209*7.5</f>
        <v>1687.5</v>
      </c>
    </row>
    <row r="210" customFormat="false" ht="15" hidden="false" customHeight="true" outlineLevel="0" collapsed="false">
      <c r="A210" s="11" t="s">
        <v>143</v>
      </c>
      <c r="B210" s="11" t="s">
        <v>62</v>
      </c>
      <c r="C210" s="11" t="n">
        <v>330</v>
      </c>
      <c r="D210" s="11" t="n">
        <v>1500</v>
      </c>
      <c r="E210" s="11" t="s">
        <v>129</v>
      </c>
      <c r="F210" s="12" t="n">
        <f aca="false">M210*D210</f>
        <v>1500</v>
      </c>
      <c r="G210" s="11"/>
      <c r="H210" s="11" t="n">
        <f aca="false">(M210*(C210/1000))*D210</f>
        <v>495</v>
      </c>
      <c r="I210" s="11" t="s">
        <v>142</v>
      </c>
      <c r="J210" s="13" t="n">
        <v>46218</v>
      </c>
      <c r="K210" s="11" t="n">
        <v>1</v>
      </c>
      <c r="L210" s="11"/>
      <c r="M210" s="11" t="n">
        <f aca="false">K210-L210</f>
        <v>1</v>
      </c>
      <c r="N210" s="53" t="n">
        <f aca="false">H210*7.5</f>
        <v>3712.5</v>
      </c>
    </row>
  </sheetData>
  <conditionalFormatting sqref="A2:N18 A20:N25 A27:N71 A73:N84 A86:N131 A134:N193 A195:N202 A204:N210">
    <cfRule type="expression" priority="2" aboveAverage="0" equalAverage="0" bottom="0" percent="0" rank="0" text="" dxfId="12">
      <formula>ISEVEN(ROW($A1))</formula>
    </cfRule>
  </conditionalFormatting>
  <conditionalFormatting sqref="O12">
    <cfRule type="expression" priority="3" aboveAverage="0" equalAverage="0" bottom="0" percent="0" rank="0" text="" dxfId="10">
      <formula>ISEVEN(ROW())</formula>
    </cfRule>
  </conditionalFormatting>
  <conditionalFormatting sqref="A45:N45 A57:N57 A70:N71 A75:N75 A85:N85 A141:N141 A152:N152 A162:N162 A194:N194">
    <cfRule type="expression" priority="4" aboveAverage="0" equalAverage="0" bottom="0" percent="0" rank="0" text="" dxfId="13">
      <formula>ISEVEN(ROW(#ref!))</formula>
    </cfRule>
  </conditionalFormatting>
  <conditionalFormatting sqref="A72:N72 A132:N132">
    <cfRule type="expression" priority="5" aboveAverage="0" equalAverage="0" bottom="0" percent="0" rank="0" text="" dxfId="14">
      <formula>ISEVEN(ROW($A70))</formula>
    </cfRule>
  </conditionalFormatting>
  <conditionalFormatting sqref="A19:N19 A26:N26 A133:N133">
    <cfRule type="expression" priority="6" aboveAverage="0" equalAverage="0" bottom="0" percent="0" rank="0" text="" dxfId="15">
      <formula>ISEVEN(ROW($A16))</formula>
    </cfRule>
  </conditionalFormatting>
  <printOptions headings="false" gridLines="false" gridLinesSet="true" horizontalCentered="false" verticalCentered="false"/>
  <pageMargins left="0.196527777777778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.71"/>
    <col collapsed="false" customWidth="true" hidden="false" outlineLevel="0" max="3" min="3" style="1" width="14"/>
    <col collapsed="false" customWidth="true" hidden="false" outlineLevel="0" max="4" min="4" style="1" width="2.57"/>
    <col collapsed="false" customWidth="true" hidden="false" outlineLevel="0" max="5" min="5" style="1" width="4.57"/>
    <col collapsed="false" customWidth="true" hidden="false" outlineLevel="0" max="6" min="6" style="1" width="26.43"/>
    <col collapsed="false" customWidth="true" hidden="false" outlineLevel="0" max="7" min="7" style="1" width="2.14"/>
    <col collapsed="false" customWidth="true" hidden="false" outlineLevel="0" max="8" min="8" style="1" width="5.71"/>
    <col collapsed="false" customWidth="true" hidden="false" outlineLevel="0" max="9" min="9" style="1" width="25.86"/>
    <col collapsed="false" customWidth="true" hidden="false" outlineLevel="0" max="10" min="10" style="1" width="8.57"/>
    <col collapsed="false" customWidth="true" hidden="false" outlineLevel="0" max="11" min="11" style="1" width="2.57"/>
    <col collapsed="false" customWidth="true" hidden="false" outlineLevel="0" max="12" min="12" style="144" width="8.57"/>
    <col collapsed="false" customWidth="true" hidden="false" outlineLevel="0" max="13" min="13" style="1" width="28.43"/>
    <col collapsed="false" customWidth="true" hidden="false" outlineLevel="0" max="14" min="14" style="1" width="2.29"/>
    <col collapsed="false" customWidth="true" hidden="false" outlineLevel="0" max="15" min="15" style="1" width="8.57"/>
    <col collapsed="false" customWidth="true" hidden="false" outlineLevel="0" max="16" min="16" style="1" width="25.3"/>
    <col collapsed="false" customWidth="true" hidden="false" outlineLevel="0" max="19" min="17" style="1" width="8.57"/>
    <col collapsed="false" customWidth="false" hidden="false" outlineLevel="0" max="16384" min="20" style="1" width="14.43"/>
  </cols>
  <sheetData>
    <row r="1" customFormat="false" ht="15" hidden="false" customHeight="true" outlineLevel="0" collapsed="false">
      <c r="A1" s="27" t="s">
        <v>4</v>
      </c>
      <c r="B1" s="28" t="s">
        <v>75</v>
      </c>
      <c r="C1" s="0"/>
    </row>
    <row r="2" customFormat="false" ht="20.25" hidden="false" customHeight="false" outlineLevel="0" collapsed="false">
      <c r="A2" s="27" t="s">
        <v>6</v>
      </c>
      <c r="B2" s="28" t="s">
        <v>23</v>
      </c>
      <c r="C2" s="0"/>
    </row>
    <row r="3" customFormat="false" ht="20.25" hidden="false" customHeight="false" outlineLevel="0" collapsed="false">
      <c r="A3" s="0"/>
      <c r="B3" s="0"/>
      <c r="C3" s="0"/>
    </row>
    <row r="4" customFormat="false" ht="20.25" hidden="false" customHeight="false" outlineLevel="0" collapsed="false">
      <c r="A4" s="29"/>
      <c r="B4" s="30" t="s">
        <v>24</v>
      </c>
      <c r="C4" s="31"/>
      <c r="E4" s="145" t="s">
        <v>144</v>
      </c>
      <c r="F4" s="145"/>
      <c r="G4" s="102"/>
      <c r="H4" s="145" t="s">
        <v>145</v>
      </c>
      <c r="I4" s="145"/>
      <c r="J4" s="145"/>
      <c r="K4" s="146"/>
      <c r="L4" s="145" t="s">
        <v>146</v>
      </c>
      <c r="M4" s="19"/>
      <c r="O4" s="145" t="s">
        <v>123</v>
      </c>
      <c r="P4" s="19"/>
    </row>
    <row r="5" customFormat="false" ht="20.25" hidden="false" customHeight="false" outlineLevel="0" collapsed="false">
      <c r="A5" s="32" t="s">
        <v>25</v>
      </c>
      <c r="B5" s="33" t="s">
        <v>26</v>
      </c>
      <c r="C5" s="34" t="s">
        <v>27</v>
      </c>
      <c r="E5" s="145" t="n">
        <v>75</v>
      </c>
      <c r="F5" s="145" t="s">
        <v>147</v>
      </c>
      <c r="G5" s="102"/>
      <c r="H5" s="145" t="n">
        <v>60</v>
      </c>
      <c r="I5" s="145" t="s">
        <v>148</v>
      </c>
      <c r="J5" s="145" t="s">
        <v>149</v>
      </c>
      <c r="K5" s="146"/>
      <c r="L5" s="145" t="n">
        <v>70</v>
      </c>
      <c r="M5" s="19" t="s">
        <v>150</v>
      </c>
      <c r="O5" s="145" t="n">
        <v>70</v>
      </c>
      <c r="P5" s="19" t="s">
        <v>151</v>
      </c>
    </row>
    <row r="6" customFormat="false" ht="20.25" hidden="false" customHeight="false" outlineLevel="0" collapsed="false">
      <c r="A6" s="81" t="n">
        <v>40</v>
      </c>
      <c r="B6" s="36" t="n">
        <v>1000</v>
      </c>
      <c r="C6" s="37" t="n">
        <v>1</v>
      </c>
      <c r="E6" s="145" t="n">
        <v>80</v>
      </c>
      <c r="F6" s="145" t="s">
        <v>152</v>
      </c>
      <c r="G6" s="102"/>
      <c r="H6" s="145" t="n">
        <v>65</v>
      </c>
      <c r="I6" s="145" t="s">
        <v>153</v>
      </c>
      <c r="J6" s="145"/>
      <c r="K6" s="146"/>
      <c r="L6" s="145" t="n">
        <v>72</v>
      </c>
      <c r="M6" s="19" t="s">
        <v>154</v>
      </c>
      <c r="O6" s="145" t="n">
        <v>73</v>
      </c>
      <c r="P6" s="19" t="s">
        <v>155</v>
      </c>
      <c r="Q6" s="1" t="s">
        <v>156</v>
      </c>
    </row>
    <row r="7" customFormat="false" ht="20.25" hidden="false" customHeight="false" outlineLevel="0" collapsed="false">
      <c r="A7" s="41" t="s">
        <v>62</v>
      </c>
      <c r="B7" s="42" t="n">
        <v>1000</v>
      </c>
      <c r="C7" s="43" t="n">
        <v>1</v>
      </c>
      <c r="E7" s="145" t="n">
        <v>102</v>
      </c>
      <c r="F7" s="145" t="s">
        <v>157</v>
      </c>
      <c r="G7" s="102"/>
      <c r="H7" s="145" t="n">
        <v>70</v>
      </c>
      <c r="I7" s="145" t="s">
        <v>158</v>
      </c>
      <c r="J7" s="145"/>
      <c r="K7" s="146"/>
      <c r="L7" s="145" t="n">
        <v>100</v>
      </c>
      <c r="M7" s="19" t="s">
        <v>159</v>
      </c>
      <c r="O7" s="145" t="n">
        <v>75</v>
      </c>
      <c r="P7" s="19" t="s">
        <v>160</v>
      </c>
    </row>
    <row r="8" customFormat="false" ht="20.25" hidden="false" customHeight="false" outlineLevel="0" collapsed="false">
      <c r="A8" s="81" t="n">
        <v>60</v>
      </c>
      <c r="B8" s="36" t="n">
        <v>0</v>
      </c>
      <c r="C8" s="37" t="n">
        <v>0</v>
      </c>
      <c r="E8" s="145" t="n">
        <v>80</v>
      </c>
      <c r="F8" s="145" t="s">
        <v>152</v>
      </c>
      <c r="G8" s="102"/>
      <c r="H8" s="145" t="n">
        <v>75</v>
      </c>
      <c r="I8" s="145" t="s">
        <v>161</v>
      </c>
      <c r="J8" s="145" t="s">
        <v>149</v>
      </c>
      <c r="K8" s="146"/>
      <c r="L8" s="145" t="n">
        <v>105</v>
      </c>
      <c r="M8" s="19" t="s">
        <v>162</v>
      </c>
      <c r="O8" s="145" t="n">
        <v>80</v>
      </c>
      <c r="P8" s="19" t="s">
        <v>163</v>
      </c>
    </row>
    <row r="9" customFormat="false" ht="20.25" hidden="false" customHeight="false" outlineLevel="0" collapsed="false">
      <c r="A9" s="41" t="s">
        <v>62</v>
      </c>
      <c r="B9" s="42" t="n">
        <v>0</v>
      </c>
      <c r="C9" s="43" t="n">
        <v>0</v>
      </c>
      <c r="E9" s="145" t="n">
        <v>130</v>
      </c>
      <c r="F9" s="145" t="s">
        <v>164</v>
      </c>
      <c r="G9" s="102"/>
      <c r="H9" s="145" t="n">
        <v>80</v>
      </c>
      <c r="I9" s="145" t="s">
        <v>152</v>
      </c>
      <c r="J9" s="145" t="s">
        <v>165</v>
      </c>
      <c r="K9" s="146"/>
      <c r="L9" s="145" t="n">
        <v>100</v>
      </c>
      <c r="M9" s="19" t="s">
        <v>159</v>
      </c>
      <c r="O9" s="145" t="n">
        <v>85</v>
      </c>
      <c r="P9" s="19" t="s">
        <v>166</v>
      </c>
      <c r="Q9" s="1" t="s">
        <v>167</v>
      </c>
    </row>
    <row r="10" customFormat="false" ht="20.25" hidden="false" customHeight="false" outlineLevel="0" collapsed="false">
      <c r="A10" s="81" t="n">
        <v>70</v>
      </c>
      <c r="B10" s="36" t="n">
        <v>0</v>
      </c>
      <c r="C10" s="37" t="n">
        <v>0</v>
      </c>
      <c r="E10" s="145" t="n">
        <v>145</v>
      </c>
      <c r="F10" s="145" t="s">
        <v>168</v>
      </c>
      <c r="G10" s="102"/>
      <c r="H10" s="145" t="n">
        <v>83</v>
      </c>
      <c r="I10" s="145" t="s">
        <v>169</v>
      </c>
      <c r="J10" s="145"/>
      <c r="K10" s="146"/>
      <c r="L10" s="145" t="n">
        <v>110</v>
      </c>
      <c r="M10" s="19" t="s">
        <v>170</v>
      </c>
      <c r="O10" s="145" t="n">
        <v>100</v>
      </c>
      <c r="P10" s="19" t="s">
        <v>171</v>
      </c>
      <c r="Q10" s="1" t="s">
        <v>156</v>
      </c>
    </row>
    <row r="11" customFormat="false" ht="20.25" hidden="false" customHeight="false" outlineLevel="0" collapsed="false">
      <c r="A11" s="41" t="s">
        <v>62</v>
      </c>
      <c r="B11" s="42" t="n">
        <v>0</v>
      </c>
      <c r="C11" s="43" t="n">
        <v>0</v>
      </c>
      <c r="E11" s="145" t="n">
        <v>155</v>
      </c>
      <c r="F11" s="145" t="s">
        <v>172</v>
      </c>
      <c r="G11" s="102"/>
      <c r="H11" s="145" t="n">
        <v>85</v>
      </c>
      <c r="I11" s="145" t="s">
        <v>173</v>
      </c>
      <c r="J11" s="145" t="s">
        <v>165</v>
      </c>
      <c r="K11" s="146"/>
      <c r="L11" s="145"/>
      <c r="M11" s="19"/>
      <c r="O11" s="145" t="n">
        <v>110</v>
      </c>
      <c r="P11" s="19" t="s">
        <v>174</v>
      </c>
      <c r="Q11" s="1" t="s">
        <v>156</v>
      </c>
    </row>
    <row r="12" customFormat="false" ht="20.25" hidden="false" customHeight="false" outlineLevel="0" collapsed="false">
      <c r="A12" s="81" t="n">
        <v>75</v>
      </c>
      <c r="B12" s="36" t="n">
        <v>0</v>
      </c>
      <c r="C12" s="37" t="n">
        <v>0</v>
      </c>
      <c r="E12" s="145" t="n">
        <v>235</v>
      </c>
      <c r="F12" s="145" t="s">
        <v>152</v>
      </c>
      <c r="G12" s="102"/>
      <c r="H12" s="145" t="n">
        <v>90</v>
      </c>
      <c r="I12" s="145" t="s">
        <v>175</v>
      </c>
      <c r="J12" s="145"/>
      <c r="K12" s="146"/>
      <c r="L12" s="145"/>
      <c r="M12" s="19"/>
      <c r="O12" s="145" t="n">
        <v>113</v>
      </c>
      <c r="P12" s="19" t="s">
        <v>176</v>
      </c>
    </row>
    <row r="13" customFormat="false" ht="20.25" hidden="false" customHeight="false" outlineLevel="0" collapsed="false">
      <c r="A13" s="41" t="s">
        <v>67</v>
      </c>
      <c r="B13" s="42" t="n">
        <v>0</v>
      </c>
      <c r="C13" s="43" t="n">
        <v>0</v>
      </c>
      <c r="E13" s="145"/>
      <c r="F13" s="145"/>
      <c r="G13" s="102"/>
      <c r="H13" s="145" t="n">
        <v>95</v>
      </c>
      <c r="I13" s="145" t="s">
        <v>177</v>
      </c>
      <c r="J13" s="145"/>
      <c r="K13" s="146"/>
      <c r="L13" s="145"/>
      <c r="M13" s="19"/>
      <c r="O13" s="145" t="n">
        <v>120</v>
      </c>
      <c r="P13" s="19" t="s">
        <v>178</v>
      </c>
      <c r="Q13" s="1" t="s">
        <v>156</v>
      </c>
    </row>
    <row r="14" customFormat="false" ht="20.25" hidden="false" customHeight="false" outlineLevel="0" collapsed="false">
      <c r="A14" s="81" t="n">
        <v>80</v>
      </c>
      <c r="B14" s="36" t="n">
        <v>5000</v>
      </c>
      <c r="C14" s="37" t="n">
        <v>5</v>
      </c>
      <c r="E14" s="145"/>
      <c r="F14" s="145"/>
      <c r="G14" s="102"/>
      <c r="H14" s="145" t="n">
        <v>100</v>
      </c>
      <c r="I14" s="145" t="s">
        <v>179</v>
      </c>
      <c r="J14" s="145"/>
      <c r="K14" s="146"/>
      <c r="L14" s="145"/>
      <c r="M14" s="19"/>
      <c r="O14" s="145" t="n">
        <v>125</v>
      </c>
      <c r="P14" s="19" t="s">
        <v>180</v>
      </c>
      <c r="Q14" s="1" t="s">
        <v>156</v>
      </c>
    </row>
    <row r="15" customFormat="false" ht="20.25" hidden="false" customHeight="false" outlineLevel="0" collapsed="false">
      <c r="A15" s="38" t="s">
        <v>62</v>
      </c>
      <c r="B15" s="39" t="n">
        <v>1000</v>
      </c>
      <c r="C15" s="40" t="n">
        <v>1</v>
      </c>
      <c r="E15" s="145"/>
      <c r="F15" s="145"/>
      <c r="G15" s="102"/>
      <c r="H15" s="145" t="n">
        <v>105</v>
      </c>
      <c r="I15" s="145" t="s">
        <v>181</v>
      </c>
      <c r="J15" s="145"/>
      <c r="K15" s="146"/>
      <c r="L15" s="145"/>
      <c r="M15" s="19"/>
      <c r="O15" s="145" t="n">
        <v>140</v>
      </c>
      <c r="P15" s="19" t="s">
        <v>182</v>
      </c>
    </row>
    <row r="16" customFormat="false" ht="20.25" hidden="false" customHeight="false" outlineLevel="0" collapsed="false">
      <c r="A16" s="41" t="s">
        <v>67</v>
      </c>
      <c r="B16" s="42" t="n">
        <v>4000</v>
      </c>
      <c r="C16" s="43" t="n">
        <v>4</v>
      </c>
      <c r="E16" s="145"/>
      <c r="F16" s="145"/>
      <c r="G16" s="102"/>
      <c r="H16" s="145" t="n">
        <v>110</v>
      </c>
      <c r="I16" s="145" t="s">
        <v>183</v>
      </c>
      <c r="J16" s="145"/>
      <c r="K16" s="146"/>
      <c r="L16" s="145" t="n">
        <v>210</v>
      </c>
      <c r="M16" s="19" t="s">
        <v>184</v>
      </c>
      <c r="O16" s="145" t="n">
        <v>150</v>
      </c>
      <c r="P16" s="19" t="s">
        <v>185</v>
      </c>
      <c r="Q16" s="1" t="s">
        <v>156</v>
      </c>
    </row>
    <row r="17" customFormat="false" ht="20.25" hidden="false" customHeight="false" outlineLevel="0" collapsed="false">
      <c r="A17" s="81" t="n">
        <v>83</v>
      </c>
      <c r="B17" s="36" t="n">
        <v>2000</v>
      </c>
      <c r="C17" s="37" t="n">
        <v>2</v>
      </c>
      <c r="E17" s="145"/>
      <c r="F17" s="145"/>
      <c r="G17" s="102"/>
      <c r="H17" s="145" t="n">
        <v>120</v>
      </c>
      <c r="I17" s="145" t="s">
        <v>186</v>
      </c>
      <c r="J17" s="145"/>
      <c r="K17" s="146"/>
      <c r="L17" s="145" t="n">
        <v>220</v>
      </c>
      <c r="M17" s="19" t="s">
        <v>187</v>
      </c>
      <c r="O17" s="145" t="n">
        <v>155</v>
      </c>
      <c r="P17" s="19" t="s">
        <v>188</v>
      </c>
    </row>
    <row r="18" customFormat="false" ht="20.25" hidden="false" customHeight="false" outlineLevel="0" collapsed="false">
      <c r="A18" s="41" t="s">
        <v>62</v>
      </c>
      <c r="B18" s="42" t="n">
        <v>2000</v>
      </c>
      <c r="C18" s="43" t="n">
        <v>2</v>
      </c>
      <c r="E18" s="145"/>
      <c r="F18" s="145"/>
      <c r="G18" s="102"/>
      <c r="H18" s="145" t="n">
        <v>130</v>
      </c>
      <c r="I18" s="145" t="s">
        <v>189</v>
      </c>
      <c r="J18" s="145" t="s">
        <v>165</v>
      </c>
      <c r="K18" s="102"/>
      <c r="L18" s="145"/>
      <c r="M18" s="19"/>
      <c r="O18" s="145"/>
      <c r="P18" s="19"/>
    </row>
    <row r="19" customFormat="false" ht="15" hidden="false" customHeight="true" outlineLevel="0" collapsed="false">
      <c r="A19" s="81" t="n">
        <v>85</v>
      </c>
      <c r="B19" s="36" t="n">
        <v>2000</v>
      </c>
      <c r="C19" s="37" t="n">
        <v>2</v>
      </c>
      <c r="H19" s="145" t="n">
        <v>145</v>
      </c>
      <c r="I19" s="145" t="s">
        <v>190</v>
      </c>
      <c r="J19" s="145"/>
    </row>
    <row r="20" customFormat="false" ht="15" hidden="false" customHeight="true" outlineLevel="0" collapsed="false">
      <c r="A20" s="41" t="s">
        <v>62</v>
      </c>
      <c r="B20" s="42" t="n">
        <v>2000</v>
      </c>
      <c r="C20" s="43" t="n">
        <v>2</v>
      </c>
      <c r="H20" s="145" t="n">
        <v>180</v>
      </c>
      <c r="I20" s="145" t="s">
        <v>191</v>
      </c>
      <c r="J20" s="145"/>
    </row>
    <row r="21" customFormat="false" ht="15.75" hidden="false" customHeight="true" outlineLevel="0" collapsed="false">
      <c r="A21" s="81" t="n">
        <v>95</v>
      </c>
      <c r="B21" s="36" t="n">
        <v>4500</v>
      </c>
      <c r="C21" s="37" t="n">
        <v>4</v>
      </c>
      <c r="H21" s="145" t="n">
        <v>210</v>
      </c>
      <c r="I21" s="145" t="s">
        <v>192</v>
      </c>
      <c r="J21" s="145"/>
    </row>
    <row r="22" customFormat="false" ht="15.75" hidden="false" customHeight="true" outlineLevel="0" collapsed="false">
      <c r="A22" s="41" t="s">
        <v>62</v>
      </c>
      <c r="B22" s="42" t="n">
        <v>4500</v>
      </c>
      <c r="C22" s="43" t="n">
        <v>4</v>
      </c>
      <c r="F22" s="1" t="n">
        <f aca="false">250-70-70-110</f>
        <v>0</v>
      </c>
      <c r="H22" s="145" t="n">
        <v>220</v>
      </c>
      <c r="I22" s="145" t="s">
        <v>193</v>
      </c>
      <c r="J22" s="145"/>
    </row>
    <row r="23" customFormat="false" ht="15.75" hidden="false" customHeight="true" outlineLevel="0" collapsed="false">
      <c r="A23" s="81" t="n">
        <v>100</v>
      </c>
      <c r="B23" s="36" t="n">
        <v>12500</v>
      </c>
      <c r="C23" s="37" t="n">
        <v>9</v>
      </c>
    </row>
    <row r="24" customFormat="false" ht="15.75" hidden="false" customHeight="true" outlineLevel="0" collapsed="false">
      <c r="A24" s="38" t="s">
        <v>62</v>
      </c>
      <c r="B24" s="39" t="n">
        <v>1500</v>
      </c>
      <c r="C24" s="40" t="n">
        <v>2</v>
      </c>
      <c r="H24" s="145"/>
      <c r="I24" s="147"/>
      <c r="J24" s="145"/>
    </row>
    <row r="25" customFormat="false" ht="15" hidden="false" customHeight="true" outlineLevel="0" collapsed="false">
      <c r="A25" s="41" t="s">
        <v>67</v>
      </c>
      <c r="B25" s="42" t="n">
        <v>11000</v>
      </c>
      <c r="C25" s="43" t="n">
        <v>7</v>
      </c>
      <c r="H25" s="19"/>
      <c r="I25" s="19"/>
      <c r="J25" s="19"/>
    </row>
    <row r="26" customFormat="false" ht="15" hidden="false" customHeight="true" outlineLevel="0" collapsed="false">
      <c r="A26" s="81" t="n">
        <v>105</v>
      </c>
      <c r="B26" s="36" t="n">
        <v>6000</v>
      </c>
      <c r="C26" s="37" t="n">
        <v>3</v>
      </c>
    </row>
    <row r="27" customFormat="false" ht="15" hidden="false" customHeight="true" outlineLevel="0" collapsed="false">
      <c r="A27" s="41" t="s">
        <v>67</v>
      </c>
      <c r="B27" s="42" t="n">
        <v>6000</v>
      </c>
      <c r="C27" s="43" t="n">
        <v>3</v>
      </c>
    </row>
    <row r="28" customFormat="false" ht="15" hidden="false" customHeight="true" outlineLevel="0" collapsed="false">
      <c r="A28" s="81" t="n">
        <v>110</v>
      </c>
      <c r="B28" s="36" t="n">
        <v>3000</v>
      </c>
      <c r="C28" s="37" t="n">
        <v>3</v>
      </c>
    </row>
    <row r="29" customFormat="false" ht="15" hidden="false" customHeight="true" outlineLevel="0" collapsed="false">
      <c r="A29" s="41" t="s">
        <v>62</v>
      </c>
      <c r="B29" s="42" t="n">
        <v>3000</v>
      </c>
      <c r="C29" s="43" t="n">
        <v>3</v>
      </c>
    </row>
    <row r="30" customFormat="false" ht="15" hidden="false" customHeight="true" outlineLevel="0" collapsed="false">
      <c r="A30" s="81" t="n">
        <v>111</v>
      </c>
      <c r="B30" s="36" t="n">
        <v>500</v>
      </c>
      <c r="C30" s="37" t="n">
        <v>1</v>
      </c>
    </row>
    <row r="31" customFormat="false" ht="15" hidden="false" customHeight="true" outlineLevel="0" collapsed="false">
      <c r="A31" s="41" t="s">
        <v>67</v>
      </c>
      <c r="B31" s="42" t="n">
        <v>500</v>
      </c>
      <c r="C31" s="43" t="n">
        <v>1</v>
      </c>
    </row>
    <row r="32" customFormat="false" ht="15" hidden="false" customHeight="true" outlineLevel="0" collapsed="false">
      <c r="A32" s="81" t="n">
        <v>115</v>
      </c>
      <c r="B32" s="36" t="n">
        <v>7000</v>
      </c>
      <c r="C32" s="37" t="n">
        <v>5</v>
      </c>
    </row>
    <row r="33" customFormat="false" ht="15" hidden="false" customHeight="true" outlineLevel="0" collapsed="false">
      <c r="A33" s="41" t="s">
        <v>67</v>
      </c>
      <c r="B33" s="42" t="n">
        <v>7000</v>
      </c>
      <c r="C33" s="43" t="n">
        <v>5</v>
      </c>
    </row>
    <row r="34" customFormat="false" ht="15" hidden="false" customHeight="true" outlineLevel="0" collapsed="false">
      <c r="A34" s="81" t="n">
        <v>130</v>
      </c>
      <c r="B34" s="36" t="n">
        <v>6000</v>
      </c>
      <c r="C34" s="37" t="n">
        <v>4</v>
      </c>
    </row>
    <row r="35" customFormat="false" ht="15" hidden="false" customHeight="true" outlineLevel="0" collapsed="false">
      <c r="A35" s="38" t="s">
        <v>62</v>
      </c>
      <c r="B35" s="39" t="n">
        <v>2000</v>
      </c>
      <c r="C35" s="40" t="n">
        <v>2</v>
      </c>
    </row>
    <row r="36" customFormat="false" ht="15" hidden="false" customHeight="true" outlineLevel="0" collapsed="false">
      <c r="A36" s="41" t="s">
        <v>67</v>
      </c>
      <c r="B36" s="42" t="n">
        <v>4000</v>
      </c>
      <c r="C36" s="43" t="n">
        <v>2</v>
      </c>
    </row>
    <row r="37" customFormat="false" ht="15" hidden="false" customHeight="true" outlineLevel="0" collapsed="false">
      <c r="A37" s="81" t="n">
        <v>131</v>
      </c>
      <c r="B37" s="36" t="n">
        <v>3000</v>
      </c>
      <c r="C37" s="37" t="n">
        <v>3</v>
      </c>
    </row>
    <row r="38" customFormat="false" ht="15" hidden="false" customHeight="true" outlineLevel="0" collapsed="false">
      <c r="A38" s="41" t="s">
        <v>62</v>
      </c>
      <c r="B38" s="42" t="n">
        <v>3000</v>
      </c>
      <c r="C38" s="43" t="n">
        <v>3</v>
      </c>
    </row>
    <row r="39" customFormat="false" ht="15" hidden="false" customHeight="true" outlineLevel="0" collapsed="false">
      <c r="A39" s="81" t="n">
        <v>135</v>
      </c>
      <c r="B39" s="36" t="n">
        <v>0</v>
      </c>
      <c r="C39" s="37" t="n">
        <v>0</v>
      </c>
    </row>
    <row r="40" customFormat="false" ht="15" hidden="false" customHeight="true" outlineLevel="0" collapsed="false">
      <c r="A40" s="38" t="s">
        <v>62</v>
      </c>
      <c r="B40" s="39" t="n">
        <v>0</v>
      </c>
      <c r="C40" s="40" t="n">
        <v>0</v>
      </c>
    </row>
    <row r="41" customFormat="false" ht="15" hidden="false" customHeight="true" outlineLevel="0" collapsed="false">
      <c r="A41" s="41" t="s">
        <v>67</v>
      </c>
      <c r="B41" s="42" t="n">
        <v>0</v>
      </c>
      <c r="C41" s="43" t="n">
        <v>0</v>
      </c>
    </row>
    <row r="42" customFormat="false" ht="15" hidden="false" customHeight="true" outlineLevel="0" collapsed="false">
      <c r="A42" s="81" t="n">
        <v>145</v>
      </c>
      <c r="B42" s="36" t="n">
        <v>2000</v>
      </c>
      <c r="C42" s="37" t="n">
        <v>2</v>
      </c>
    </row>
    <row r="43" customFormat="false" ht="15" hidden="false" customHeight="true" outlineLevel="0" collapsed="false">
      <c r="A43" s="41" t="s">
        <v>62</v>
      </c>
      <c r="B43" s="42" t="n">
        <v>2000</v>
      </c>
      <c r="C43" s="43" t="n">
        <v>2</v>
      </c>
    </row>
    <row r="44" customFormat="false" ht="15" hidden="false" customHeight="true" outlineLevel="0" collapsed="false">
      <c r="A44" s="81" t="n">
        <v>155</v>
      </c>
      <c r="B44" s="36" t="n">
        <v>5000</v>
      </c>
      <c r="C44" s="37" t="n">
        <v>3</v>
      </c>
    </row>
    <row r="45" customFormat="false" ht="15" hidden="false" customHeight="true" outlineLevel="0" collapsed="false">
      <c r="A45" s="38" t="s">
        <v>62</v>
      </c>
      <c r="B45" s="39" t="n">
        <v>1000</v>
      </c>
      <c r="C45" s="40" t="n">
        <v>1</v>
      </c>
    </row>
    <row r="46" customFormat="false" ht="15" hidden="false" customHeight="true" outlineLevel="0" collapsed="false">
      <c r="A46" s="41" t="s">
        <v>67</v>
      </c>
      <c r="B46" s="42" t="n">
        <v>4000</v>
      </c>
      <c r="C46" s="43" t="n">
        <v>2</v>
      </c>
    </row>
    <row r="47" customFormat="false" ht="15" hidden="false" customHeight="true" outlineLevel="0" collapsed="false">
      <c r="A47" s="81" t="n">
        <v>205</v>
      </c>
      <c r="B47" s="36" t="n">
        <v>1000</v>
      </c>
      <c r="C47" s="37" t="n">
        <v>1</v>
      </c>
    </row>
    <row r="48" customFormat="false" ht="15" hidden="false" customHeight="true" outlineLevel="0" collapsed="false">
      <c r="A48" s="41" t="s">
        <v>62</v>
      </c>
      <c r="B48" s="42" t="n">
        <v>1000</v>
      </c>
      <c r="C48" s="43" t="n">
        <v>1</v>
      </c>
    </row>
    <row r="49" customFormat="false" ht="15" hidden="false" customHeight="true" outlineLevel="0" collapsed="false">
      <c r="A49" s="81" t="n">
        <v>210</v>
      </c>
      <c r="B49" s="36" t="n">
        <v>3000</v>
      </c>
      <c r="C49" s="37" t="n">
        <v>3</v>
      </c>
    </row>
    <row r="50" customFormat="false" ht="15" hidden="false" customHeight="true" outlineLevel="0" collapsed="false">
      <c r="A50" s="41" t="s">
        <v>62</v>
      </c>
      <c r="B50" s="42" t="n">
        <v>3000</v>
      </c>
      <c r="C50" s="43" t="n">
        <v>3</v>
      </c>
    </row>
    <row r="51" customFormat="false" ht="15" hidden="false" customHeight="true" outlineLevel="0" collapsed="false">
      <c r="A51" s="81" t="n">
        <v>220</v>
      </c>
      <c r="B51" s="36" t="n">
        <v>1000</v>
      </c>
      <c r="C51" s="37" t="n">
        <v>1</v>
      </c>
    </row>
    <row r="52" customFormat="false" ht="15" hidden="false" customHeight="true" outlineLevel="0" collapsed="false">
      <c r="A52" s="41" t="s">
        <v>62</v>
      </c>
      <c r="B52" s="42" t="n">
        <v>1000</v>
      </c>
      <c r="C52" s="43" t="n">
        <v>1</v>
      </c>
    </row>
    <row r="53" customFormat="false" ht="15" hidden="false" customHeight="true" outlineLevel="0" collapsed="false">
      <c r="A53" s="81" t="n">
        <v>250</v>
      </c>
      <c r="B53" s="36" t="n">
        <v>1000</v>
      </c>
      <c r="C53" s="37" t="n">
        <v>1</v>
      </c>
    </row>
    <row r="54" customFormat="false" ht="15" hidden="false" customHeight="true" outlineLevel="0" collapsed="false">
      <c r="A54" s="41" t="s">
        <v>62</v>
      </c>
      <c r="B54" s="42" t="n">
        <v>1000</v>
      </c>
      <c r="C54" s="43" t="n">
        <v>1</v>
      </c>
    </row>
    <row r="55" customFormat="false" ht="15" hidden="false" customHeight="true" outlineLevel="0" collapsed="false">
      <c r="A55" s="81" t="n">
        <v>333</v>
      </c>
      <c r="B55" s="36" t="n">
        <v>500</v>
      </c>
      <c r="C55" s="37" t="n">
        <v>1</v>
      </c>
    </row>
    <row r="56" customFormat="false" ht="15" hidden="false" customHeight="true" outlineLevel="0" collapsed="false">
      <c r="A56" s="38" t="s">
        <v>62</v>
      </c>
      <c r="B56" s="39" t="n">
        <v>0</v>
      </c>
      <c r="C56" s="40" t="n">
        <v>0</v>
      </c>
    </row>
    <row r="57" customFormat="false" ht="15" hidden="false" customHeight="true" outlineLevel="0" collapsed="false">
      <c r="A57" s="41" t="s">
        <v>67</v>
      </c>
      <c r="B57" s="42" t="n">
        <v>500</v>
      </c>
      <c r="C57" s="43" t="n">
        <v>1</v>
      </c>
    </row>
    <row r="58" customFormat="false" ht="15" hidden="false" customHeight="true" outlineLevel="0" collapsed="false">
      <c r="A58" s="81" t="n">
        <v>334</v>
      </c>
      <c r="B58" s="36" t="n">
        <v>2000</v>
      </c>
      <c r="C58" s="37" t="n">
        <v>2</v>
      </c>
    </row>
    <row r="59" customFormat="false" ht="15" hidden="false" customHeight="true" outlineLevel="0" collapsed="false">
      <c r="A59" s="41" t="s">
        <v>67</v>
      </c>
      <c r="B59" s="42" t="n">
        <v>2000</v>
      </c>
      <c r="C59" s="43" t="n">
        <v>2</v>
      </c>
    </row>
    <row r="60" customFormat="false" ht="15" hidden="false" customHeight="true" outlineLevel="0" collapsed="false">
      <c r="A60" s="44" t="s">
        <v>28</v>
      </c>
      <c r="B60" s="45" t="n">
        <v>68000</v>
      </c>
      <c r="C60" s="46" t="n">
        <v>56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89" activePane="bottomRight" state="frozen"/>
      <selection pane="topLeft" activeCell="A1" activeCellId="0" sqref="A1"/>
      <selection pane="topRight" activeCell="B1" activeCellId="0" sqref="B1"/>
      <selection pane="bottomLeft" activeCell="A89" activeCellId="0" sqref="A89"/>
      <selection pane="bottomRight" activeCell="E105" activeCellId="0" sqref="E105"/>
    </sheetView>
  </sheetViews>
  <sheetFormatPr defaultColWidth="8.58984375" defaultRowHeight="20.25" zeroHeight="false" outlineLevelRow="0" outlineLevelCol="0"/>
  <cols>
    <col collapsed="false" customWidth="true" hidden="false" outlineLevel="0" max="1" min="1" style="1" width="37.14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31.72"/>
    <col collapsed="false" customWidth="false" hidden="false" outlineLevel="0" max="16384" min="5" style="1" width="8.59"/>
  </cols>
  <sheetData>
    <row r="1" customFormat="false" ht="20.25" hidden="false" customHeight="false" outlineLevel="0" collapsed="false">
      <c r="A1" s="77" t="s">
        <v>4</v>
      </c>
      <c r="B1" s="30" t="s">
        <v>2</v>
      </c>
      <c r="C1" s="78" t="s">
        <v>27</v>
      </c>
    </row>
    <row r="2" customFormat="false" ht="20.25" hidden="false" customHeight="false" outlineLevel="0" collapsed="false">
      <c r="A2" s="81" t="s">
        <v>119</v>
      </c>
      <c r="B2" s="91" t="n">
        <v>75</v>
      </c>
      <c r="C2" s="82" t="n">
        <v>0</v>
      </c>
    </row>
    <row r="3" customFormat="false" ht="20.25" hidden="false" customHeight="false" outlineLevel="0" collapsed="false">
      <c r="A3" s="85"/>
      <c r="B3" s="148" t="n">
        <v>80</v>
      </c>
      <c r="C3" s="86" t="n">
        <v>4</v>
      </c>
    </row>
    <row r="4" customFormat="false" ht="20.25" hidden="false" customHeight="false" outlineLevel="0" collapsed="false">
      <c r="A4" s="85"/>
      <c r="B4" s="148" t="n">
        <v>100</v>
      </c>
      <c r="C4" s="86" t="n">
        <v>7</v>
      </c>
    </row>
    <row r="5" customFormat="false" ht="20.25" hidden="false" customHeight="false" outlineLevel="0" collapsed="false">
      <c r="A5" s="85"/>
      <c r="B5" s="148" t="n">
        <v>105</v>
      </c>
      <c r="C5" s="86" t="n">
        <v>3</v>
      </c>
    </row>
    <row r="6" customFormat="false" ht="20.25" hidden="false" customHeight="false" outlineLevel="0" collapsed="false">
      <c r="A6" s="85"/>
      <c r="B6" s="148" t="n">
        <v>115</v>
      </c>
      <c r="C6" s="86" t="n">
        <v>5</v>
      </c>
    </row>
    <row r="7" customFormat="false" ht="20.25" hidden="false" customHeight="false" outlineLevel="0" collapsed="false">
      <c r="A7" s="85"/>
      <c r="B7" s="148" t="n">
        <v>130</v>
      </c>
      <c r="C7" s="86" t="n">
        <v>2</v>
      </c>
    </row>
    <row r="8" customFormat="false" ht="20.25" hidden="false" customHeight="false" outlineLevel="0" collapsed="false">
      <c r="A8" s="85"/>
      <c r="B8" s="148" t="n">
        <v>135</v>
      </c>
      <c r="C8" s="86" t="n">
        <v>0</v>
      </c>
    </row>
    <row r="9" customFormat="false" ht="20.25" hidden="false" customHeight="false" outlineLevel="0" collapsed="false">
      <c r="A9" s="85"/>
      <c r="B9" s="148" t="n">
        <v>155</v>
      </c>
      <c r="C9" s="86" t="n">
        <v>2</v>
      </c>
    </row>
    <row r="10" customFormat="false" ht="20.25" hidden="false" customHeight="false" outlineLevel="0" collapsed="false">
      <c r="A10" s="93"/>
      <c r="B10" s="94" t="n">
        <v>111</v>
      </c>
      <c r="C10" s="96" t="n">
        <v>1</v>
      </c>
    </row>
    <row r="11" customFormat="false" ht="20.25" hidden="false" customHeight="false" outlineLevel="0" collapsed="false">
      <c r="A11" s="81" t="s">
        <v>116</v>
      </c>
      <c r="B11" s="91" t="n">
        <v>60</v>
      </c>
      <c r="C11" s="82" t="n">
        <v>3</v>
      </c>
    </row>
    <row r="12" customFormat="false" ht="20.25" hidden="false" customHeight="false" outlineLevel="0" collapsed="false">
      <c r="A12" s="85"/>
      <c r="B12" s="148" t="n">
        <v>65</v>
      </c>
      <c r="C12" s="86" t="n">
        <v>5</v>
      </c>
    </row>
    <row r="13" customFormat="false" ht="20.25" hidden="false" customHeight="false" outlineLevel="0" collapsed="false">
      <c r="A13" s="85"/>
      <c r="B13" s="148" t="n">
        <v>70</v>
      </c>
      <c r="C13" s="86" t="n">
        <v>2</v>
      </c>
    </row>
    <row r="14" customFormat="false" ht="20.25" hidden="false" customHeight="false" outlineLevel="0" collapsed="false">
      <c r="A14" s="85"/>
      <c r="B14" s="148" t="n">
        <v>75</v>
      </c>
      <c r="C14" s="86" t="n">
        <v>0</v>
      </c>
    </row>
    <row r="15" customFormat="false" ht="20.25" hidden="false" customHeight="false" outlineLevel="0" collapsed="false">
      <c r="A15" s="85"/>
      <c r="B15" s="148" t="n">
        <v>80</v>
      </c>
      <c r="C15" s="86" t="n">
        <v>4</v>
      </c>
      <c r="D15" s="145" t="s">
        <v>147</v>
      </c>
    </row>
    <row r="16" customFormat="false" ht="20.25" hidden="false" customHeight="false" outlineLevel="0" collapsed="false">
      <c r="A16" s="85"/>
      <c r="B16" s="148" t="n">
        <v>85</v>
      </c>
      <c r="C16" s="86" t="n">
        <v>3</v>
      </c>
      <c r="D16" s="145" t="s">
        <v>152</v>
      </c>
    </row>
    <row r="17" customFormat="false" ht="20.25" hidden="false" customHeight="false" outlineLevel="0" collapsed="false">
      <c r="A17" s="85"/>
      <c r="B17" s="148" t="n">
        <v>90</v>
      </c>
      <c r="C17" s="86" t="n">
        <v>2</v>
      </c>
    </row>
    <row r="18" customFormat="false" ht="20.25" hidden="false" customHeight="false" outlineLevel="0" collapsed="false">
      <c r="A18" s="85"/>
      <c r="B18" s="148" t="n">
        <v>95</v>
      </c>
      <c r="C18" s="86" t="n">
        <v>5</v>
      </c>
    </row>
    <row r="19" customFormat="false" ht="20.25" hidden="false" customHeight="false" outlineLevel="0" collapsed="false">
      <c r="A19" s="85"/>
      <c r="B19" s="148" t="n">
        <v>100</v>
      </c>
      <c r="C19" s="86" t="n">
        <v>4</v>
      </c>
    </row>
    <row r="20" customFormat="false" ht="20.25" hidden="false" customHeight="false" outlineLevel="0" collapsed="false">
      <c r="A20" s="85"/>
      <c r="B20" s="148" t="n">
        <v>105</v>
      </c>
      <c r="C20" s="86" t="n">
        <v>1</v>
      </c>
    </row>
    <row r="21" customFormat="false" ht="20.25" hidden="false" customHeight="false" outlineLevel="0" collapsed="false">
      <c r="A21" s="85"/>
      <c r="B21" s="148" t="n">
        <v>110</v>
      </c>
      <c r="C21" s="86" t="n">
        <v>2</v>
      </c>
    </row>
    <row r="22" customFormat="false" ht="20.25" hidden="false" customHeight="false" outlineLevel="0" collapsed="false">
      <c r="A22" s="85"/>
      <c r="B22" s="148" t="n">
        <v>112</v>
      </c>
      <c r="C22" s="86" t="n">
        <v>3</v>
      </c>
    </row>
    <row r="23" customFormat="false" ht="20.25" hidden="false" customHeight="false" outlineLevel="0" collapsed="false">
      <c r="A23" s="85"/>
      <c r="B23" s="148" t="n">
        <v>115</v>
      </c>
      <c r="C23" s="86" t="n">
        <v>3</v>
      </c>
    </row>
    <row r="24" customFormat="false" ht="20.25" hidden="false" customHeight="false" outlineLevel="0" collapsed="false">
      <c r="A24" s="85"/>
      <c r="B24" s="148" t="n">
        <v>120</v>
      </c>
      <c r="C24" s="86" t="n">
        <v>6</v>
      </c>
    </row>
    <row r="25" customFormat="false" ht="20.25" hidden="false" customHeight="false" outlineLevel="0" collapsed="false">
      <c r="A25" s="85"/>
      <c r="B25" s="148" t="n">
        <v>130</v>
      </c>
      <c r="C25" s="86" t="n">
        <v>5</v>
      </c>
    </row>
    <row r="26" customFormat="false" ht="20.25" hidden="false" customHeight="false" outlineLevel="0" collapsed="false">
      <c r="A26" s="85"/>
      <c r="B26" s="148" t="n">
        <v>135</v>
      </c>
      <c r="C26" s="86" t="n">
        <v>2</v>
      </c>
    </row>
    <row r="27" customFormat="false" ht="20.25" hidden="false" customHeight="false" outlineLevel="0" collapsed="false">
      <c r="A27" s="85"/>
      <c r="B27" s="148" t="n">
        <v>140</v>
      </c>
      <c r="C27" s="86" t="n">
        <v>3</v>
      </c>
    </row>
    <row r="28" customFormat="false" ht="20.25" hidden="false" customHeight="false" outlineLevel="0" collapsed="false">
      <c r="A28" s="85"/>
      <c r="B28" s="148" t="n">
        <v>145</v>
      </c>
      <c r="C28" s="86" t="n">
        <v>4</v>
      </c>
    </row>
    <row r="29" customFormat="false" ht="20.25" hidden="false" customHeight="false" outlineLevel="0" collapsed="false">
      <c r="A29" s="85"/>
      <c r="B29" s="148" t="n">
        <v>150</v>
      </c>
      <c r="C29" s="86" t="n">
        <v>1</v>
      </c>
    </row>
    <row r="30" customFormat="false" ht="20.25" hidden="false" customHeight="false" outlineLevel="0" collapsed="false">
      <c r="A30" s="85"/>
      <c r="B30" s="148" t="n">
        <v>155</v>
      </c>
      <c r="C30" s="86" t="n">
        <v>9</v>
      </c>
    </row>
    <row r="31" customFormat="false" ht="20.25" hidden="false" customHeight="false" outlineLevel="0" collapsed="false">
      <c r="A31" s="85"/>
      <c r="B31" s="148" t="n">
        <v>160</v>
      </c>
      <c r="C31" s="86" t="n">
        <v>2</v>
      </c>
      <c r="D31" s="145" t="s">
        <v>172</v>
      </c>
    </row>
    <row r="32" customFormat="false" ht="20.25" hidden="false" customHeight="false" outlineLevel="0" collapsed="false">
      <c r="A32" s="85"/>
      <c r="B32" s="148" t="n">
        <v>165</v>
      </c>
      <c r="C32" s="86" t="n">
        <v>2</v>
      </c>
    </row>
    <row r="33" customFormat="false" ht="20.25" hidden="false" customHeight="false" outlineLevel="0" collapsed="false">
      <c r="A33" s="85"/>
      <c r="B33" s="148" t="n">
        <v>180</v>
      </c>
      <c r="C33" s="86" t="n">
        <v>1</v>
      </c>
    </row>
    <row r="34" customFormat="false" ht="20.25" hidden="false" customHeight="false" outlineLevel="0" collapsed="false">
      <c r="A34" s="85"/>
      <c r="B34" s="148" t="n">
        <v>210</v>
      </c>
      <c r="C34" s="86" t="n">
        <v>4</v>
      </c>
    </row>
    <row r="35" customFormat="false" ht="20.25" hidden="false" customHeight="false" outlineLevel="0" collapsed="false">
      <c r="A35" s="93"/>
      <c r="B35" s="94" t="n">
        <v>102</v>
      </c>
      <c r="C35" s="96" t="n">
        <v>0</v>
      </c>
    </row>
    <row r="36" customFormat="false" ht="20.25" hidden="false" customHeight="false" outlineLevel="0" collapsed="false">
      <c r="A36" s="81" t="s">
        <v>131</v>
      </c>
      <c r="B36" s="91" t="n">
        <v>90</v>
      </c>
      <c r="C36" s="82" t="n">
        <v>1</v>
      </c>
    </row>
    <row r="37" customFormat="false" ht="20.25" hidden="false" customHeight="false" outlineLevel="0" collapsed="false">
      <c r="A37" s="85"/>
      <c r="B37" s="148" t="n">
        <v>100</v>
      </c>
      <c r="C37" s="86" t="n">
        <v>1</v>
      </c>
    </row>
    <row r="38" customFormat="false" ht="20.25" hidden="false" customHeight="false" outlineLevel="0" collapsed="false">
      <c r="A38" s="85"/>
      <c r="B38" s="148" t="n">
        <v>120</v>
      </c>
      <c r="C38" s="86" t="n">
        <v>1</v>
      </c>
    </row>
    <row r="39" customFormat="false" ht="20.25" hidden="false" customHeight="false" outlineLevel="0" collapsed="false">
      <c r="A39" s="93"/>
      <c r="B39" s="94" t="n">
        <v>145</v>
      </c>
      <c r="C39" s="96" t="n">
        <v>1</v>
      </c>
      <c r="D39" s="9" t="s">
        <v>157</v>
      </c>
    </row>
    <row r="40" customFormat="false" ht="20.25" hidden="false" customHeight="false" outlineLevel="0" collapsed="false">
      <c r="A40" s="81" t="s">
        <v>117</v>
      </c>
      <c r="B40" s="91" t="n">
        <v>60</v>
      </c>
      <c r="C40" s="82" t="n">
        <v>1</v>
      </c>
    </row>
    <row r="41" customFormat="false" ht="20.25" hidden="false" customHeight="false" outlineLevel="0" collapsed="false">
      <c r="A41" s="85"/>
      <c r="B41" s="148" t="n">
        <v>88</v>
      </c>
      <c r="C41" s="86" t="n">
        <v>1</v>
      </c>
    </row>
    <row r="42" customFormat="false" ht="20.25" hidden="false" customHeight="false" outlineLevel="0" collapsed="false">
      <c r="A42" s="85"/>
      <c r="B42" s="148" t="n">
        <v>100</v>
      </c>
      <c r="C42" s="86" t="n">
        <v>2</v>
      </c>
    </row>
    <row r="43" customFormat="false" ht="20.25" hidden="false" customHeight="false" outlineLevel="0" collapsed="false">
      <c r="A43" s="85"/>
      <c r="B43" s="148" t="n">
        <v>110</v>
      </c>
      <c r="C43" s="86" t="n">
        <v>2</v>
      </c>
    </row>
    <row r="44" customFormat="false" ht="20.25" hidden="false" customHeight="false" outlineLevel="0" collapsed="false">
      <c r="A44" s="93"/>
      <c r="B44" s="94" t="n">
        <v>130</v>
      </c>
      <c r="C44" s="96" t="n">
        <v>1</v>
      </c>
    </row>
    <row r="45" customFormat="false" ht="20.25" hidden="false" customHeight="false" outlineLevel="0" collapsed="false">
      <c r="A45" s="81" t="s">
        <v>125</v>
      </c>
      <c r="B45" s="91" t="n">
        <v>80</v>
      </c>
      <c r="C45" s="82" t="n">
        <v>1</v>
      </c>
    </row>
    <row r="46" customFormat="false" ht="20.25" hidden="false" customHeight="false" outlineLevel="0" collapsed="false">
      <c r="A46" s="85"/>
      <c r="B46" s="148" t="n">
        <v>83</v>
      </c>
      <c r="C46" s="86" t="n">
        <v>1</v>
      </c>
    </row>
    <row r="47" customFormat="false" ht="20.25" hidden="false" customHeight="false" outlineLevel="0" collapsed="false">
      <c r="A47" s="85"/>
      <c r="B47" s="148" t="n">
        <v>85</v>
      </c>
      <c r="C47" s="86" t="n">
        <v>1</v>
      </c>
    </row>
    <row r="48" customFormat="false" ht="20.25" hidden="false" customHeight="false" outlineLevel="0" collapsed="false">
      <c r="A48" s="85"/>
      <c r="B48" s="148" t="n">
        <v>110</v>
      </c>
      <c r="C48" s="86" t="n">
        <v>0</v>
      </c>
    </row>
    <row r="49" customFormat="false" ht="20.25" hidden="false" customHeight="false" outlineLevel="0" collapsed="false">
      <c r="A49" s="85"/>
      <c r="B49" s="148" t="n">
        <v>125</v>
      </c>
      <c r="C49" s="86" t="n">
        <v>1</v>
      </c>
    </row>
    <row r="50" customFormat="false" ht="20.25" hidden="false" customHeight="false" outlineLevel="0" collapsed="false">
      <c r="A50" s="93"/>
      <c r="B50" s="94" t="n">
        <v>155</v>
      </c>
      <c r="C50" s="96" t="n">
        <v>2</v>
      </c>
    </row>
    <row r="51" customFormat="false" ht="20.25" hidden="false" customHeight="false" outlineLevel="0" collapsed="false">
      <c r="A51" s="81" t="s">
        <v>114</v>
      </c>
      <c r="B51" s="91" t="n">
        <v>40</v>
      </c>
      <c r="C51" s="82" t="n">
        <v>1</v>
      </c>
    </row>
    <row r="52" customFormat="false" ht="20.25" hidden="false" customHeight="false" outlineLevel="0" collapsed="false">
      <c r="A52" s="85"/>
      <c r="B52" s="148" t="n">
        <v>60</v>
      </c>
      <c r="C52" s="86" t="n">
        <v>0</v>
      </c>
    </row>
    <row r="53" customFormat="false" ht="20.25" hidden="false" customHeight="false" outlineLevel="0" collapsed="false">
      <c r="A53" s="85"/>
      <c r="B53" s="148" t="n">
        <v>70</v>
      </c>
      <c r="C53" s="86" t="n">
        <v>0</v>
      </c>
    </row>
    <row r="54" customFormat="false" ht="20.25" hidden="false" customHeight="false" outlineLevel="0" collapsed="false">
      <c r="A54" s="85"/>
      <c r="B54" s="148" t="n">
        <v>80</v>
      </c>
      <c r="C54" s="86" t="n">
        <v>1</v>
      </c>
    </row>
    <row r="55" customFormat="false" ht="20.25" hidden="false" customHeight="false" outlineLevel="0" collapsed="false">
      <c r="A55" s="85"/>
      <c r="B55" s="148" t="n">
        <v>83</v>
      </c>
      <c r="C55" s="86" t="n">
        <v>2</v>
      </c>
    </row>
    <row r="56" customFormat="false" ht="20.25" hidden="false" customHeight="false" outlineLevel="0" collapsed="false">
      <c r="A56" s="85"/>
      <c r="B56" s="148" t="n">
        <v>85</v>
      </c>
      <c r="C56" s="86" t="n">
        <v>2</v>
      </c>
    </row>
    <row r="57" customFormat="false" ht="20.25" hidden="false" customHeight="false" outlineLevel="0" collapsed="false">
      <c r="A57" s="85"/>
      <c r="B57" s="148" t="n">
        <v>95</v>
      </c>
      <c r="C57" s="86" t="n">
        <v>4</v>
      </c>
    </row>
    <row r="58" customFormat="false" ht="20.25" hidden="false" customHeight="false" outlineLevel="0" collapsed="false">
      <c r="A58" s="85"/>
      <c r="B58" s="148" t="n">
        <v>100</v>
      </c>
      <c r="C58" s="86" t="n">
        <v>2</v>
      </c>
    </row>
    <row r="59" customFormat="false" ht="20.25" hidden="false" customHeight="false" outlineLevel="0" collapsed="false">
      <c r="A59" s="85"/>
      <c r="B59" s="148" t="n">
        <v>110</v>
      </c>
      <c r="C59" s="86" t="n">
        <v>3</v>
      </c>
    </row>
    <row r="60" customFormat="false" ht="20.25" hidden="false" customHeight="false" outlineLevel="0" collapsed="false">
      <c r="A60" s="85"/>
      <c r="B60" s="148" t="n">
        <v>130</v>
      </c>
      <c r="C60" s="86" t="n">
        <v>2</v>
      </c>
    </row>
    <row r="61" customFormat="false" ht="20.25" hidden="false" customHeight="false" outlineLevel="0" collapsed="false">
      <c r="A61" s="85"/>
      <c r="B61" s="148" t="n">
        <v>131</v>
      </c>
      <c r="C61" s="86" t="n">
        <v>3</v>
      </c>
    </row>
    <row r="62" customFormat="false" ht="20.25" hidden="false" customHeight="false" outlineLevel="0" collapsed="false">
      <c r="A62" s="85"/>
      <c r="B62" s="148" t="n">
        <v>135</v>
      </c>
      <c r="C62" s="86" t="n">
        <v>0</v>
      </c>
    </row>
    <row r="63" customFormat="false" ht="20.25" hidden="false" customHeight="false" outlineLevel="0" collapsed="false">
      <c r="A63" s="85"/>
      <c r="B63" s="148" t="n">
        <v>145</v>
      </c>
      <c r="C63" s="86" t="n">
        <v>2</v>
      </c>
    </row>
    <row r="64" customFormat="false" ht="20.25" hidden="false" customHeight="false" outlineLevel="0" collapsed="false">
      <c r="A64" s="85"/>
      <c r="B64" s="148" t="n">
        <v>155</v>
      </c>
      <c r="C64" s="86" t="n">
        <v>1</v>
      </c>
    </row>
    <row r="65" customFormat="false" ht="20.25" hidden="false" customHeight="false" outlineLevel="0" collapsed="false">
      <c r="A65" s="85"/>
      <c r="B65" s="148" t="n">
        <v>205</v>
      </c>
      <c r="C65" s="86" t="n">
        <v>1</v>
      </c>
    </row>
    <row r="66" customFormat="false" ht="20.25" hidden="false" customHeight="false" outlineLevel="0" collapsed="false">
      <c r="A66" s="93"/>
      <c r="B66" s="94" t="n">
        <v>210</v>
      </c>
      <c r="C66" s="96" t="n">
        <v>3</v>
      </c>
    </row>
    <row r="67" customFormat="false" ht="20.25" hidden="false" customHeight="false" outlineLevel="0" collapsed="false">
      <c r="A67" s="81" t="s">
        <v>112</v>
      </c>
      <c r="B67" s="91" t="n">
        <v>60</v>
      </c>
      <c r="C67" s="82" t="n">
        <v>2</v>
      </c>
    </row>
    <row r="68" customFormat="false" ht="20.25" hidden="false" customHeight="false" outlineLevel="0" collapsed="false">
      <c r="A68" s="85"/>
      <c r="B68" s="148" t="n">
        <v>61</v>
      </c>
      <c r="C68" s="86" t="n">
        <v>2</v>
      </c>
    </row>
    <row r="69" customFormat="false" ht="20.25" hidden="false" customHeight="false" outlineLevel="0" collapsed="false">
      <c r="A69" s="85"/>
      <c r="B69" s="148" t="n">
        <v>65</v>
      </c>
      <c r="C69" s="86" t="n">
        <v>0</v>
      </c>
    </row>
    <row r="70" customFormat="false" ht="20.25" hidden="false" customHeight="false" outlineLevel="0" collapsed="false">
      <c r="A70" s="85"/>
      <c r="B70" s="148" t="n">
        <v>75</v>
      </c>
      <c r="C70" s="86" t="n">
        <v>0</v>
      </c>
    </row>
    <row r="71" customFormat="false" ht="20.25" hidden="false" customHeight="false" outlineLevel="0" collapsed="false">
      <c r="A71" s="85"/>
      <c r="B71" s="148" t="n">
        <v>80</v>
      </c>
      <c r="C71" s="86" t="n">
        <v>6</v>
      </c>
    </row>
    <row r="72" customFormat="false" ht="20.25" hidden="false" customHeight="false" outlineLevel="0" collapsed="false">
      <c r="A72" s="85"/>
      <c r="B72" s="148" t="n">
        <v>83</v>
      </c>
      <c r="C72" s="86" t="n">
        <v>1</v>
      </c>
    </row>
    <row r="73" customFormat="false" ht="20.25" hidden="false" customHeight="false" outlineLevel="0" collapsed="false">
      <c r="A73" s="85"/>
      <c r="B73" s="148" t="n">
        <v>85</v>
      </c>
      <c r="C73" s="86" t="n">
        <v>0</v>
      </c>
    </row>
    <row r="74" customFormat="false" ht="20.25" hidden="false" customHeight="false" outlineLevel="0" collapsed="false">
      <c r="A74" s="85"/>
      <c r="B74" s="148" t="n">
        <v>90</v>
      </c>
      <c r="C74" s="86" t="n">
        <v>0</v>
      </c>
    </row>
    <row r="75" customFormat="false" ht="20.25" hidden="false" customHeight="false" outlineLevel="0" collapsed="false">
      <c r="A75" s="85"/>
      <c r="B75" s="148" t="n">
        <v>95</v>
      </c>
      <c r="C75" s="86" t="n">
        <v>0</v>
      </c>
    </row>
    <row r="76" customFormat="false" ht="20.25" hidden="false" customHeight="false" outlineLevel="0" collapsed="false">
      <c r="A76" s="85"/>
      <c r="B76" s="148" t="n">
        <v>100</v>
      </c>
      <c r="C76" s="86" t="n">
        <v>0</v>
      </c>
    </row>
    <row r="77" customFormat="false" ht="20.25" hidden="false" customHeight="false" outlineLevel="0" collapsed="false">
      <c r="A77" s="85"/>
      <c r="B77" s="148" t="n">
        <v>110</v>
      </c>
      <c r="C77" s="86" t="n">
        <v>0</v>
      </c>
    </row>
    <row r="78" customFormat="false" ht="20.25" hidden="false" customHeight="false" outlineLevel="0" collapsed="false">
      <c r="A78" s="85"/>
      <c r="B78" s="148" t="n">
        <v>120</v>
      </c>
      <c r="C78" s="86" t="n">
        <v>5</v>
      </c>
    </row>
    <row r="79" customFormat="false" ht="20.25" hidden="false" customHeight="false" outlineLevel="0" collapsed="false">
      <c r="A79" s="85"/>
      <c r="B79" s="148" t="n">
        <v>130</v>
      </c>
      <c r="C79" s="86" t="n">
        <v>0</v>
      </c>
    </row>
    <row r="80" customFormat="false" ht="20.25" hidden="false" customHeight="false" outlineLevel="0" collapsed="false">
      <c r="A80" s="85"/>
      <c r="B80" s="148" t="n">
        <v>132</v>
      </c>
      <c r="C80" s="86" t="n">
        <v>3</v>
      </c>
    </row>
    <row r="81" customFormat="false" ht="20.25" hidden="false" customHeight="false" outlineLevel="0" collapsed="false">
      <c r="A81" s="85"/>
      <c r="B81" s="148" t="n">
        <v>145</v>
      </c>
      <c r="C81" s="86" t="n">
        <v>2</v>
      </c>
    </row>
    <row r="82" customFormat="false" ht="20.25" hidden="false" customHeight="false" outlineLevel="0" collapsed="false">
      <c r="A82" s="85"/>
      <c r="B82" s="148" t="n">
        <v>150</v>
      </c>
      <c r="C82" s="86" t="n">
        <v>0</v>
      </c>
    </row>
    <row r="83" customFormat="false" ht="20.25" hidden="false" customHeight="false" outlineLevel="0" collapsed="false">
      <c r="A83" s="85"/>
      <c r="B83" s="148" t="n">
        <v>160</v>
      </c>
      <c r="C83" s="86" t="n">
        <v>3</v>
      </c>
    </row>
    <row r="84" customFormat="false" ht="20.25" hidden="false" customHeight="false" outlineLevel="0" collapsed="false">
      <c r="A84" s="85"/>
      <c r="B84" s="148" t="n">
        <v>205</v>
      </c>
      <c r="C84" s="86" t="n">
        <v>1</v>
      </c>
    </row>
    <row r="85" customFormat="false" ht="20.25" hidden="false" customHeight="false" outlineLevel="0" collapsed="false">
      <c r="A85" s="85"/>
      <c r="B85" s="148" t="n">
        <v>210</v>
      </c>
      <c r="C85" s="86" t="n">
        <v>12</v>
      </c>
    </row>
    <row r="86" customFormat="false" ht="20.25" hidden="false" customHeight="false" outlineLevel="0" collapsed="false">
      <c r="A86" s="93"/>
      <c r="B86" s="94" t="n">
        <v>30</v>
      </c>
      <c r="C86" s="96" t="n">
        <v>0</v>
      </c>
    </row>
    <row r="87" customFormat="false" ht="20.25" hidden="false" customHeight="false" outlineLevel="0" collapsed="false">
      <c r="A87" s="81" t="s">
        <v>121</v>
      </c>
      <c r="B87" s="91" t="n">
        <v>75</v>
      </c>
      <c r="C87" s="82" t="n">
        <v>1</v>
      </c>
    </row>
    <row r="88" customFormat="false" ht="20.25" hidden="false" customHeight="false" outlineLevel="0" collapsed="false">
      <c r="A88" s="85"/>
      <c r="B88" s="148" t="n">
        <v>80</v>
      </c>
      <c r="C88" s="86" t="n">
        <v>0</v>
      </c>
    </row>
    <row r="89" customFormat="false" ht="20.25" hidden="false" customHeight="false" outlineLevel="0" collapsed="false">
      <c r="A89" s="85"/>
      <c r="B89" s="148" t="n">
        <v>84</v>
      </c>
      <c r="C89" s="86" t="n">
        <v>2</v>
      </c>
    </row>
    <row r="90" customFormat="false" ht="20.25" hidden="false" customHeight="false" outlineLevel="0" collapsed="false">
      <c r="A90" s="85"/>
      <c r="B90" s="148" t="n">
        <v>90</v>
      </c>
      <c r="C90" s="86" t="n">
        <v>1</v>
      </c>
    </row>
    <row r="91" customFormat="false" ht="20.25" hidden="false" customHeight="false" outlineLevel="0" collapsed="false">
      <c r="A91" s="93"/>
      <c r="B91" s="94" t="n">
        <v>105</v>
      </c>
      <c r="C91" s="96" t="n">
        <v>2</v>
      </c>
    </row>
    <row r="92" customFormat="false" ht="20.25" hidden="false" customHeight="false" outlineLevel="0" collapsed="false">
      <c r="A92" s="81" t="s">
        <v>123</v>
      </c>
      <c r="B92" s="91" t="n">
        <v>80</v>
      </c>
      <c r="C92" s="82" t="n">
        <v>2</v>
      </c>
    </row>
    <row r="93" customFormat="false" ht="20.25" hidden="false" customHeight="false" outlineLevel="0" collapsed="false">
      <c r="A93" s="93"/>
      <c r="B93" s="94" t="n">
        <v>76</v>
      </c>
      <c r="C93" s="96" t="n">
        <v>1</v>
      </c>
    </row>
    <row r="94" customFormat="false" ht="20.25" hidden="false" customHeight="false" outlineLevel="0" collapsed="false">
      <c r="A94" s="81" t="s">
        <v>134</v>
      </c>
      <c r="B94" s="91" t="n">
        <v>100</v>
      </c>
      <c r="C94" s="82" t="n">
        <v>1</v>
      </c>
    </row>
    <row r="95" customFormat="false" ht="20.25" hidden="false" customHeight="false" outlineLevel="0" collapsed="false">
      <c r="A95" s="85"/>
      <c r="B95" s="148" t="n">
        <v>105</v>
      </c>
      <c r="C95" s="86" t="n">
        <v>2</v>
      </c>
    </row>
    <row r="96" customFormat="false" ht="20.25" hidden="false" customHeight="false" outlineLevel="0" collapsed="false">
      <c r="A96" s="85"/>
      <c r="B96" s="148" t="n">
        <v>110</v>
      </c>
      <c r="C96" s="86" t="n">
        <v>0</v>
      </c>
    </row>
    <row r="97" customFormat="false" ht="20.25" hidden="false" customHeight="false" outlineLevel="0" collapsed="false">
      <c r="A97" s="93"/>
      <c r="B97" s="94" t="n">
        <v>120</v>
      </c>
      <c r="C97" s="96" t="n">
        <v>1</v>
      </c>
    </row>
    <row r="98" customFormat="false" ht="20.25" hidden="false" customHeight="false" outlineLevel="0" collapsed="false">
      <c r="A98" s="87" t="s">
        <v>136</v>
      </c>
      <c r="B98" s="88" t="n">
        <v>128</v>
      </c>
      <c r="C98" s="149" t="n">
        <v>1</v>
      </c>
    </row>
    <row r="99" customFormat="false" ht="20.25" hidden="false" customHeight="false" outlineLevel="0" collapsed="false">
      <c r="A99" s="87" t="s">
        <v>138</v>
      </c>
      <c r="B99" s="88" t="n">
        <v>163</v>
      </c>
      <c r="C99" s="149" t="n">
        <v>1</v>
      </c>
    </row>
    <row r="100" customFormat="false" ht="20.25" hidden="false" customHeight="false" outlineLevel="0" collapsed="false">
      <c r="A100" s="81" t="s">
        <v>129</v>
      </c>
      <c r="B100" s="91" t="n">
        <v>80</v>
      </c>
      <c r="C100" s="82" t="n">
        <v>1</v>
      </c>
    </row>
    <row r="101" customFormat="false" ht="20.25" hidden="false" customHeight="false" outlineLevel="0" collapsed="false">
      <c r="A101" s="85"/>
      <c r="B101" s="148" t="n">
        <v>100</v>
      </c>
      <c r="C101" s="86" t="n">
        <v>2</v>
      </c>
    </row>
    <row r="102" customFormat="false" ht="20.25" hidden="false" customHeight="false" outlineLevel="0" collapsed="false">
      <c r="A102" s="85"/>
      <c r="B102" s="148" t="n">
        <v>105</v>
      </c>
      <c r="C102" s="86" t="n">
        <v>2</v>
      </c>
    </row>
    <row r="103" customFormat="false" ht="20.25" hidden="false" customHeight="false" outlineLevel="0" collapsed="false">
      <c r="A103" s="85"/>
      <c r="B103" s="148" t="n">
        <v>110</v>
      </c>
      <c r="C103" s="86" t="n">
        <v>5</v>
      </c>
    </row>
    <row r="104" customFormat="false" ht="20.25" hidden="false" customHeight="false" outlineLevel="0" collapsed="false">
      <c r="A104" s="85"/>
      <c r="B104" s="148" t="n">
        <v>120</v>
      </c>
      <c r="C104" s="86" t="n">
        <v>4</v>
      </c>
    </row>
    <row r="105" customFormat="false" ht="20.25" hidden="false" customHeight="false" outlineLevel="0" collapsed="false">
      <c r="A105" s="93"/>
      <c r="B105" s="94" t="n">
        <v>125</v>
      </c>
      <c r="C105" s="96" t="n">
        <v>2</v>
      </c>
    </row>
    <row r="106" customFormat="false" ht="20.25" hidden="false" customHeight="false" outlineLevel="0" collapsed="false">
      <c r="A106" s="81" t="s">
        <v>127</v>
      </c>
      <c r="B106" s="91" t="n">
        <v>80</v>
      </c>
      <c r="C106" s="82" t="n">
        <v>5</v>
      </c>
    </row>
    <row r="107" customFormat="false" ht="20.25" hidden="false" customHeight="false" outlineLevel="0" collapsed="false">
      <c r="A107" s="85"/>
      <c r="B107" s="148" t="n">
        <v>90</v>
      </c>
      <c r="C107" s="86" t="n">
        <v>0</v>
      </c>
    </row>
    <row r="108" customFormat="false" ht="20.25" hidden="false" customHeight="false" outlineLevel="0" collapsed="false">
      <c r="A108" s="85"/>
      <c r="B108" s="148" t="n">
        <v>110</v>
      </c>
      <c r="C108" s="86" t="n">
        <v>4</v>
      </c>
    </row>
    <row r="109" customFormat="false" ht="20.25" hidden="false" customHeight="false" outlineLevel="0" collapsed="false">
      <c r="A109" s="85"/>
      <c r="B109" s="148" t="n">
        <v>130</v>
      </c>
      <c r="C109" s="86" t="n">
        <v>1</v>
      </c>
    </row>
    <row r="110" customFormat="false" ht="20.25" hidden="false" customHeight="false" outlineLevel="0" collapsed="false">
      <c r="A110" s="93"/>
      <c r="B110" s="94" t="n">
        <v>140</v>
      </c>
      <c r="C110" s="96" t="n">
        <v>1</v>
      </c>
    </row>
    <row r="111" customFormat="false" ht="20.25" hidden="false" customHeight="false" outlineLevel="0" collapsed="false">
      <c r="A111" s="98" t="s">
        <v>28</v>
      </c>
      <c r="B111" s="99"/>
      <c r="C111" s="97" t="n">
        <v>223</v>
      </c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26.43"/>
    <col collapsed="false" customWidth="true" hidden="false" outlineLevel="0" max="2" min="2" style="1" width="13.43"/>
    <col collapsed="false" customWidth="true" hidden="false" outlineLevel="0" max="3" min="3" style="1" width="12.43"/>
    <col collapsed="false" customWidth="true" hidden="false" outlineLevel="0" max="4" min="4" style="1" width="11.43"/>
    <col collapsed="false" customWidth="true" hidden="false" outlineLevel="0" max="5" min="5" style="1" width="10.86"/>
    <col collapsed="false" customWidth="true" hidden="false" outlineLevel="0" max="6" min="6" style="1" width="9.86"/>
    <col collapsed="false" customWidth="true" hidden="false" outlineLevel="0" max="7" min="7" style="1" width="10.86"/>
    <col collapsed="false" customWidth="true" hidden="false" outlineLevel="0" max="8" min="8" style="1" width="16.43"/>
    <col collapsed="false" customWidth="true" hidden="false" outlineLevel="0" max="10" min="9" style="1" width="8.57"/>
    <col collapsed="false" customWidth="true" hidden="false" outlineLevel="0" max="11" min="11" style="1" width="28"/>
    <col collapsed="false" customWidth="true" hidden="false" outlineLevel="0" max="12" min="12" style="1" width="10.86"/>
    <col collapsed="false" customWidth="true" hidden="false" outlineLevel="0" max="26" min="13" style="1" width="8.57"/>
    <col collapsed="false" customWidth="false" hidden="false" outlineLevel="0" max="16384" min="27" style="1" width="14.43"/>
  </cols>
  <sheetData>
    <row r="1" customFormat="false" ht="20.25" hidden="false" customHeight="false" outlineLevel="0" collapsed="false">
      <c r="A1" s="150" t="s">
        <v>194</v>
      </c>
      <c r="B1" s="150"/>
      <c r="C1" s="150"/>
      <c r="D1" s="150"/>
      <c r="E1" s="150"/>
      <c r="F1" s="150"/>
      <c r="G1" s="150"/>
      <c r="H1" s="150"/>
    </row>
    <row r="2" customFormat="false" ht="20.25" hidden="false" customHeight="false" outlineLevel="0" collapsed="false">
      <c r="A2" s="151" t="s">
        <v>4</v>
      </c>
      <c r="B2" s="151" t="s">
        <v>2</v>
      </c>
      <c r="C2" s="151" t="s">
        <v>195</v>
      </c>
      <c r="D2" s="152" t="s">
        <v>10</v>
      </c>
      <c r="E2" s="153" t="s">
        <v>196</v>
      </c>
      <c r="F2" s="153" t="s">
        <v>197</v>
      </c>
      <c r="G2" s="153" t="s">
        <v>12</v>
      </c>
      <c r="H2" s="153" t="s">
        <v>12</v>
      </c>
      <c r="K2" s="154" t="n">
        <v>45682</v>
      </c>
    </row>
    <row r="3" customFormat="false" ht="20.25" hidden="false" customHeight="false" outlineLevel="0" collapsed="false">
      <c r="A3" s="155" t="s">
        <v>198</v>
      </c>
      <c r="B3" s="156" t="n">
        <v>10</v>
      </c>
      <c r="C3" s="156"/>
      <c r="D3" s="156" t="n">
        <v>3600</v>
      </c>
      <c r="E3" s="156"/>
      <c r="F3" s="156"/>
      <c r="G3" s="157" t="n">
        <f aca="false">D3+E3-F3</f>
        <v>3600</v>
      </c>
      <c r="H3" s="158" t="n">
        <f aca="false">G3*(B3/10)*0.05</f>
        <v>180</v>
      </c>
      <c r="K3" s="159" t="s">
        <v>199</v>
      </c>
      <c r="L3" s="160" t="s">
        <v>77</v>
      </c>
      <c r="M3" s="161" t="s">
        <v>200</v>
      </c>
      <c r="N3" s="162" t="s">
        <v>201</v>
      </c>
    </row>
    <row r="4" customFormat="false" ht="20.25" hidden="false" customHeight="false" outlineLevel="0" collapsed="false">
      <c r="A4" s="155" t="s">
        <v>198</v>
      </c>
      <c r="B4" s="156" t="n">
        <v>15</v>
      </c>
      <c r="C4" s="156"/>
      <c r="D4" s="156" t="n">
        <v>1200</v>
      </c>
      <c r="E4" s="156"/>
      <c r="F4" s="156"/>
      <c r="G4" s="157" t="n">
        <f aca="false">D4+E4-F4</f>
        <v>1200</v>
      </c>
      <c r="H4" s="158" t="n">
        <f aca="false">G4*(B4/10)*0.05</f>
        <v>90</v>
      </c>
      <c r="K4" s="163" t="s">
        <v>202</v>
      </c>
      <c r="L4" s="160" t="s">
        <v>203</v>
      </c>
      <c r="M4" s="161" t="n">
        <v>1000</v>
      </c>
      <c r="N4" s="162" t="n">
        <v>0.207</v>
      </c>
    </row>
    <row r="5" customFormat="false" ht="20.25" hidden="false" customHeight="false" outlineLevel="0" collapsed="false">
      <c r="A5" s="155" t="s">
        <v>204</v>
      </c>
      <c r="B5" s="156" t="n">
        <v>15</v>
      </c>
      <c r="C5" s="156"/>
      <c r="D5" s="156" t="n">
        <v>2100</v>
      </c>
      <c r="E5" s="156"/>
      <c r="F5" s="156"/>
      <c r="G5" s="157" t="n">
        <f aca="false">D5+E5-F5</f>
        <v>2100</v>
      </c>
      <c r="H5" s="158" t="n">
        <f aca="false">G5*(B5/10)*0.05</f>
        <v>157.5</v>
      </c>
      <c r="K5" s="164" t="s">
        <v>205</v>
      </c>
      <c r="L5" s="160" t="s">
        <v>203</v>
      </c>
      <c r="M5" s="161" t="n">
        <v>1000</v>
      </c>
      <c r="N5" s="162" t="n">
        <v>0.122</v>
      </c>
    </row>
    <row r="6" customFormat="false" ht="20.25" hidden="false" customHeight="false" outlineLevel="0" collapsed="false">
      <c r="A6" s="155" t="s">
        <v>198</v>
      </c>
      <c r="B6" s="156" t="n">
        <v>20</v>
      </c>
      <c r="C6" s="156"/>
      <c r="D6" s="156" t="n">
        <v>600</v>
      </c>
      <c r="E6" s="156"/>
      <c r="F6" s="156"/>
      <c r="G6" s="157" t="n">
        <f aca="false">D6+E6-F6</f>
        <v>600</v>
      </c>
      <c r="H6" s="158" t="n">
        <f aca="false">G6*(B6/10)*0.05</f>
        <v>60</v>
      </c>
      <c r="K6" s="163" t="s">
        <v>206</v>
      </c>
      <c r="L6" s="160" t="s">
        <v>207</v>
      </c>
      <c r="M6" s="161" t="n">
        <v>3000</v>
      </c>
      <c r="N6" s="162" t="n">
        <v>0.09</v>
      </c>
    </row>
    <row r="7" customFormat="false" ht="20.25" hidden="false" customHeight="false" outlineLevel="0" collapsed="false">
      <c r="A7" s="155" t="s">
        <v>208</v>
      </c>
      <c r="B7" s="156" t="n">
        <v>20</v>
      </c>
      <c r="C7" s="156"/>
      <c r="D7" s="156" t="n">
        <v>750</v>
      </c>
      <c r="E7" s="156"/>
      <c r="F7" s="156"/>
      <c r="G7" s="157" t="n">
        <f aca="false">D7+E7-F7</f>
        <v>750</v>
      </c>
      <c r="H7" s="158" t="n">
        <f aca="false">G7*(B7/10)*0.05</f>
        <v>75</v>
      </c>
      <c r="K7" s="164" t="s">
        <v>206</v>
      </c>
      <c r="L7" s="160" t="s">
        <v>209</v>
      </c>
      <c r="M7" s="161" t="n">
        <v>2000</v>
      </c>
      <c r="N7" s="162" t="n">
        <v>0.09</v>
      </c>
    </row>
    <row r="8" customFormat="false" ht="20.25" hidden="false" customHeight="false" outlineLevel="0" collapsed="false">
      <c r="A8" s="155" t="s">
        <v>198</v>
      </c>
      <c r="B8" s="156" t="n">
        <v>25</v>
      </c>
      <c r="C8" s="156"/>
      <c r="D8" s="156" t="n">
        <v>3400</v>
      </c>
      <c r="E8" s="156"/>
      <c r="F8" s="156"/>
      <c r="G8" s="157" t="n">
        <f aca="false">D8+E8-F8</f>
        <v>3400</v>
      </c>
      <c r="H8" s="158" t="n">
        <f aca="false">G8*(B8/10)*0.05</f>
        <v>425</v>
      </c>
      <c r="K8" s="159"/>
      <c r="L8" s="160"/>
      <c r="M8" s="161"/>
      <c r="N8" s="162"/>
    </row>
    <row r="9" customFormat="false" ht="20.25" hidden="false" customHeight="false" outlineLevel="0" collapsed="false">
      <c r="A9" s="155" t="s">
        <v>208</v>
      </c>
      <c r="B9" s="156" t="n">
        <v>25</v>
      </c>
      <c r="C9" s="156"/>
      <c r="D9" s="156" t="n">
        <v>1800</v>
      </c>
      <c r="E9" s="156"/>
      <c r="F9" s="156"/>
      <c r="G9" s="157" t="n">
        <f aca="false">D9+E9-F9</f>
        <v>1800</v>
      </c>
      <c r="H9" s="158" t="n">
        <f aca="false">G9*(B9/10)*0.05</f>
        <v>225</v>
      </c>
    </row>
    <row r="10" customFormat="false" ht="20.25" hidden="false" customHeight="false" outlineLevel="0" collapsed="false">
      <c r="A10" s="155" t="s">
        <v>210</v>
      </c>
      <c r="B10" s="156" t="n">
        <v>30</v>
      </c>
      <c r="C10" s="156"/>
      <c r="D10" s="156" t="n">
        <v>3500</v>
      </c>
      <c r="E10" s="156"/>
      <c r="F10" s="156"/>
      <c r="G10" s="157" t="n">
        <f aca="false">D10+E10-F10</f>
        <v>3500</v>
      </c>
      <c r="H10" s="158" t="n">
        <f aca="false">G10*(B10/10)*0.05</f>
        <v>525</v>
      </c>
    </row>
    <row r="11" customFormat="false" ht="20.25" hidden="false" customHeight="false" outlineLevel="0" collapsed="false">
      <c r="A11" s="155" t="s">
        <v>211</v>
      </c>
      <c r="B11" s="156" t="n">
        <v>35</v>
      </c>
      <c r="C11" s="156"/>
      <c r="D11" s="156" t="n">
        <v>2250</v>
      </c>
      <c r="E11" s="156"/>
      <c r="F11" s="156" t="n">
        <v>200</v>
      </c>
      <c r="G11" s="157" t="n">
        <f aca="false">D11+E11-F11</f>
        <v>2050</v>
      </c>
      <c r="H11" s="158" t="n">
        <f aca="false">G11*(B11/10)*0.05</f>
        <v>358.75</v>
      </c>
    </row>
    <row r="12" customFormat="false" ht="20.25" hidden="false" customHeight="false" outlineLevel="0" collapsed="false">
      <c r="A12" s="155" t="s">
        <v>212</v>
      </c>
      <c r="B12" s="156" t="n">
        <v>35</v>
      </c>
      <c r="C12" s="156"/>
      <c r="D12" s="156" t="n">
        <v>900</v>
      </c>
      <c r="E12" s="156"/>
      <c r="F12" s="156"/>
      <c r="G12" s="157" t="n">
        <f aca="false">D12+E12-F12</f>
        <v>900</v>
      </c>
      <c r="H12" s="158" t="n">
        <f aca="false">G12*(B12/10)*0.05</f>
        <v>157.5</v>
      </c>
    </row>
    <row r="13" customFormat="false" ht="20.25" hidden="false" customHeight="false" outlineLevel="0" collapsed="false">
      <c r="A13" s="155" t="s">
        <v>212</v>
      </c>
      <c r="B13" s="156" t="n">
        <v>40</v>
      </c>
      <c r="C13" s="156"/>
      <c r="D13" s="156" t="n">
        <v>1250</v>
      </c>
      <c r="E13" s="156"/>
      <c r="F13" s="156"/>
      <c r="G13" s="157" t="n">
        <f aca="false">D13+E13-F13</f>
        <v>1250</v>
      </c>
      <c r="H13" s="158" t="n">
        <f aca="false">G13*(B13/10)*0.05</f>
        <v>250</v>
      </c>
    </row>
    <row r="14" customFormat="false" ht="20.25" hidden="false" customHeight="false" outlineLevel="0" collapsed="false">
      <c r="A14" s="165" t="s">
        <v>206</v>
      </c>
      <c r="B14" s="20" t="n">
        <v>10</v>
      </c>
      <c r="C14" s="20"/>
      <c r="D14" s="20" t="n">
        <v>2000</v>
      </c>
      <c r="E14" s="20"/>
      <c r="F14" s="20"/>
      <c r="G14" s="157" t="n">
        <f aca="false">D14+E14-F14</f>
        <v>2000</v>
      </c>
      <c r="H14" s="158" t="n">
        <f aca="false">G14*(B14/10)*0.05</f>
        <v>100</v>
      </c>
    </row>
    <row r="15" customFormat="false" ht="20.25" hidden="false" customHeight="false" outlineLevel="0" collapsed="false">
      <c r="A15" s="165" t="s">
        <v>206</v>
      </c>
      <c r="B15" s="20" t="n">
        <v>15</v>
      </c>
      <c r="C15" s="20"/>
      <c r="D15" s="20" t="n">
        <v>1200</v>
      </c>
      <c r="E15" s="20"/>
      <c r="F15" s="20" t="n">
        <v>480</v>
      </c>
      <c r="G15" s="157" t="n">
        <f aca="false">D15+E15-F15</f>
        <v>720</v>
      </c>
      <c r="H15" s="158" t="n">
        <f aca="false">G15*(B15/10)*0.05</f>
        <v>54</v>
      </c>
    </row>
    <row r="16" customFormat="false" ht="20.25" hidden="false" customHeight="false" outlineLevel="0" collapsed="false">
      <c r="A16" s="165" t="s">
        <v>206</v>
      </c>
      <c r="B16" s="20" t="n">
        <v>20</v>
      </c>
      <c r="C16" s="20"/>
      <c r="D16" s="20" t="n">
        <v>3300</v>
      </c>
      <c r="E16" s="20"/>
      <c r="F16" s="20" t="n">
        <v>200</v>
      </c>
      <c r="G16" s="157" t="n">
        <f aca="false">D16+E16-F16</f>
        <v>3100</v>
      </c>
      <c r="H16" s="158" t="n">
        <f aca="false">G16*(B16/10)*0.05</f>
        <v>310</v>
      </c>
    </row>
    <row r="17" customFormat="false" ht="20.25" hidden="false" customHeight="false" outlineLevel="0" collapsed="false">
      <c r="A17" s="165" t="s">
        <v>206</v>
      </c>
      <c r="B17" s="20" t="n">
        <v>25</v>
      </c>
      <c r="C17" s="20"/>
      <c r="D17" s="20" t="n">
        <v>0</v>
      </c>
      <c r="E17" s="20"/>
      <c r="F17" s="20"/>
      <c r="G17" s="157" t="n">
        <f aca="false">D17+E17-F17</f>
        <v>0</v>
      </c>
      <c r="H17" s="158" t="n">
        <f aca="false">G17*(B17/10)*0.05</f>
        <v>0</v>
      </c>
    </row>
    <row r="18" customFormat="false" ht="20.25" hidden="false" customHeight="false" outlineLevel="0" collapsed="false">
      <c r="A18" s="165" t="s">
        <v>206</v>
      </c>
      <c r="B18" s="20" t="n">
        <v>30</v>
      </c>
      <c r="C18" s="20"/>
      <c r="D18" s="20" t="n">
        <v>1400</v>
      </c>
      <c r="E18" s="20"/>
      <c r="F18" s="20" t="n">
        <v>800</v>
      </c>
      <c r="G18" s="157" t="n">
        <f aca="false">D18+E18-F18</f>
        <v>600</v>
      </c>
      <c r="H18" s="158" t="n">
        <f aca="false">G18*(B18/10)*0.05</f>
        <v>90</v>
      </c>
    </row>
    <row r="19" customFormat="false" ht="20.25" hidden="false" customHeight="false" outlineLevel="0" collapsed="false">
      <c r="A19" s="165" t="s">
        <v>206</v>
      </c>
      <c r="B19" s="20" t="n">
        <v>35</v>
      </c>
      <c r="C19" s="20"/>
      <c r="D19" s="20" t="n">
        <v>2400</v>
      </c>
      <c r="E19" s="20"/>
      <c r="F19" s="20" t="n">
        <v>400</v>
      </c>
      <c r="G19" s="157" t="n">
        <f aca="false">D19+E19-F19</f>
        <v>2000</v>
      </c>
      <c r="H19" s="158" t="n">
        <f aca="false">G19*(B19/10)*0.05</f>
        <v>350</v>
      </c>
    </row>
    <row r="20" customFormat="false" ht="20.25" hidden="false" customHeight="false" outlineLevel="0" collapsed="false">
      <c r="A20" s="165" t="s">
        <v>206</v>
      </c>
      <c r="B20" s="20" t="n">
        <v>40</v>
      </c>
      <c r="C20" s="20"/>
      <c r="D20" s="20" t="n">
        <v>3000</v>
      </c>
      <c r="E20" s="20"/>
      <c r="F20" s="20"/>
      <c r="G20" s="157" t="n">
        <f aca="false">D20+E20-F20</f>
        <v>3000</v>
      </c>
      <c r="H20" s="158" t="n">
        <f aca="false">G20*(B20/10)*0.05</f>
        <v>600</v>
      </c>
    </row>
    <row r="21" customFormat="false" ht="20.25" hidden="false" customHeight="false" outlineLevel="0" collapsed="false">
      <c r="A21" s="165" t="s">
        <v>206</v>
      </c>
      <c r="B21" s="20" t="n">
        <v>45</v>
      </c>
      <c r="C21" s="20"/>
      <c r="D21" s="20" t="n">
        <v>2250</v>
      </c>
      <c r="E21" s="20"/>
      <c r="F21" s="20"/>
      <c r="G21" s="157" t="n">
        <f aca="false">D21+E21-F21</f>
        <v>2250</v>
      </c>
      <c r="H21" s="158" t="n">
        <f aca="false">G21*(B21/10)*0.05</f>
        <v>506.25</v>
      </c>
    </row>
    <row r="22" customFormat="false" ht="15.75" hidden="false" customHeight="true" outlineLevel="0" collapsed="false">
      <c r="A22" s="166" t="s">
        <v>213</v>
      </c>
      <c r="B22" s="167" t="n">
        <v>10</v>
      </c>
      <c r="C22" s="167"/>
      <c r="D22" s="167" t="n">
        <v>3000</v>
      </c>
      <c r="E22" s="167"/>
      <c r="F22" s="167"/>
      <c r="G22" s="157" t="n">
        <f aca="false">D22+E22-F22</f>
        <v>3000</v>
      </c>
      <c r="H22" s="158" t="n">
        <f aca="false">G22*(B22/10)*0.05</f>
        <v>150</v>
      </c>
    </row>
    <row r="23" customFormat="false" ht="15.75" hidden="false" customHeight="true" outlineLevel="0" collapsed="false">
      <c r="A23" s="166" t="s">
        <v>213</v>
      </c>
      <c r="B23" s="167" t="n">
        <v>15</v>
      </c>
      <c r="C23" s="167"/>
      <c r="D23" s="167" t="n">
        <v>4600</v>
      </c>
      <c r="E23" s="167" t="n">
        <v>180</v>
      </c>
      <c r="F23" s="167"/>
      <c r="G23" s="157" t="n">
        <f aca="false">D23+E23-F23</f>
        <v>4780</v>
      </c>
      <c r="H23" s="158" t="n">
        <f aca="false">G23*(B23/10)*0.05</f>
        <v>358.5</v>
      </c>
    </row>
    <row r="24" customFormat="false" ht="15.75" hidden="false" customHeight="true" outlineLevel="0" collapsed="false">
      <c r="A24" s="166" t="s">
        <v>213</v>
      </c>
      <c r="B24" s="167" t="n">
        <v>20</v>
      </c>
      <c r="C24" s="167"/>
      <c r="D24" s="167" t="n">
        <v>2000</v>
      </c>
      <c r="E24" s="167"/>
      <c r="F24" s="167" t="n">
        <v>250</v>
      </c>
      <c r="G24" s="157" t="n">
        <f aca="false">D24+E24-F24</f>
        <v>1750</v>
      </c>
      <c r="H24" s="158" t="n">
        <f aca="false">G24*(B24/10)*0.05</f>
        <v>175</v>
      </c>
    </row>
    <row r="25" customFormat="false" ht="15.75" hidden="false" customHeight="true" outlineLevel="0" collapsed="false">
      <c r="A25" s="166" t="s">
        <v>213</v>
      </c>
      <c r="B25" s="167" t="n">
        <v>25</v>
      </c>
      <c r="C25" s="167"/>
      <c r="D25" s="167" t="n">
        <v>3000</v>
      </c>
      <c r="E25" s="167"/>
      <c r="F25" s="167" t="n">
        <v>1100</v>
      </c>
      <c r="G25" s="157" t="n">
        <f aca="false">D25+E25-F25</f>
        <v>1900</v>
      </c>
      <c r="H25" s="158" t="n">
        <f aca="false">G25*(B25/10)*0.05</f>
        <v>237.5</v>
      </c>
    </row>
    <row r="26" customFormat="false" ht="15.75" hidden="false" customHeight="true" outlineLevel="0" collapsed="false">
      <c r="A26" s="166" t="s">
        <v>213</v>
      </c>
      <c r="B26" s="167" t="n">
        <v>30</v>
      </c>
      <c r="C26" s="167"/>
      <c r="D26" s="167" t="n">
        <v>1200</v>
      </c>
      <c r="E26" s="167"/>
      <c r="F26" s="167"/>
      <c r="G26" s="157" t="n">
        <f aca="false">D26+E26-F26</f>
        <v>1200</v>
      </c>
      <c r="H26" s="158" t="n">
        <f aca="false">G26*(B26/10)*0.05</f>
        <v>180</v>
      </c>
    </row>
    <row r="27" customFormat="false" ht="15.75" hidden="false" customHeight="true" outlineLevel="0" collapsed="false">
      <c r="A27" s="166" t="s">
        <v>213</v>
      </c>
      <c r="B27" s="167" t="n">
        <v>35</v>
      </c>
      <c r="C27" s="167"/>
      <c r="D27" s="167" t="n">
        <v>800</v>
      </c>
      <c r="E27" s="167"/>
      <c r="F27" s="167"/>
      <c r="G27" s="157" t="n">
        <f aca="false">D27+E27-F27</f>
        <v>800</v>
      </c>
      <c r="H27" s="158" t="n">
        <f aca="false">G27*(B27/10)*0.05</f>
        <v>140</v>
      </c>
    </row>
    <row r="28" customFormat="false" ht="15.75" hidden="false" customHeight="true" outlineLevel="0" collapsed="false">
      <c r="A28" s="166" t="s">
        <v>213</v>
      </c>
      <c r="B28" s="167" t="n">
        <v>40</v>
      </c>
      <c r="C28" s="167"/>
      <c r="D28" s="167" t="n">
        <v>3300</v>
      </c>
      <c r="E28" s="167"/>
      <c r="F28" s="167"/>
      <c r="G28" s="157" t="n">
        <f aca="false">D28+E28-F28</f>
        <v>3300</v>
      </c>
      <c r="H28" s="158" t="n">
        <f aca="false">G28*(B28/10)*0.05</f>
        <v>660</v>
      </c>
    </row>
    <row r="29" customFormat="false" ht="15.75" hidden="false" customHeight="true" outlineLevel="0" collapsed="false">
      <c r="A29" s="166" t="s">
        <v>213</v>
      </c>
      <c r="B29" s="167" t="n">
        <v>45</v>
      </c>
      <c r="C29" s="167"/>
      <c r="D29" s="167" t="n">
        <v>1200</v>
      </c>
      <c r="E29" s="167"/>
      <c r="F29" s="167"/>
      <c r="G29" s="157" t="n">
        <f aca="false">D29+E29-F29</f>
        <v>1200</v>
      </c>
      <c r="H29" s="158" t="n">
        <f aca="false">G29*(B29/10)*0.05</f>
        <v>270</v>
      </c>
    </row>
    <row r="30" customFormat="false" ht="15.75" hidden="false" customHeight="true" outlineLevel="0" collapsed="false">
      <c r="A30" s="166" t="s">
        <v>213</v>
      </c>
      <c r="B30" s="167" t="n">
        <v>50</v>
      </c>
      <c r="C30" s="167"/>
      <c r="D30" s="167" t="n">
        <v>800</v>
      </c>
      <c r="E30" s="167"/>
      <c r="F30" s="167"/>
      <c r="G30" s="157" t="n">
        <f aca="false">D30+E30-F30</f>
        <v>800</v>
      </c>
      <c r="H30" s="158" t="n">
        <f aca="false">G30*(B30/10)*0.05</f>
        <v>200</v>
      </c>
    </row>
    <row r="31" customFormat="false" ht="15.75" hidden="false" customHeight="true" outlineLevel="0" collapsed="false">
      <c r="A31" s="166" t="s">
        <v>213</v>
      </c>
      <c r="B31" s="167" t="n">
        <v>55</v>
      </c>
      <c r="C31" s="167"/>
      <c r="D31" s="167"/>
      <c r="E31" s="167"/>
      <c r="F31" s="167"/>
      <c r="G31" s="157" t="n">
        <f aca="false">D31+E31-F31</f>
        <v>0</v>
      </c>
      <c r="H31" s="158" t="n">
        <f aca="false">G31*(B31/10)*0.05</f>
        <v>0</v>
      </c>
    </row>
    <row r="32" customFormat="false" ht="15.75" hidden="false" customHeight="true" outlineLevel="0" collapsed="false">
      <c r="A32" s="168" t="s">
        <v>214</v>
      </c>
      <c r="B32" s="169" t="n">
        <v>40</v>
      </c>
      <c r="C32" s="169"/>
      <c r="D32" s="169"/>
      <c r="E32" s="169"/>
      <c r="F32" s="169"/>
      <c r="G32" s="157" t="n">
        <f aca="false">D32+E32-F32</f>
        <v>0</v>
      </c>
      <c r="H32" s="158" t="n">
        <f aca="false">G32*(B32/10)*0.05</f>
        <v>0</v>
      </c>
    </row>
    <row r="33" customFormat="false" ht="15.75" hidden="false" customHeight="true" outlineLevel="0" collapsed="false">
      <c r="A33" s="166" t="s">
        <v>215</v>
      </c>
      <c r="B33" s="167" t="n">
        <v>60</v>
      </c>
      <c r="C33" s="167"/>
      <c r="D33" s="167"/>
      <c r="E33" s="167"/>
      <c r="F33" s="167"/>
      <c r="G33" s="157" t="n">
        <f aca="false">D33+E33-F33</f>
        <v>0</v>
      </c>
      <c r="H33" s="158" t="n">
        <f aca="false">G33*(B33/10)*0.05</f>
        <v>0</v>
      </c>
    </row>
    <row r="34" customFormat="false" ht="15.75" hidden="false" customHeight="true" outlineLevel="0" collapsed="false">
      <c r="A34" s="166" t="s">
        <v>216</v>
      </c>
      <c r="B34" s="167" t="n">
        <v>60</v>
      </c>
      <c r="C34" s="167"/>
      <c r="D34" s="167"/>
      <c r="E34" s="167"/>
      <c r="F34" s="167"/>
      <c r="G34" s="157" t="n">
        <f aca="false">D34+E34-F34</f>
        <v>0</v>
      </c>
      <c r="H34" s="158" t="n">
        <f aca="false">G34*(B34/10)*0.05</f>
        <v>0</v>
      </c>
    </row>
    <row r="35" customFormat="false" ht="15.75" hidden="false" customHeight="true" outlineLevel="0" collapsed="false">
      <c r="A35" s="166" t="s">
        <v>217</v>
      </c>
      <c r="B35" s="167" t="n">
        <v>15</v>
      </c>
      <c r="C35" s="167"/>
      <c r="D35" s="167"/>
      <c r="E35" s="167"/>
      <c r="F35" s="167"/>
      <c r="G35" s="157" t="n">
        <f aca="false">D35+E35-F35</f>
        <v>0</v>
      </c>
      <c r="H35" s="158" t="n">
        <f aca="false">G35*(B35/10)*0.05</f>
        <v>0</v>
      </c>
    </row>
    <row r="36" customFormat="false" ht="15.75" hidden="false" customHeight="true" outlineLevel="0" collapsed="false">
      <c r="A36" s="166" t="s">
        <v>218</v>
      </c>
      <c r="B36" s="167" t="n">
        <v>25</v>
      </c>
      <c r="C36" s="167"/>
      <c r="D36" s="167"/>
      <c r="E36" s="167"/>
      <c r="F36" s="167"/>
      <c r="G36" s="157" t="n">
        <f aca="false">D36+E36-F36</f>
        <v>0</v>
      </c>
      <c r="H36" s="158" t="n">
        <f aca="false">G36*(B36/10)*0.05</f>
        <v>0</v>
      </c>
    </row>
    <row r="37" customFormat="false" ht="15.75" hidden="false" customHeight="true" outlineLevel="0" collapsed="false">
      <c r="A37" s="166" t="s">
        <v>219</v>
      </c>
      <c r="B37" s="167" t="n">
        <v>30</v>
      </c>
      <c r="C37" s="167"/>
      <c r="D37" s="167"/>
      <c r="E37" s="167"/>
      <c r="F37" s="167"/>
      <c r="G37" s="157" t="n">
        <f aca="false">D37+E37-F37</f>
        <v>0</v>
      </c>
      <c r="H37" s="158" t="n">
        <f aca="false">G37*(B37/10)*0.05</f>
        <v>0</v>
      </c>
    </row>
    <row r="38" customFormat="false" ht="15.75" hidden="false" customHeight="true" outlineLevel="0" collapsed="false">
      <c r="A38" s="147"/>
      <c r="B38" s="10"/>
      <c r="C38" s="10"/>
      <c r="D38" s="10" t="n">
        <f aca="false">SUM(D3:D37)</f>
        <v>56800</v>
      </c>
      <c r="E38" s="10"/>
      <c r="F38" s="10"/>
      <c r="G38" s="170"/>
      <c r="H38" s="158" t="n">
        <f aca="false">G38*(B38/10)*0.03</f>
        <v>0</v>
      </c>
    </row>
    <row r="39" customFormat="false" ht="15.75" hidden="false" customHeight="true" outlineLevel="0" collapsed="false">
      <c r="A39" s="18"/>
      <c r="B39" s="18"/>
      <c r="C39" s="18"/>
      <c r="D39" s="18"/>
      <c r="E39" s="18"/>
      <c r="F39" s="18"/>
      <c r="G39" s="171" t="n">
        <f aca="false">SUM(G3:G38)</f>
        <v>53550</v>
      </c>
      <c r="H39" s="158" t="n">
        <f aca="false">SUM(H3:H38)</f>
        <v>6885</v>
      </c>
    </row>
  </sheetData>
  <mergeCells count="1">
    <mergeCell ref="A1:H1"/>
  </mergeCells>
  <conditionalFormatting sqref="A3:B37 G3:G37">
    <cfRule type="cellIs" priority="2" operator="equal" aboveAverage="0" equalAverage="0" bottom="0" percent="0" rank="0" text="" dxfId="16">
      <formula>0</formula>
    </cfRule>
  </conditionalFormatting>
  <conditionalFormatting sqref="G12">
    <cfRule type="cellIs" priority="3" operator="lessThan" aboveAverage="0" equalAverage="0" bottom="0" percent="0" rank="0" text="" dxfId="17">
      <formula>#ref!</formula>
    </cfRule>
    <cfRule type="cellIs" priority="4" operator="lessThan" aboveAverage="0" equalAverage="0" bottom="0" percent="0" rank="0" text="" dxfId="18">
      <formula>$C$3</formula>
    </cfRule>
  </conditionalFormatting>
  <conditionalFormatting sqref="G3:G39">
    <cfRule type="cellIs" priority="5" operator="lessThan" aboveAverage="0" equalAverage="0" bottom="0" percent="0" rank="0" text="" dxfId="19">
      <formula>#ref!</formula>
    </cfRule>
  </conditionalFormatting>
  <conditionalFormatting sqref="K6:K8">
    <cfRule type="cellIs" priority="6" operator="equal" aboveAverage="0" equalAverage="0" bottom="0" percent="0" rank="0" text="" dxfId="20">
      <formula>0</formula>
    </cfRule>
  </conditionalFormatting>
  <conditionalFormatting sqref="K3">
    <cfRule type="cellIs" priority="7" operator="equal" aboveAverage="0" equalAverage="0" bottom="0" percent="0" rank="0" text="" dxfId="21">
      <formula>0</formula>
    </cfRule>
  </conditionalFormatting>
  <conditionalFormatting sqref="D14:D37">
    <cfRule type="cellIs" priority="8" operator="equal" aboveAverage="0" equalAverage="0" bottom="0" percent="0" rank="0" text="" dxfId="22">
      <formula>0</formula>
    </cfRule>
  </conditionalFormatting>
  <conditionalFormatting sqref="G3:G11 G13:G38">
    <cfRule type="cellIs" priority="9" operator="lessThan" aboveAverage="0" equalAverage="0" bottom="0" percent="0" rank="0" text="" dxfId="23">
      <formula>$C$3</formula>
    </cfRule>
  </conditionalFormatting>
  <conditionalFormatting sqref="G39">
    <cfRule type="cellIs" priority="10" operator="equal" aboveAverage="0" equalAverage="0" bottom="0" percent="0" rank="0" text="" dxfId="24">
      <formula>0</formula>
    </cfRule>
    <cfRule type="cellIs" priority="11" operator="lessThan" aboveAverage="0" equalAverage="0" bottom="0" percent="0" rank="0" text="" dxfId="25">
      <formula>$C$3</formula>
    </cfRule>
  </conditionalFormatting>
  <conditionalFormatting sqref="G3:G11 G13:G37">
    <cfRule type="cellIs" priority="12" operator="lessThan" aboveAverage="0" equalAverage="0" bottom="0" percent="0" rank="0" text="" dxfId="26">
      <formula>#ref!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450" activePane="bottomLeft" state="frozen"/>
      <selection pane="topLeft" activeCell="A1" activeCellId="0" sqref="A1"/>
      <selection pane="bottomLeft" activeCell="A2510" activeCellId="0" sqref="A2510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27.43"/>
    <col collapsed="false" customWidth="true" hidden="false" outlineLevel="0" max="3" min="3" style="55" width="14.57"/>
    <col collapsed="false" customWidth="true" hidden="false" outlineLevel="0" max="5" min="4" style="55" width="8.57"/>
    <col collapsed="false" customWidth="true" hidden="false" outlineLevel="0" max="6" min="6" style="55" width="19.43"/>
    <col collapsed="false" customWidth="true" hidden="false" outlineLevel="0" max="7" min="7" style="1" width="10.43"/>
    <col collapsed="false" customWidth="false" hidden="false" outlineLevel="0" max="16384" min="8" style="1" width="14.43"/>
  </cols>
  <sheetData>
    <row r="1" customFormat="false" ht="20.25" hidden="false" customHeight="false" outlineLevel="0" collapsed="false">
      <c r="A1" s="172" t="s">
        <v>220</v>
      </c>
      <c r="B1" s="172" t="s">
        <v>85</v>
      </c>
      <c r="C1" s="173" t="s">
        <v>24</v>
      </c>
      <c r="D1" s="173" t="s">
        <v>52</v>
      </c>
      <c r="E1" s="173" t="s">
        <v>221</v>
      </c>
      <c r="F1" s="173" t="s">
        <v>222</v>
      </c>
      <c r="G1" s="172" t="s">
        <v>223</v>
      </c>
    </row>
    <row r="2" customFormat="false" ht="20.25" hidden="false" customHeight="false" outlineLevel="0" collapsed="false">
      <c r="A2" s="18" t="n">
        <v>703</v>
      </c>
      <c r="B2" s="18" t="s">
        <v>224</v>
      </c>
      <c r="C2" s="115" t="n">
        <v>45115</v>
      </c>
      <c r="D2" s="10" t="n">
        <v>210</v>
      </c>
      <c r="E2" s="10" t="n">
        <v>2241</v>
      </c>
      <c r="F2" s="10" t="s">
        <v>225</v>
      </c>
      <c r="G2" s="10"/>
    </row>
    <row r="3" customFormat="false" ht="20.25" hidden="false" customHeight="false" outlineLevel="0" collapsed="false">
      <c r="A3" s="18" t="n">
        <v>9</v>
      </c>
      <c r="B3" s="18" t="s">
        <v>226</v>
      </c>
      <c r="C3" s="115" t="n">
        <v>45297</v>
      </c>
      <c r="D3" s="10" t="n">
        <v>78</v>
      </c>
      <c r="E3" s="10" t="n">
        <v>300</v>
      </c>
      <c r="F3" s="10" t="s">
        <v>227</v>
      </c>
      <c r="G3" s="18"/>
    </row>
    <row r="4" customFormat="false" ht="20.25" hidden="false" customHeight="false" outlineLevel="0" collapsed="false">
      <c r="A4" s="18" t="n">
        <v>13</v>
      </c>
      <c r="B4" s="18" t="s">
        <v>228</v>
      </c>
      <c r="C4" s="115" t="n">
        <v>45297</v>
      </c>
      <c r="D4" s="10" t="n">
        <v>210</v>
      </c>
      <c r="E4" s="10" t="n">
        <v>630</v>
      </c>
      <c r="F4" s="10" t="s">
        <v>229</v>
      </c>
      <c r="G4" s="18"/>
    </row>
    <row r="5" customFormat="false" ht="20.25" hidden="false" customHeight="false" outlineLevel="0" collapsed="false">
      <c r="A5" s="18" t="n">
        <v>12</v>
      </c>
      <c r="B5" s="18" t="s">
        <v>230</v>
      </c>
      <c r="C5" s="115" t="n">
        <v>45297</v>
      </c>
      <c r="D5" s="10" t="n">
        <v>220</v>
      </c>
      <c r="E5" s="10" t="n">
        <v>319</v>
      </c>
      <c r="F5" s="10" t="s">
        <v>229</v>
      </c>
      <c r="G5" s="18"/>
    </row>
    <row r="6" customFormat="false" ht="20.25" hidden="false" customHeight="false" outlineLevel="0" collapsed="false">
      <c r="A6" s="18" t="n">
        <v>270011</v>
      </c>
      <c r="B6" s="18" t="s">
        <v>231</v>
      </c>
      <c r="C6" s="115" t="n">
        <v>45297</v>
      </c>
      <c r="D6" s="10" t="n">
        <v>84</v>
      </c>
      <c r="E6" s="10" t="n">
        <v>400</v>
      </c>
      <c r="F6" s="10" t="s">
        <v>225</v>
      </c>
      <c r="G6" s="18" t="s">
        <v>232</v>
      </c>
    </row>
    <row r="7" customFormat="false" ht="20.25" hidden="false" customHeight="false" outlineLevel="0" collapsed="false">
      <c r="A7" s="18" t="n">
        <v>260939</v>
      </c>
      <c r="B7" s="18" t="s">
        <v>233</v>
      </c>
      <c r="C7" s="115" t="n">
        <v>45297</v>
      </c>
      <c r="D7" s="10" t="n">
        <v>85</v>
      </c>
      <c r="E7" s="10" t="n">
        <v>1500</v>
      </c>
      <c r="F7" s="10" t="s">
        <v>225</v>
      </c>
      <c r="G7" s="18"/>
    </row>
    <row r="8" customFormat="false" ht="20.25" hidden="false" customHeight="false" outlineLevel="0" collapsed="false">
      <c r="A8" s="18" t="n">
        <v>14</v>
      </c>
      <c r="B8" s="18" t="s">
        <v>234</v>
      </c>
      <c r="C8" s="115" t="n">
        <v>45297</v>
      </c>
      <c r="D8" s="10" t="n">
        <v>110</v>
      </c>
      <c r="E8" s="10" t="n">
        <v>2000</v>
      </c>
      <c r="F8" s="10" t="s">
        <v>225</v>
      </c>
      <c r="G8" s="18"/>
    </row>
    <row r="9" customFormat="false" ht="20.25" hidden="false" customHeight="false" outlineLevel="0" collapsed="false">
      <c r="A9" s="18" t="n">
        <v>6</v>
      </c>
      <c r="B9" s="18" t="s">
        <v>235</v>
      </c>
      <c r="C9" s="115" t="n">
        <v>45297</v>
      </c>
      <c r="D9" s="10" t="n">
        <v>250</v>
      </c>
      <c r="E9" s="10" t="n">
        <v>37000</v>
      </c>
      <c r="F9" s="10" t="s">
        <v>236</v>
      </c>
      <c r="G9" s="18"/>
    </row>
    <row r="10" customFormat="false" ht="20.25" hidden="false" customHeight="false" outlineLevel="0" collapsed="false">
      <c r="A10" s="18" t="n">
        <v>15</v>
      </c>
      <c r="B10" s="18" t="s">
        <v>237</v>
      </c>
      <c r="C10" s="115" t="n">
        <v>45299</v>
      </c>
      <c r="D10" s="10" t="n">
        <v>80</v>
      </c>
      <c r="E10" s="10" t="n">
        <v>300</v>
      </c>
      <c r="F10" s="10" t="s">
        <v>19</v>
      </c>
      <c r="G10" s="18"/>
    </row>
    <row r="11" customFormat="false" ht="20.25" hidden="false" customHeight="false" outlineLevel="0" collapsed="false">
      <c r="A11" s="18" t="n">
        <v>19</v>
      </c>
      <c r="B11" s="18" t="s">
        <v>238</v>
      </c>
      <c r="C11" s="115" t="n">
        <v>45299</v>
      </c>
      <c r="D11" s="10" t="n">
        <v>95</v>
      </c>
      <c r="E11" s="10" t="n">
        <v>740</v>
      </c>
      <c r="F11" s="10" t="s">
        <v>227</v>
      </c>
      <c r="G11" s="18"/>
    </row>
    <row r="12" customFormat="false" ht="20.25" hidden="false" customHeight="false" outlineLevel="0" collapsed="false">
      <c r="A12" s="18" t="n">
        <v>270016</v>
      </c>
      <c r="B12" s="18" t="s">
        <v>239</v>
      </c>
      <c r="C12" s="115" t="n">
        <v>45299</v>
      </c>
      <c r="D12" s="10" t="n">
        <v>210</v>
      </c>
      <c r="E12" s="10" t="n">
        <v>168</v>
      </c>
      <c r="F12" s="10" t="s">
        <v>229</v>
      </c>
      <c r="G12" s="18"/>
    </row>
    <row r="13" customFormat="false" ht="20.25" hidden="false" customHeight="false" outlineLevel="0" collapsed="false">
      <c r="A13" s="18" t="n">
        <v>270017</v>
      </c>
      <c r="B13" s="18" t="s">
        <v>240</v>
      </c>
      <c r="C13" s="115" t="n">
        <v>45299</v>
      </c>
      <c r="D13" s="10" t="n">
        <v>110</v>
      </c>
      <c r="E13" s="10" t="n">
        <v>680</v>
      </c>
      <c r="F13" s="10" t="s">
        <v>227</v>
      </c>
      <c r="G13" s="18"/>
    </row>
    <row r="14" customFormat="false" ht="20.25" hidden="false" customHeight="false" outlineLevel="0" collapsed="false">
      <c r="A14" s="18" t="n">
        <v>24</v>
      </c>
      <c r="B14" s="18" t="s">
        <v>241</v>
      </c>
      <c r="C14" s="115" t="n">
        <v>45299</v>
      </c>
      <c r="D14" s="10" t="n">
        <v>70</v>
      </c>
      <c r="E14" s="10" t="n">
        <v>2040</v>
      </c>
      <c r="F14" s="10" t="s">
        <v>229</v>
      </c>
      <c r="G14" s="18"/>
    </row>
    <row r="15" customFormat="false" ht="20.25" hidden="false" customHeight="false" outlineLevel="0" collapsed="false">
      <c r="A15" s="18" t="n">
        <v>23</v>
      </c>
      <c r="B15" s="18" t="s">
        <v>242</v>
      </c>
      <c r="C15" s="115" t="n">
        <v>45299</v>
      </c>
      <c r="D15" s="10" t="n">
        <v>100</v>
      </c>
      <c r="E15" s="10" t="n">
        <v>450</v>
      </c>
      <c r="F15" s="10" t="s">
        <v>225</v>
      </c>
      <c r="G15" s="18"/>
    </row>
    <row r="16" customFormat="false" ht="20.25" hidden="false" customHeight="false" outlineLevel="0" collapsed="false">
      <c r="A16" s="18" t="n">
        <v>270019</v>
      </c>
      <c r="B16" s="18" t="s">
        <v>243</v>
      </c>
      <c r="C16" s="115" t="n">
        <v>45299</v>
      </c>
      <c r="D16" s="10" t="n">
        <v>100</v>
      </c>
      <c r="E16" s="10" t="n">
        <v>500</v>
      </c>
      <c r="F16" s="10" t="s">
        <v>225</v>
      </c>
      <c r="G16" s="18"/>
    </row>
    <row r="17" customFormat="false" ht="20.25" hidden="false" customHeight="false" outlineLevel="0" collapsed="false">
      <c r="A17" s="18" t="n">
        <v>17</v>
      </c>
      <c r="B17" s="18" t="s">
        <v>244</v>
      </c>
      <c r="C17" s="115" t="n">
        <v>45299</v>
      </c>
      <c r="D17" s="10" t="n">
        <v>110</v>
      </c>
      <c r="E17" s="10" t="n">
        <v>1050</v>
      </c>
      <c r="F17" s="10" t="s">
        <v>225</v>
      </c>
      <c r="G17" s="18"/>
    </row>
    <row r="18" customFormat="false" ht="20.25" hidden="false" customHeight="false" outlineLevel="0" collapsed="false">
      <c r="A18" s="18" t="n">
        <v>1342</v>
      </c>
      <c r="B18" s="18" t="s">
        <v>245</v>
      </c>
      <c r="C18" s="115" t="n">
        <v>45299</v>
      </c>
      <c r="D18" s="10" t="n">
        <v>110</v>
      </c>
      <c r="E18" s="10" t="n">
        <v>1120</v>
      </c>
      <c r="F18" s="10" t="s">
        <v>225</v>
      </c>
      <c r="G18" s="18"/>
    </row>
    <row r="19" customFormat="false" ht="20.25" hidden="false" customHeight="false" outlineLevel="0" collapsed="false">
      <c r="A19" s="18" t="n">
        <v>16</v>
      </c>
      <c r="B19" s="18" t="s">
        <v>246</v>
      </c>
      <c r="C19" s="115" t="n">
        <v>45299</v>
      </c>
      <c r="D19" s="10" t="n">
        <v>200</v>
      </c>
      <c r="E19" s="10" t="n">
        <v>1142</v>
      </c>
      <c r="F19" s="10" t="s">
        <v>225</v>
      </c>
      <c r="G19" s="18"/>
    </row>
    <row r="20" customFormat="false" ht="20.25" hidden="false" customHeight="false" outlineLevel="0" collapsed="false">
      <c r="A20" s="18" t="n">
        <v>20</v>
      </c>
      <c r="B20" s="18" t="s">
        <v>247</v>
      </c>
      <c r="C20" s="115" t="n">
        <v>45299</v>
      </c>
      <c r="D20" s="10" t="n">
        <v>210</v>
      </c>
      <c r="E20" s="10" t="n">
        <v>632</v>
      </c>
      <c r="F20" s="10" t="s">
        <v>225</v>
      </c>
      <c r="G20" s="18"/>
    </row>
    <row r="21" customFormat="false" ht="15.75" hidden="false" customHeight="true" outlineLevel="0" collapsed="false">
      <c r="A21" s="18" t="n">
        <v>1342</v>
      </c>
      <c r="B21" s="18" t="s">
        <v>245</v>
      </c>
      <c r="C21" s="115" t="n">
        <v>45299</v>
      </c>
      <c r="D21" s="10" t="n">
        <v>210</v>
      </c>
      <c r="E21" s="10" t="n">
        <v>2575</v>
      </c>
      <c r="F21" s="10" t="s">
        <v>225</v>
      </c>
      <c r="G21" s="18"/>
    </row>
    <row r="22" customFormat="false" ht="15.75" hidden="false" customHeight="true" outlineLevel="0" collapsed="false">
      <c r="A22" s="18" t="n">
        <v>43</v>
      </c>
      <c r="B22" s="18" t="s">
        <v>242</v>
      </c>
      <c r="C22" s="115" t="n">
        <v>45306</v>
      </c>
      <c r="D22" s="10" t="n">
        <v>40</v>
      </c>
      <c r="E22" s="10" t="n">
        <v>600</v>
      </c>
      <c r="F22" s="10" t="s">
        <v>248</v>
      </c>
      <c r="G22" s="18"/>
    </row>
    <row r="23" customFormat="false" ht="15.75" hidden="false" customHeight="true" outlineLevel="0" collapsed="false">
      <c r="A23" s="18" t="n">
        <v>270034</v>
      </c>
      <c r="B23" s="18" t="s">
        <v>249</v>
      </c>
      <c r="C23" s="115" t="n">
        <v>45306</v>
      </c>
      <c r="D23" s="10" t="n">
        <v>40</v>
      </c>
      <c r="E23" s="10" t="n">
        <v>300</v>
      </c>
      <c r="F23" s="10" t="s">
        <v>227</v>
      </c>
      <c r="G23" s="18"/>
    </row>
    <row r="24" customFormat="false" ht="15.75" hidden="false" customHeight="true" outlineLevel="0" collapsed="false">
      <c r="A24" s="18" t="n">
        <v>270034</v>
      </c>
      <c r="B24" s="18" t="s">
        <v>249</v>
      </c>
      <c r="C24" s="115" t="n">
        <v>45306</v>
      </c>
      <c r="D24" s="10" t="n">
        <v>53</v>
      </c>
      <c r="E24" s="10" t="n">
        <v>255</v>
      </c>
      <c r="F24" s="10" t="s">
        <v>227</v>
      </c>
      <c r="G24" s="18"/>
    </row>
    <row r="25" customFormat="false" ht="15.75" hidden="false" customHeight="true" outlineLevel="0" collapsed="false">
      <c r="A25" s="18" t="n">
        <v>51</v>
      </c>
      <c r="B25" s="18" t="s">
        <v>250</v>
      </c>
      <c r="C25" s="115" t="n">
        <v>45306</v>
      </c>
      <c r="D25" s="10" t="n">
        <v>110</v>
      </c>
      <c r="E25" s="10" t="n">
        <v>2220</v>
      </c>
      <c r="F25" s="10" t="s">
        <v>227</v>
      </c>
      <c r="G25" s="18"/>
    </row>
    <row r="26" customFormat="false" ht="15.75" hidden="false" customHeight="true" outlineLevel="0" collapsed="false">
      <c r="A26" s="18" t="n">
        <v>50</v>
      </c>
      <c r="B26" s="18" t="s">
        <v>251</v>
      </c>
      <c r="C26" s="115" t="n">
        <v>45306</v>
      </c>
      <c r="D26" s="10" t="n">
        <v>220</v>
      </c>
      <c r="E26" s="10" t="n">
        <v>495</v>
      </c>
      <c r="F26" s="10" t="s">
        <v>229</v>
      </c>
      <c r="G26" s="18"/>
    </row>
    <row r="27" customFormat="false" ht="15.75" hidden="false" customHeight="true" outlineLevel="0" collapsed="false">
      <c r="A27" s="18" t="n">
        <v>270037</v>
      </c>
      <c r="B27" s="18" t="s">
        <v>252</v>
      </c>
      <c r="C27" s="115" t="n">
        <v>45306</v>
      </c>
      <c r="D27" s="10" t="n">
        <v>35</v>
      </c>
      <c r="E27" s="10" t="n">
        <v>350</v>
      </c>
      <c r="F27" s="10" t="s">
        <v>225</v>
      </c>
      <c r="G27" s="18"/>
    </row>
    <row r="28" customFormat="false" ht="15.75" hidden="false" customHeight="true" outlineLevel="0" collapsed="false">
      <c r="A28" s="18" t="n">
        <v>270036</v>
      </c>
      <c r="B28" s="18" t="s">
        <v>253</v>
      </c>
      <c r="C28" s="115" t="n">
        <v>45306</v>
      </c>
      <c r="D28" s="10" t="n">
        <v>40</v>
      </c>
      <c r="E28" s="10" t="n">
        <v>1400</v>
      </c>
      <c r="F28" s="10" t="s">
        <v>225</v>
      </c>
      <c r="G28" s="18"/>
    </row>
    <row r="29" customFormat="false" ht="15.75" hidden="false" customHeight="true" outlineLevel="0" collapsed="false">
      <c r="A29" s="18" t="n">
        <v>270036</v>
      </c>
      <c r="B29" s="18" t="s">
        <v>253</v>
      </c>
      <c r="C29" s="115" t="n">
        <v>45306</v>
      </c>
      <c r="D29" s="10" t="n">
        <v>55</v>
      </c>
      <c r="E29" s="10" t="n">
        <v>2120</v>
      </c>
      <c r="F29" s="10" t="s">
        <v>225</v>
      </c>
      <c r="G29" s="18"/>
    </row>
    <row r="30" customFormat="false" ht="15.75" hidden="false" customHeight="true" outlineLevel="0" collapsed="false">
      <c r="A30" s="18" t="n">
        <v>270038</v>
      </c>
      <c r="B30" s="18" t="s">
        <v>254</v>
      </c>
      <c r="C30" s="115" t="n">
        <v>45306</v>
      </c>
      <c r="D30" s="10" t="n">
        <v>55</v>
      </c>
      <c r="E30" s="10" t="n">
        <v>168</v>
      </c>
      <c r="F30" s="10" t="s">
        <v>225</v>
      </c>
      <c r="G30" s="18"/>
    </row>
    <row r="31" customFormat="false" ht="15.75" hidden="false" customHeight="true" outlineLevel="0" collapsed="false">
      <c r="A31" s="18" t="n">
        <v>42</v>
      </c>
      <c r="B31" s="18" t="s">
        <v>242</v>
      </c>
      <c r="C31" s="115" t="n">
        <v>45306</v>
      </c>
      <c r="D31" s="10" t="n">
        <v>60</v>
      </c>
      <c r="E31" s="10" t="n">
        <v>440</v>
      </c>
      <c r="F31" s="10" t="s">
        <v>225</v>
      </c>
      <c r="G31" s="18"/>
    </row>
    <row r="32" customFormat="false" ht="15.75" hidden="false" customHeight="true" outlineLevel="0" collapsed="false">
      <c r="A32" s="18" t="n">
        <v>46</v>
      </c>
      <c r="B32" s="18" t="s">
        <v>255</v>
      </c>
      <c r="C32" s="115" t="n">
        <v>45306</v>
      </c>
      <c r="D32" s="10" t="n">
        <v>100</v>
      </c>
      <c r="E32" s="10" t="n">
        <v>900</v>
      </c>
      <c r="F32" s="10" t="s">
        <v>225</v>
      </c>
      <c r="G32" s="18"/>
    </row>
    <row r="33" customFormat="false" ht="15.75" hidden="false" customHeight="true" outlineLevel="0" collapsed="false">
      <c r="A33" s="18" t="n">
        <v>270035</v>
      </c>
      <c r="B33" s="18" t="s">
        <v>256</v>
      </c>
      <c r="C33" s="115" t="n">
        <v>45306</v>
      </c>
      <c r="D33" s="10" t="n">
        <v>100</v>
      </c>
      <c r="E33" s="10" t="n">
        <v>305</v>
      </c>
      <c r="F33" s="10" t="s">
        <v>225</v>
      </c>
      <c r="G33" s="18"/>
    </row>
    <row r="34" customFormat="false" ht="15.75" hidden="false" customHeight="true" outlineLevel="0" collapsed="false">
      <c r="A34" s="18" t="n">
        <v>260039</v>
      </c>
      <c r="B34" s="18" t="s">
        <v>257</v>
      </c>
      <c r="C34" s="115" t="n">
        <v>45306</v>
      </c>
      <c r="D34" s="10" t="n">
        <v>130</v>
      </c>
      <c r="E34" s="10" t="n">
        <v>900</v>
      </c>
      <c r="F34" s="10" t="s">
        <v>225</v>
      </c>
      <c r="G34" s="18"/>
    </row>
    <row r="35" customFormat="false" ht="15.75" hidden="false" customHeight="true" outlineLevel="0" collapsed="false">
      <c r="A35" s="18" t="n">
        <v>48</v>
      </c>
      <c r="B35" s="18" t="s">
        <v>258</v>
      </c>
      <c r="C35" s="115" t="n">
        <v>45306</v>
      </c>
      <c r="D35" s="10" t="n">
        <v>130</v>
      </c>
      <c r="E35" s="10" t="n">
        <v>1500</v>
      </c>
      <c r="F35" s="10" t="s">
        <v>225</v>
      </c>
      <c r="G35" s="18"/>
    </row>
    <row r="36" customFormat="false" ht="15.75" hidden="false" customHeight="true" outlineLevel="0" collapsed="false">
      <c r="A36" s="18" t="n">
        <v>47</v>
      </c>
      <c r="B36" s="18" t="s">
        <v>258</v>
      </c>
      <c r="C36" s="115" t="n">
        <v>45306</v>
      </c>
      <c r="D36" s="10" t="n">
        <v>130</v>
      </c>
      <c r="E36" s="10" t="n">
        <v>1000</v>
      </c>
      <c r="F36" s="10" t="s">
        <v>225</v>
      </c>
      <c r="G36" s="18" t="s">
        <v>232</v>
      </c>
    </row>
    <row r="37" customFormat="false" ht="15.75" hidden="false" customHeight="true" outlineLevel="0" collapsed="false">
      <c r="A37" s="18" t="n">
        <v>270031</v>
      </c>
      <c r="B37" s="18" t="s">
        <v>259</v>
      </c>
      <c r="C37" s="115" t="n">
        <v>45306</v>
      </c>
      <c r="D37" s="10" t="n">
        <v>130</v>
      </c>
      <c r="E37" s="10" t="n">
        <v>4500</v>
      </c>
      <c r="F37" s="10" t="s">
        <v>225</v>
      </c>
      <c r="G37" s="18"/>
    </row>
    <row r="38" customFormat="false" ht="15.75" hidden="false" customHeight="true" outlineLevel="0" collapsed="false">
      <c r="A38" s="18" t="n">
        <v>30</v>
      </c>
      <c r="B38" s="18" t="s">
        <v>260</v>
      </c>
      <c r="C38" s="115" t="n">
        <v>45306</v>
      </c>
      <c r="D38" s="10" t="n">
        <v>210</v>
      </c>
      <c r="E38" s="10" t="n">
        <v>638</v>
      </c>
      <c r="F38" s="10" t="s">
        <v>225</v>
      </c>
      <c r="G38" s="18"/>
    </row>
    <row r="39" customFormat="false" ht="15.75" hidden="false" customHeight="true" outlineLevel="0" collapsed="false">
      <c r="A39" s="18" t="n">
        <v>270059</v>
      </c>
      <c r="B39" s="18" t="s">
        <v>261</v>
      </c>
      <c r="C39" s="115" t="n">
        <v>45314</v>
      </c>
      <c r="D39" s="10" t="n">
        <v>110</v>
      </c>
      <c r="E39" s="10" t="n">
        <v>600</v>
      </c>
      <c r="F39" s="10" t="s">
        <v>262</v>
      </c>
      <c r="G39" s="18"/>
    </row>
    <row r="40" customFormat="false" ht="15.75" hidden="false" customHeight="true" outlineLevel="0" collapsed="false">
      <c r="A40" s="18" t="n">
        <v>270066</v>
      </c>
      <c r="B40" s="18" t="s">
        <v>263</v>
      </c>
      <c r="C40" s="115" t="n">
        <v>45314</v>
      </c>
      <c r="D40" s="10" t="n">
        <v>120</v>
      </c>
      <c r="E40" s="10" t="n">
        <v>1875</v>
      </c>
      <c r="F40" s="10" t="s">
        <v>227</v>
      </c>
      <c r="G40" s="18"/>
    </row>
    <row r="41" customFormat="false" ht="15.75" hidden="false" customHeight="true" outlineLevel="0" collapsed="false">
      <c r="A41" s="18" t="n">
        <v>270060</v>
      </c>
      <c r="B41" s="18" t="s">
        <v>264</v>
      </c>
      <c r="C41" s="115" t="n">
        <v>45314</v>
      </c>
      <c r="D41" s="10" t="n">
        <v>145</v>
      </c>
      <c r="E41" s="10" t="n">
        <v>288</v>
      </c>
      <c r="F41" s="10" t="s">
        <v>227</v>
      </c>
      <c r="G41" s="18"/>
    </row>
    <row r="42" customFormat="false" ht="15.75" hidden="false" customHeight="true" outlineLevel="0" collapsed="false">
      <c r="A42" s="18" t="n">
        <v>67</v>
      </c>
      <c r="B42" s="18" t="s">
        <v>265</v>
      </c>
      <c r="C42" s="115" t="n">
        <v>45314</v>
      </c>
      <c r="D42" s="10" t="n">
        <v>60</v>
      </c>
      <c r="E42" s="10" t="n">
        <v>500</v>
      </c>
      <c r="F42" s="10" t="s">
        <v>225</v>
      </c>
      <c r="G42" s="18"/>
    </row>
    <row r="43" customFormat="false" ht="15.75" hidden="false" customHeight="true" outlineLevel="0" collapsed="false">
      <c r="A43" s="18" t="n">
        <v>270058</v>
      </c>
      <c r="B43" s="18" t="s">
        <v>266</v>
      </c>
      <c r="C43" s="115" t="n">
        <v>45314</v>
      </c>
      <c r="D43" s="10" t="n">
        <v>100</v>
      </c>
      <c r="E43" s="10" t="n">
        <v>134</v>
      </c>
      <c r="F43" s="10" t="s">
        <v>225</v>
      </c>
      <c r="G43" s="18"/>
    </row>
    <row r="44" customFormat="false" ht="15.75" hidden="false" customHeight="true" outlineLevel="0" collapsed="false">
      <c r="A44" s="18" t="n">
        <v>270067</v>
      </c>
      <c r="B44" s="18" t="s">
        <v>267</v>
      </c>
      <c r="C44" s="115" t="n">
        <v>45314</v>
      </c>
      <c r="D44" s="10" t="n">
        <v>110</v>
      </c>
      <c r="E44" s="10" t="n">
        <v>1953</v>
      </c>
      <c r="F44" s="10" t="s">
        <v>225</v>
      </c>
      <c r="G44" s="18"/>
    </row>
    <row r="45" customFormat="false" ht="15.75" hidden="false" customHeight="true" outlineLevel="0" collapsed="false">
      <c r="A45" s="18" t="n">
        <v>66</v>
      </c>
      <c r="B45" s="18" t="s">
        <v>268</v>
      </c>
      <c r="C45" s="115" t="n">
        <v>45314</v>
      </c>
      <c r="D45" s="10" t="n">
        <v>210</v>
      </c>
      <c r="E45" s="10" t="n">
        <v>212</v>
      </c>
      <c r="F45" s="10" t="s">
        <v>225</v>
      </c>
      <c r="G45" s="18"/>
    </row>
    <row r="46" customFormat="false" ht="15.75" hidden="false" customHeight="true" outlineLevel="0" collapsed="false">
      <c r="A46" s="18" t="n">
        <v>131</v>
      </c>
      <c r="B46" s="18" t="s">
        <v>269</v>
      </c>
      <c r="C46" s="115" t="n">
        <v>45329</v>
      </c>
      <c r="D46" s="10" t="n">
        <v>20</v>
      </c>
      <c r="E46" s="10" t="n">
        <v>1200</v>
      </c>
      <c r="F46" s="10" t="s">
        <v>225</v>
      </c>
      <c r="G46" s="18"/>
    </row>
    <row r="47" customFormat="false" ht="15.75" hidden="false" customHeight="true" outlineLevel="0" collapsed="false">
      <c r="A47" s="18" t="n">
        <v>144</v>
      </c>
      <c r="B47" s="18" t="s">
        <v>270</v>
      </c>
      <c r="C47" s="115" t="n">
        <v>45329</v>
      </c>
      <c r="D47" s="10" t="n">
        <v>130</v>
      </c>
      <c r="E47" s="10" t="n">
        <v>645</v>
      </c>
      <c r="F47" s="10" t="s">
        <v>262</v>
      </c>
      <c r="G47" s="18"/>
    </row>
    <row r="48" customFormat="false" ht="15.75" hidden="false" customHeight="true" outlineLevel="0" collapsed="false">
      <c r="A48" s="18" t="n">
        <v>270103</v>
      </c>
      <c r="B48" s="18" t="s">
        <v>271</v>
      </c>
      <c r="C48" s="115" t="n">
        <v>45329</v>
      </c>
      <c r="D48" s="10" t="n">
        <v>105</v>
      </c>
      <c r="E48" s="10" t="n">
        <v>1180</v>
      </c>
      <c r="F48" s="10" t="s">
        <v>19</v>
      </c>
      <c r="G48" s="18"/>
    </row>
    <row r="49" customFormat="false" ht="15.75" hidden="false" customHeight="true" outlineLevel="0" collapsed="false">
      <c r="A49" s="18" t="n">
        <v>134</v>
      </c>
      <c r="B49" s="18" t="s">
        <v>272</v>
      </c>
      <c r="C49" s="115" t="n">
        <v>45329</v>
      </c>
      <c r="D49" s="10" t="n">
        <v>110</v>
      </c>
      <c r="E49" s="10" t="n">
        <v>3200</v>
      </c>
      <c r="F49" s="10" t="s">
        <v>227</v>
      </c>
      <c r="G49" s="18"/>
    </row>
    <row r="50" customFormat="false" ht="15.75" hidden="false" customHeight="true" outlineLevel="0" collapsed="false">
      <c r="A50" s="18" t="n">
        <v>142</v>
      </c>
      <c r="B50" s="18" t="s">
        <v>273</v>
      </c>
      <c r="C50" s="115" t="n">
        <v>45329</v>
      </c>
      <c r="D50" s="10" t="n">
        <v>250</v>
      </c>
      <c r="E50" s="10" t="n">
        <v>297</v>
      </c>
      <c r="F50" s="10" t="s">
        <v>229</v>
      </c>
      <c r="G50" s="18"/>
    </row>
    <row r="51" customFormat="false" ht="15.75" hidden="false" customHeight="true" outlineLevel="0" collapsed="false">
      <c r="A51" s="18" t="n">
        <v>270104</v>
      </c>
      <c r="B51" s="18" t="s">
        <v>274</v>
      </c>
      <c r="C51" s="115" t="n">
        <v>45329</v>
      </c>
      <c r="D51" s="10" t="n">
        <v>130</v>
      </c>
      <c r="E51" s="10" t="n">
        <v>900</v>
      </c>
      <c r="F51" s="10" t="s">
        <v>227</v>
      </c>
      <c r="G51" s="18"/>
    </row>
    <row r="52" customFormat="false" ht="15.75" hidden="false" customHeight="true" outlineLevel="0" collapsed="false">
      <c r="A52" s="18" t="n">
        <v>140</v>
      </c>
      <c r="B52" s="18" t="s">
        <v>275</v>
      </c>
      <c r="C52" s="115" t="n">
        <v>45329</v>
      </c>
      <c r="D52" s="10" t="n">
        <v>53</v>
      </c>
      <c r="E52" s="10" t="n">
        <v>3000</v>
      </c>
      <c r="F52" s="10" t="s">
        <v>225</v>
      </c>
      <c r="G52" s="18" t="s">
        <v>232</v>
      </c>
    </row>
    <row r="53" customFormat="false" ht="15.75" hidden="false" customHeight="true" outlineLevel="0" collapsed="false">
      <c r="A53" s="18" t="n">
        <v>270105</v>
      </c>
      <c r="B53" s="18" t="s">
        <v>231</v>
      </c>
      <c r="C53" s="115" t="n">
        <v>45329</v>
      </c>
      <c r="D53" s="10" t="n">
        <v>78</v>
      </c>
      <c r="E53" s="10" t="n">
        <v>1500</v>
      </c>
      <c r="F53" s="10" t="s">
        <v>225</v>
      </c>
      <c r="G53" s="18"/>
    </row>
    <row r="54" customFormat="false" ht="15.75" hidden="false" customHeight="true" outlineLevel="0" collapsed="false">
      <c r="A54" s="18" t="n">
        <v>140</v>
      </c>
      <c r="B54" s="18" t="s">
        <v>275</v>
      </c>
      <c r="C54" s="115" t="n">
        <v>45329</v>
      </c>
      <c r="D54" s="10" t="n">
        <v>95</v>
      </c>
      <c r="E54" s="10" t="n">
        <v>1300</v>
      </c>
      <c r="F54" s="10" t="s">
        <v>225</v>
      </c>
      <c r="G54" s="18"/>
    </row>
    <row r="55" customFormat="false" ht="15.75" hidden="false" customHeight="true" outlineLevel="0" collapsed="false">
      <c r="A55" s="18" t="n">
        <v>141</v>
      </c>
      <c r="B55" s="18" t="s">
        <v>276</v>
      </c>
      <c r="C55" s="115" t="n">
        <v>45329</v>
      </c>
      <c r="D55" s="10" t="n">
        <v>210</v>
      </c>
      <c r="E55" s="10" t="n">
        <v>945</v>
      </c>
      <c r="F55" s="10" t="s">
        <v>225</v>
      </c>
      <c r="G55" s="18"/>
    </row>
    <row r="56" customFormat="false" ht="15.75" hidden="false" customHeight="true" outlineLevel="0" collapsed="false">
      <c r="A56" s="18" t="n">
        <v>139</v>
      </c>
      <c r="B56" s="18" t="s">
        <v>277</v>
      </c>
      <c r="C56" s="115" t="n">
        <v>45329</v>
      </c>
      <c r="D56" s="10" t="n">
        <v>210</v>
      </c>
      <c r="E56" s="10" t="n">
        <v>1000</v>
      </c>
      <c r="F56" s="10" t="s">
        <v>225</v>
      </c>
      <c r="G56" s="18"/>
    </row>
    <row r="57" customFormat="false" ht="15.75" hidden="false" customHeight="true" outlineLevel="0" collapsed="false">
      <c r="A57" s="18" t="n">
        <v>158</v>
      </c>
      <c r="B57" s="18" t="s">
        <v>242</v>
      </c>
      <c r="C57" s="115" t="n">
        <v>45333</v>
      </c>
      <c r="D57" s="10" t="n">
        <v>75</v>
      </c>
      <c r="E57" s="10" t="n">
        <v>825</v>
      </c>
      <c r="F57" s="10" t="s">
        <v>248</v>
      </c>
      <c r="G57" s="18"/>
    </row>
    <row r="58" customFormat="false" ht="15.75" hidden="false" customHeight="true" outlineLevel="0" collapsed="false">
      <c r="A58" s="18" t="n">
        <v>157</v>
      </c>
      <c r="B58" s="18" t="s">
        <v>242</v>
      </c>
      <c r="C58" s="115" t="n">
        <v>45333</v>
      </c>
      <c r="D58" s="10" t="n">
        <v>40</v>
      </c>
      <c r="E58" s="10" t="n">
        <v>525</v>
      </c>
      <c r="F58" s="10" t="s">
        <v>248</v>
      </c>
      <c r="G58" s="18"/>
    </row>
    <row r="59" customFormat="false" ht="15.75" hidden="false" customHeight="true" outlineLevel="0" collapsed="false">
      <c r="A59" s="18" t="n">
        <v>162</v>
      </c>
      <c r="B59" s="18" t="s">
        <v>278</v>
      </c>
      <c r="C59" s="115" t="n">
        <v>45333</v>
      </c>
      <c r="D59" s="10" t="n">
        <v>45</v>
      </c>
      <c r="E59" s="10" t="n">
        <v>120</v>
      </c>
      <c r="F59" s="10" t="s">
        <v>225</v>
      </c>
      <c r="G59" s="18"/>
    </row>
    <row r="60" customFormat="false" ht="15.75" hidden="false" customHeight="true" outlineLevel="0" collapsed="false">
      <c r="A60" s="18" t="n">
        <v>162</v>
      </c>
      <c r="B60" s="18" t="s">
        <v>278</v>
      </c>
      <c r="C60" s="115" t="n">
        <v>45333</v>
      </c>
      <c r="D60" s="10" t="n">
        <v>55</v>
      </c>
      <c r="E60" s="10" t="n">
        <v>153</v>
      </c>
      <c r="F60" s="10" t="s">
        <v>225</v>
      </c>
      <c r="G60" s="18"/>
    </row>
    <row r="61" customFormat="false" ht="15.75" hidden="false" customHeight="true" outlineLevel="0" collapsed="false">
      <c r="A61" s="18" t="n">
        <v>159</v>
      </c>
      <c r="B61" s="18" t="s">
        <v>279</v>
      </c>
      <c r="C61" s="115" t="n">
        <v>45333</v>
      </c>
      <c r="D61" s="10" t="n">
        <v>70</v>
      </c>
      <c r="E61" s="10" t="n">
        <v>2040</v>
      </c>
      <c r="F61" s="10" t="s">
        <v>225</v>
      </c>
      <c r="G61" s="18"/>
    </row>
    <row r="62" customFormat="false" ht="15.75" hidden="false" customHeight="true" outlineLevel="0" collapsed="false">
      <c r="A62" s="18" t="n">
        <v>162</v>
      </c>
      <c r="B62" s="18" t="s">
        <v>278</v>
      </c>
      <c r="C62" s="115" t="n">
        <v>45333</v>
      </c>
      <c r="D62" s="10" t="n">
        <v>70</v>
      </c>
      <c r="E62" s="10" t="n">
        <v>400</v>
      </c>
      <c r="F62" s="10" t="s">
        <v>225</v>
      </c>
      <c r="G62" s="18"/>
    </row>
    <row r="63" customFormat="false" ht="15.75" hidden="false" customHeight="true" outlineLevel="0" collapsed="false">
      <c r="A63" s="18" t="n">
        <v>270109</v>
      </c>
      <c r="B63" s="18" t="s">
        <v>280</v>
      </c>
      <c r="C63" s="115" t="n">
        <v>45333</v>
      </c>
      <c r="D63" s="10" t="n">
        <v>80</v>
      </c>
      <c r="E63" s="10" t="n">
        <v>510</v>
      </c>
      <c r="F63" s="10" t="s">
        <v>225</v>
      </c>
      <c r="G63" s="18"/>
    </row>
    <row r="64" customFormat="false" ht="15.75" hidden="false" customHeight="true" outlineLevel="0" collapsed="false">
      <c r="A64" s="18" t="n">
        <v>161</v>
      </c>
      <c r="B64" s="18" t="s">
        <v>281</v>
      </c>
      <c r="C64" s="115" t="n">
        <v>45333</v>
      </c>
      <c r="D64" s="10" t="n">
        <v>105</v>
      </c>
      <c r="E64" s="10" t="n">
        <v>960</v>
      </c>
      <c r="F64" s="10" t="s">
        <v>225</v>
      </c>
      <c r="G64" s="18"/>
    </row>
    <row r="65" customFormat="false" ht="15.75" hidden="false" customHeight="true" outlineLevel="0" collapsed="false">
      <c r="A65" s="18" t="n">
        <v>163</v>
      </c>
      <c r="B65" s="18" t="s">
        <v>282</v>
      </c>
      <c r="C65" s="115" t="n">
        <v>45333</v>
      </c>
      <c r="D65" s="10" t="n">
        <v>105</v>
      </c>
      <c r="E65" s="10" t="n">
        <v>265</v>
      </c>
      <c r="F65" s="10" t="s">
        <v>225</v>
      </c>
      <c r="G65" s="18"/>
    </row>
    <row r="66" customFormat="false" ht="15.75" hidden="false" customHeight="true" outlineLevel="0" collapsed="false">
      <c r="A66" s="18" t="n">
        <v>154</v>
      </c>
      <c r="B66" s="18" t="s">
        <v>283</v>
      </c>
      <c r="C66" s="115" t="n">
        <v>45333</v>
      </c>
      <c r="D66" s="10" t="n">
        <v>110</v>
      </c>
      <c r="E66" s="10" t="n">
        <v>1750</v>
      </c>
      <c r="F66" s="10" t="s">
        <v>225</v>
      </c>
      <c r="G66" s="18"/>
    </row>
    <row r="67" customFormat="false" ht="15.75" hidden="false" customHeight="true" outlineLevel="0" collapsed="false">
      <c r="A67" s="18" t="n">
        <v>100</v>
      </c>
      <c r="B67" s="18" t="s">
        <v>284</v>
      </c>
      <c r="C67" s="115" t="n">
        <v>45333</v>
      </c>
      <c r="D67" s="10" t="n">
        <v>110</v>
      </c>
      <c r="E67" s="10" t="n">
        <v>2500</v>
      </c>
      <c r="F67" s="10" t="s">
        <v>225</v>
      </c>
      <c r="G67" s="18"/>
    </row>
    <row r="68" customFormat="false" ht="15.75" hidden="false" customHeight="true" outlineLevel="0" collapsed="false">
      <c r="A68" s="18" t="n">
        <v>155</v>
      </c>
      <c r="B68" s="18" t="s">
        <v>285</v>
      </c>
      <c r="C68" s="115" t="n">
        <v>45333</v>
      </c>
      <c r="D68" s="10" t="n">
        <v>125</v>
      </c>
      <c r="E68" s="10" t="n">
        <v>810</v>
      </c>
      <c r="F68" s="10" t="s">
        <v>225</v>
      </c>
      <c r="G68" s="18"/>
    </row>
    <row r="69" customFormat="false" ht="15.75" hidden="false" customHeight="true" outlineLevel="0" collapsed="false">
      <c r="A69" s="18" t="n">
        <v>145</v>
      </c>
      <c r="B69" s="18" t="s">
        <v>283</v>
      </c>
      <c r="C69" s="115" t="n">
        <v>45333</v>
      </c>
      <c r="D69" s="10" t="n">
        <v>125</v>
      </c>
      <c r="E69" s="10" t="n">
        <v>3600</v>
      </c>
      <c r="F69" s="10" t="s">
        <v>225</v>
      </c>
      <c r="G69" s="18"/>
    </row>
    <row r="70" customFormat="false" ht="15.75" hidden="false" customHeight="true" outlineLevel="0" collapsed="false">
      <c r="A70" s="18" t="n">
        <v>156</v>
      </c>
      <c r="B70" s="18" t="s">
        <v>286</v>
      </c>
      <c r="C70" s="115" t="n">
        <v>45333</v>
      </c>
      <c r="D70" s="10" t="n">
        <v>210</v>
      </c>
      <c r="E70" s="10" t="n">
        <v>718</v>
      </c>
      <c r="F70" s="10" t="s">
        <v>236</v>
      </c>
      <c r="G70" s="18"/>
    </row>
    <row r="71" customFormat="false" ht="15.75" hidden="false" customHeight="true" outlineLevel="0" collapsed="false">
      <c r="A71" s="18"/>
      <c r="B71" s="18" t="s">
        <v>224</v>
      </c>
      <c r="C71" s="115" t="n">
        <v>45337</v>
      </c>
      <c r="D71" s="10" t="n">
        <v>55</v>
      </c>
      <c r="E71" s="10" t="n">
        <v>1380</v>
      </c>
      <c r="F71" s="10" t="s">
        <v>225</v>
      </c>
      <c r="G71" s="10"/>
    </row>
    <row r="72" customFormat="false" ht="15.75" hidden="false" customHeight="true" outlineLevel="0" collapsed="false">
      <c r="A72" s="18"/>
      <c r="B72" s="18" t="s">
        <v>224</v>
      </c>
      <c r="C72" s="115" t="n">
        <v>45337</v>
      </c>
      <c r="D72" s="10" t="n">
        <v>105</v>
      </c>
      <c r="E72" s="10" t="n">
        <v>5600</v>
      </c>
      <c r="F72" s="10" t="s">
        <v>225</v>
      </c>
      <c r="G72" s="10"/>
    </row>
    <row r="73" customFormat="false" ht="15.75" hidden="false" customHeight="true" outlineLevel="0" collapsed="false">
      <c r="A73" s="18"/>
      <c r="B73" s="18" t="s">
        <v>224</v>
      </c>
      <c r="C73" s="115" t="n">
        <v>45337</v>
      </c>
      <c r="D73" s="10" t="n">
        <v>210</v>
      </c>
      <c r="E73" s="10" t="n">
        <v>2739</v>
      </c>
      <c r="F73" s="10" t="s">
        <v>225</v>
      </c>
      <c r="G73" s="10"/>
    </row>
    <row r="74" customFormat="false" ht="15.75" hidden="false" customHeight="true" outlineLevel="0" collapsed="false">
      <c r="A74" s="18"/>
      <c r="B74" s="18" t="s">
        <v>287</v>
      </c>
      <c r="C74" s="115" t="n">
        <v>45337</v>
      </c>
      <c r="D74" s="10" t="n">
        <v>220</v>
      </c>
      <c r="E74" s="10" t="n">
        <v>1596</v>
      </c>
      <c r="F74" s="10" t="s">
        <v>225</v>
      </c>
      <c r="G74" s="10"/>
    </row>
    <row r="75" customFormat="false" ht="15.75" hidden="false" customHeight="true" outlineLevel="0" collapsed="false">
      <c r="A75" s="18"/>
      <c r="B75" s="19" t="s">
        <v>288</v>
      </c>
      <c r="C75" s="115" t="n">
        <v>45342</v>
      </c>
      <c r="D75" s="10" t="n">
        <v>110</v>
      </c>
      <c r="E75" s="10" t="n">
        <v>1500</v>
      </c>
      <c r="F75" s="10" t="s">
        <v>229</v>
      </c>
      <c r="G75" s="10"/>
    </row>
    <row r="76" customFormat="false" ht="15.75" hidden="false" customHeight="true" outlineLevel="0" collapsed="false">
      <c r="A76" s="18"/>
      <c r="B76" s="18" t="s">
        <v>289</v>
      </c>
      <c r="C76" s="115" t="n">
        <v>45342</v>
      </c>
      <c r="D76" s="10" t="n">
        <v>110</v>
      </c>
      <c r="E76" s="10" t="n">
        <v>500</v>
      </c>
      <c r="F76" s="10" t="s">
        <v>103</v>
      </c>
      <c r="G76" s="10"/>
    </row>
    <row r="77" customFormat="false" ht="15.75" hidden="false" customHeight="true" outlineLevel="0" collapsed="false">
      <c r="A77" s="18"/>
      <c r="B77" s="174" t="s">
        <v>290</v>
      </c>
      <c r="C77" s="115" t="n">
        <v>45342</v>
      </c>
      <c r="D77" s="10" t="n">
        <v>100</v>
      </c>
      <c r="E77" s="10" t="n">
        <v>450</v>
      </c>
      <c r="F77" s="10" t="s">
        <v>227</v>
      </c>
      <c r="G77" s="10"/>
    </row>
    <row r="78" customFormat="false" ht="15.75" hidden="false" customHeight="true" outlineLevel="0" collapsed="false">
      <c r="A78" s="18"/>
      <c r="B78" s="18" t="s">
        <v>281</v>
      </c>
      <c r="C78" s="115" t="n">
        <v>45342</v>
      </c>
      <c r="D78" s="10" t="n">
        <v>105</v>
      </c>
      <c r="E78" s="10" t="n">
        <v>960</v>
      </c>
      <c r="F78" s="10" t="s">
        <v>225</v>
      </c>
      <c r="G78" s="10"/>
    </row>
    <row r="79" customFormat="false" ht="15.75" hidden="false" customHeight="true" outlineLevel="0" collapsed="false">
      <c r="A79" s="18"/>
      <c r="B79" s="18" t="s">
        <v>291</v>
      </c>
      <c r="C79" s="115" t="n">
        <v>45342</v>
      </c>
      <c r="D79" s="10" t="n">
        <v>220</v>
      </c>
      <c r="E79" s="10" t="n">
        <v>319</v>
      </c>
      <c r="F79" s="10" t="s">
        <v>225</v>
      </c>
      <c r="G79" s="10"/>
    </row>
    <row r="80" customFormat="false" ht="15.75" hidden="false" customHeight="true" outlineLevel="0" collapsed="false">
      <c r="A80" s="18"/>
      <c r="B80" s="18" t="s">
        <v>292</v>
      </c>
      <c r="C80" s="115" t="n">
        <v>45342</v>
      </c>
      <c r="D80" s="10" t="n">
        <v>220</v>
      </c>
      <c r="E80" s="10" t="n">
        <v>1590</v>
      </c>
      <c r="F80" s="10" t="s">
        <v>225</v>
      </c>
      <c r="G80" s="10"/>
    </row>
    <row r="81" customFormat="false" ht="15.75" hidden="false" customHeight="true" outlineLevel="0" collapsed="false">
      <c r="A81" s="18"/>
      <c r="B81" s="18" t="s">
        <v>293</v>
      </c>
      <c r="C81" s="115" t="n">
        <v>45343</v>
      </c>
      <c r="D81" s="10" t="n">
        <v>100</v>
      </c>
      <c r="E81" s="10" t="n">
        <v>950</v>
      </c>
      <c r="F81" s="10" t="s">
        <v>225</v>
      </c>
      <c r="G81" s="10"/>
    </row>
    <row r="82" customFormat="false" ht="15.75" hidden="false" customHeight="true" outlineLevel="0" collapsed="false">
      <c r="A82" s="18"/>
      <c r="B82" s="18" t="s">
        <v>294</v>
      </c>
      <c r="C82" s="115" t="n">
        <v>45343</v>
      </c>
      <c r="D82" s="10" t="n">
        <v>130</v>
      </c>
      <c r="E82" s="10" t="n">
        <v>2600</v>
      </c>
      <c r="F82" s="10" t="s">
        <v>225</v>
      </c>
      <c r="G82" s="10" t="n">
        <v>128</v>
      </c>
    </row>
    <row r="83" customFormat="false" ht="15.75" hidden="false" customHeight="true" outlineLevel="0" collapsed="false">
      <c r="A83" s="18"/>
      <c r="B83" s="18" t="s">
        <v>295</v>
      </c>
      <c r="C83" s="115" t="n">
        <v>45345</v>
      </c>
      <c r="D83" s="10" t="n">
        <v>140</v>
      </c>
      <c r="E83" s="10" t="n">
        <v>340</v>
      </c>
      <c r="F83" s="10" t="s">
        <v>296</v>
      </c>
      <c r="G83" s="10"/>
    </row>
    <row r="84" customFormat="false" ht="15.75" hidden="false" customHeight="true" outlineLevel="0" collapsed="false">
      <c r="A84" s="18"/>
      <c r="B84" s="18" t="s">
        <v>297</v>
      </c>
      <c r="C84" s="115" t="n">
        <v>45345</v>
      </c>
      <c r="D84" s="10" t="n">
        <v>50</v>
      </c>
      <c r="E84" s="10" t="n">
        <v>450</v>
      </c>
      <c r="F84" s="10" t="s">
        <v>262</v>
      </c>
      <c r="G84" s="10"/>
    </row>
    <row r="85" customFormat="false" ht="15.75" hidden="false" customHeight="true" outlineLevel="0" collapsed="false">
      <c r="A85" s="18"/>
      <c r="B85" s="18" t="s">
        <v>298</v>
      </c>
      <c r="C85" s="115" t="n">
        <v>45345</v>
      </c>
      <c r="D85" s="10" t="n">
        <v>80</v>
      </c>
      <c r="E85" s="10" t="n">
        <v>400</v>
      </c>
      <c r="F85" s="10" t="s">
        <v>227</v>
      </c>
      <c r="G85" s="10"/>
    </row>
    <row r="86" customFormat="false" ht="15.75" hidden="false" customHeight="true" outlineLevel="0" collapsed="false">
      <c r="A86" s="18"/>
      <c r="B86" s="18" t="s">
        <v>239</v>
      </c>
      <c r="C86" s="115" t="n">
        <v>45345</v>
      </c>
      <c r="D86" s="10" t="n">
        <v>210</v>
      </c>
      <c r="E86" s="10" t="n">
        <v>168</v>
      </c>
      <c r="F86" s="10" t="s">
        <v>229</v>
      </c>
      <c r="G86" s="10"/>
    </row>
    <row r="87" customFormat="false" ht="15.75" hidden="false" customHeight="true" outlineLevel="0" collapsed="false">
      <c r="A87" s="18"/>
      <c r="B87" s="18" t="s">
        <v>240</v>
      </c>
      <c r="C87" s="115" t="n">
        <v>45345</v>
      </c>
      <c r="D87" s="10" t="n">
        <v>110</v>
      </c>
      <c r="E87" s="10" t="n">
        <v>810</v>
      </c>
      <c r="F87" s="10" t="s">
        <v>227</v>
      </c>
      <c r="G87" s="10"/>
    </row>
    <row r="88" customFormat="false" ht="15.75" hidden="false" customHeight="true" outlineLevel="0" collapsed="false">
      <c r="A88" s="18"/>
      <c r="B88" s="18" t="s">
        <v>295</v>
      </c>
      <c r="C88" s="115" t="n">
        <v>45345</v>
      </c>
      <c r="D88" s="10" t="n">
        <v>40</v>
      </c>
      <c r="E88" s="10" t="n">
        <v>1000</v>
      </c>
      <c r="F88" s="10" t="s">
        <v>225</v>
      </c>
      <c r="G88" s="10"/>
    </row>
    <row r="89" customFormat="false" ht="15.75" hidden="false" customHeight="true" outlineLevel="0" collapsed="false">
      <c r="A89" s="18"/>
      <c r="B89" s="18" t="s">
        <v>299</v>
      </c>
      <c r="C89" s="115" t="n">
        <v>45345</v>
      </c>
      <c r="D89" s="10" t="n">
        <v>70</v>
      </c>
      <c r="E89" s="10" t="n">
        <v>680</v>
      </c>
      <c r="F89" s="10" t="s">
        <v>225</v>
      </c>
      <c r="G89" s="10"/>
    </row>
    <row r="90" customFormat="false" ht="15.75" hidden="false" customHeight="true" outlineLevel="0" collapsed="false">
      <c r="A90" s="18"/>
      <c r="B90" s="18" t="s">
        <v>300</v>
      </c>
      <c r="C90" s="115" t="n">
        <v>45345</v>
      </c>
      <c r="D90" s="10" t="n">
        <v>70</v>
      </c>
      <c r="E90" s="10" t="n">
        <v>1350</v>
      </c>
      <c r="F90" s="10" t="s">
        <v>225</v>
      </c>
      <c r="G90" s="10"/>
    </row>
    <row r="91" customFormat="false" ht="15.75" hidden="false" customHeight="true" outlineLevel="0" collapsed="false">
      <c r="A91" s="18"/>
      <c r="B91" s="18" t="s">
        <v>298</v>
      </c>
      <c r="C91" s="115" t="n">
        <v>45345</v>
      </c>
      <c r="D91" s="10" t="n">
        <v>80</v>
      </c>
      <c r="E91" s="10" t="n">
        <v>800</v>
      </c>
      <c r="F91" s="10" t="s">
        <v>225</v>
      </c>
      <c r="G91" s="10"/>
    </row>
    <row r="92" customFormat="false" ht="15.75" hidden="false" customHeight="true" outlineLevel="0" collapsed="false">
      <c r="A92" s="18"/>
      <c r="B92" s="18" t="s">
        <v>270</v>
      </c>
      <c r="C92" s="115" t="n">
        <v>45345</v>
      </c>
      <c r="D92" s="10" t="n">
        <v>85</v>
      </c>
      <c r="E92" s="10" t="n">
        <v>4000</v>
      </c>
      <c r="F92" s="10" t="s">
        <v>225</v>
      </c>
      <c r="G92" s="10"/>
    </row>
    <row r="93" customFormat="false" ht="15.75" hidden="false" customHeight="true" outlineLevel="0" collapsed="false">
      <c r="A93" s="18"/>
      <c r="B93" s="18" t="s">
        <v>301</v>
      </c>
      <c r="C93" s="115" t="n">
        <v>45345</v>
      </c>
      <c r="D93" s="10" t="n">
        <v>100</v>
      </c>
      <c r="E93" s="10" t="n">
        <v>680</v>
      </c>
      <c r="F93" s="10" t="s">
        <v>225</v>
      </c>
      <c r="G93" s="10"/>
    </row>
    <row r="94" customFormat="false" ht="15.75" hidden="false" customHeight="true" outlineLevel="0" collapsed="false">
      <c r="A94" s="18"/>
      <c r="B94" s="18" t="s">
        <v>302</v>
      </c>
      <c r="C94" s="115" t="n">
        <v>45345</v>
      </c>
      <c r="D94" s="10" t="n">
        <v>105</v>
      </c>
      <c r="E94" s="10" t="n">
        <v>1600</v>
      </c>
      <c r="F94" s="10" t="s">
        <v>225</v>
      </c>
      <c r="G94" s="10"/>
    </row>
    <row r="95" customFormat="false" ht="15.75" hidden="false" customHeight="true" outlineLevel="0" collapsed="false">
      <c r="A95" s="18"/>
      <c r="B95" s="18" t="s">
        <v>303</v>
      </c>
      <c r="C95" s="115" t="n">
        <v>45345</v>
      </c>
      <c r="D95" s="10" t="n">
        <v>105</v>
      </c>
      <c r="E95" s="10" t="n">
        <v>1000</v>
      </c>
      <c r="F95" s="10" t="s">
        <v>225</v>
      </c>
      <c r="G95" s="10"/>
    </row>
    <row r="96" customFormat="false" ht="15.75" hidden="false" customHeight="true" outlineLevel="0" collapsed="false">
      <c r="A96" s="18"/>
      <c r="B96" s="18" t="s">
        <v>304</v>
      </c>
      <c r="C96" s="115" t="n">
        <v>45345</v>
      </c>
      <c r="D96" s="10" t="n">
        <v>118</v>
      </c>
      <c r="E96" s="10" t="n">
        <v>375</v>
      </c>
      <c r="F96" s="10" t="s">
        <v>225</v>
      </c>
      <c r="G96" s="10"/>
    </row>
    <row r="97" customFormat="false" ht="15.75" hidden="false" customHeight="true" outlineLevel="0" collapsed="false">
      <c r="A97" s="18"/>
      <c r="B97" s="18" t="s">
        <v>270</v>
      </c>
      <c r="C97" s="115" t="n">
        <v>45345</v>
      </c>
      <c r="D97" s="10" t="n">
        <v>155</v>
      </c>
      <c r="E97" s="10" t="n">
        <v>1500</v>
      </c>
      <c r="F97" s="10" t="s">
        <v>225</v>
      </c>
      <c r="G97" s="10" t="n">
        <v>153</v>
      </c>
    </row>
    <row r="98" customFormat="false" ht="15.75" hidden="false" customHeight="true" outlineLevel="0" collapsed="false">
      <c r="A98" s="18"/>
      <c r="B98" s="18" t="s">
        <v>295</v>
      </c>
      <c r="C98" s="115" t="n">
        <v>45345</v>
      </c>
      <c r="D98" s="10" t="n">
        <v>210</v>
      </c>
      <c r="E98" s="10" t="n">
        <v>945</v>
      </c>
      <c r="F98" s="10" t="s">
        <v>225</v>
      </c>
      <c r="G98" s="10"/>
    </row>
    <row r="99" customFormat="false" ht="15.75" hidden="false" customHeight="true" outlineLevel="0" collapsed="false">
      <c r="A99" s="18"/>
      <c r="B99" s="18" t="s">
        <v>245</v>
      </c>
      <c r="C99" s="115" t="n">
        <v>45348</v>
      </c>
      <c r="D99" s="10" t="n">
        <v>210</v>
      </c>
      <c r="E99" s="10" t="n">
        <v>5000</v>
      </c>
      <c r="F99" s="10" t="s">
        <v>225</v>
      </c>
      <c r="G99" s="10"/>
    </row>
    <row r="100" customFormat="false" ht="15.75" hidden="false" customHeight="true" outlineLevel="0" collapsed="false">
      <c r="A100" s="18"/>
      <c r="B100" s="18" t="s">
        <v>305</v>
      </c>
      <c r="C100" s="115" t="n">
        <v>45348</v>
      </c>
      <c r="D100" s="10" t="n">
        <v>250</v>
      </c>
      <c r="E100" s="10" t="n">
        <v>742</v>
      </c>
      <c r="F100" s="10" t="s">
        <v>236</v>
      </c>
      <c r="G100" s="10"/>
    </row>
    <row r="101" customFormat="false" ht="15.75" hidden="false" customHeight="true" outlineLevel="0" collapsed="false">
      <c r="A101" s="18"/>
      <c r="B101" s="18" t="s">
        <v>306</v>
      </c>
      <c r="C101" s="115" t="n">
        <v>45349</v>
      </c>
      <c r="D101" s="10" t="n">
        <v>60</v>
      </c>
      <c r="E101" s="10" t="n">
        <v>2967</v>
      </c>
      <c r="F101" s="10" t="s">
        <v>236</v>
      </c>
      <c r="G101" s="10"/>
    </row>
    <row r="102" customFormat="false" ht="15.75" hidden="false" customHeight="true" outlineLevel="0" collapsed="false">
      <c r="A102" s="18"/>
      <c r="B102" s="18" t="s">
        <v>307</v>
      </c>
      <c r="C102" s="115" t="n">
        <v>45349</v>
      </c>
      <c r="D102" s="10" t="n">
        <v>80</v>
      </c>
      <c r="E102" s="10" t="n">
        <v>1200</v>
      </c>
      <c r="F102" s="10" t="s">
        <v>227</v>
      </c>
      <c r="G102" s="10"/>
    </row>
    <row r="103" customFormat="false" ht="15.75" hidden="false" customHeight="true" outlineLevel="0" collapsed="false">
      <c r="A103" s="18"/>
      <c r="B103" s="18" t="s">
        <v>242</v>
      </c>
      <c r="C103" s="115" t="n">
        <v>45349</v>
      </c>
      <c r="D103" s="10" t="n">
        <v>60</v>
      </c>
      <c r="E103" s="10" t="n">
        <v>300</v>
      </c>
      <c r="F103" s="10" t="s">
        <v>225</v>
      </c>
      <c r="G103" s="10"/>
    </row>
    <row r="104" customFormat="false" ht="15.75" hidden="false" customHeight="true" outlineLevel="0" collapsed="false">
      <c r="A104" s="18"/>
      <c r="B104" s="18" t="s">
        <v>308</v>
      </c>
      <c r="C104" s="115" t="n">
        <v>45349</v>
      </c>
      <c r="D104" s="10" t="n">
        <v>70</v>
      </c>
      <c r="E104" s="10" t="n">
        <v>540</v>
      </c>
      <c r="F104" s="10" t="s">
        <v>225</v>
      </c>
      <c r="G104" s="10"/>
    </row>
    <row r="105" customFormat="false" ht="15.75" hidden="false" customHeight="true" outlineLevel="0" collapsed="false">
      <c r="A105" s="18"/>
      <c r="B105" s="18" t="s">
        <v>309</v>
      </c>
      <c r="C105" s="115" t="n">
        <v>45349</v>
      </c>
      <c r="D105" s="10" t="n">
        <v>97</v>
      </c>
      <c r="E105" s="10" t="n">
        <v>475</v>
      </c>
      <c r="F105" s="10" t="s">
        <v>225</v>
      </c>
      <c r="G105" s="10"/>
    </row>
    <row r="106" customFormat="false" ht="15.75" hidden="false" customHeight="true" outlineLevel="0" collapsed="false">
      <c r="A106" s="18"/>
      <c r="B106" s="18" t="s">
        <v>308</v>
      </c>
      <c r="C106" s="115" t="n">
        <v>45349</v>
      </c>
      <c r="D106" s="10" t="n">
        <v>100</v>
      </c>
      <c r="E106" s="10" t="n">
        <v>300</v>
      </c>
      <c r="F106" s="10" t="s">
        <v>225</v>
      </c>
      <c r="G106" s="10"/>
    </row>
    <row r="107" customFormat="false" ht="15.75" hidden="false" customHeight="true" outlineLevel="0" collapsed="false">
      <c r="A107" s="18"/>
      <c r="B107" s="18" t="s">
        <v>308</v>
      </c>
      <c r="C107" s="115" t="n">
        <v>45349</v>
      </c>
      <c r="D107" s="10" t="n">
        <v>105</v>
      </c>
      <c r="E107" s="10" t="n">
        <v>500</v>
      </c>
      <c r="F107" s="10" t="s">
        <v>225</v>
      </c>
      <c r="G107" s="10"/>
    </row>
    <row r="108" customFormat="false" ht="15.75" hidden="false" customHeight="true" outlineLevel="0" collapsed="false">
      <c r="A108" s="18"/>
      <c r="B108" s="18" t="s">
        <v>310</v>
      </c>
      <c r="C108" s="115" t="n">
        <v>45350</v>
      </c>
      <c r="D108" s="10" t="n">
        <v>30</v>
      </c>
      <c r="E108" s="10" t="n">
        <v>680</v>
      </c>
      <c r="F108" s="10" t="s">
        <v>225</v>
      </c>
      <c r="G108" s="10"/>
    </row>
    <row r="109" customFormat="false" ht="15.75" hidden="false" customHeight="true" outlineLevel="0" collapsed="false">
      <c r="A109" s="18"/>
      <c r="B109" s="18" t="s">
        <v>311</v>
      </c>
      <c r="C109" s="115" t="n">
        <v>45350</v>
      </c>
      <c r="D109" s="10" t="n">
        <v>38</v>
      </c>
      <c r="E109" s="10" t="n">
        <v>635</v>
      </c>
      <c r="F109" s="10" t="s">
        <v>225</v>
      </c>
      <c r="G109" s="10"/>
    </row>
    <row r="110" customFormat="false" ht="15.75" hidden="false" customHeight="true" outlineLevel="0" collapsed="false">
      <c r="A110" s="18"/>
      <c r="B110" s="18" t="s">
        <v>312</v>
      </c>
      <c r="C110" s="115" t="n">
        <v>45350</v>
      </c>
      <c r="D110" s="10" t="n">
        <v>80</v>
      </c>
      <c r="E110" s="10" t="n">
        <v>300</v>
      </c>
      <c r="F110" s="10" t="s">
        <v>296</v>
      </c>
      <c r="G110" s="10"/>
    </row>
    <row r="111" customFormat="false" ht="15.75" hidden="false" customHeight="true" outlineLevel="0" collapsed="false">
      <c r="A111" s="18"/>
      <c r="B111" s="18" t="s">
        <v>272</v>
      </c>
      <c r="C111" s="115" t="n">
        <v>45350</v>
      </c>
      <c r="D111" s="10" t="n">
        <v>110</v>
      </c>
      <c r="E111" s="10" t="n">
        <v>3300</v>
      </c>
      <c r="F111" s="10" t="s">
        <v>227</v>
      </c>
      <c r="G111" s="10"/>
    </row>
    <row r="112" customFormat="false" ht="15.75" hidden="false" customHeight="true" outlineLevel="0" collapsed="false">
      <c r="A112" s="18"/>
      <c r="B112" s="18" t="s">
        <v>313</v>
      </c>
      <c r="C112" s="115" t="n">
        <v>45350</v>
      </c>
      <c r="D112" s="10" t="n">
        <v>65</v>
      </c>
      <c r="E112" s="10" t="n">
        <v>1290</v>
      </c>
      <c r="F112" s="10" t="s">
        <v>229</v>
      </c>
      <c r="G112" s="10"/>
    </row>
    <row r="113" customFormat="false" ht="15.75" hidden="false" customHeight="true" outlineLevel="0" collapsed="false">
      <c r="A113" s="18"/>
      <c r="B113" s="18" t="s">
        <v>311</v>
      </c>
      <c r="C113" s="115" t="n">
        <v>45350</v>
      </c>
      <c r="D113" s="10" t="n">
        <v>53</v>
      </c>
      <c r="E113" s="10" t="n">
        <v>510</v>
      </c>
      <c r="F113" s="10" t="s">
        <v>225</v>
      </c>
      <c r="G113" s="10"/>
    </row>
    <row r="114" customFormat="false" ht="15.75" hidden="false" customHeight="true" outlineLevel="0" collapsed="false">
      <c r="A114" s="18"/>
      <c r="B114" s="18" t="s">
        <v>314</v>
      </c>
      <c r="C114" s="115" t="n">
        <v>45350</v>
      </c>
      <c r="D114" s="10" t="n">
        <v>55</v>
      </c>
      <c r="E114" s="10" t="n">
        <v>370</v>
      </c>
      <c r="F114" s="10" t="s">
        <v>225</v>
      </c>
      <c r="G114" s="10"/>
    </row>
    <row r="115" customFormat="false" ht="15.75" hidden="false" customHeight="true" outlineLevel="0" collapsed="false">
      <c r="A115" s="18"/>
      <c r="B115" s="18" t="s">
        <v>313</v>
      </c>
      <c r="C115" s="115" t="n">
        <v>45350</v>
      </c>
      <c r="D115" s="10" t="n">
        <v>65</v>
      </c>
      <c r="E115" s="10" t="n">
        <v>645</v>
      </c>
      <c r="F115" s="10" t="s">
        <v>225</v>
      </c>
      <c r="G115" s="10"/>
    </row>
    <row r="116" customFormat="false" ht="15.75" hidden="false" customHeight="true" outlineLevel="0" collapsed="false">
      <c r="A116" s="18"/>
      <c r="B116" s="18" t="s">
        <v>311</v>
      </c>
      <c r="C116" s="115" t="n">
        <v>45350</v>
      </c>
      <c r="D116" s="10" t="n">
        <v>85</v>
      </c>
      <c r="E116" s="10" t="n">
        <v>1500</v>
      </c>
      <c r="F116" s="10" t="s">
        <v>225</v>
      </c>
      <c r="G116" s="10"/>
    </row>
    <row r="117" customFormat="false" ht="15.75" hidden="false" customHeight="true" outlineLevel="0" collapsed="false">
      <c r="A117" s="18"/>
      <c r="B117" s="18" t="s">
        <v>259</v>
      </c>
      <c r="C117" s="115" t="n">
        <v>45350</v>
      </c>
      <c r="D117" s="10" t="n">
        <v>95</v>
      </c>
      <c r="E117" s="10" t="n">
        <v>1500</v>
      </c>
      <c r="F117" s="10" t="s">
        <v>225</v>
      </c>
      <c r="G117" s="10"/>
    </row>
    <row r="118" customFormat="false" ht="15.75" hidden="false" customHeight="true" outlineLevel="0" collapsed="false">
      <c r="A118" s="18"/>
      <c r="B118" s="18" t="s">
        <v>315</v>
      </c>
      <c r="C118" s="115" t="n">
        <v>45350</v>
      </c>
      <c r="D118" s="10" t="n">
        <v>100</v>
      </c>
      <c r="E118" s="10" t="n">
        <v>67</v>
      </c>
      <c r="F118" s="10" t="s">
        <v>225</v>
      </c>
      <c r="G118" s="10"/>
    </row>
    <row r="119" customFormat="false" ht="15.75" hidden="false" customHeight="true" outlineLevel="0" collapsed="false">
      <c r="A119" s="18"/>
      <c r="B119" s="18" t="s">
        <v>316</v>
      </c>
      <c r="C119" s="115" t="n">
        <v>45350</v>
      </c>
      <c r="D119" s="10" t="n">
        <v>100</v>
      </c>
      <c r="E119" s="10" t="n">
        <v>857</v>
      </c>
      <c r="F119" s="10" t="s">
        <v>225</v>
      </c>
      <c r="G119" s="10"/>
    </row>
    <row r="120" customFormat="false" ht="15.75" hidden="false" customHeight="true" outlineLevel="0" collapsed="false">
      <c r="A120" s="18"/>
      <c r="B120" s="18" t="s">
        <v>317</v>
      </c>
      <c r="C120" s="115" t="n">
        <v>45350</v>
      </c>
      <c r="D120" s="10" t="n">
        <v>105</v>
      </c>
      <c r="E120" s="10" t="n">
        <v>320</v>
      </c>
      <c r="F120" s="10" t="s">
        <v>225</v>
      </c>
      <c r="G120" s="10"/>
    </row>
    <row r="121" customFormat="false" ht="15.75" hidden="false" customHeight="true" outlineLevel="0" collapsed="false">
      <c r="A121" s="18"/>
      <c r="B121" s="18" t="s">
        <v>313</v>
      </c>
      <c r="C121" s="115" t="n">
        <v>45350</v>
      </c>
      <c r="D121" s="10" t="n">
        <v>105</v>
      </c>
      <c r="E121" s="10" t="n">
        <v>10333</v>
      </c>
      <c r="F121" s="10" t="s">
        <v>225</v>
      </c>
      <c r="G121" s="10"/>
    </row>
    <row r="122" customFormat="false" ht="15.75" hidden="false" customHeight="true" outlineLevel="0" collapsed="false">
      <c r="A122" s="18"/>
      <c r="B122" s="18" t="s">
        <v>313</v>
      </c>
      <c r="C122" s="115" t="n">
        <v>45350</v>
      </c>
      <c r="D122" s="10" t="n">
        <v>110</v>
      </c>
      <c r="E122" s="10" t="n">
        <v>950</v>
      </c>
      <c r="F122" s="10" t="s">
        <v>225</v>
      </c>
      <c r="G122" s="10"/>
    </row>
    <row r="123" customFormat="false" ht="15.75" hidden="false" customHeight="true" outlineLevel="0" collapsed="false">
      <c r="A123" s="18"/>
      <c r="B123" s="18" t="s">
        <v>318</v>
      </c>
      <c r="C123" s="115" t="n">
        <v>45350</v>
      </c>
      <c r="D123" s="10" t="n">
        <v>130</v>
      </c>
      <c r="E123" s="10" t="n">
        <v>640</v>
      </c>
      <c r="F123" s="10" t="s">
        <v>225</v>
      </c>
      <c r="G123" s="10"/>
    </row>
    <row r="124" customFormat="false" ht="15.75" hidden="false" customHeight="true" outlineLevel="0" collapsed="false">
      <c r="A124" s="18"/>
      <c r="B124" s="18" t="s">
        <v>319</v>
      </c>
      <c r="C124" s="115" t="n">
        <v>45350</v>
      </c>
      <c r="D124" s="10" t="n">
        <v>137</v>
      </c>
      <c r="E124" s="10" t="n">
        <v>400</v>
      </c>
      <c r="F124" s="10" t="s">
        <v>225</v>
      </c>
      <c r="G124" s="10"/>
    </row>
    <row r="125" customFormat="false" ht="15.75" hidden="false" customHeight="true" outlineLevel="0" collapsed="false">
      <c r="A125" s="18"/>
      <c r="B125" s="18" t="s">
        <v>320</v>
      </c>
      <c r="C125" s="115" t="n">
        <v>45350</v>
      </c>
      <c r="D125" s="10" t="n">
        <v>210</v>
      </c>
      <c r="E125" s="10" t="n">
        <v>260</v>
      </c>
      <c r="F125" s="10" t="s">
        <v>225</v>
      </c>
      <c r="G125" s="10"/>
    </row>
    <row r="126" customFormat="false" ht="15.75" hidden="false" customHeight="true" outlineLevel="0" collapsed="false">
      <c r="A126" s="18"/>
      <c r="B126" s="18" t="s">
        <v>321</v>
      </c>
      <c r="C126" s="115" t="n">
        <v>45350</v>
      </c>
      <c r="D126" s="10" t="n">
        <v>220</v>
      </c>
      <c r="E126" s="10" t="n">
        <v>1596</v>
      </c>
      <c r="F126" s="10" t="s">
        <v>236</v>
      </c>
      <c r="G126" s="10"/>
    </row>
    <row r="127" customFormat="false" ht="15.75" hidden="false" customHeight="true" outlineLevel="0" collapsed="false">
      <c r="A127" s="18"/>
      <c r="B127" s="18" t="s">
        <v>246</v>
      </c>
      <c r="C127" s="115" t="n">
        <v>45351</v>
      </c>
      <c r="D127" s="10" t="n">
        <v>30</v>
      </c>
      <c r="E127" s="10" t="n">
        <v>2400</v>
      </c>
      <c r="F127" s="10" t="s">
        <v>225</v>
      </c>
      <c r="G127" s="10"/>
    </row>
    <row r="128" customFormat="false" ht="15.75" hidden="false" customHeight="true" outlineLevel="0" collapsed="false">
      <c r="A128" s="18"/>
      <c r="B128" s="18" t="s">
        <v>322</v>
      </c>
      <c r="C128" s="115" t="n">
        <v>45351</v>
      </c>
      <c r="D128" s="10" t="n">
        <v>40</v>
      </c>
      <c r="E128" s="10" t="n">
        <v>750</v>
      </c>
      <c r="F128" s="10" t="s">
        <v>227</v>
      </c>
      <c r="G128" s="10"/>
    </row>
    <row r="129" customFormat="false" ht="15.75" hidden="false" customHeight="true" outlineLevel="0" collapsed="false">
      <c r="A129" s="18"/>
      <c r="B129" s="18" t="s">
        <v>323</v>
      </c>
      <c r="C129" s="115" t="n">
        <v>45351</v>
      </c>
      <c r="D129" s="10" t="n">
        <v>110</v>
      </c>
      <c r="E129" s="10" t="n">
        <v>1125</v>
      </c>
      <c r="F129" s="10" t="s">
        <v>227</v>
      </c>
      <c r="G129" s="10"/>
    </row>
    <row r="130" customFormat="false" ht="15.75" hidden="false" customHeight="true" outlineLevel="0" collapsed="false">
      <c r="A130" s="18"/>
      <c r="B130" s="18" t="s">
        <v>324</v>
      </c>
      <c r="C130" s="115" t="n">
        <v>45351</v>
      </c>
      <c r="D130" s="10" t="n">
        <v>220</v>
      </c>
      <c r="E130" s="10" t="n">
        <v>3040</v>
      </c>
      <c r="F130" s="10" t="s">
        <v>227</v>
      </c>
      <c r="G130" s="10"/>
    </row>
    <row r="131" customFormat="false" ht="15.75" hidden="false" customHeight="true" outlineLevel="0" collapsed="false">
      <c r="A131" s="18"/>
      <c r="B131" s="18" t="s">
        <v>284</v>
      </c>
      <c r="C131" s="115" t="n">
        <v>45351</v>
      </c>
      <c r="D131" s="10" t="n">
        <v>50</v>
      </c>
      <c r="E131" s="10" t="n">
        <v>2300</v>
      </c>
      <c r="F131" s="10" t="s">
        <v>225</v>
      </c>
      <c r="G131" s="10"/>
    </row>
    <row r="132" customFormat="false" ht="15.75" hidden="false" customHeight="true" outlineLevel="0" collapsed="false">
      <c r="A132" s="18"/>
      <c r="B132" s="18" t="s">
        <v>325</v>
      </c>
      <c r="C132" s="115" t="n">
        <v>45351</v>
      </c>
      <c r="D132" s="10" t="n">
        <v>60</v>
      </c>
      <c r="E132" s="10" t="n">
        <v>2040</v>
      </c>
      <c r="F132" s="10" t="s">
        <v>225</v>
      </c>
      <c r="G132" s="10"/>
    </row>
    <row r="133" customFormat="false" ht="15.75" hidden="false" customHeight="true" outlineLevel="0" collapsed="false">
      <c r="A133" s="18"/>
      <c r="B133" s="18" t="s">
        <v>279</v>
      </c>
      <c r="C133" s="115" t="n">
        <v>45351</v>
      </c>
      <c r="D133" s="10" t="n">
        <v>70</v>
      </c>
      <c r="E133" s="10" t="n">
        <v>2040</v>
      </c>
      <c r="F133" s="10" t="s">
        <v>225</v>
      </c>
      <c r="G133" s="10"/>
    </row>
    <row r="134" customFormat="false" ht="15.75" hidden="false" customHeight="true" outlineLevel="0" collapsed="false">
      <c r="A134" s="18"/>
      <c r="B134" s="18" t="s">
        <v>246</v>
      </c>
      <c r="C134" s="115" t="n">
        <v>45351</v>
      </c>
      <c r="D134" s="10" t="n">
        <v>75</v>
      </c>
      <c r="E134" s="10" t="n">
        <v>1500</v>
      </c>
      <c r="F134" s="10" t="s">
        <v>225</v>
      </c>
      <c r="G134" s="10"/>
    </row>
    <row r="135" customFormat="false" ht="15.75" hidden="false" customHeight="true" outlineLevel="0" collapsed="false">
      <c r="A135" s="18"/>
      <c r="B135" s="18" t="s">
        <v>301</v>
      </c>
      <c r="C135" s="115" t="n">
        <v>45351</v>
      </c>
      <c r="D135" s="10" t="n">
        <v>75</v>
      </c>
      <c r="E135" s="10" t="n">
        <v>675</v>
      </c>
      <c r="F135" s="10" t="s">
        <v>225</v>
      </c>
      <c r="G135" s="10"/>
    </row>
    <row r="136" customFormat="false" ht="15.75" hidden="false" customHeight="true" outlineLevel="0" collapsed="false">
      <c r="A136" s="18"/>
      <c r="B136" s="18" t="s">
        <v>326</v>
      </c>
      <c r="C136" s="115" t="n">
        <v>45351</v>
      </c>
      <c r="D136" s="10" t="n">
        <v>90</v>
      </c>
      <c r="E136" s="10" t="n">
        <v>240</v>
      </c>
      <c r="F136" s="10" t="s">
        <v>225</v>
      </c>
      <c r="G136" s="10"/>
    </row>
    <row r="137" customFormat="false" ht="15.75" hidden="false" customHeight="true" outlineLevel="0" collapsed="false">
      <c r="A137" s="18"/>
      <c r="B137" s="18" t="s">
        <v>327</v>
      </c>
      <c r="C137" s="115" t="n">
        <v>45351</v>
      </c>
      <c r="D137" s="10" t="n">
        <v>90</v>
      </c>
      <c r="E137" s="10" t="n">
        <v>600</v>
      </c>
      <c r="F137" s="10" t="s">
        <v>225</v>
      </c>
      <c r="G137" s="10"/>
    </row>
    <row r="138" customFormat="false" ht="15.75" hidden="false" customHeight="true" outlineLevel="0" collapsed="false">
      <c r="A138" s="18"/>
      <c r="B138" s="18" t="s">
        <v>328</v>
      </c>
      <c r="C138" s="115" t="n">
        <v>45351</v>
      </c>
      <c r="D138" s="10" t="n">
        <v>100</v>
      </c>
      <c r="E138" s="10" t="n">
        <v>100</v>
      </c>
      <c r="F138" s="10" t="s">
        <v>225</v>
      </c>
      <c r="G138" s="10"/>
    </row>
    <row r="139" customFormat="false" ht="15.75" hidden="false" customHeight="true" outlineLevel="0" collapsed="false">
      <c r="A139" s="18"/>
      <c r="B139" s="18" t="s">
        <v>329</v>
      </c>
      <c r="C139" s="115" t="n">
        <v>45351</v>
      </c>
      <c r="D139" s="10" t="n">
        <v>105</v>
      </c>
      <c r="E139" s="10" t="n">
        <v>1050</v>
      </c>
      <c r="F139" s="10" t="s">
        <v>225</v>
      </c>
      <c r="G139" s="10"/>
    </row>
    <row r="140" customFormat="false" ht="15.75" hidden="false" customHeight="true" outlineLevel="0" collapsed="false">
      <c r="A140" s="18"/>
      <c r="B140" s="18" t="s">
        <v>330</v>
      </c>
      <c r="C140" s="115" t="n">
        <v>45351</v>
      </c>
      <c r="D140" s="10" t="n">
        <v>110</v>
      </c>
      <c r="E140" s="10" t="n">
        <v>750</v>
      </c>
      <c r="F140" s="10" t="s">
        <v>225</v>
      </c>
      <c r="G140" s="10"/>
    </row>
    <row r="141" customFormat="false" ht="15.75" hidden="false" customHeight="true" outlineLevel="0" collapsed="false">
      <c r="A141" s="18"/>
      <c r="B141" s="18" t="s">
        <v>331</v>
      </c>
      <c r="C141" s="115" t="n">
        <v>45351</v>
      </c>
      <c r="D141" s="10" t="n">
        <v>110</v>
      </c>
      <c r="E141" s="10" t="n">
        <v>6750</v>
      </c>
      <c r="F141" s="10" t="s">
        <v>225</v>
      </c>
      <c r="G141" s="10"/>
    </row>
    <row r="142" customFormat="false" ht="15.75" hidden="false" customHeight="true" outlineLevel="0" collapsed="false">
      <c r="A142" s="18"/>
      <c r="B142" s="18" t="s">
        <v>332</v>
      </c>
      <c r="C142" s="115" t="n">
        <v>45351</v>
      </c>
      <c r="D142" s="10" t="n">
        <v>137</v>
      </c>
      <c r="E142" s="10" t="n">
        <v>1688</v>
      </c>
      <c r="F142" s="10" t="s">
        <v>225</v>
      </c>
      <c r="G142" s="10"/>
    </row>
    <row r="143" customFormat="false" ht="15.75" hidden="false" customHeight="true" outlineLevel="0" collapsed="false">
      <c r="A143" s="18"/>
      <c r="B143" s="18" t="s">
        <v>246</v>
      </c>
      <c r="C143" s="115" t="n">
        <v>45351</v>
      </c>
      <c r="D143" s="10" t="n">
        <v>200</v>
      </c>
      <c r="E143" s="10" t="n">
        <v>1428</v>
      </c>
      <c r="F143" s="10" t="s">
        <v>225</v>
      </c>
      <c r="G143" s="10"/>
    </row>
    <row r="144" customFormat="false" ht="15.75" hidden="false" customHeight="true" outlineLevel="0" collapsed="false">
      <c r="A144" s="18"/>
      <c r="B144" s="18" t="s">
        <v>333</v>
      </c>
      <c r="C144" s="115" t="n">
        <v>45351</v>
      </c>
      <c r="D144" s="10" t="n">
        <v>65</v>
      </c>
      <c r="E144" s="10" t="n">
        <v>96</v>
      </c>
      <c r="F144" s="10" t="s">
        <v>236</v>
      </c>
      <c r="G144" s="10"/>
    </row>
    <row r="145" customFormat="false" ht="15.75" hidden="false" customHeight="true" outlineLevel="0" collapsed="false">
      <c r="A145" s="18"/>
      <c r="B145" s="18" t="s">
        <v>246</v>
      </c>
      <c r="C145" s="115" t="n">
        <v>45351</v>
      </c>
      <c r="D145" s="10" t="n">
        <v>250</v>
      </c>
      <c r="E145" s="10" t="n">
        <v>6734</v>
      </c>
      <c r="F145" s="10" t="s">
        <v>236</v>
      </c>
      <c r="G145" s="10"/>
    </row>
    <row r="146" customFormat="false" ht="15.75" hidden="false" customHeight="true" outlineLevel="0" collapsed="false">
      <c r="A146" s="18"/>
      <c r="B146" s="18" t="s">
        <v>334</v>
      </c>
      <c r="C146" s="115" t="n">
        <v>45355</v>
      </c>
      <c r="D146" s="10" t="n">
        <v>210</v>
      </c>
      <c r="E146" s="10" t="n">
        <v>630</v>
      </c>
      <c r="F146" s="10" t="s">
        <v>229</v>
      </c>
      <c r="G146" s="10"/>
    </row>
    <row r="147" customFormat="false" ht="15.75" hidden="false" customHeight="true" outlineLevel="0" collapsed="false">
      <c r="A147" s="18"/>
      <c r="B147" s="18" t="s">
        <v>335</v>
      </c>
      <c r="C147" s="115" t="n">
        <v>45355</v>
      </c>
      <c r="D147" s="10" t="n">
        <v>155</v>
      </c>
      <c r="E147" s="10" t="n">
        <v>389</v>
      </c>
      <c r="F147" s="10" t="s">
        <v>229</v>
      </c>
      <c r="G147" s="10"/>
    </row>
    <row r="148" customFormat="false" ht="15.75" hidden="false" customHeight="true" outlineLevel="0" collapsed="false">
      <c r="A148" s="18"/>
      <c r="B148" s="18" t="s">
        <v>336</v>
      </c>
      <c r="C148" s="115" t="n">
        <v>45355</v>
      </c>
      <c r="D148" s="10" t="n">
        <v>210</v>
      </c>
      <c r="E148" s="10" t="n">
        <v>1060</v>
      </c>
      <c r="F148" s="10" t="s">
        <v>229</v>
      </c>
      <c r="G148" s="10"/>
    </row>
    <row r="149" customFormat="false" ht="15.75" hidden="false" customHeight="true" outlineLevel="0" collapsed="false">
      <c r="A149" s="18"/>
      <c r="B149" s="18" t="s">
        <v>337</v>
      </c>
      <c r="C149" s="115" t="n">
        <v>45355</v>
      </c>
      <c r="D149" s="10" t="n">
        <v>70</v>
      </c>
      <c r="E149" s="10" t="n">
        <v>680</v>
      </c>
      <c r="F149" s="10" t="s">
        <v>225</v>
      </c>
      <c r="G149" s="10"/>
    </row>
    <row r="150" customFormat="false" ht="15.75" hidden="false" customHeight="true" outlineLevel="0" collapsed="false">
      <c r="A150" s="18"/>
      <c r="B150" s="18" t="s">
        <v>338</v>
      </c>
      <c r="C150" s="115" t="n">
        <v>45355</v>
      </c>
      <c r="D150" s="10" t="n">
        <v>83</v>
      </c>
      <c r="E150" s="10" t="n">
        <v>1620</v>
      </c>
      <c r="F150" s="10" t="s">
        <v>225</v>
      </c>
      <c r="G150" s="10" t="s">
        <v>339</v>
      </c>
    </row>
    <row r="151" customFormat="false" ht="15.75" hidden="false" customHeight="true" outlineLevel="0" collapsed="false">
      <c r="A151" s="18"/>
      <c r="B151" s="18" t="s">
        <v>340</v>
      </c>
      <c r="C151" s="115" t="n">
        <v>45355</v>
      </c>
      <c r="D151" s="10" t="n">
        <v>100</v>
      </c>
      <c r="E151" s="10" t="n">
        <v>1905</v>
      </c>
      <c r="F151" s="10" t="s">
        <v>225</v>
      </c>
      <c r="G151" s="10"/>
    </row>
    <row r="152" customFormat="false" ht="15.75" hidden="false" customHeight="true" outlineLevel="0" collapsed="false">
      <c r="A152" s="18"/>
      <c r="B152" s="18" t="s">
        <v>341</v>
      </c>
      <c r="C152" s="115" t="n">
        <v>45355</v>
      </c>
      <c r="D152" s="10" t="n">
        <v>100</v>
      </c>
      <c r="E152" s="10" t="n">
        <v>4000</v>
      </c>
      <c r="F152" s="10" t="s">
        <v>225</v>
      </c>
      <c r="G152" s="10"/>
    </row>
    <row r="153" customFormat="false" ht="15.75" hidden="false" customHeight="true" outlineLevel="0" collapsed="false">
      <c r="A153" s="18"/>
      <c r="B153" s="18" t="s">
        <v>342</v>
      </c>
      <c r="C153" s="115" t="n">
        <v>45355</v>
      </c>
      <c r="D153" s="10" t="n">
        <v>105</v>
      </c>
      <c r="E153" s="10" t="n">
        <v>160</v>
      </c>
      <c r="F153" s="10" t="s">
        <v>225</v>
      </c>
      <c r="G153" s="10"/>
    </row>
    <row r="154" customFormat="false" ht="15.75" hidden="false" customHeight="true" outlineLevel="0" collapsed="false">
      <c r="A154" s="18"/>
      <c r="B154" s="18" t="s">
        <v>285</v>
      </c>
      <c r="C154" s="115" t="n">
        <v>45355</v>
      </c>
      <c r="D154" s="10" t="n">
        <v>125</v>
      </c>
      <c r="E154" s="10" t="n">
        <v>4000</v>
      </c>
      <c r="F154" s="10" t="s">
        <v>225</v>
      </c>
      <c r="G154" s="10"/>
    </row>
    <row r="155" customFormat="false" ht="15.75" hidden="false" customHeight="true" outlineLevel="0" collapsed="false">
      <c r="A155" s="18"/>
      <c r="B155" s="18" t="s">
        <v>343</v>
      </c>
      <c r="C155" s="115" t="n">
        <v>45355</v>
      </c>
      <c r="D155" s="10" t="n">
        <v>250</v>
      </c>
      <c r="E155" s="10" t="n">
        <v>371</v>
      </c>
      <c r="F155" s="10" t="s">
        <v>236</v>
      </c>
      <c r="G155" s="10"/>
    </row>
    <row r="156" customFormat="false" ht="15.75" hidden="false" customHeight="true" outlineLevel="0" collapsed="false">
      <c r="A156" s="18"/>
      <c r="B156" s="18" t="s">
        <v>344</v>
      </c>
      <c r="C156" s="115" t="n">
        <v>45355</v>
      </c>
      <c r="D156" s="10" t="n">
        <v>250</v>
      </c>
      <c r="E156" s="10" t="n">
        <v>371</v>
      </c>
      <c r="F156" s="10" t="s">
        <v>236</v>
      </c>
      <c r="G156" s="10"/>
    </row>
    <row r="157" customFormat="false" ht="15.75" hidden="false" customHeight="true" outlineLevel="0" collapsed="false">
      <c r="A157" s="18"/>
      <c r="B157" s="18" t="s">
        <v>345</v>
      </c>
      <c r="C157" s="115" t="n">
        <v>45369</v>
      </c>
      <c r="D157" s="10" t="n">
        <v>35</v>
      </c>
      <c r="E157" s="10" t="n">
        <v>600</v>
      </c>
      <c r="F157" s="10" t="s">
        <v>296</v>
      </c>
      <c r="G157" s="10"/>
    </row>
    <row r="158" customFormat="false" ht="15.75" hidden="false" customHeight="true" outlineLevel="0" collapsed="false">
      <c r="A158" s="18"/>
      <c r="B158" s="18" t="s">
        <v>346</v>
      </c>
      <c r="C158" s="115" t="n">
        <v>45369</v>
      </c>
      <c r="D158" s="10" t="n">
        <v>105</v>
      </c>
      <c r="E158" s="10" t="n">
        <v>189</v>
      </c>
      <c r="F158" s="10" t="s">
        <v>229</v>
      </c>
      <c r="G158" s="10"/>
    </row>
    <row r="159" customFormat="false" ht="15.75" hidden="false" customHeight="true" outlineLevel="0" collapsed="false">
      <c r="A159" s="18"/>
      <c r="B159" s="18" t="s">
        <v>347</v>
      </c>
      <c r="C159" s="115" t="n">
        <v>45369</v>
      </c>
      <c r="D159" s="10" t="n">
        <v>30</v>
      </c>
      <c r="E159" s="10" t="n">
        <v>1350</v>
      </c>
      <c r="F159" s="10" t="s">
        <v>103</v>
      </c>
      <c r="G159" s="10"/>
    </row>
    <row r="160" customFormat="false" ht="15.75" hidden="false" customHeight="true" outlineLevel="0" collapsed="false">
      <c r="A160" s="18"/>
      <c r="B160" s="18" t="s">
        <v>348</v>
      </c>
      <c r="C160" s="115" t="n">
        <v>45369</v>
      </c>
      <c r="D160" s="10" t="n">
        <v>50</v>
      </c>
      <c r="E160" s="10" t="n">
        <v>220</v>
      </c>
      <c r="F160" s="10" t="s">
        <v>225</v>
      </c>
      <c r="G160" s="10"/>
    </row>
    <row r="161" customFormat="false" ht="15.75" hidden="false" customHeight="true" outlineLevel="0" collapsed="false">
      <c r="A161" s="18"/>
      <c r="B161" s="18" t="s">
        <v>241</v>
      </c>
      <c r="C161" s="115" t="n">
        <v>45369</v>
      </c>
      <c r="D161" s="10" t="n">
        <v>65</v>
      </c>
      <c r="E161" s="10" t="n">
        <v>1700</v>
      </c>
      <c r="F161" s="10" t="s">
        <v>225</v>
      </c>
      <c r="G161" s="10"/>
    </row>
    <row r="162" customFormat="false" ht="15.75" hidden="false" customHeight="true" outlineLevel="0" collapsed="false">
      <c r="A162" s="18"/>
      <c r="B162" s="18" t="s">
        <v>349</v>
      </c>
      <c r="C162" s="115" t="n">
        <v>45369</v>
      </c>
      <c r="D162" s="10" t="n">
        <v>65</v>
      </c>
      <c r="E162" s="10" t="n">
        <v>1100</v>
      </c>
      <c r="F162" s="10" t="s">
        <v>225</v>
      </c>
      <c r="G162" s="10"/>
    </row>
    <row r="163" customFormat="false" ht="15.75" hidden="false" customHeight="true" outlineLevel="0" collapsed="false">
      <c r="A163" s="18"/>
      <c r="B163" s="18" t="s">
        <v>241</v>
      </c>
      <c r="C163" s="115" t="n">
        <v>45369</v>
      </c>
      <c r="D163" s="10" t="n">
        <v>75</v>
      </c>
      <c r="E163" s="10" t="n">
        <v>225</v>
      </c>
      <c r="F163" s="10" t="s">
        <v>225</v>
      </c>
      <c r="G163" s="10"/>
    </row>
    <row r="164" customFormat="false" ht="15.75" hidden="false" customHeight="true" outlineLevel="0" collapsed="false">
      <c r="A164" s="18"/>
      <c r="B164" s="18" t="s">
        <v>349</v>
      </c>
      <c r="C164" s="115" t="n">
        <v>45369</v>
      </c>
      <c r="D164" s="10" t="n">
        <v>85</v>
      </c>
      <c r="E164" s="10" t="n">
        <v>1300</v>
      </c>
      <c r="F164" s="10" t="s">
        <v>225</v>
      </c>
      <c r="G164" s="10"/>
    </row>
    <row r="165" customFormat="false" ht="15.75" hidden="false" customHeight="true" outlineLevel="0" collapsed="false">
      <c r="A165" s="18"/>
      <c r="B165" s="18" t="s">
        <v>269</v>
      </c>
      <c r="C165" s="115" t="n">
        <v>45369</v>
      </c>
      <c r="D165" s="10" t="n">
        <v>100</v>
      </c>
      <c r="E165" s="10" t="n">
        <v>1125</v>
      </c>
      <c r="F165" s="10" t="s">
        <v>225</v>
      </c>
      <c r="G165" s="10"/>
    </row>
    <row r="166" customFormat="false" ht="15.75" hidden="false" customHeight="true" outlineLevel="0" collapsed="false">
      <c r="A166" s="18"/>
      <c r="B166" s="18" t="s">
        <v>350</v>
      </c>
      <c r="C166" s="115" t="n">
        <v>45369</v>
      </c>
      <c r="D166" s="10" t="n">
        <v>100</v>
      </c>
      <c r="E166" s="10" t="n">
        <v>200</v>
      </c>
      <c r="F166" s="10" t="s">
        <v>225</v>
      </c>
      <c r="G166" s="10" t="n">
        <v>97</v>
      </c>
    </row>
    <row r="167" customFormat="false" ht="15.75" hidden="false" customHeight="true" outlineLevel="0" collapsed="false">
      <c r="A167" s="18"/>
      <c r="B167" s="18" t="s">
        <v>350</v>
      </c>
      <c r="C167" s="115" t="n">
        <v>45369</v>
      </c>
      <c r="D167" s="10" t="n">
        <v>110</v>
      </c>
      <c r="E167" s="10" t="n">
        <v>1800</v>
      </c>
      <c r="F167" s="10" t="s">
        <v>225</v>
      </c>
      <c r="G167" s="10" t="n">
        <v>108</v>
      </c>
    </row>
    <row r="168" customFormat="false" ht="15.75" hidden="false" customHeight="true" outlineLevel="0" collapsed="false">
      <c r="A168" s="18"/>
      <c r="B168" s="18" t="s">
        <v>351</v>
      </c>
      <c r="C168" s="115" t="n">
        <v>45369</v>
      </c>
      <c r="D168" s="10" t="n">
        <v>125</v>
      </c>
      <c r="E168" s="10" t="n">
        <v>1005</v>
      </c>
      <c r="F168" s="10" t="s">
        <v>225</v>
      </c>
      <c r="G168" s="10"/>
    </row>
    <row r="169" customFormat="false" ht="15.75" hidden="false" customHeight="true" outlineLevel="0" collapsed="false">
      <c r="A169" s="18"/>
      <c r="B169" s="18" t="s">
        <v>352</v>
      </c>
      <c r="C169" s="115" t="n">
        <v>45369</v>
      </c>
      <c r="D169" s="10" t="n">
        <v>130</v>
      </c>
      <c r="E169" s="10" t="n">
        <v>1280</v>
      </c>
      <c r="F169" s="10" t="s">
        <v>225</v>
      </c>
      <c r="G169" s="10"/>
    </row>
    <row r="170" customFormat="false" ht="15.75" hidden="false" customHeight="true" outlineLevel="0" collapsed="false">
      <c r="A170" s="18"/>
      <c r="B170" s="18" t="s">
        <v>258</v>
      </c>
      <c r="C170" s="115" t="n">
        <v>45369</v>
      </c>
      <c r="D170" s="10" t="n">
        <v>130</v>
      </c>
      <c r="E170" s="10" t="n">
        <v>1100</v>
      </c>
      <c r="F170" s="10" t="s">
        <v>225</v>
      </c>
      <c r="G170" s="10"/>
    </row>
    <row r="171" customFormat="false" ht="15.75" hidden="false" customHeight="true" outlineLevel="0" collapsed="false">
      <c r="A171" s="18"/>
      <c r="B171" s="18" t="s">
        <v>353</v>
      </c>
      <c r="C171" s="115" t="n">
        <v>45369</v>
      </c>
      <c r="D171" s="10" t="n">
        <v>210</v>
      </c>
      <c r="E171" s="10" t="n">
        <v>630</v>
      </c>
      <c r="F171" s="10" t="s">
        <v>225</v>
      </c>
      <c r="G171" s="10"/>
    </row>
    <row r="172" customFormat="false" ht="15.75" hidden="false" customHeight="true" outlineLevel="0" collapsed="false">
      <c r="A172" s="18"/>
      <c r="B172" s="18" t="s">
        <v>224</v>
      </c>
      <c r="C172" s="115" t="n">
        <v>45369</v>
      </c>
      <c r="D172" s="10" t="n">
        <v>210</v>
      </c>
      <c r="E172" s="10" t="n">
        <v>2988</v>
      </c>
      <c r="F172" s="10" t="s">
        <v>225</v>
      </c>
      <c r="G172" s="10"/>
    </row>
    <row r="173" customFormat="false" ht="15.75" hidden="false" customHeight="true" outlineLevel="0" collapsed="false">
      <c r="A173" s="18"/>
      <c r="B173" s="18" t="s">
        <v>231</v>
      </c>
      <c r="C173" s="115" t="n">
        <v>45369</v>
      </c>
      <c r="D173" s="10" t="n">
        <v>210</v>
      </c>
      <c r="E173" s="10" t="n">
        <v>250</v>
      </c>
      <c r="F173" s="10" t="s">
        <v>225</v>
      </c>
      <c r="G173" s="10"/>
    </row>
    <row r="174" customFormat="false" ht="15.75" hidden="false" customHeight="true" outlineLevel="0" collapsed="false">
      <c r="A174" s="18" t="n">
        <v>343</v>
      </c>
      <c r="B174" s="18" t="s">
        <v>342</v>
      </c>
      <c r="C174" s="115" t="n">
        <v>45384</v>
      </c>
      <c r="D174" s="10" t="n">
        <v>35</v>
      </c>
      <c r="E174" s="10" t="n">
        <v>700</v>
      </c>
      <c r="F174" s="10" t="s">
        <v>225</v>
      </c>
      <c r="G174" s="10"/>
    </row>
    <row r="175" customFormat="false" ht="15.75" hidden="false" customHeight="true" outlineLevel="0" collapsed="false">
      <c r="A175" s="18" t="n">
        <v>329</v>
      </c>
      <c r="B175" s="18" t="s">
        <v>270</v>
      </c>
      <c r="C175" s="115" t="n">
        <v>45384</v>
      </c>
      <c r="D175" s="10" t="n">
        <v>130</v>
      </c>
      <c r="E175" s="10" t="n">
        <v>1250</v>
      </c>
      <c r="F175" s="10" t="s">
        <v>229</v>
      </c>
      <c r="G175" s="10"/>
    </row>
    <row r="176" customFormat="false" ht="15.75" hidden="false" customHeight="true" outlineLevel="0" collapsed="false">
      <c r="A176" s="18" t="n">
        <v>330</v>
      </c>
      <c r="B176" s="18" t="s">
        <v>270</v>
      </c>
      <c r="C176" s="115" t="n">
        <v>45384</v>
      </c>
      <c r="D176" s="10" t="n">
        <v>75</v>
      </c>
      <c r="E176" s="10" t="n">
        <v>1820</v>
      </c>
      <c r="F176" s="10" t="s">
        <v>229</v>
      </c>
      <c r="G176" s="10"/>
    </row>
    <row r="177" customFormat="false" ht="15.75" hidden="false" customHeight="true" outlineLevel="0" collapsed="false">
      <c r="A177" s="18"/>
      <c r="B177" s="18" t="s">
        <v>250</v>
      </c>
      <c r="C177" s="115" t="n">
        <v>45384</v>
      </c>
      <c r="D177" s="10" t="n">
        <v>110</v>
      </c>
      <c r="E177" s="10" t="n">
        <v>2040</v>
      </c>
      <c r="F177" s="10" t="s">
        <v>227</v>
      </c>
      <c r="G177" s="10"/>
    </row>
    <row r="178" customFormat="false" ht="15.75" hidden="false" customHeight="true" outlineLevel="0" collapsed="false">
      <c r="A178" s="18"/>
      <c r="B178" s="18" t="s">
        <v>354</v>
      </c>
      <c r="C178" s="115" t="n">
        <v>45384</v>
      </c>
      <c r="D178" s="10" t="n">
        <v>110</v>
      </c>
      <c r="E178" s="10" t="n">
        <v>730</v>
      </c>
      <c r="F178" s="10" t="s">
        <v>227</v>
      </c>
      <c r="G178" s="10"/>
    </row>
    <row r="179" customFormat="false" ht="15.75" hidden="false" customHeight="true" outlineLevel="0" collapsed="false">
      <c r="A179" s="18"/>
      <c r="B179" s="18" t="s">
        <v>355</v>
      </c>
      <c r="C179" s="115" t="n">
        <v>45384</v>
      </c>
      <c r="D179" s="10" t="n">
        <v>130</v>
      </c>
      <c r="E179" s="10" t="n">
        <v>900</v>
      </c>
      <c r="F179" s="10" t="s">
        <v>227</v>
      </c>
      <c r="G179" s="10"/>
    </row>
    <row r="180" customFormat="false" ht="15.75" hidden="false" customHeight="true" outlineLevel="0" collapsed="false">
      <c r="A180" s="18"/>
      <c r="B180" s="18" t="s">
        <v>356</v>
      </c>
      <c r="C180" s="115" t="n">
        <v>45384</v>
      </c>
      <c r="D180" s="10" t="n">
        <v>53</v>
      </c>
      <c r="E180" s="10" t="n">
        <v>153</v>
      </c>
      <c r="F180" s="10" t="s">
        <v>225</v>
      </c>
      <c r="G180" s="10"/>
    </row>
    <row r="181" customFormat="false" ht="15.75" hidden="false" customHeight="true" outlineLevel="0" collapsed="false">
      <c r="A181" s="18"/>
      <c r="B181" s="18" t="s">
        <v>303</v>
      </c>
      <c r="C181" s="115" t="n">
        <v>45384</v>
      </c>
      <c r="D181" s="10" t="n">
        <v>100</v>
      </c>
      <c r="E181" s="10" t="n">
        <v>1500</v>
      </c>
      <c r="F181" s="10" t="s">
        <v>225</v>
      </c>
      <c r="G181" s="10"/>
    </row>
    <row r="182" customFormat="false" ht="15.75" hidden="false" customHeight="true" outlineLevel="0" collapsed="false">
      <c r="A182" s="18"/>
      <c r="B182" s="18" t="s">
        <v>357</v>
      </c>
      <c r="C182" s="115" t="n">
        <v>45384</v>
      </c>
      <c r="D182" s="10" t="n">
        <v>100</v>
      </c>
      <c r="E182" s="10" t="n">
        <v>300</v>
      </c>
      <c r="F182" s="10" t="s">
        <v>225</v>
      </c>
      <c r="G182" s="10" t="n">
        <v>97</v>
      </c>
    </row>
    <row r="183" customFormat="false" ht="15.75" hidden="false" customHeight="true" outlineLevel="0" collapsed="false">
      <c r="A183" s="18"/>
      <c r="B183" s="18" t="s">
        <v>358</v>
      </c>
      <c r="C183" s="115" t="n">
        <v>45384</v>
      </c>
      <c r="D183" s="10" t="n">
        <v>105</v>
      </c>
      <c r="E183" s="10" t="n">
        <v>56</v>
      </c>
      <c r="F183" s="10" t="s">
        <v>225</v>
      </c>
      <c r="G183" s="10"/>
    </row>
    <row r="184" customFormat="false" ht="15.75" hidden="false" customHeight="true" outlineLevel="0" collapsed="false">
      <c r="A184" s="18" t="n">
        <v>331</v>
      </c>
      <c r="B184" s="18" t="s">
        <v>270</v>
      </c>
      <c r="C184" s="115" t="n">
        <v>45384</v>
      </c>
      <c r="D184" s="10" t="n">
        <v>125</v>
      </c>
      <c r="E184" s="10" t="n">
        <v>740</v>
      </c>
      <c r="F184" s="10" t="s">
        <v>225</v>
      </c>
      <c r="G184" s="10"/>
    </row>
    <row r="185" customFormat="false" ht="15.75" hidden="false" customHeight="true" outlineLevel="0" collapsed="false">
      <c r="A185" s="18"/>
      <c r="B185" s="18" t="s">
        <v>359</v>
      </c>
      <c r="C185" s="115" t="n">
        <v>45384</v>
      </c>
      <c r="D185" s="10" t="n">
        <v>190</v>
      </c>
      <c r="E185" s="10" t="n">
        <v>3780</v>
      </c>
      <c r="F185" s="10" t="s">
        <v>225</v>
      </c>
      <c r="G185" s="10"/>
    </row>
    <row r="186" customFormat="false" ht="15.75" hidden="false" customHeight="true" outlineLevel="0" collapsed="false">
      <c r="A186" s="18" t="n">
        <v>260211</v>
      </c>
      <c r="B186" s="18" t="s">
        <v>360</v>
      </c>
      <c r="C186" s="115" t="n">
        <v>45386</v>
      </c>
      <c r="D186" s="10" t="n">
        <v>4.8</v>
      </c>
      <c r="E186" s="10" t="n">
        <v>1300</v>
      </c>
      <c r="F186" s="10" t="s">
        <v>227</v>
      </c>
      <c r="G186" s="10"/>
    </row>
    <row r="187" customFormat="false" ht="15.75" hidden="false" customHeight="true" outlineLevel="0" collapsed="false">
      <c r="A187" s="18" t="n">
        <v>346</v>
      </c>
      <c r="B187" s="18" t="s">
        <v>334</v>
      </c>
      <c r="C187" s="115" t="n">
        <v>45386</v>
      </c>
      <c r="D187" s="10" t="n">
        <v>155</v>
      </c>
      <c r="E187" s="10" t="n">
        <v>1930</v>
      </c>
      <c r="F187" s="10" t="s">
        <v>229</v>
      </c>
      <c r="G187" s="10"/>
    </row>
    <row r="188" customFormat="false" ht="15.75" hidden="false" customHeight="true" outlineLevel="0" collapsed="false">
      <c r="A188" s="18" t="n">
        <v>260223</v>
      </c>
      <c r="B188" s="18" t="s">
        <v>361</v>
      </c>
      <c r="C188" s="115" t="n">
        <v>45386</v>
      </c>
      <c r="D188" s="10" t="n">
        <v>140</v>
      </c>
      <c r="E188" s="10" t="n">
        <v>180</v>
      </c>
      <c r="F188" s="10" t="s">
        <v>362</v>
      </c>
      <c r="G188" s="10"/>
    </row>
    <row r="189" customFormat="false" ht="15.75" hidden="false" customHeight="true" outlineLevel="0" collapsed="false">
      <c r="A189" s="18" t="n">
        <v>340</v>
      </c>
      <c r="B189" s="18" t="s">
        <v>363</v>
      </c>
      <c r="C189" s="115" t="n">
        <v>45386</v>
      </c>
      <c r="D189" s="10" t="n">
        <v>75</v>
      </c>
      <c r="E189" s="10" t="n">
        <v>900</v>
      </c>
      <c r="F189" s="10" t="s">
        <v>227</v>
      </c>
      <c r="G189" s="10"/>
    </row>
    <row r="190" customFormat="false" ht="15.75" hidden="false" customHeight="true" outlineLevel="0" collapsed="false">
      <c r="A190" s="18" t="n">
        <v>345</v>
      </c>
      <c r="B190" s="18" t="s">
        <v>242</v>
      </c>
      <c r="C190" s="115" t="n">
        <v>45386</v>
      </c>
      <c r="D190" s="10" t="n">
        <v>60</v>
      </c>
      <c r="E190" s="10" t="n">
        <v>300</v>
      </c>
      <c r="F190" s="10" t="s">
        <v>225</v>
      </c>
      <c r="G190" s="10"/>
    </row>
    <row r="191" customFormat="false" ht="15.75" hidden="false" customHeight="true" outlineLevel="0" collapsed="false">
      <c r="A191" s="18" t="n">
        <v>260224</v>
      </c>
      <c r="B191" s="18" t="s">
        <v>364</v>
      </c>
      <c r="C191" s="115" t="n">
        <v>45386</v>
      </c>
      <c r="D191" s="10" t="n">
        <v>85</v>
      </c>
      <c r="E191" s="10" t="n">
        <v>1200</v>
      </c>
      <c r="F191" s="10" t="s">
        <v>225</v>
      </c>
      <c r="G191" s="10"/>
    </row>
    <row r="192" customFormat="false" ht="15.75" hidden="false" customHeight="true" outlineLevel="0" collapsed="false">
      <c r="A192" s="18" t="n">
        <v>260222</v>
      </c>
      <c r="B192" s="18" t="s">
        <v>365</v>
      </c>
      <c r="C192" s="115" t="n">
        <v>45386</v>
      </c>
      <c r="D192" s="10" t="n">
        <v>100</v>
      </c>
      <c r="E192" s="10" t="n">
        <v>800</v>
      </c>
      <c r="F192" s="10" t="s">
        <v>225</v>
      </c>
      <c r="G192" s="10"/>
    </row>
    <row r="193" customFormat="false" ht="15.75" hidden="false" customHeight="true" outlineLevel="0" collapsed="false">
      <c r="A193" s="18" t="n">
        <v>341</v>
      </c>
      <c r="B193" s="18" t="s">
        <v>366</v>
      </c>
      <c r="C193" s="115" t="n">
        <v>45386</v>
      </c>
      <c r="D193" s="10" t="n">
        <v>110</v>
      </c>
      <c r="E193" s="10" t="n">
        <v>750</v>
      </c>
      <c r="F193" s="10" t="s">
        <v>225</v>
      </c>
      <c r="G193" s="10"/>
    </row>
    <row r="194" customFormat="false" ht="15.75" hidden="false" customHeight="true" outlineLevel="0" collapsed="false">
      <c r="A194" s="18" t="n">
        <v>260220</v>
      </c>
      <c r="B194" s="18" t="s">
        <v>367</v>
      </c>
      <c r="C194" s="115" t="n">
        <v>45386</v>
      </c>
      <c r="D194" s="10" t="n">
        <v>110</v>
      </c>
      <c r="E194" s="10" t="n">
        <v>700</v>
      </c>
      <c r="F194" s="10" t="s">
        <v>225</v>
      </c>
      <c r="G194" s="10"/>
    </row>
    <row r="195" customFormat="false" ht="15.75" hidden="false" customHeight="true" outlineLevel="0" collapsed="false">
      <c r="A195" s="18" t="n">
        <v>344</v>
      </c>
      <c r="B195" s="18" t="s">
        <v>368</v>
      </c>
      <c r="C195" s="115" t="n">
        <v>45386</v>
      </c>
      <c r="D195" s="10" t="n">
        <v>210</v>
      </c>
      <c r="E195" s="10" t="n">
        <v>1075</v>
      </c>
      <c r="F195" s="10" t="s">
        <v>225</v>
      </c>
      <c r="G195" s="10"/>
    </row>
    <row r="196" customFormat="false" ht="15.75" hidden="false" customHeight="true" outlineLevel="0" collapsed="false">
      <c r="A196" s="18" t="n">
        <v>339</v>
      </c>
      <c r="B196" s="18" t="s">
        <v>369</v>
      </c>
      <c r="C196" s="115" t="n">
        <v>45386</v>
      </c>
      <c r="D196" s="10" t="n">
        <v>210</v>
      </c>
      <c r="E196" s="10" t="n">
        <v>7600</v>
      </c>
      <c r="F196" s="10" t="s">
        <v>225</v>
      </c>
      <c r="G196" s="10"/>
    </row>
    <row r="197" customFormat="false" ht="15.75" hidden="false" customHeight="true" outlineLevel="0" collapsed="false">
      <c r="A197" s="18" t="n">
        <v>260221</v>
      </c>
      <c r="B197" s="18" t="s">
        <v>370</v>
      </c>
      <c r="C197" s="115" t="n">
        <v>45386</v>
      </c>
      <c r="D197" s="10" t="n">
        <v>220</v>
      </c>
      <c r="E197" s="10" t="n">
        <v>383</v>
      </c>
      <c r="F197" s="10" t="s">
        <v>225</v>
      </c>
      <c r="G197" s="10"/>
    </row>
    <row r="198" customFormat="false" ht="15.75" hidden="false" customHeight="true" outlineLevel="0" collapsed="false">
      <c r="A198" s="18" t="n">
        <v>349</v>
      </c>
      <c r="B198" s="18" t="s">
        <v>371</v>
      </c>
      <c r="C198" s="115" t="n">
        <v>45387</v>
      </c>
      <c r="D198" s="10" t="n">
        <v>2.5</v>
      </c>
      <c r="E198" s="10" t="n">
        <v>600</v>
      </c>
      <c r="F198" s="10" t="s">
        <v>372</v>
      </c>
      <c r="G198" s="10"/>
    </row>
    <row r="199" customFormat="false" ht="15.75" hidden="false" customHeight="true" outlineLevel="0" collapsed="false">
      <c r="A199" s="18" t="n">
        <v>350</v>
      </c>
      <c r="B199" s="18" t="s">
        <v>313</v>
      </c>
      <c r="C199" s="115" t="n">
        <v>45387</v>
      </c>
      <c r="D199" s="10" t="n">
        <v>65</v>
      </c>
      <c r="E199" s="10" t="n">
        <v>2100</v>
      </c>
      <c r="F199" s="10" t="s">
        <v>225</v>
      </c>
      <c r="G199" s="10"/>
    </row>
    <row r="200" customFormat="false" ht="15.75" hidden="false" customHeight="true" outlineLevel="0" collapsed="false">
      <c r="A200" s="18" t="n">
        <v>260227</v>
      </c>
      <c r="B200" s="18" t="s">
        <v>373</v>
      </c>
      <c r="C200" s="115" t="n">
        <v>45387</v>
      </c>
      <c r="D200" s="10" t="n">
        <v>70</v>
      </c>
      <c r="E200" s="10" t="n">
        <v>250</v>
      </c>
      <c r="F200" s="10" t="s">
        <v>225</v>
      </c>
      <c r="G200" s="10"/>
    </row>
    <row r="201" customFormat="false" ht="15.75" hidden="false" customHeight="true" outlineLevel="0" collapsed="false">
      <c r="A201" s="18" t="n">
        <v>355</v>
      </c>
      <c r="B201" s="18" t="s">
        <v>374</v>
      </c>
      <c r="C201" s="115" t="n">
        <v>45387</v>
      </c>
      <c r="D201" s="10" t="n">
        <v>80</v>
      </c>
      <c r="E201" s="10" t="n">
        <v>765</v>
      </c>
      <c r="F201" s="10" t="s">
        <v>225</v>
      </c>
      <c r="G201" s="10"/>
    </row>
    <row r="202" customFormat="false" ht="15.75" hidden="false" customHeight="true" outlineLevel="0" collapsed="false">
      <c r="A202" s="18" t="n">
        <v>260225</v>
      </c>
      <c r="B202" s="18" t="s">
        <v>375</v>
      </c>
      <c r="C202" s="115" t="n">
        <v>45387</v>
      </c>
      <c r="D202" s="10" t="n">
        <v>83</v>
      </c>
      <c r="E202" s="10" t="n">
        <v>405</v>
      </c>
      <c r="F202" s="10" t="s">
        <v>225</v>
      </c>
      <c r="G202" s="10" t="s">
        <v>232</v>
      </c>
    </row>
    <row r="203" customFormat="false" ht="15.75" hidden="false" customHeight="true" outlineLevel="0" collapsed="false">
      <c r="A203" s="18" t="n">
        <v>350</v>
      </c>
      <c r="B203" s="18" t="s">
        <v>313</v>
      </c>
      <c r="C203" s="115" t="n">
        <v>45387</v>
      </c>
      <c r="D203" s="10" t="n">
        <v>90</v>
      </c>
      <c r="E203" s="10" t="n">
        <v>2600</v>
      </c>
      <c r="F203" s="10" t="s">
        <v>225</v>
      </c>
      <c r="G203" s="10"/>
    </row>
    <row r="204" customFormat="false" ht="15.75" hidden="false" customHeight="true" outlineLevel="0" collapsed="false">
      <c r="A204" s="18" t="n">
        <v>350</v>
      </c>
      <c r="B204" s="18" t="s">
        <v>313</v>
      </c>
      <c r="C204" s="115" t="n">
        <v>45387</v>
      </c>
      <c r="D204" s="10" t="n">
        <v>105</v>
      </c>
      <c r="E204" s="10" t="n">
        <v>21000</v>
      </c>
      <c r="F204" s="10" t="s">
        <v>225</v>
      </c>
      <c r="G204" s="10"/>
    </row>
    <row r="205" customFormat="false" ht="15.75" hidden="false" customHeight="true" outlineLevel="0" collapsed="false">
      <c r="A205" s="18" t="n">
        <v>352</v>
      </c>
      <c r="B205" s="18" t="s">
        <v>320</v>
      </c>
      <c r="C205" s="115" t="n">
        <v>45387</v>
      </c>
      <c r="D205" s="10" t="n">
        <v>105</v>
      </c>
      <c r="E205" s="10" t="n">
        <v>530</v>
      </c>
      <c r="F205" s="10" t="s">
        <v>225</v>
      </c>
      <c r="G205" s="10"/>
    </row>
    <row r="206" customFormat="false" ht="15.75" hidden="false" customHeight="true" outlineLevel="0" collapsed="false">
      <c r="A206" s="18" t="n">
        <v>350</v>
      </c>
      <c r="B206" s="18" t="s">
        <v>313</v>
      </c>
      <c r="C206" s="115" t="n">
        <v>45387</v>
      </c>
      <c r="D206" s="10" t="n">
        <v>110</v>
      </c>
      <c r="E206" s="10" t="n">
        <v>1900</v>
      </c>
      <c r="F206" s="10" t="s">
        <v>225</v>
      </c>
      <c r="G206" s="10"/>
    </row>
    <row r="207" customFormat="false" ht="15.75" hidden="false" customHeight="true" outlineLevel="0" collapsed="false">
      <c r="A207" s="18" t="n">
        <v>260225</v>
      </c>
      <c r="B207" s="18" t="s">
        <v>375</v>
      </c>
      <c r="C207" s="115" t="n">
        <v>45387</v>
      </c>
      <c r="D207" s="10" t="n">
        <v>145</v>
      </c>
      <c r="E207" s="10" t="n">
        <v>480</v>
      </c>
      <c r="F207" s="10" t="s">
        <v>225</v>
      </c>
      <c r="G207" s="10" t="s">
        <v>232</v>
      </c>
    </row>
    <row r="208" customFormat="false" ht="15.75" hidden="false" customHeight="true" outlineLevel="0" collapsed="false">
      <c r="A208" s="18" t="n">
        <v>350</v>
      </c>
      <c r="B208" s="18" t="s">
        <v>313</v>
      </c>
      <c r="C208" s="115" t="n">
        <v>45387</v>
      </c>
      <c r="D208" s="10" t="n">
        <v>210</v>
      </c>
      <c r="E208" s="10" t="n">
        <v>1868</v>
      </c>
      <c r="F208" s="10" t="s">
        <v>225</v>
      </c>
      <c r="G208" s="10"/>
    </row>
    <row r="209" customFormat="false" ht="15.75" hidden="false" customHeight="true" outlineLevel="0" collapsed="false">
      <c r="A209" s="18" t="n">
        <v>353</v>
      </c>
      <c r="B209" s="18" t="s">
        <v>376</v>
      </c>
      <c r="C209" s="115" t="n">
        <v>45387</v>
      </c>
      <c r="D209" s="10" t="n">
        <v>250</v>
      </c>
      <c r="E209" s="10" t="n">
        <v>742</v>
      </c>
      <c r="F209" s="10" t="s">
        <v>225</v>
      </c>
      <c r="G209" s="10"/>
    </row>
    <row r="210" customFormat="false" ht="15.75" hidden="false" customHeight="true" outlineLevel="0" collapsed="false">
      <c r="A210" s="18" t="n">
        <v>357</v>
      </c>
      <c r="B210" s="18" t="s">
        <v>377</v>
      </c>
      <c r="C210" s="115" t="n">
        <v>45390</v>
      </c>
      <c r="D210" s="10" t="n">
        <v>140</v>
      </c>
      <c r="E210" s="10" t="n">
        <v>258</v>
      </c>
      <c r="F210" s="10" t="s">
        <v>362</v>
      </c>
      <c r="G210" s="10"/>
    </row>
    <row r="211" customFormat="false" ht="15.75" hidden="false" customHeight="true" outlineLevel="0" collapsed="false">
      <c r="A211" s="18" t="n">
        <v>354</v>
      </c>
      <c r="B211" s="18" t="s">
        <v>378</v>
      </c>
      <c r="C211" s="115" t="n">
        <v>45390</v>
      </c>
      <c r="D211" s="10" t="n">
        <v>110</v>
      </c>
      <c r="E211" s="10" t="n">
        <v>3000</v>
      </c>
      <c r="F211" s="10" t="s">
        <v>362</v>
      </c>
      <c r="G211" s="10"/>
    </row>
    <row r="212" customFormat="false" ht="15.75" hidden="false" customHeight="true" outlineLevel="0" collapsed="false">
      <c r="A212" s="18" t="n">
        <v>260231</v>
      </c>
      <c r="B212" s="18" t="s">
        <v>379</v>
      </c>
      <c r="C212" s="115" t="n">
        <v>45390</v>
      </c>
      <c r="D212" s="10" t="n">
        <v>100</v>
      </c>
      <c r="E212" s="10" t="n">
        <v>100</v>
      </c>
      <c r="F212" s="10" t="s">
        <v>19</v>
      </c>
      <c r="G212" s="10"/>
    </row>
    <row r="213" customFormat="false" ht="15.75" hidden="false" customHeight="true" outlineLevel="0" collapsed="false">
      <c r="A213" s="18" t="n">
        <v>362</v>
      </c>
      <c r="B213" s="18" t="s">
        <v>66</v>
      </c>
      <c r="C213" s="115" t="n">
        <v>45390</v>
      </c>
      <c r="D213" s="10" t="n">
        <v>110</v>
      </c>
      <c r="E213" s="10" t="n">
        <v>600</v>
      </c>
      <c r="F213" s="10" t="s">
        <v>229</v>
      </c>
      <c r="G213" s="10" t="s">
        <v>380</v>
      </c>
    </row>
    <row r="214" customFormat="false" ht="15.75" hidden="false" customHeight="true" outlineLevel="0" collapsed="false">
      <c r="A214" s="18" t="n">
        <v>260236</v>
      </c>
      <c r="B214" s="18" t="s">
        <v>381</v>
      </c>
      <c r="C214" s="115" t="n">
        <v>45390</v>
      </c>
      <c r="D214" s="10" t="n">
        <v>105</v>
      </c>
      <c r="E214" s="10" t="n">
        <v>300</v>
      </c>
      <c r="F214" s="10" t="s">
        <v>229</v>
      </c>
      <c r="G214" s="10"/>
    </row>
    <row r="215" customFormat="false" ht="15.75" hidden="false" customHeight="true" outlineLevel="0" collapsed="false">
      <c r="A215" s="18" t="n">
        <v>359</v>
      </c>
      <c r="B215" s="18" t="s">
        <v>382</v>
      </c>
      <c r="C215" s="115" t="n">
        <v>45390</v>
      </c>
      <c r="D215" s="10" t="n">
        <v>65</v>
      </c>
      <c r="E215" s="10" t="n">
        <v>1010</v>
      </c>
      <c r="F215" s="10" t="s">
        <v>225</v>
      </c>
      <c r="G215" s="10"/>
    </row>
    <row r="216" customFormat="false" ht="15.75" hidden="false" customHeight="true" outlineLevel="0" collapsed="false">
      <c r="A216" s="18" t="n">
        <v>361</v>
      </c>
      <c r="B216" s="18" t="s">
        <v>279</v>
      </c>
      <c r="C216" s="115" t="n">
        <v>45390</v>
      </c>
      <c r="D216" s="10" t="n">
        <v>65</v>
      </c>
      <c r="E216" s="10" t="n">
        <v>2108</v>
      </c>
      <c r="F216" s="10" t="s">
        <v>225</v>
      </c>
      <c r="G216" s="10"/>
    </row>
    <row r="217" customFormat="false" ht="15.75" hidden="false" customHeight="true" outlineLevel="0" collapsed="false">
      <c r="A217" s="18" t="n">
        <v>260230</v>
      </c>
      <c r="B217" s="18" t="s">
        <v>379</v>
      </c>
      <c r="C217" s="115" t="n">
        <v>45390</v>
      </c>
      <c r="D217" s="10" t="n">
        <v>83</v>
      </c>
      <c r="E217" s="10" t="n">
        <v>250</v>
      </c>
      <c r="F217" s="10" t="s">
        <v>225</v>
      </c>
      <c r="G217" s="10"/>
    </row>
    <row r="218" customFormat="false" ht="15.75" hidden="false" customHeight="true" outlineLevel="0" collapsed="false">
      <c r="A218" s="18" t="n">
        <v>356</v>
      </c>
      <c r="B218" s="18" t="s">
        <v>383</v>
      </c>
      <c r="C218" s="115" t="n">
        <v>45390</v>
      </c>
      <c r="D218" s="10" t="n">
        <v>90</v>
      </c>
      <c r="E218" s="10" t="n">
        <v>630</v>
      </c>
      <c r="F218" s="10" t="s">
        <v>225</v>
      </c>
      <c r="G218" s="10"/>
    </row>
    <row r="219" customFormat="false" ht="15.75" hidden="false" customHeight="true" outlineLevel="0" collapsed="false">
      <c r="A219" s="18" t="n">
        <v>363</v>
      </c>
      <c r="B219" s="18" t="s">
        <v>283</v>
      </c>
      <c r="C219" s="115" t="n">
        <v>45390</v>
      </c>
      <c r="D219" s="10" t="n">
        <v>105</v>
      </c>
      <c r="E219" s="10" t="n">
        <v>690</v>
      </c>
      <c r="F219" s="10" t="s">
        <v>225</v>
      </c>
      <c r="G219" s="10"/>
    </row>
    <row r="220" customFormat="false" ht="15.75" hidden="false" customHeight="true" outlineLevel="0" collapsed="false">
      <c r="A220" s="18" t="n">
        <v>363</v>
      </c>
      <c r="B220" s="18" t="s">
        <v>283</v>
      </c>
      <c r="C220" s="115" t="n">
        <v>45390</v>
      </c>
      <c r="D220" s="10" t="n">
        <v>105</v>
      </c>
      <c r="E220" s="10" t="n">
        <v>690</v>
      </c>
      <c r="F220" s="10" t="s">
        <v>225</v>
      </c>
      <c r="G220" s="10"/>
    </row>
    <row r="221" customFormat="false" ht="15.75" hidden="false" customHeight="true" outlineLevel="0" collapsed="false">
      <c r="A221" s="18" t="n">
        <v>260238</v>
      </c>
      <c r="B221" s="18" t="s">
        <v>384</v>
      </c>
      <c r="C221" s="115" t="n">
        <v>45390</v>
      </c>
      <c r="D221" s="10" t="n">
        <v>220</v>
      </c>
      <c r="E221" s="10" t="n">
        <v>638</v>
      </c>
      <c r="F221" s="10" t="s">
        <v>236</v>
      </c>
      <c r="G221" s="10"/>
    </row>
    <row r="222" customFormat="false" ht="15.75" hidden="false" customHeight="true" outlineLevel="0" collapsed="false">
      <c r="A222" s="18" t="n">
        <v>376</v>
      </c>
      <c r="B222" s="18" t="s">
        <v>311</v>
      </c>
      <c r="C222" s="115" t="n">
        <v>45392</v>
      </c>
      <c r="D222" s="10" t="n">
        <v>53</v>
      </c>
      <c r="E222" s="10" t="n">
        <v>255</v>
      </c>
      <c r="F222" s="10" t="s">
        <v>225</v>
      </c>
      <c r="G222" s="10"/>
    </row>
    <row r="223" customFormat="false" ht="15.75" hidden="false" customHeight="true" outlineLevel="0" collapsed="false">
      <c r="A223" s="18" t="n">
        <v>260239</v>
      </c>
      <c r="B223" s="18" t="s">
        <v>385</v>
      </c>
      <c r="C223" s="115" t="n">
        <v>45392</v>
      </c>
      <c r="D223" s="10" t="n">
        <v>155</v>
      </c>
      <c r="E223" s="10" t="n">
        <v>150</v>
      </c>
      <c r="F223" s="10" t="s">
        <v>362</v>
      </c>
      <c r="G223" s="10"/>
    </row>
    <row r="224" customFormat="false" ht="15.75" hidden="false" customHeight="true" outlineLevel="0" collapsed="false">
      <c r="A224" s="18" t="n">
        <v>260228</v>
      </c>
      <c r="B224" s="18" t="s">
        <v>386</v>
      </c>
      <c r="C224" s="115" t="n">
        <v>45392</v>
      </c>
      <c r="D224" s="10" t="n">
        <v>90</v>
      </c>
      <c r="E224" s="10" t="n">
        <v>135</v>
      </c>
      <c r="F224" s="10" t="s">
        <v>227</v>
      </c>
      <c r="G224" s="10"/>
    </row>
    <row r="225" customFormat="false" ht="15.75" hidden="false" customHeight="true" outlineLevel="0" collapsed="false">
      <c r="A225" s="18" t="n">
        <v>378</v>
      </c>
      <c r="B225" s="18" t="s">
        <v>387</v>
      </c>
      <c r="C225" s="115" t="n">
        <v>45392</v>
      </c>
      <c r="D225" s="10" t="n">
        <v>120</v>
      </c>
      <c r="E225" s="10" t="n">
        <v>375</v>
      </c>
      <c r="F225" s="10" t="s">
        <v>227</v>
      </c>
      <c r="G225" s="10"/>
    </row>
    <row r="226" customFormat="false" ht="15.75" hidden="false" customHeight="true" outlineLevel="0" collapsed="false">
      <c r="A226" s="18" t="n">
        <v>374</v>
      </c>
      <c r="B226" s="18" t="s">
        <v>388</v>
      </c>
      <c r="C226" s="115" t="n">
        <v>45392</v>
      </c>
      <c r="D226" s="10" t="n">
        <v>78</v>
      </c>
      <c r="E226" s="10" t="n">
        <v>30</v>
      </c>
      <c r="F226" s="10" t="s">
        <v>225</v>
      </c>
      <c r="G226" s="10"/>
    </row>
    <row r="227" customFormat="false" ht="15.75" hidden="false" customHeight="true" outlineLevel="0" collapsed="false">
      <c r="A227" s="18" t="n">
        <v>385</v>
      </c>
      <c r="B227" s="18" t="s">
        <v>298</v>
      </c>
      <c r="C227" s="115" t="n">
        <v>45392</v>
      </c>
      <c r="D227" s="10" t="n">
        <v>80</v>
      </c>
      <c r="E227" s="10" t="n">
        <v>1490</v>
      </c>
      <c r="F227" s="10" t="s">
        <v>225</v>
      </c>
      <c r="G227" s="10"/>
    </row>
    <row r="228" customFormat="false" ht="15.75" hidden="false" customHeight="true" outlineLevel="0" collapsed="false">
      <c r="A228" s="18" t="n">
        <v>372</v>
      </c>
      <c r="B228" s="18" t="s">
        <v>327</v>
      </c>
      <c r="C228" s="115" t="n">
        <v>45392</v>
      </c>
      <c r="D228" s="10" t="n">
        <v>84</v>
      </c>
      <c r="E228" s="10" t="n">
        <v>2000</v>
      </c>
      <c r="F228" s="10" t="s">
        <v>225</v>
      </c>
      <c r="G228" s="10"/>
    </row>
    <row r="229" customFormat="false" ht="15.75" hidden="false" customHeight="true" outlineLevel="0" collapsed="false">
      <c r="A229" s="18" t="n">
        <v>376</v>
      </c>
      <c r="B229" s="18" t="s">
        <v>311</v>
      </c>
      <c r="C229" s="115" t="n">
        <v>45392</v>
      </c>
      <c r="D229" s="10" t="n">
        <v>85</v>
      </c>
      <c r="E229" s="10" t="n">
        <v>375</v>
      </c>
      <c r="F229" s="10" t="s">
        <v>225</v>
      </c>
      <c r="G229" s="10"/>
    </row>
    <row r="230" customFormat="false" ht="15.75" hidden="false" customHeight="true" outlineLevel="0" collapsed="false">
      <c r="A230" s="18" t="n">
        <v>260241</v>
      </c>
      <c r="B230" s="18" t="s">
        <v>315</v>
      </c>
      <c r="C230" s="115" t="n">
        <v>45392</v>
      </c>
      <c r="D230" s="10" t="n">
        <v>100</v>
      </c>
      <c r="E230" s="10" t="n">
        <v>950</v>
      </c>
      <c r="F230" s="10" t="s">
        <v>225</v>
      </c>
      <c r="G230" s="10"/>
    </row>
    <row r="231" customFormat="false" ht="15.75" hidden="false" customHeight="true" outlineLevel="0" collapsed="false">
      <c r="A231" s="18" t="n">
        <v>384</v>
      </c>
      <c r="B231" s="18" t="s">
        <v>291</v>
      </c>
      <c r="C231" s="115" t="n">
        <v>45392</v>
      </c>
      <c r="D231" s="10" t="n">
        <v>105</v>
      </c>
      <c r="E231" s="10" t="n">
        <v>726</v>
      </c>
      <c r="F231" s="10" t="s">
        <v>225</v>
      </c>
      <c r="G231" s="10"/>
    </row>
    <row r="232" customFormat="false" ht="15.75" hidden="false" customHeight="true" outlineLevel="0" collapsed="false">
      <c r="A232" s="18" t="n">
        <v>369</v>
      </c>
      <c r="B232" s="18" t="s">
        <v>389</v>
      </c>
      <c r="C232" s="115" t="n">
        <v>45392</v>
      </c>
      <c r="D232" s="10" t="n">
        <v>148</v>
      </c>
      <c r="E232" s="10" t="n">
        <v>810</v>
      </c>
      <c r="F232" s="10" t="s">
        <v>225</v>
      </c>
      <c r="G232" s="10" t="s">
        <v>232</v>
      </c>
    </row>
    <row r="233" customFormat="false" ht="15.75" hidden="false" customHeight="true" outlineLevel="0" collapsed="false">
      <c r="A233" s="18" t="n">
        <v>384</v>
      </c>
      <c r="B233" s="18" t="s">
        <v>291</v>
      </c>
      <c r="C233" s="115" t="n">
        <v>45392</v>
      </c>
      <c r="D233" s="10" t="n">
        <v>180</v>
      </c>
      <c r="E233" s="10" t="n">
        <v>690</v>
      </c>
      <c r="F233" s="10" t="s">
        <v>225</v>
      </c>
      <c r="G233" s="10"/>
    </row>
    <row r="234" customFormat="false" ht="15.75" hidden="false" customHeight="true" outlineLevel="0" collapsed="false">
      <c r="A234" s="18" t="n">
        <v>373</v>
      </c>
      <c r="B234" s="18" t="s">
        <v>390</v>
      </c>
      <c r="C234" s="115" t="n">
        <v>45392</v>
      </c>
      <c r="D234" s="10"/>
      <c r="E234" s="10"/>
      <c r="F234" s="10" t="s">
        <v>225</v>
      </c>
      <c r="G234" s="10"/>
    </row>
    <row r="235" customFormat="false" ht="15.75" hidden="false" customHeight="true" outlineLevel="0" collapsed="false">
      <c r="A235" s="18" t="n">
        <v>384</v>
      </c>
      <c r="B235" s="18" t="s">
        <v>391</v>
      </c>
      <c r="C235" s="115" t="n">
        <v>45392</v>
      </c>
      <c r="D235" s="10" t="n">
        <v>250</v>
      </c>
      <c r="E235" s="10" t="n">
        <v>742</v>
      </c>
      <c r="F235" s="10" t="s">
        <v>236</v>
      </c>
      <c r="G235" s="10"/>
    </row>
    <row r="236" customFormat="false" ht="15.75" hidden="false" customHeight="true" outlineLevel="0" collapsed="false">
      <c r="A236" s="18" t="n">
        <v>260237</v>
      </c>
      <c r="B236" s="18" t="s">
        <v>392</v>
      </c>
      <c r="C236" s="115" t="n">
        <v>45393</v>
      </c>
      <c r="D236" s="10" t="n">
        <v>120</v>
      </c>
      <c r="E236" s="10" t="n">
        <v>750</v>
      </c>
      <c r="F236" s="10" t="s">
        <v>19</v>
      </c>
      <c r="G236" s="10"/>
    </row>
    <row r="237" customFormat="false" ht="15.75" hidden="false" customHeight="true" outlineLevel="0" collapsed="false">
      <c r="A237" s="18" t="n">
        <v>336</v>
      </c>
      <c r="B237" s="18" t="s">
        <v>393</v>
      </c>
      <c r="C237" s="115" t="n">
        <v>45393</v>
      </c>
      <c r="D237" s="10" t="n">
        <v>220</v>
      </c>
      <c r="E237" s="10" t="n">
        <v>681</v>
      </c>
      <c r="F237" s="10" t="s">
        <v>229</v>
      </c>
      <c r="G237" s="10"/>
    </row>
    <row r="238" customFormat="false" ht="15.75" hidden="false" customHeight="true" outlineLevel="0" collapsed="false">
      <c r="A238" s="18" t="n">
        <v>368</v>
      </c>
      <c r="B238" s="18" t="s">
        <v>281</v>
      </c>
      <c r="C238" s="115" t="n">
        <v>45393</v>
      </c>
      <c r="D238" s="10" t="n">
        <v>105</v>
      </c>
      <c r="E238" s="10" t="n">
        <v>288</v>
      </c>
      <c r="F238" s="10" t="s">
        <v>225</v>
      </c>
      <c r="G238" s="10"/>
    </row>
    <row r="239" customFormat="false" ht="15.75" hidden="false" customHeight="true" outlineLevel="0" collapsed="false">
      <c r="A239" s="18" t="n">
        <v>367</v>
      </c>
      <c r="B239" s="18" t="s">
        <v>394</v>
      </c>
      <c r="C239" s="115" t="n">
        <v>45393</v>
      </c>
      <c r="D239" s="10" t="n">
        <v>110</v>
      </c>
      <c r="E239" s="10" t="n">
        <v>1040</v>
      </c>
      <c r="F239" s="10" t="s">
        <v>225</v>
      </c>
      <c r="G239" s="10"/>
    </row>
    <row r="240" customFormat="false" ht="15.75" hidden="false" customHeight="true" outlineLevel="0" collapsed="false">
      <c r="A240" s="18" t="n">
        <v>370</v>
      </c>
      <c r="B240" s="18" t="s">
        <v>389</v>
      </c>
      <c r="C240" s="115" t="n">
        <v>45393</v>
      </c>
      <c r="D240" s="10" t="n">
        <v>155</v>
      </c>
      <c r="E240" s="10" t="n">
        <v>2100</v>
      </c>
      <c r="F240" s="10" t="s">
        <v>225</v>
      </c>
      <c r="G240" s="10"/>
    </row>
    <row r="241" customFormat="false" ht="15.75" hidden="false" customHeight="true" outlineLevel="0" collapsed="false">
      <c r="A241" s="18" t="n">
        <v>371</v>
      </c>
      <c r="B241" s="18" t="s">
        <v>389</v>
      </c>
      <c r="C241" s="115" t="n">
        <v>45393</v>
      </c>
      <c r="D241" s="10" t="n">
        <v>155</v>
      </c>
      <c r="E241" s="10" t="n">
        <v>200</v>
      </c>
      <c r="F241" s="10" t="s">
        <v>225</v>
      </c>
      <c r="G241" s="10"/>
    </row>
    <row r="242" customFormat="false" ht="15.75" hidden="false" customHeight="true" outlineLevel="0" collapsed="false">
      <c r="A242" s="18" t="n">
        <v>386</v>
      </c>
      <c r="B242" s="18" t="s">
        <v>269</v>
      </c>
      <c r="C242" s="115" t="n">
        <v>45397</v>
      </c>
      <c r="D242" s="10" t="n">
        <v>20</v>
      </c>
      <c r="E242" s="10" t="n">
        <v>480</v>
      </c>
      <c r="F242" s="10" t="s">
        <v>225</v>
      </c>
      <c r="G242" s="10"/>
    </row>
    <row r="243" customFormat="false" ht="15.75" hidden="false" customHeight="true" outlineLevel="0" collapsed="false">
      <c r="A243" s="18" t="n">
        <v>392</v>
      </c>
      <c r="B243" s="18" t="s">
        <v>395</v>
      </c>
      <c r="C243" s="115" t="n">
        <v>45397</v>
      </c>
      <c r="D243" s="10" t="n">
        <v>30</v>
      </c>
      <c r="E243" s="10" t="n">
        <v>180</v>
      </c>
      <c r="F243" s="10" t="s">
        <v>227</v>
      </c>
      <c r="G243" s="10"/>
    </row>
    <row r="244" customFormat="false" ht="15.75" hidden="false" customHeight="true" outlineLevel="0" collapsed="false">
      <c r="A244" s="18" t="n">
        <v>382</v>
      </c>
      <c r="B244" s="18" t="s">
        <v>396</v>
      </c>
      <c r="C244" s="115" t="n">
        <v>45397</v>
      </c>
      <c r="D244" s="10" t="n">
        <v>3</v>
      </c>
      <c r="E244" s="10" t="n">
        <v>500</v>
      </c>
      <c r="F244" s="10" t="s">
        <v>390</v>
      </c>
      <c r="G244" s="10"/>
    </row>
    <row r="245" customFormat="false" ht="15.75" hidden="false" customHeight="true" outlineLevel="0" collapsed="false">
      <c r="A245" s="18" t="n">
        <v>389</v>
      </c>
      <c r="B245" s="18" t="s">
        <v>397</v>
      </c>
      <c r="C245" s="115" t="n">
        <v>45397</v>
      </c>
      <c r="D245" s="10" t="n">
        <v>110</v>
      </c>
      <c r="E245" s="10" t="n">
        <v>1000</v>
      </c>
      <c r="F245" s="10" t="s">
        <v>227</v>
      </c>
      <c r="G245" s="10"/>
    </row>
    <row r="246" customFormat="false" ht="15.75" hidden="false" customHeight="true" outlineLevel="0" collapsed="false">
      <c r="A246" s="18" t="n">
        <v>260247</v>
      </c>
      <c r="B246" s="18" t="s">
        <v>398</v>
      </c>
      <c r="C246" s="115" t="n">
        <v>45397</v>
      </c>
      <c r="D246" s="10" t="n">
        <v>83</v>
      </c>
      <c r="E246" s="10" t="n">
        <v>405</v>
      </c>
      <c r="F246" s="10" t="s">
        <v>225</v>
      </c>
      <c r="G246" s="10"/>
    </row>
    <row r="247" customFormat="false" ht="15.75" hidden="false" customHeight="true" outlineLevel="0" collapsed="false">
      <c r="A247" s="18" t="n">
        <v>387</v>
      </c>
      <c r="B247" s="18" t="s">
        <v>246</v>
      </c>
      <c r="C247" s="115" t="n">
        <v>45397</v>
      </c>
      <c r="D247" s="10" t="n">
        <v>100</v>
      </c>
      <c r="E247" s="10" t="n">
        <v>1000</v>
      </c>
      <c r="F247" s="10" t="s">
        <v>225</v>
      </c>
      <c r="G247" s="10"/>
    </row>
    <row r="248" customFormat="false" ht="15.75" hidden="false" customHeight="true" outlineLevel="0" collapsed="false">
      <c r="A248" s="18" t="n">
        <v>260248</v>
      </c>
      <c r="B248" s="18" t="s">
        <v>399</v>
      </c>
      <c r="C248" s="115" t="n">
        <v>45397</v>
      </c>
      <c r="D248" s="10" t="n">
        <v>100</v>
      </c>
      <c r="E248" s="10" t="n">
        <v>900</v>
      </c>
      <c r="F248" s="10" t="s">
        <v>225</v>
      </c>
      <c r="G248" s="10"/>
    </row>
    <row r="249" customFormat="false" ht="15.75" hidden="false" customHeight="true" outlineLevel="0" collapsed="false">
      <c r="A249" s="18" t="n">
        <v>393</v>
      </c>
      <c r="B249" s="18" t="s">
        <v>400</v>
      </c>
      <c r="C249" s="115" t="n">
        <v>45397</v>
      </c>
      <c r="D249" s="10" t="n">
        <v>105</v>
      </c>
      <c r="E249" s="10" t="n">
        <v>685</v>
      </c>
      <c r="F249" s="10" t="s">
        <v>225</v>
      </c>
      <c r="G249" s="10"/>
    </row>
    <row r="250" customFormat="false" ht="15.75" hidden="false" customHeight="true" outlineLevel="0" collapsed="false">
      <c r="A250" s="18" t="n">
        <v>391</v>
      </c>
      <c r="B250" s="18" t="s">
        <v>401</v>
      </c>
      <c r="C250" s="115" t="n">
        <v>45397</v>
      </c>
      <c r="D250" s="10" t="n">
        <v>110</v>
      </c>
      <c r="E250" s="10" t="n">
        <v>5000</v>
      </c>
      <c r="F250" s="10" t="s">
        <v>225</v>
      </c>
      <c r="G250" s="10"/>
    </row>
    <row r="251" customFormat="false" ht="15.75" hidden="false" customHeight="true" outlineLevel="0" collapsed="false">
      <c r="A251" s="18" t="n">
        <v>364</v>
      </c>
      <c r="B251" s="18" t="s">
        <v>283</v>
      </c>
      <c r="C251" s="115" t="n">
        <v>45397</v>
      </c>
      <c r="D251" s="10" t="n">
        <v>110</v>
      </c>
      <c r="E251" s="10" t="n">
        <v>1800</v>
      </c>
      <c r="F251" s="10" t="s">
        <v>225</v>
      </c>
      <c r="G251" s="10"/>
    </row>
    <row r="252" customFormat="false" ht="15.75" hidden="false" customHeight="true" outlineLevel="0" collapsed="false">
      <c r="A252" s="18" t="n">
        <v>387</v>
      </c>
      <c r="B252" s="18" t="s">
        <v>246</v>
      </c>
      <c r="C252" s="115" t="n">
        <v>45397</v>
      </c>
      <c r="D252" s="10" t="n">
        <v>200</v>
      </c>
      <c r="E252" s="10" t="n">
        <v>1400</v>
      </c>
      <c r="F252" s="10" t="s">
        <v>225</v>
      </c>
      <c r="G252" s="10"/>
    </row>
    <row r="253" customFormat="false" ht="15.75" hidden="false" customHeight="true" outlineLevel="0" collapsed="false">
      <c r="A253" s="18" t="n">
        <v>390</v>
      </c>
      <c r="B253" s="18" t="s">
        <v>402</v>
      </c>
      <c r="C253" s="115" t="n">
        <v>45397</v>
      </c>
      <c r="D253" s="10" t="n">
        <v>210</v>
      </c>
      <c r="E253" s="10" t="n">
        <v>156</v>
      </c>
      <c r="F253" s="10" t="s">
        <v>225</v>
      </c>
      <c r="G253" s="10"/>
    </row>
    <row r="254" customFormat="false" ht="15.75" hidden="false" customHeight="true" outlineLevel="0" collapsed="false">
      <c r="A254" s="18" t="n">
        <v>387</v>
      </c>
      <c r="B254" s="18" t="s">
        <v>246</v>
      </c>
      <c r="C254" s="115" t="n">
        <v>45397</v>
      </c>
      <c r="D254" s="10" t="n">
        <v>250</v>
      </c>
      <c r="E254" s="10" t="n">
        <v>6734</v>
      </c>
      <c r="F254" s="10" t="s">
        <v>236</v>
      </c>
      <c r="G254" s="10"/>
    </row>
    <row r="255" customFormat="false" ht="15.75" hidden="false" customHeight="true" outlineLevel="0" collapsed="false">
      <c r="A255" s="18" t="n">
        <v>395</v>
      </c>
      <c r="B255" s="18" t="s">
        <v>403</v>
      </c>
      <c r="C255" s="115" t="n">
        <v>45397</v>
      </c>
      <c r="D255" s="10" t="n">
        <v>250</v>
      </c>
      <c r="E255" s="10" t="n">
        <v>3800</v>
      </c>
      <c r="F255" s="10" t="s">
        <v>236</v>
      </c>
      <c r="G255" s="10"/>
    </row>
    <row r="256" customFormat="false" ht="15.75" hidden="false" customHeight="true" outlineLevel="0" collapsed="false">
      <c r="A256" s="18" t="n">
        <v>260252</v>
      </c>
      <c r="B256" s="18" t="s">
        <v>404</v>
      </c>
      <c r="C256" s="115" t="n">
        <v>45398</v>
      </c>
      <c r="D256" s="10" t="n">
        <v>25</v>
      </c>
      <c r="E256" s="10" t="n">
        <v>400</v>
      </c>
      <c r="F256" s="10" t="s">
        <v>390</v>
      </c>
      <c r="G256" s="10"/>
    </row>
    <row r="257" customFormat="false" ht="15.75" hidden="false" customHeight="true" outlineLevel="0" collapsed="false">
      <c r="A257" s="18" t="n">
        <v>260251</v>
      </c>
      <c r="B257" s="18" t="s">
        <v>259</v>
      </c>
      <c r="C257" s="115" t="n">
        <v>45398</v>
      </c>
      <c r="D257" s="10" t="n">
        <v>100</v>
      </c>
      <c r="E257" s="10" t="n">
        <v>3000</v>
      </c>
      <c r="F257" s="10" t="s">
        <v>225</v>
      </c>
      <c r="G257" s="10"/>
    </row>
    <row r="258" customFormat="false" ht="15.75" hidden="false" customHeight="true" outlineLevel="0" collapsed="false">
      <c r="A258" s="18" t="n">
        <v>397</v>
      </c>
      <c r="B258" s="18" t="s">
        <v>351</v>
      </c>
      <c r="C258" s="115" t="n">
        <v>45398</v>
      </c>
      <c r="D258" s="10" t="n">
        <v>125</v>
      </c>
      <c r="E258" s="10" t="n">
        <v>1400</v>
      </c>
      <c r="F258" s="10" t="s">
        <v>225</v>
      </c>
      <c r="G258" s="10"/>
    </row>
    <row r="259" customFormat="false" ht="15.75" hidden="false" customHeight="true" outlineLevel="0" collapsed="false">
      <c r="A259" s="18" t="n">
        <v>260254</v>
      </c>
      <c r="B259" s="18" t="s">
        <v>319</v>
      </c>
      <c r="C259" s="115" t="n">
        <v>45398</v>
      </c>
      <c r="D259" s="10" t="n">
        <v>138</v>
      </c>
      <c r="E259" s="10" t="n">
        <v>2500</v>
      </c>
      <c r="F259" s="10" t="s">
        <v>225</v>
      </c>
      <c r="G259" s="10"/>
    </row>
    <row r="260" customFormat="false" ht="15.75" hidden="false" customHeight="true" outlineLevel="0" collapsed="false">
      <c r="A260" s="18" t="n">
        <v>260253</v>
      </c>
      <c r="B260" s="18" t="s">
        <v>405</v>
      </c>
      <c r="C260" s="115" t="n">
        <v>45398</v>
      </c>
      <c r="D260" s="10" t="n">
        <v>138</v>
      </c>
      <c r="E260" s="10" t="n">
        <v>675</v>
      </c>
      <c r="F260" s="10" t="s">
        <v>225</v>
      </c>
      <c r="G260" s="10"/>
    </row>
    <row r="261" customFormat="false" ht="15.75" hidden="false" customHeight="true" outlineLevel="0" collapsed="false">
      <c r="A261" s="18" t="n">
        <v>394</v>
      </c>
      <c r="B261" s="18" t="s">
        <v>406</v>
      </c>
      <c r="C261" s="115" t="n">
        <v>45398</v>
      </c>
      <c r="D261" s="10" t="n">
        <v>250</v>
      </c>
      <c r="E261" s="10" t="n">
        <v>1300</v>
      </c>
      <c r="F261" s="10" t="s">
        <v>236</v>
      </c>
      <c r="G261" s="10"/>
    </row>
    <row r="262" customFormat="false" ht="15.75" hidden="false" customHeight="true" outlineLevel="0" collapsed="false">
      <c r="A262" s="18" t="n">
        <v>405</v>
      </c>
      <c r="B262" s="18" t="s">
        <v>407</v>
      </c>
      <c r="C262" s="115" t="n">
        <v>45399</v>
      </c>
      <c r="D262" s="10" t="n">
        <v>210</v>
      </c>
      <c r="E262" s="10" t="n">
        <v>560</v>
      </c>
      <c r="F262" s="10" t="s">
        <v>225</v>
      </c>
      <c r="G262" s="10"/>
    </row>
    <row r="263" customFormat="false" ht="15.75" hidden="false" customHeight="true" outlineLevel="0" collapsed="false">
      <c r="A263" s="18" t="n">
        <v>410</v>
      </c>
      <c r="B263" s="18" t="s">
        <v>306</v>
      </c>
      <c r="C263" s="115" t="n">
        <v>45400</v>
      </c>
      <c r="D263" s="10" t="n">
        <v>60</v>
      </c>
      <c r="E263" s="10" t="n">
        <v>2967</v>
      </c>
      <c r="F263" s="10" t="s">
        <v>236</v>
      </c>
      <c r="G263" s="10"/>
    </row>
    <row r="264" customFormat="false" ht="15.75" hidden="false" customHeight="true" outlineLevel="0" collapsed="false">
      <c r="A264" s="18" t="n">
        <v>407</v>
      </c>
      <c r="B264" s="18" t="s">
        <v>301</v>
      </c>
      <c r="C264" s="115" t="n">
        <v>45400</v>
      </c>
      <c r="D264" s="10" t="n">
        <v>40</v>
      </c>
      <c r="E264" s="10" t="n">
        <v>800</v>
      </c>
      <c r="F264" s="10" t="s">
        <v>225</v>
      </c>
      <c r="G264" s="10"/>
    </row>
    <row r="265" customFormat="false" ht="15.75" hidden="false" customHeight="true" outlineLevel="0" collapsed="false">
      <c r="A265" s="18" t="n">
        <v>260263</v>
      </c>
      <c r="B265" s="18" t="s">
        <v>408</v>
      </c>
      <c r="C265" s="115" t="n">
        <v>45400</v>
      </c>
      <c r="D265" s="10" t="n">
        <v>50</v>
      </c>
      <c r="E265" s="10" t="n">
        <v>630</v>
      </c>
      <c r="F265" s="10" t="s">
        <v>225</v>
      </c>
      <c r="G265" s="10"/>
    </row>
    <row r="266" customFormat="false" ht="15.75" hidden="false" customHeight="true" outlineLevel="0" collapsed="false">
      <c r="A266" s="18" t="n">
        <v>404</v>
      </c>
      <c r="B266" s="18" t="s">
        <v>301</v>
      </c>
      <c r="C266" s="115" t="n">
        <v>45400</v>
      </c>
      <c r="D266" s="10" t="n">
        <v>60</v>
      </c>
      <c r="E266" s="10" t="n">
        <v>300</v>
      </c>
      <c r="F266" s="10" t="s">
        <v>225</v>
      </c>
      <c r="G266" s="10"/>
    </row>
    <row r="267" customFormat="false" ht="15.75" hidden="false" customHeight="true" outlineLevel="0" collapsed="false">
      <c r="A267" s="18" t="n">
        <v>399</v>
      </c>
      <c r="B267" s="18" t="s">
        <v>340</v>
      </c>
      <c r="C267" s="115" t="n">
        <v>45400</v>
      </c>
      <c r="D267" s="10" t="n">
        <v>100</v>
      </c>
      <c r="E267" s="10" t="n">
        <v>1905</v>
      </c>
      <c r="F267" s="10" t="s">
        <v>225</v>
      </c>
      <c r="G267" s="10"/>
    </row>
    <row r="268" customFormat="false" ht="15.75" hidden="false" customHeight="true" outlineLevel="0" collapsed="false">
      <c r="A268" s="18" t="n">
        <v>260260</v>
      </c>
      <c r="B268" s="18" t="s">
        <v>259</v>
      </c>
      <c r="C268" s="115" t="n">
        <v>45400</v>
      </c>
      <c r="D268" s="10" t="n">
        <v>100</v>
      </c>
      <c r="E268" s="10" t="n">
        <v>1500</v>
      </c>
      <c r="F268" s="10" t="s">
        <v>225</v>
      </c>
      <c r="G268" s="10"/>
    </row>
    <row r="269" customFormat="false" ht="15.75" hidden="false" customHeight="true" outlineLevel="0" collapsed="false">
      <c r="A269" s="18" t="n">
        <v>260257</v>
      </c>
      <c r="B269" s="18" t="s">
        <v>409</v>
      </c>
      <c r="C269" s="115" t="n">
        <v>45400</v>
      </c>
      <c r="D269" s="10" t="n">
        <v>110</v>
      </c>
      <c r="E269" s="10" t="n">
        <v>120</v>
      </c>
      <c r="F269" s="10" t="s">
        <v>225</v>
      </c>
      <c r="G269" s="10"/>
    </row>
    <row r="270" customFormat="false" ht="15.75" hidden="false" customHeight="true" outlineLevel="0" collapsed="false">
      <c r="A270" s="18" t="n">
        <v>260261</v>
      </c>
      <c r="B270" s="18" t="s">
        <v>258</v>
      </c>
      <c r="C270" s="115" t="n">
        <v>45400</v>
      </c>
      <c r="D270" s="10" t="n">
        <v>110</v>
      </c>
      <c r="E270" s="10" t="n">
        <v>135</v>
      </c>
      <c r="F270" s="10" t="s">
        <v>225</v>
      </c>
      <c r="G270" s="10"/>
    </row>
    <row r="271" customFormat="false" ht="15.75" hidden="false" customHeight="true" outlineLevel="0" collapsed="false">
      <c r="A271" s="18" t="n">
        <v>398</v>
      </c>
      <c r="B271" s="18" t="s">
        <v>285</v>
      </c>
      <c r="C271" s="115" t="n">
        <v>45400</v>
      </c>
      <c r="D271" s="10" t="n">
        <v>125</v>
      </c>
      <c r="E271" s="10" t="n">
        <v>3300</v>
      </c>
      <c r="F271" s="10" t="s">
        <v>225</v>
      </c>
      <c r="G271" s="10"/>
    </row>
    <row r="272" customFormat="false" ht="15.75" hidden="false" customHeight="true" outlineLevel="0" collapsed="false">
      <c r="A272" s="18" t="n">
        <v>406</v>
      </c>
      <c r="B272" s="18" t="s">
        <v>410</v>
      </c>
      <c r="C272" s="115" t="n">
        <v>45400</v>
      </c>
      <c r="D272" s="10" t="n">
        <v>150</v>
      </c>
      <c r="E272" s="10" t="n">
        <v>2280</v>
      </c>
      <c r="F272" s="10" t="s">
        <v>225</v>
      </c>
      <c r="G272" s="10"/>
    </row>
    <row r="273" customFormat="false" ht="15.75" hidden="false" customHeight="true" outlineLevel="0" collapsed="false">
      <c r="A273" s="18" t="n">
        <v>260258</v>
      </c>
      <c r="B273" s="18" t="s">
        <v>411</v>
      </c>
      <c r="C273" s="115" t="n">
        <v>45400</v>
      </c>
      <c r="D273" s="10" t="n">
        <v>158</v>
      </c>
      <c r="E273" s="10" t="n">
        <v>75</v>
      </c>
      <c r="F273" s="10" t="s">
        <v>225</v>
      </c>
      <c r="G273" s="10"/>
    </row>
    <row r="274" customFormat="false" ht="15.75" hidden="false" customHeight="true" outlineLevel="0" collapsed="false">
      <c r="A274" s="18" t="n">
        <v>408</v>
      </c>
      <c r="B274" s="18" t="s">
        <v>412</v>
      </c>
      <c r="C274" s="115" t="n">
        <v>45400</v>
      </c>
      <c r="D274" s="10" t="n">
        <v>220</v>
      </c>
      <c r="E274" s="10" t="n">
        <v>1596</v>
      </c>
      <c r="F274" s="10" t="s">
        <v>225</v>
      </c>
      <c r="G274" s="10"/>
    </row>
    <row r="275" customFormat="false" ht="15.75" hidden="false" customHeight="true" outlineLevel="0" collapsed="false">
      <c r="A275" s="18" t="n">
        <v>260267</v>
      </c>
      <c r="B275" s="18" t="s">
        <v>413</v>
      </c>
      <c r="C275" s="115" t="n">
        <v>45401</v>
      </c>
      <c r="D275" s="10" t="n">
        <v>45</v>
      </c>
      <c r="E275" s="10" t="n">
        <v>315</v>
      </c>
      <c r="F275" s="10" t="s">
        <v>225</v>
      </c>
      <c r="G275" s="10"/>
    </row>
    <row r="276" customFormat="false" ht="15.75" hidden="false" customHeight="true" outlineLevel="0" collapsed="false">
      <c r="A276" s="18" t="n">
        <v>413</v>
      </c>
      <c r="B276" s="18" t="s">
        <v>414</v>
      </c>
      <c r="C276" s="115" t="n">
        <v>45401</v>
      </c>
      <c r="D276" s="10" t="n">
        <v>46</v>
      </c>
      <c r="E276" s="10" t="n">
        <v>700</v>
      </c>
      <c r="F276" s="10" t="s">
        <v>225</v>
      </c>
      <c r="G276" s="10" t="s">
        <v>232</v>
      </c>
    </row>
    <row r="277" customFormat="false" ht="15.75" hidden="false" customHeight="true" outlineLevel="0" collapsed="false">
      <c r="A277" s="18" t="n">
        <v>260264</v>
      </c>
      <c r="B277" s="18" t="s">
        <v>415</v>
      </c>
      <c r="C277" s="115" t="n">
        <v>45401</v>
      </c>
      <c r="D277" s="10" t="n">
        <v>110</v>
      </c>
      <c r="E277" s="10" t="n">
        <v>740</v>
      </c>
      <c r="F277" s="10" t="s">
        <v>229</v>
      </c>
      <c r="G277" s="10"/>
    </row>
    <row r="278" customFormat="false" ht="15.75" hidden="false" customHeight="true" outlineLevel="0" collapsed="false">
      <c r="A278" s="18" t="n">
        <v>413</v>
      </c>
      <c r="B278" s="18" t="s">
        <v>414</v>
      </c>
      <c r="C278" s="115" t="n">
        <v>45401</v>
      </c>
      <c r="D278" s="10" t="n">
        <v>95</v>
      </c>
      <c r="E278" s="10" t="n">
        <v>700</v>
      </c>
      <c r="F278" s="10" t="s">
        <v>225</v>
      </c>
      <c r="G278" s="10"/>
    </row>
    <row r="279" customFormat="false" ht="15.75" hidden="false" customHeight="true" outlineLevel="0" collapsed="false">
      <c r="A279" s="18" t="n">
        <v>260266</v>
      </c>
      <c r="B279" s="18" t="s">
        <v>416</v>
      </c>
      <c r="C279" s="115" t="n">
        <v>45401</v>
      </c>
      <c r="D279" s="10" t="n">
        <v>110</v>
      </c>
      <c r="E279" s="10" t="n">
        <v>680</v>
      </c>
      <c r="F279" s="10" t="s">
        <v>225</v>
      </c>
      <c r="G279" s="10" t="s">
        <v>232</v>
      </c>
    </row>
    <row r="280" customFormat="false" ht="15.75" hidden="false" customHeight="true" outlineLevel="0" collapsed="false">
      <c r="A280" s="18" t="n">
        <v>260268</v>
      </c>
      <c r="B280" s="18" t="s">
        <v>417</v>
      </c>
      <c r="C280" s="115" t="n">
        <v>45401</v>
      </c>
      <c r="D280" s="10" t="n">
        <v>110</v>
      </c>
      <c r="E280" s="10" t="n">
        <v>410</v>
      </c>
      <c r="F280" s="10" t="s">
        <v>225</v>
      </c>
      <c r="G280" s="10" t="s">
        <v>232</v>
      </c>
    </row>
    <row r="281" customFormat="false" ht="15.75" hidden="false" customHeight="true" outlineLevel="0" collapsed="false">
      <c r="A281" s="18" t="n">
        <v>260265</v>
      </c>
      <c r="B281" s="18" t="s">
        <v>418</v>
      </c>
      <c r="C281" s="115" t="n">
        <v>45401</v>
      </c>
      <c r="D281" s="10" t="n">
        <v>130</v>
      </c>
      <c r="E281" s="10" t="n">
        <v>675</v>
      </c>
      <c r="F281" s="10" t="s">
        <v>225</v>
      </c>
      <c r="G281" s="10" t="s">
        <v>232</v>
      </c>
    </row>
    <row r="282" customFormat="false" ht="15.75" hidden="false" customHeight="true" outlineLevel="0" collapsed="false">
      <c r="A282" s="18" t="n">
        <v>415</v>
      </c>
      <c r="B282" s="18" t="s">
        <v>418</v>
      </c>
      <c r="C282" s="115" t="n">
        <v>45401</v>
      </c>
      <c r="D282" s="10" t="n">
        <v>130</v>
      </c>
      <c r="E282" s="10" t="n">
        <v>675</v>
      </c>
      <c r="F282" s="10" t="s">
        <v>225</v>
      </c>
      <c r="G282" s="10" t="s">
        <v>232</v>
      </c>
    </row>
    <row r="283" customFormat="false" ht="15.75" hidden="false" customHeight="true" outlineLevel="0" collapsed="false">
      <c r="A283" s="18" t="n">
        <v>416</v>
      </c>
      <c r="B283" s="18" t="s">
        <v>383</v>
      </c>
      <c r="C283" s="115" t="n">
        <v>45401</v>
      </c>
      <c r="D283" s="10" t="n">
        <v>210</v>
      </c>
      <c r="E283" s="10" t="n">
        <v>2575</v>
      </c>
      <c r="F283" s="10" t="s">
        <v>225</v>
      </c>
      <c r="G283" s="10"/>
    </row>
    <row r="284" customFormat="false" ht="15.75" hidden="false" customHeight="true" outlineLevel="0" collapsed="false">
      <c r="A284" s="18" t="n">
        <v>418</v>
      </c>
      <c r="B284" s="18" t="s">
        <v>419</v>
      </c>
      <c r="C284" s="115" t="n">
        <v>45401</v>
      </c>
      <c r="D284" s="10" t="n">
        <v>210</v>
      </c>
      <c r="E284" s="10" t="n">
        <v>1060</v>
      </c>
      <c r="F284" s="10" t="s">
        <v>225</v>
      </c>
      <c r="G284" s="10"/>
    </row>
    <row r="285" customFormat="false" ht="15.75" hidden="false" customHeight="true" outlineLevel="0" collapsed="false">
      <c r="A285" s="18" t="n">
        <v>421</v>
      </c>
      <c r="B285" s="18" t="s">
        <v>235</v>
      </c>
      <c r="C285" s="115" t="n">
        <v>45401</v>
      </c>
      <c r="D285" s="10" t="n">
        <v>250</v>
      </c>
      <c r="E285" s="10" t="n">
        <v>4452</v>
      </c>
      <c r="F285" s="10" t="s">
        <v>236</v>
      </c>
      <c r="G285" s="10"/>
    </row>
    <row r="286" customFormat="false" ht="15.75" hidden="false" customHeight="true" outlineLevel="0" collapsed="false">
      <c r="A286" s="18" t="n">
        <v>260290</v>
      </c>
      <c r="B286" s="18" t="s">
        <v>420</v>
      </c>
      <c r="C286" s="115" t="n">
        <v>45408</v>
      </c>
      <c r="D286" s="10" t="n">
        <v>25</v>
      </c>
      <c r="E286" s="10" t="n">
        <v>690</v>
      </c>
      <c r="F286" s="10" t="s">
        <v>225</v>
      </c>
      <c r="G286" s="10"/>
    </row>
    <row r="287" customFormat="false" ht="15.75" hidden="false" customHeight="true" outlineLevel="0" collapsed="false">
      <c r="A287" s="18" t="n">
        <v>428</v>
      </c>
      <c r="B287" s="18" t="s">
        <v>242</v>
      </c>
      <c r="C287" s="115" t="n">
        <v>45408</v>
      </c>
      <c r="D287" s="10" t="n">
        <v>40</v>
      </c>
      <c r="E287" s="10" t="n">
        <v>750</v>
      </c>
      <c r="F287" s="10" t="s">
        <v>225</v>
      </c>
      <c r="G287" s="10"/>
    </row>
    <row r="288" customFormat="false" ht="15.75" hidden="false" customHeight="true" outlineLevel="0" collapsed="false">
      <c r="A288" s="18" t="n">
        <v>260277</v>
      </c>
      <c r="B288" s="18" t="s">
        <v>421</v>
      </c>
      <c r="C288" s="115" t="n">
        <v>45408</v>
      </c>
      <c r="D288" s="10" t="n">
        <v>45</v>
      </c>
      <c r="E288" s="10" t="n">
        <v>200</v>
      </c>
      <c r="F288" s="10" t="s">
        <v>225</v>
      </c>
      <c r="G288" s="10"/>
    </row>
    <row r="289" customFormat="false" ht="15.75" hidden="false" customHeight="true" outlineLevel="0" collapsed="false">
      <c r="A289" s="18" t="n">
        <v>436</v>
      </c>
      <c r="B289" s="18" t="s">
        <v>422</v>
      </c>
      <c r="C289" s="115" t="n">
        <v>45408</v>
      </c>
      <c r="D289" s="10" t="n">
        <v>45</v>
      </c>
      <c r="E289" s="10" t="n">
        <v>500</v>
      </c>
      <c r="F289" s="10" t="s">
        <v>225</v>
      </c>
      <c r="G289" s="10"/>
    </row>
    <row r="290" customFormat="false" ht="15.75" hidden="false" customHeight="true" outlineLevel="0" collapsed="false">
      <c r="A290" s="18" t="n">
        <v>435</v>
      </c>
      <c r="B290" s="18" t="s">
        <v>224</v>
      </c>
      <c r="C290" s="115" t="n">
        <v>45408</v>
      </c>
      <c r="D290" s="10" t="n">
        <v>55</v>
      </c>
      <c r="E290" s="10" t="n">
        <v>1380</v>
      </c>
      <c r="F290" s="10" t="s">
        <v>225</v>
      </c>
      <c r="G290" s="10"/>
    </row>
    <row r="291" customFormat="false" ht="15.75" hidden="false" customHeight="true" outlineLevel="0" collapsed="false">
      <c r="A291" s="18" t="n">
        <v>426</v>
      </c>
      <c r="B291" s="18" t="s">
        <v>242</v>
      </c>
      <c r="C291" s="115" t="n">
        <v>45408</v>
      </c>
      <c r="D291" s="10" t="n">
        <v>60</v>
      </c>
      <c r="E291" s="10" t="n">
        <v>100</v>
      </c>
      <c r="F291" s="10" t="s">
        <v>225</v>
      </c>
      <c r="G291" s="10"/>
    </row>
    <row r="292" customFormat="false" ht="15.75" hidden="false" customHeight="true" outlineLevel="0" collapsed="false">
      <c r="A292" s="18" t="n">
        <v>425</v>
      </c>
      <c r="B292" s="18" t="s">
        <v>242</v>
      </c>
      <c r="C292" s="115" t="n">
        <v>45408</v>
      </c>
      <c r="D292" s="10" t="n">
        <v>60</v>
      </c>
      <c r="E292" s="10" t="n">
        <v>600</v>
      </c>
      <c r="F292" s="10" t="s">
        <v>225</v>
      </c>
      <c r="G292" s="10"/>
    </row>
    <row r="293" customFormat="false" ht="15.75" hidden="false" customHeight="true" outlineLevel="0" collapsed="false">
      <c r="A293" s="18" t="n">
        <v>260276</v>
      </c>
      <c r="B293" s="18" t="s">
        <v>379</v>
      </c>
      <c r="C293" s="115" t="n">
        <v>45408</v>
      </c>
      <c r="D293" s="10" t="n">
        <v>100</v>
      </c>
      <c r="E293" s="10" t="n">
        <v>420</v>
      </c>
      <c r="F293" s="10" t="s">
        <v>19</v>
      </c>
      <c r="G293" s="10"/>
    </row>
    <row r="294" customFormat="false" ht="15.75" hidden="false" customHeight="true" outlineLevel="0" collapsed="false">
      <c r="A294" s="18" t="n">
        <v>260272</v>
      </c>
      <c r="B294" s="18" t="s">
        <v>240</v>
      </c>
      <c r="C294" s="115" t="n">
        <v>45408</v>
      </c>
      <c r="D294" s="10" t="n">
        <v>110</v>
      </c>
      <c r="E294" s="10" t="n">
        <v>680</v>
      </c>
      <c r="F294" s="10" t="s">
        <v>227</v>
      </c>
      <c r="G294" s="10"/>
    </row>
    <row r="295" customFormat="false" ht="15.75" hidden="false" customHeight="true" outlineLevel="0" collapsed="false">
      <c r="A295" s="18" t="n">
        <v>420</v>
      </c>
      <c r="B295" s="18" t="s">
        <v>311</v>
      </c>
      <c r="C295" s="115" t="n">
        <v>45408</v>
      </c>
      <c r="D295" s="10" t="n">
        <v>85</v>
      </c>
      <c r="E295" s="10" t="n">
        <v>670</v>
      </c>
      <c r="F295" s="10" t="s">
        <v>225</v>
      </c>
      <c r="G295" s="10"/>
    </row>
    <row r="296" customFormat="false" ht="15.75" hidden="false" customHeight="true" outlineLevel="0" collapsed="false">
      <c r="A296" s="18" t="n">
        <v>260274</v>
      </c>
      <c r="B296" s="18" t="s">
        <v>233</v>
      </c>
      <c r="C296" s="115" t="n">
        <v>45408</v>
      </c>
      <c r="D296" s="10" t="n">
        <v>85</v>
      </c>
      <c r="E296" s="10" t="n">
        <v>600</v>
      </c>
      <c r="F296" s="10" t="s">
        <v>225</v>
      </c>
      <c r="G296" s="10"/>
    </row>
    <row r="297" customFormat="false" ht="15.75" hidden="false" customHeight="true" outlineLevel="0" collapsed="false">
      <c r="A297" s="18" t="n">
        <v>380</v>
      </c>
      <c r="B297" s="18" t="s">
        <v>423</v>
      </c>
      <c r="C297" s="115" t="n">
        <v>45408</v>
      </c>
      <c r="D297" s="10" t="n">
        <v>85</v>
      </c>
      <c r="E297" s="10" t="n">
        <v>1620</v>
      </c>
      <c r="F297" s="10" t="s">
        <v>225</v>
      </c>
      <c r="G297" s="10"/>
    </row>
    <row r="298" customFormat="false" ht="15.75" hidden="false" customHeight="true" outlineLevel="0" collapsed="false">
      <c r="A298" s="18" t="n">
        <v>260279</v>
      </c>
      <c r="B298" s="18" t="s">
        <v>424</v>
      </c>
      <c r="C298" s="115" t="n">
        <v>45408</v>
      </c>
      <c r="D298" s="10" t="n">
        <v>90</v>
      </c>
      <c r="E298" s="10" t="n">
        <v>500</v>
      </c>
      <c r="F298" s="10" t="s">
        <v>225</v>
      </c>
      <c r="G298" s="10"/>
    </row>
    <row r="299" customFormat="false" ht="15.75" hidden="false" customHeight="true" outlineLevel="0" collapsed="false">
      <c r="A299" s="18" t="n">
        <v>439</v>
      </c>
      <c r="B299" s="18" t="s">
        <v>66</v>
      </c>
      <c r="C299" s="115" t="n">
        <v>45408</v>
      </c>
      <c r="D299" s="10" t="n">
        <v>95</v>
      </c>
      <c r="E299" s="10" t="n">
        <v>4800</v>
      </c>
      <c r="F299" s="10" t="s">
        <v>225</v>
      </c>
      <c r="G299" s="10"/>
    </row>
    <row r="300" customFormat="false" ht="15.75" hidden="false" customHeight="true" outlineLevel="0" collapsed="false">
      <c r="A300" s="18" t="n">
        <v>433</v>
      </c>
      <c r="B300" s="18" t="s">
        <v>425</v>
      </c>
      <c r="C300" s="115" t="n">
        <v>45408</v>
      </c>
      <c r="D300" s="10" t="n">
        <v>100</v>
      </c>
      <c r="E300" s="10" t="n">
        <v>180</v>
      </c>
      <c r="F300" s="10" t="s">
        <v>225</v>
      </c>
      <c r="G300" s="10"/>
    </row>
    <row r="301" customFormat="false" ht="15.75" hidden="false" customHeight="true" outlineLevel="0" collapsed="false">
      <c r="A301" s="18" t="n">
        <v>424</v>
      </c>
      <c r="B301" s="18" t="s">
        <v>426</v>
      </c>
      <c r="C301" s="115" t="n">
        <v>45408</v>
      </c>
      <c r="D301" s="10" t="n">
        <v>105</v>
      </c>
      <c r="E301" s="10" t="n">
        <v>265</v>
      </c>
      <c r="F301" s="10" t="s">
        <v>225</v>
      </c>
      <c r="G301" s="10"/>
    </row>
    <row r="302" customFormat="false" ht="15.75" hidden="false" customHeight="true" outlineLevel="0" collapsed="false">
      <c r="A302" s="18" t="n">
        <v>432</v>
      </c>
      <c r="B302" s="18" t="s">
        <v>242</v>
      </c>
      <c r="C302" s="115" t="n">
        <v>45408</v>
      </c>
      <c r="D302" s="10" t="n">
        <v>110</v>
      </c>
      <c r="E302" s="10" t="n">
        <v>168</v>
      </c>
      <c r="F302" s="10" t="s">
        <v>225</v>
      </c>
      <c r="G302" s="10"/>
    </row>
    <row r="303" customFormat="false" ht="15.75" hidden="false" customHeight="true" outlineLevel="0" collapsed="false">
      <c r="A303" s="18" t="n">
        <v>427</v>
      </c>
      <c r="B303" s="18" t="s">
        <v>242</v>
      </c>
      <c r="C303" s="115" t="n">
        <v>45408</v>
      </c>
      <c r="D303" s="10" t="n">
        <v>110</v>
      </c>
      <c r="E303" s="10" t="n">
        <v>300</v>
      </c>
      <c r="F303" s="10" t="s">
        <v>225</v>
      </c>
      <c r="G303" s="10"/>
    </row>
    <row r="304" customFormat="false" ht="15.75" hidden="false" customHeight="true" outlineLevel="0" collapsed="false">
      <c r="A304" s="18" t="n">
        <v>431</v>
      </c>
      <c r="B304" s="18" t="s">
        <v>427</v>
      </c>
      <c r="C304" s="115" t="n">
        <v>45408</v>
      </c>
      <c r="D304" s="10" t="n">
        <v>110</v>
      </c>
      <c r="E304" s="10" t="n">
        <v>600</v>
      </c>
      <c r="F304" s="10" t="s">
        <v>225</v>
      </c>
      <c r="G304" s="10"/>
    </row>
    <row r="305" customFormat="false" ht="15.75" hidden="false" customHeight="true" outlineLevel="0" collapsed="false">
      <c r="A305" s="18" t="n">
        <v>434</v>
      </c>
      <c r="B305" s="18" t="s">
        <v>428</v>
      </c>
      <c r="C305" s="115" t="n">
        <v>45408</v>
      </c>
      <c r="D305" s="10" t="n">
        <v>129</v>
      </c>
      <c r="E305" s="10" t="n">
        <v>1900</v>
      </c>
      <c r="F305" s="10" t="s">
        <v>225</v>
      </c>
      <c r="G305" s="10" t="s">
        <v>232</v>
      </c>
    </row>
    <row r="306" customFormat="false" ht="15.75" hidden="false" customHeight="true" outlineLevel="0" collapsed="false">
      <c r="A306" s="18" t="n">
        <v>260280</v>
      </c>
      <c r="B306" s="18" t="s">
        <v>429</v>
      </c>
      <c r="C306" s="115" t="n">
        <v>45408</v>
      </c>
      <c r="D306" s="10" t="n">
        <v>140</v>
      </c>
      <c r="E306" s="10" t="n">
        <v>1200</v>
      </c>
      <c r="F306" s="10" t="s">
        <v>225</v>
      </c>
      <c r="G306" s="10"/>
    </row>
    <row r="307" customFormat="false" ht="15.75" hidden="false" customHeight="true" outlineLevel="0" collapsed="false">
      <c r="A307" s="18" t="n">
        <v>402</v>
      </c>
      <c r="B307" s="18" t="s">
        <v>430</v>
      </c>
      <c r="C307" s="115" t="n">
        <v>45408</v>
      </c>
      <c r="D307" s="10" t="n">
        <v>155</v>
      </c>
      <c r="E307" s="10" t="n">
        <v>1200</v>
      </c>
      <c r="F307" s="10" t="s">
        <v>225</v>
      </c>
      <c r="G307" s="10"/>
    </row>
    <row r="308" customFormat="false" ht="15.75" hidden="false" customHeight="true" outlineLevel="0" collapsed="false">
      <c r="A308" s="18" t="s">
        <v>431</v>
      </c>
      <c r="B308" s="18" t="s">
        <v>224</v>
      </c>
      <c r="C308" s="115" t="n">
        <v>45408</v>
      </c>
      <c r="D308" s="10" t="n">
        <v>210</v>
      </c>
      <c r="E308" s="10" t="n">
        <v>3000</v>
      </c>
      <c r="F308" s="10" t="s">
        <v>225</v>
      </c>
      <c r="G308" s="10"/>
    </row>
    <row r="309" customFormat="false" ht="15.75" hidden="false" customHeight="true" outlineLevel="0" collapsed="false">
      <c r="A309" s="18" t="n">
        <v>440</v>
      </c>
      <c r="B309" s="18" t="s">
        <v>320</v>
      </c>
      <c r="C309" s="115" t="n">
        <v>45408</v>
      </c>
      <c r="D309" s="10" t="n">
        <v>210</v>
      </c>
      <c r="E309" s="10" t="n">
        <v>248</v>
      </c>
      <c r="F309" s="10" t="s">
        <v>225</v>
      </c>
      <c r="G309" s="10"/>
    </row>
    <row r="310" customFormat="false" ht="15.75" hidden="false" customHeight="true" outlineLevel="0" collapsed="false">
      <c r="A310" s="18" t="n">
        <v>441</v>
      </c>
      <c r="B310" s="18" t="s">
        <v>432</v>
      </c>
      <c r="C310" s="115" t="n">
        <v>45408</v>
      </c>
      <c r="D310" s="10" t="n">
        <v>210</v>
      </c>
      <c r="E310" s="10" t="n">
        <v>443</v>
      </c>
      <c r="F310" s="10" t="s">
        <v>225</v>
      </c>
      <c r="G310" s="10"/>
    </row>
    <row r="311" customFormat="false" ht="15.75" hidden="false" customHeight="true" outlineLevel="0" collapsed="false">
      <c r="A311" s="18" t="n">
        <v>260285</v>
      </c>
      <c r="B311" s="18" t="s">
        <v>433</v>
      </c>
      <c r="C311" s="115" t="n">
        <v>45408</v>
      </c>
      <c r="D311" s="10" t="n">
        <v>250</v>
      </c>
      <c r="E311" s="10" t="n">
        <v>248</v>
      </c>
      <c r="F311" s="10" t="s">
        <v>225</v>
      </c>
      <c r="G311" s="10"/>
    </row>
    <row r="312" customFormat="false" ht="15.75" hidden="false" customHeight="true" outlineLevel="0" collapsed="false">
      <c r="A312" s="18" t="n">
        <v>260284</v>
      </c>
      <c r="B312" s="18" t="s">
        <v>434</v>
      </c>
      <c r="C312" s="115" t="n">
        <v>45408</v>
      </c>
      <c r="D312" s="10" t="n">
        <v>250</v>
      </c>
      <c r="E312" s="10" t="n">
        <v>371</v>
      </c>
      <c r="F312" s="10" t="s">
        <v>236</v>
      </c>
      <c r="G312" s="10"/>
    </row>
    <row r="313" customFormat="false" ht="15.75" hidden="false" customHeight="true" outlineLevel="0" collapsed="false">
      <c r="A313" s="18" t="n">
        <v>260289</v>
      </c>
      <c r="B313" s="18" t="s">
        <v>435</v>
      </c>
      <c r="C313" s="115" t="n">
        <v>45412</v>
      </c>
      <c r="D313" s="10" t="n">
        <v>55</v>
      </c>
      <c r="E313" s="10" t="n">
        <v>260</v>
      </c>
      <c r="F313" s="10" t="s">
        <v>225</v>
      </c>
      <c r="G313" s="10" t="s">
        <v>232</v>
      </c>
    </row>
    <row r="314" customFormat="false" ht="15.75" hidden="false" customHeight="true" outlineLevel="0" collapsed="false">
      <c r="A314" s="18" t="n">
        <v>260292</v>
      </c>
      <c r="B314" s="18" t="s">
        <v>319</v>
      </c>
      <c r="C314" s="115" t="n">
        <v>45412</v>
      </c>
      <c r="D314" s="10" t="n">
        <v>65</v>
      </c>
      <c r="E314" s="10" t="n">
        <v>609</v>
      </c>
      <c r="F314" s="10" t="s">
        <v>225</v>
      </c>
      <c r="G314" s="10"/>
    </row>
    <row r="315" customFormat="false" ht="15.75" hidden="false" customHeight="true" outlineLevel="0" collapsed="false">
      <c r="A315" s="18" t="n">
        <v>448</v>
      </c>
      <c r="B315" s="18" t="s">
        <v>313</v>
      </c>
      <c r="C315" s="115" t="n">
        <v>45412</v>
      </c>
      <c r="D315" s="10" t="n">
        <v>65</v>
      </c>
      <c r="E315" s="10" t="n">
        <v>2580</v>
      </c>
      <c r="F315" s="10" t="s">
        <v>227</v>
      </c>
      <c r="G315" s="10"/>
    </row>
    <row r="316" customFormat="false" ht="15.75" hidden="false" customHeight="true" outlineLevel="0" collapsed="false">
      <c r="A316" s="18" t="n">
        <v>445</v>
      </c>
      <c r="B316" s="18" t="s">
        <v>290</v>
      </c>
      <c r="C316" s="115" t="n">
        <v>45412</v>
      </c>
      <c r="D316" s="10" t="n">
        <v>100</v>
      </c>
      <c r="E316" s="10" t="n">
        <v>750</v>
      </c>
      <c r="F316" s="10" t="s">
        <v>227</v>
      </c>
      <c r="G316" s="10"/>
    </row>
    <row r="317" customFormat="false" ht="15.75" hidden="false" customHeight="true" outlineLevel="0" collapsed="false">
      <c r="A317" s="18" t="n">
        <v>260293</v>
      </c>
      <c r="B317" s="18" t="s">
        <v>239</v>
      </c>
      <c r="C317" s="115" t="n">
        <v>45412</v>
      </c>
      <c r="D317" s="10" t="n">
        <v>210</v>
      </c>
      <c r="E317" s="10" t="n">
        <v>400</v>
      </c>
      <c r="F317" s="10" t="s">
        <v>229</v>
      </c>
      <c r="G317" s="10"/>
    </row>
    <row r="318" customFormat="false" ht="15.75" hidden="false" customHeight="true" outlineLevel="0" collapsed="false">
      <c r="A318" s="18" t="n">
        <v>446</v>
      </c>
      <c r="B318" s="18" t="s">
        <v>436</v>
      </c>
      <c r="C318" s="115" t="n">
        <v>45412</v>
      </c>
      <c r="D318" s="10" t="n">
        <v>125</v>
      </c>
      <c r="E318" s="10" t="n">
        <v>2320</v>
      </c>
      <c r="F318" s="10" t="s">
        <v>229</v>
      </c>
      <c r="G318" s="10"/>
    </row>
    <row r="319" customFormat="false" ht="15.75" hidden="false" customHeight="true" outlineLevel="0" collapsed="false">
      <c r="A319" s="18" t="n">
        <v>448</v>
      </c>
      <c r="B319" s="18" t="s">
        <v>313</v>
      </c>
      <c r="C319" s="115" t="n">
        <v>45412</v>
      </c>
      <c r="D319" s="10" t="n">
        <v>100</v>
      </c>
      <c r="E319" s="10" t="n">
        <v>460</v>
      </c>
      <c r="F319" s="10" t="s">
        <v>229</v>
      </c>
      <c r="G319" s="10"/>
    </row>
    <row r="320" customFormat="false" ht="15.75" hidden="false" customHeight="true" outlineLevel="0" collapsed="false">
      <c r="A320" s="18" t="n">
        <v>260262</v>
      </c>
      <c r="B320" s="18" t="s">
        <v>437</v>
      </c>
      <c r="C320" s="115" t="n">
        <v>45412</v>
      </c>
      <c r="D320" s="10" t="n">
        <v>75</v>
      </c>
      <c r="E320" s="10" t="n">
        <v>375</v>
      </c>
      <c r="F320" s="10" t="s">
        <v>225</v>
      </c>
      <c r="G320" s="10"/>
    </row>
    <row r="321" customFormat="false" ht="15.75" hidden="false" customHeight="true" outlineLevel="0" collapsed="false">
      <c r="A321" s="18" t="n">
        <v>448</v>
      </c>
      <c r="B321" s="18" t="s">
        <v>313</v>
      </c>
      <c r="C321" s="115" t="n">
        <v>45412</v>
      </c>
      <c r="D321" s="10" t="n">
        <v>105</v>
      </c>
      <c r="E321" s="10" t="n">
        <v>7233</v>
      </c>
      <c r="F321" s="10" t="s">
        <v>225</v>
      </c>
      <c r="G321" s="10"/>
    </row>
    <row r="322" customFormat="false" ht="15.75" hidden="false" customHeight="true" outlineLevel="0" collapsed="false">
      <c r="A322" s="18" t="n">
        <v>450</v>
      </c>
      <c r="B322" s="18" t="s">
        <v>283</v>
      </c>
      <c r="C322" s="115" t="n">
        <v>45412</v>
      </c>
      <c r="D322" s="10" t="n">
        <v>105</v>
      </c>
      <c r="E322" s="10" t="n">
        <v>340</v>
      </c>
      <c r="F322" s="10" t="s">
        <v>225</v>
      </c>
      <c r="G322" s="10"/>
    </row>
    <row r="323" customFormat="false" ht="15.75" hidden="false" customHeight="true" outlineLevel="0" collapsed="false">
      <c r="A323" s="18" t="n">
        <v>443</v>
      </c>
      <c r="B323" s="18" t="s">
        <v>438</v>
      </c>
      <c r="C323" s="115" t="n">
        <v>45412</v>
      </c>
      <c r="D323" s="10" t="n">
        <v>210</v>
      </c>
      <c r="E323" s="10" t="n">
        <v>346</v>
      </c>
      <c r="F323" s="10" t="s">
        <v>225</v>
      </c>
      <c r="G323" s="10"/>
    </row>
    <row r="324" customFormat="false" ht="15.75" hidden="false" customHeight="true" outlineLevel="0" collapsed="false">
      <c r="A324" s="18" t="n">
        <v>448</v>
      </c>
      <c r="B324" s="18" t="s">
        <v>313</v>
      </c>
      <c r="C324" s="115" t="n">
        <v>45412</v>
      </c>
      <c r="D324" s="10" t="n">
        <v>210</v>
      </c>
      <c r="E324" s="10" t="n">
        <v>3735</v>
      </c>
      <c r="F324" s="10" t="s">
        <v>225</v>
      </c>
      <c r="G324" s="10"/>
    </row>
    <row r="325" customFormat="false" ht="15.75" hidden="false" customHeight="true" outlineLevel="0" collapsed="false">
      <c r="A325" s="18" t="n">
        <v>260291</v>
      </c>
      <c r="B325" s="18" t="s">
        <v>439</v>
      </c>
      <c r="C325" s="115" t="n">
        <v>45412</v>
      </c>
      <c r="D325" s="10" t="n">
        <v>210</v>
      </c>
      <c r="E325" s="10" t="n">
        <v>52</v>
      </c>
      <c r="F325" s="10" t="s">
        <v>225</v>
      </c>
      <c r="G325" s="10"/>
    </row>
    <row r="326" customFormat="false" ht="15.75" hidden="false" customHeight="true" outlineLevel="0" collapsed="false">
      <c r="A326" s="18" t="n">
        <v>444</v>
      </c>
      <c r="B326" s="18" t="s">
        <v>440</v>
      </c>
      <c r="C326" s="115" t="n">
        <v>45412</v>
      </c>
      <c r="D326" s="10" t="n">
        <v>220</v>
      </c>
      <c r="E326" s="10" t="n">
        <v>1277</v>
      </c>
      <c r="F326" s="10" t="s">
        <v>225</v>
      </c>
      <c r="G326" s="10"/>
    </row>
    <row r="327" customFormat="false" ht="15.75" hidden="false" customHeight="true" outlineLevel="0" collapsed="false">
      <c r="A327" s="18" t="n">
        <v>451</v>
      </c>
      <c r="B327" s="18" t="s">
        <v>291</v>
      </c>
      <c r="C327" s="115" t="n">
        <v>45412</v>
      </c>
      <c r="D327" s="10" t="n">
        <v>220</v>
      </c>
      <c r="E327" s="10" t="n">
        <v>638</v>
      </c>
      <c r="F327" s="10" t="s">
        <v>225</v>
      </c>
      <c r="G327" s="10"/>
    </row>
    <row r="328" customFormat="false" ht="15.75" hidden="false" customHeight="true" outlineLevel="0" collapsed="false">
      <c r="A328" s="18" t="n">
        <v>447</v>
      </c>
      <c r="B328" s="18" t="s">
        <v>441</v>
      </c>
      <c r="C328" s="115" t="n">
        <v>45412</v>
      </c>
      <c r="D328" s="10" t="n">
        <v>210</v>
      </c>
      <c r="E328" s="10" t="n">
        <v>473</v>
      </c>
      <c r="F328" s="10" t="s">
        <v>236</v>
      </c>
      <c r="G328" s="10"/>
    </row>
    <row r="329" customFormat="false" ht="15.75" hidden="false" customHeight="true" outlineLevel="0" collapsed="false">
      <c r="A329" s="18" t="n">
        <v>260295</v>
      </c>
      <c r="B329" s="18" t="s">
        <v>442</v>
      </c>
      <c r="C329" s="115" t="n">
        <v>45415</v>
      </c>
      <c r="D329" s="10" t="n">
        <v>32</v>
      </c>
      <c r="E329" s="10" t="n">
        <v>1400</v>
      </c>
      <c r="F329" s="10" t="s">
        <v>225</v>
      </c>
      <c r="G329" s="10"/>
    </row>
    <row r="330" customFormat="false" ht="15.75" hidden="false" customHeight="true" outlineLevel="0" collapsed="false">
      <c r="A330" s="18" t="n">
        <v>453</v>
      </c>
      <c r="B330" s="18" t="s">
        <v>301</v>
      </c>
      <c r="C330" s="115" t="n">
        <v>45415</v>
      </c>
      <c r="D330" s="10" t="n">
        <v>40</v>
      </c>
      <c r="E330" s="10" t="n">
        <v>800</v>
      </c>
      <c r="F330" s="10" t="s">
        <v>225</v>
      </c>
      <c r="G330" s="10"/>
    </row>
    <row r="331" customFormat="false" ht="15.75" hidden="false" customHeight="true" outlineLevel="0" collapsed="false">
      <c r="A331" s="18" t="n">
        <v>260296</v>
      </c>
      <c r="B331" s="18" t="s">
        <v>442</v>
      </c>
      <c r="C331" s="115" t="n">
        <v>45415</v>
      </c>
      <c r="D331" s="10" t="n">
        <v>50</v>
      </c>
      <c r="E331" s="10" t="n">
        <v>1060</v>
      </c>
      <c r="F331" s="10" t="s">
        <v>225</v>
      </c>
      <c r="G331" s="10"/>
    </row>
    <row r="332" customFormat="false" ht="15.75" hidden="false" customHeight="true" outlineLevel="0" collapsed="false">
      <c r="A332" s="18" t="n">
        <v>452</v>
      </c>
      <c r="B332" s="18" t="s">
        <v>443</v>
      </c>
      <c r="C332" s="115" t="n">
        <v>45415</v>
      </c>
      <c r="D332" s="10" t="n">
        <v>85</v>
      </c>
      <c r="E332" s="10" t="n">
        <v>320</v>
      </c>
      <c r="F332" s="10" t="s">
        <v>225</v>
      </c>
      <c r="G332" s="10"/>
    </row>
    <row r="333" customFormat="false" ht="15.75" hidden="false" customHeight="true" outlineLevel="0" collapsed="false">
      <c r="A333" s="18" t="n">
        <v>260296</v>
      </c>
      <c r="B333" s="18" t="s">
        <v>444</v>
      </c>
      <c r="C333" s="115" t="n">
        <v>45415</v>
      </c>
      <c r="D333" s="10" t="n">
        <v>90</v>
      </c>
      <c r="E333" s="10" t="n">
        <v>800</v>
      </c>
      <c r="F333" s="10" t="s">
        <v>225</v>
      </c>
      <c r="G333" s="10"/>
    </row>
    <row r="334" customFormat="false" ht="15.75" hidden="false" customHeight="true" outlineLevel="0" collapsed="false">
      <c r="A334" s="18" t="n">
        <v>260297</v>
      </c>
      <c r="B334" s="18" t="s">
        <v>445</v>
      </c>
      <c r="C334" s="115" t="n">
        <v>45415</v>
      </c>
      <c r="D334" s="10" t="n">
        <v>130</v>
      </c>
      <c r="E334" s="10" t="n">
        <v>685</v>
      </c>
      <c r="F334" s="10" t="s">
        <v>225</v>
      </c>
      <c r="G334" s="10"/>
    </row>
    <row r="335" customFormat="false" ht="15.75" hidden="false" customHeight="true" outlineLevel="0" collapsed="false">
      <c r="A335" s="18" t="n">
        <v>454</v>
      </c>
      <c r="B335" s="18" t="s">
        <v>446</v>
      </c>
      <c r="C335" s="115" t="n">
        <v>45415</v>
      </c>
      <c r="D335" s="10" t="n">
        <v>250</v>
      </c>
      <c r="E335" s="10" t="n">
        <v>742</v>
      </c>
      <c r="F335" s="10" t="s">
        <v>236</v>
      </c>
      <c r="G335" s="10"/>
    </row>
    <row r="336" customFormat="false" ht="15.75" hidden="false" customHeight="true" outlineLevel="0" collapsed="false">
      <c r="A336" s="18" t="n">
        <v>260307</v>
      </c>
      <c r="B336" s="18" t="s">
        <v>447</v>
      </c>
      <c r="C336" s="115" t="n">
        <v>45418</v>
      </c>
      <c r="D336" s="10" t="n">
        <v>35</v>
      </c>
      <c r="E336" s="10" t="n">
        <v>1240</v>
      </c>
      <c r="F336" s="10" t="s">
        <v>225</v>
      </c>
      <c r="G336" s="10" t="s">
        <v>232</v>
      </c>
    </row>
    <row r="337" customFormat="false" ht="15.75" hidden="false" customHeight="true" outlineLevel="0" collapsed="false">
      <c r="A337" s="18" t="n">
        <v>260301</v>
      </c>
      <c r="B337" s="18" t="s">
        <v>240</v>
      </c>
      <c r="C337" s="115" t="n">
        <v>45418</v>
      </c>
      <c r="D337" s="10" t="n">
        <v>110</v>
      </c>
      <c r="E337" s="10" t="n">
        <v>1400</v>
      </c>
      <c r="F337" s="10" t="s">
        <v>227</v>
      </c>
      <c r="G337" s="10"/>
    </row>
    <row r="338" customFormat="false" ht="15.75" hidden="false" customHeight="true" outlineLevel="0" collapsed="false">
      <c r="A338" s="18" t="n">
        <v>457</v>
      </c>
      <c r="B338" s="18" t="s">
        <v>272</v>
      </c>
      <c r="C338" s="115" t="n">
        <v>45418</v>
      </c>
      <c r="D338" s="10" t="n">
        <v>110</v>
      </c>
      <c r="E338" s="10" t="n">
        <v>3200</v>
      </c>
      <c r="F338" s="10" t="s">
        <v>227</v>
      </c>
      <c r="G338" s="10"/>
    </row>
    <row r="339" customFormat="false" ht="15.75" hidden="false" customHeight="true" outlineLevel="0" collapsed="false">
      <c r="A339" s="18" t="n">
        <v>458</v>
      </c>
      <c r="B339" s="18" t="s">
        <v>302</v>
      </c>
      <c r="C339" s="115" t="n">
        <v>45418</v>
      </c>
      <c r="D339" s="10" t="n">
        <v>105</v>
      </c>
      <c r="E339" s="10" t="n">
        <v>1500</v>
      </c>
      <c r="F339" s="10" t="s">
        <v>225</v>
      </c>
      <c r="G339" s="10"/>
    </row>
    <row r="340" customFormat="false" ht="15.75" hidden="false" customHeight="true" outlineLevel="0" collapsed="false">
      <c r="A340" s="18" t="n">
        <v>456</v>
      </c>
      <c r="B340" s="18" t="s">
        <v>448</v>
      </c>
      <c r="C340" s="115" t="n">
        <v>45418</v>
      </c>
      <c r="D340" s="10" t="n">
        <v>110</v>
      </c>
      <c r="E340" s="10" t="n">
        <v>729</v>
      </c>
      <c r="F340" s="10" t="s">
        <v>225</v>
      </c>
      <c r="G340" s="10"/>
    </row>
    <row r="341" customFormat="false" ht="15.75" hidden="false" customHeight="true" outlineLevel="0" collapsed="false">
      <c r="A341" s="18" t="n">
        <v>260308</v>
      </c>
      <c r="B341" s="18" t="s">
        <v>449</v>
      </c>
      <c r="C341" s="115" t="n">
        <v>45418</v>
      </c>
      <c r="D341" s="10" t="n">
        <v>128</v>
      </c>
      <c r="E341" s="10" t="n">
        <v>85</v>
      </c>
      <c r="F341" s="10" t="s">
        <v>225</v>
      </c>
      <c r="G341" s="10"/>
    </row>
    <row r="342" customFormat="false" ht="15.75" hidden="false" customHeight="true" outlineLevel="0" collapsed="false">
      <c r="A342" s="18" t="n">
        <v>260298</v>
      </c>
      <c r="B342" s="18" t="s">
        <v>411</v>
      </c>
      <c r="C342" s="115" t="n">
        <v>45418</v>
      </c>
      <c r="D342" s="10" t="n">
        <v>158</v>
      </c>
      <c r="E342" s="10" t="n">
        <v>225</v>
      </c>
      <c r="F342" s="10" t="s">
        <v>225</v>
      </c>
      <c r="G342" s="10"/>
    </row>
    <row r="343" customFormat="false" ht="15.75" hidden="false" customHeight="true" outlineLevel="0" collapsed="false">
      <c r="A343" s="18" t="n">
        <v>260316</v>
      </c>
      <c r="B343" s="18" t="s">
        <v>450</v>
      </c>
      <c r="C343" s="115" t="n">
        <v>45420</v>
      </c>
      <c r="D343" s="10" t="n">
        <v>48</v>
      </c>
      <c r="E343" s="10" t="n">
        <v>260</v>
      </c>
      <c r="F343" s="10" t="s">
        <v>262</v>
      </c>
      <c r="G343" s="10"/>
    </row>
    <row r="344" customFormat="false" ht="15.75" hidden="false" customHeight="true" outlineLevel="0" collapsed="false">
      <c r="A344" s="18" t="n">
        <v>461</v>
      </c>
      <c r="B344" s="18" t="s">
        <v>451</v>
      </c>
      <c r="C344" s="115" t="n">
        <v>45420</v>
      </c>
      <c r="D344" s="10" t="n">
        <v>25</v>
      </c>
      <c r="E344" s="10" t="n">
        <v>2000</v>
      </c>
      <c r="F344" s="10" t="s">
        <v>372</v>
      </c>
      <c r="G344" s="10"/>
    </row>
    <row r="345" customFormat="false" ht="15.75" hidden="false" customHeight="true" outlineLevel="0" collapsed="false">
      <c r="A345" s="18" t="n">
        <v>459</v>
      </c>
      <c r="B345" s="18" t="s">
        <v>270</v>
      </c>
      <c r="C345" s="115" t="n">
        <v>45420</v>
      </c>
      <c r="D345" s="10" t="n">
        <v>75</v>
      </c>
      <c r="E345" s="10" t="n">
        <v>2700</v>
      </c>
      <c r="F345" s="10" t="s">
        <v>229</v>
      </c>
      <c r="G345" s="10"/>
    </row>
    <row r="346" customFormat="false" ht="15.75" hidden="false" customHeight="true" outlineLevel="0" collapsed="false">
      <c r="A346" s="18" t="n">
        <v>463</v>
      </c>
      <c r="B346" s="18" t="s">
        <v>452</v>
      </c>
      <c r="C346" s="115" t="n">
        <v>45420</v>
      </c>
      <c r="D346" s="10" t="n">
        <v>210</v>
      </c>
      <c r="E346" s="10" t="n">
        <v>5395</v>
      </c>
      <c r="F346" s="10" t="s">
        <v>229</v>
      </c>
      <c r="G346" s="10"/>
    </row>
    <row r="347" customFormat="false" ht="15.75" hidden="false" customHeight="true" outlineLevel="0" collapsed="false">
      <c r="A347" s="18" t="n">
        <v>470</v>
      </c>
      <c r="B347" s="18" t="s">
        <v>255</v>
      </c>
      <c r="C347" s="115" t="n">
        <v>45420</v>
      </c>
      <c r="D347" s="10" t="n">
        <v>100</v>
      </c>
      <c r="E347" s="10" t="n">
        <v>800</v>
      </c>
      <c r="F347" s="10" t="s">
        <v>225</v>
      </c>
      <c r="G347" s="10"/>
    </row>
    <row r="348" customFormat="false" ht="15.75" hidden="false" customHeight="true" outlineLevel="0" collapsed="false">
      <c r="A348" s="18" t="n">
        <v>260313</v>
      </c>
      <c r="B348" s="18" t="s">
        <v>453</v>
      </c>
      <c r="C348" s="115" t="n">
        <v>45420</v>
      </c>
      <c r="D348" s="10" t="n">
        <v>105</v>
      </c>
      <c r="E348" s="10" t="n">
        <v>750</v>
      </c>
      <c r="F348" s="10" t="s">
        <v>225</v>
      </c>
      <c r="G348" s="10"/>
    </row>
    <row r="349" customFormat="false" ht="15.75" hidden="false" customHeight="true" outlineLevel="0" collapsed="false">
      <c r="A349" s="18" t="n">
        <v>468</v>
      </c>
      <c r="B349" s="18" t="s">
        <v>244</v>
      </c>
      <c r="C349" s="115" t="n">
        <v>45420</v>
      </c>
      <c r="D349" s="10" t="n">
        <v>110</v>
      </c>
      <c r="E349" s="10" t="n">
        <v>1800</v>
      </c>
      <c r="F349" s="10" t="s">
        <v>225</v>
      </c>
      <c r="G349" s="10"/>
    </row>
    <row r="350" customFormat="false" ht="15.75" hidden="false" customHeight="true" outlineLevel="0" collapsed="false">
      <c r="A350" s="18" t="n">
        <v>460</v>
      </c>
      <c r="B350" s="18" t="s">
        <v>270</v>
      </c>
      <c r="C350" s="115" t="n">
        <v>45420</v>
      </c>
      <c r="D350" s="10" t="n">
        <v>125</v>
      </c>
      <c r="E350" s="10" t="n">
        <v>1250</v>
      </c>
      <c r="F350" s="10" t="s">
        <v>225</v>
      </c>
      <c r="G350" s="10" t="s">
        <v>232</v>
      </c>
    </row>
    <row r="351" customFormat="false" ht="15.75" hidden="false" customHeight="true" outlineLevel="0" collapsed="false">
      <c r="A351" s="18" t="n">
        <v>260314</v>
      </c>
      <c r="B351" s="18" t="s">
        <v>257</v>
      </c>
      <c r="C351" s="115" t="n">
        <v>45420</v>
      </c>
      <c r="D351" s="10" t="n">
        <v>130</v>
      </c>
      <c r="E351" s="10" t="n">
        <v>450</v>
      </c>
      <c r="F351" s="10" t="s">
        <v>225</v>
      </c>
      <c r="G351" s="10"/>
    </row>
    <row r="352" customFormat="false" ht="15.75" hidden="false" customHeight="true" outlineLevel="0" collapsed="false">
      <c r="A352" s="18" t="n">
        <v>60309</v>
      </c>
      <c r="B352" s="18" t="s">
        <v>235</v>
      </c>
      <c r="C352" s="115" t="n">
        <v>45420</v>
      </c>
      <c r="D352" s="10" t="n">
        <v>110</v>
      </c>
      <c r="E352" s="10" t="n">
        <v>5200</v>
      </c>
      <c r="F352" s="10" t="s">
        <v>236</v>
      </c>
      <c r="G352" s="10"/>
    </row>
    <row r="353" customFormat="false" ht="15.75" hidden="false" customHeight="true" outlineLevel="0" collapsed="false">
      <c r="A353" s="18" t="n">
        <v>469</v>
      </c>
      <c r="B353" s="18" t="s">
        <v>454</v>
      </c>
      <c r="C353" s="115" t="n">
        <v>45420</v>
      </c>
      <c r="D353" s="10" t="n">
        <v>210</v>
      </c>
      <c r="E353" s="10" t="n">
        <v>3200</v>
      </c>
      <c r="F353" s="10" t="s">
        <v>236</v>
      </c>
      <c r="G353" s="10"/>
    </row>
    <row r="354" customFormat="false" ht="15.75" hidden="false" customHeight="true" outlineLevel="0" collapsed="false">
      <c r="A354" s="18" t="n">
        <v>260315</v>
      </c>
      <c r="B354" s="18" t="s">
        <v>240</v>
      </c>
      <c r="C354" s="115" t="n">
        <v>45421</v>
      </c>
      <c r="D354" s="10" t="n">
        <v>110</v>
      </c>
      <c r="E354" s="10" t="n">
        <v>680</v>
      </c>
      <c r="F354" s="10" t="s">
        <v>227</v>
      </c>
      <c r="G354" s="10"/>
    </row>
    <row r="355" customFormat="false" ht="15.75" hidden="false" customHeight="true" outlineLevel="0" collapsed="false">
      <c r="A355" s="18" t="n">
        <v>471</v>
      </c>
      <c r="B355" s="18" t="s">
        <v>455</v>
      </c>
      <c r="C355" s="115" t="n">
        <v>45421</v>
      </c>
      <c r="D355" s="10" t="n">
        <v>102</v>
      </c>
      <c r="E355" s="10" t="n">
        <v>1000</v>
      </c>
      <c r="F355" s="10" t="s">
        <v>229</v>
      </c>
      <c r="G355" s="10"/>
    </row>
    <row r="356" customFormat="false" ht="15.75" hidden="false" customHeight="true" outlineLevel="0" collapsed="false">
      <c r="A356" s="18" t="n">
        <v>260317</v>
      </c>
      <c r="B356" s="18" t="s">
        <v>456</v>
      </c>
      <c r="C356" s="115" t="n">
        <v>45421</v>
      </c>
      <c r="D356" s="10" t="n">
        <v>100</v>
      </c>
      <c r="E356" s="10" t="n">
        <v>240</v>
      </c>
      <c r="F356" s="10" t="s">
        <v>225</v>
      </c>
      <c r="G356" s="10"/>
    </row>
    <row r="357" customFormat="false" ht="15.75" hidden="false" customHeight="true" outlineLevel="0" collapsed="false">
      <c r="A357" s="18" t="n">
        <v>260318</v>
      </c>
      <c r="B357" s="18" t="s">
        <v>457</v>
      </c>
      <c r="C357" s="115" t="n">
        <v>45421</v>
      </c>
      <c r="D357" s="10" t="n">
        <v>250</v>
      </c>
      <c r="E357" s="10" t="n">
        <v>45</v>
      </c>
      <c r="F357" s="10" t="s">
        <v>236</v>
      </c>
      <c r="G357" s="10"/>
    </row>
    <row r="358" customFormat="false" ht="15.75" hidden="false" customHeight="true" outlineLevel="0" collapsed="false">
      <c r="A358" s="18" t="n">
        <v>482</v>
      </c>
      <c r="B358" s="18" t="s">
        <v>342</v>
      </c>
      <c r="C358" s="115" t="n">
        <v>45422</v>
      </c>
      <c r="D358" s="10" t="n">
        <v>35</v>
      </c>
      <c r="E358" s="10" t="n">
        <v>950</v>
      </c>
      <c r="F358" s="10" t="s">
        <v>225</v>
      </c>
      <c r="G358" s="10"/>
    </row>
    <row r="359" customFormat="false" ht="15.75" hidden="false" customHeight="true" outlineLevel="0" collapsed="false">
      <c r="A359" s="18" t="n">
        <v>479</v>
      </c>
      <c r="B359" s="18" t="s">
        <v>458</v>
      </c>
      <c r="C359" s="115" t="n">
        <v>45422</v>
      </c>
      <c r="D359" s="10" t="n">
        <v>25</v>
      </c>
      <c r="E359" s="10" t="n">
        <v>1000</v>
      </c>
      <c r="F359" s="10" t="s">
        <v>229</v>
      </c>
      <c r="G359" s="10"/>
    </row>
    <row r="360" customFormat="false" ht="15.75" hidden="false" customHeight="true" outlineLevel="0" collapsed="false">
      <c r="A360" s="18" t="n">
        <v>474</v>
      </c>
      <c r="B360" s="18" t="s">
        <v>322</v>
      </c>
      <c r="C360" s="115" t="n">
        <v>45422</v>
      </c>
      <c r="D360" s="10" t="n">
        <v>70</v>
      </c>
      <c r="E360" s="10" t="n">
        <v>204</v>
      </c>
      <c r="F360" s="10" t="s">
        <v>225</v>
      </c>
      <c r="G360" s="10" t="s">
        <v>232</v>
      </c>
    </row>
    <row r="361" customFormat="false" ht="15.75" hidden="false" customHeight="true" outlineLevel="0" collapsed="false">
      <c r="A361" s="18" t="n">
        <v>474</v>
      </c>
      <c r="B361" s="18" t="s">
        <v>322</v>
      </c>
      <c r="C361" s="115" t="n">
        <v>45422</v>
      </c>
      <c r="D361" s="10" t="n">
        <v>70</v>
      </c>
      <c r="E361" s="10" t="n">
        <v>1500</v>
      </c>
      <c r="F361" s="10" t="s">
        <v>225</v>
      </c>
      <c r="G361" s="10" t="s">
        <v>232</v>
      </c>
    </row>
    <row r="362" customFormat="false" ht="15.75" hidden="false" customHeight="true" outlineLevel="0" collapsed="false">
      <c r="A362" s="18" t="n">
        <v>474</v>
      </c>
      <c r="B362" s="18" t="s">
        <v>322</v>
      </c>
      <c r="C362" s="115" t="n">
        <v>45422</v>
      </c>
      <c r="D362" s="10" t="n">
        <v>100</v>
      </c>
      <c r="E362" s="10" t="n">
        <v>2600</v>
      </c>
      <c r="F362" s="10" t="s">
        <v>225</v>
      </c>
      <c r="G362" s="10" t="s">
        <v>232</v>
      </c>
    </row>
    <row r="363" customFormat="false" ht="15.75" hidden="false" customHeight="true" outlineLevel="0" collapsed="false">
      <c r="A363" s="18" t="n">
        <v>481</v>
      </c>
      <c r="B363" s="18" t="s">
        <v>318</v>
      </c>
      <c r="C363" s="115" t="n">
        <v>45422</v>
      </c>
      <c r="D363" s="10" t="n">
        <v>100</v>
      </c>
      <c r="E363" s="10" t="n">
        <v>340</v>
      </c>
      <c r="F363" s="10" t="s">
        <v>225</v>
      </c>
      <c r="G363" s="10"/>
    </row>
    <row r="364" customFormat="false" ht="15.75" hidden="false" customHeight="true" outlineLevel="0" collapsed="false">
      <c r="A364" s="18" t="n">
        <v>473</v>
      </c>
      <c r="B364" s="18" t="s">
        <v>389</v>
      </c>
      <c r="C364" s="115" t="n">
        <v>45422</v>
      </c>
      <c r="D364" s="10" t="n">
        <v>155</v>
      </c>
      <c r="E364" s="10" t="n">
        <v>267</v>
      </c>
      <c r="F364" s="10" t="s">
        <v>225</v>
      </c>
      <c r="G364" s="10" t="s">
        <v>232</v>
      </c>
    </row>
    <row r="365" customFormat="false" ht="15.75" hidden="false" customHeight="true" outlineLevel="0" collapsed="false">
      <c r="A365" s="18" t="n">
        <v>473</v>
      </c>
      <c r="B365" s="18" t="s">
        <v>389</v>
      </c>
      <c r="C365" s="115" t="n">
        <v>45422</v>
      </c>
      <c r="D365" s="10" t="n">
        <v>155</v>
      </c>
      <c r="E365" s="10" t="n">
        <v>267</v>
      </c>
      <c r="F365" s="10" t="s">
        <v>225</v>
      </c>
      <c r="G365" s="10" t="s">
        <v>232</v>
      </c>
    </row>
    <row r="366" customFormat="false" ht="15.75" hidden="false" customHeight="true" outlineLevel="0" collapsed="false">
      <c r="A366" s="18" t="n">
        <v>477</v>
      </c>
      <c r="B366" s="18" t="s">
        <v>245</v>
      </c>
      <c r="C366" s="115" t="n">
        <v>45422</v>
      </c>
      <c r="D366" s="10" t="n">
        <v>210</v>
      </c>
      <c r="E366" s="10" t="n">
        <v>2575</v>
      </c>
      <c r="F366" s="10" t="s">
        <v>225</v>
      </c>
      <c r="G366" s="10"/>
    </row>
    <row r="367" customFormat="false" ht="15.75" hidden="false" customHeight="true" outlineLevel="0" collapsed="false">
      <c r="A367" s="18" t="n">
        <v>480</v>
      </c>
      <c r="B367" s="18" t="s">
        <v>459</v>
      </c>
      <c r="C367" s="115" t="n">
        <v>45422</v>
      </c>
      <c r="D367" s="10" t="n">
        <v>210</v>
      </c>
      <c r="E367" s="10" t="n">
        <v>315</v>
      </c>
      <c r="F367" s="10" t="s">
        <v>225</v>
      </c>
      <c r="G367" s="10"/>
    </row>
    <row r="368" customFormat="false" ht="15.75" hidden="false" customHeight="true" outlineLevel="0" collapsed="false">
      <c r="A368" s="18" t="n">
        <v>260308</v>
      </c>
      <c r="B368" s="18" t="s">
        <v>449</v>
      </c>
      <c r="C368" s="115" t="n">
        <v>45422</v>
      </c>
      <c r="D368" s="10" t="n">
        <v>128</v>
      </c>
      <c r="E368" s="10" t="n">
        <v>85</v>
      </c>
      <c r="F368" s="10" t="s">
        <v>236</v>
      </c>
      <c r="G368" s="10"/>
    </row>
    <row r="369" customFormat="false" ht="15.75" hidden="false" customHeight="true" outlineLevel="0" collapsed="false">
      <c r="A369" s="18" t="n">
        <v>476</v>
      </c>
      <c r="B369" s="18" t="s">
        <v>246</v>
      </c>
      <c r="C369" s="115" t="n">
        <v>45422</v>
      </c>
      <c r="D369" s="10" t="n">
        <v>250</v>
      </c>
      <c r="E369" s="10" t="n">
        <v>7483</v>
      </c>
      <c r="F369" s="10" t="s">
        <v>236</v>
      </c>
      <c r="G369" s="10"/>
    </row>
    <row r="370" customFormat="false" ht="15.75" hidden="false" customHeight="true" outlineLevel="0" collapsed="false">
      <c r="A370" s="18" t="n">
        <v>260320</v>
      </c>
      <c r="B370" s="18" t="s">
        <v>460</v>
      </c>
      <c r="C370" s="115" t="n">
        <v>45425</v>
      </c>
      <c r="D370" s="10" t="n">
        <v>35</v>
      </c>
      <c r="E370" s="10" t="n">
        <v>520</v>
      </c>
      <c r="F370" s="10" t="s">
        <v>225</v>
      </c>
      <c r="G370" s="10"/>
    </row>
    <row r="371" customFormat="false" ht="15.75" hidden="false" customHeight="true" outlineLevel="0" collapsed="false">
      <c r="A371" s="18" t="n">
        <v>485</v>
      </c>
      <c r="B371" s="18" t="s">
        <v>250</v>
      </c>
      <c r="C371" s="115" t="n">
        <v>45425</v>
      </c>
      <c r="D371" s="10" t="n">
        <v>110</v>
      </c>
      <c r="E371" s="10" t="n">
        <v>2040</v>
      </c>
      <c r="F371" s="10" t="s">
        <v>227</v>
      </c>
      <c r="G371" s="10"/>
    </row>
    <row r="372" customFormat="false" ht="15.75" hidden="false" customHeight="true" outlineLevel="0" collapsed="false">
      <c r="A372" s="18" t="n">
        <v>484</v>
      </c>
      <c r="B372" s="18" t="s">
        <v>383</v>
      </c>
      <c r="C372" s="115" t="n">
        <v>45425</v>
      </c>
      <c r="D372" s="10" t="n">
        <v>95</v>
      </c>
      <c r="E372" s="10" t="n">
        <v>330</v>
      </c>
      <c r="F372" s="10" t="s">
        <v>225</v>
      </c>
      <c r="G372" s="10"/>
    </row>
    <row r="373" customFormat="false" ht="15.75" hidden="false" customHeight="true" outlineLevel="0" collapsed="false">
      <c r="A373" s="18" t="n">
        <v>478</v>
      </c>
      <c r="B373" s="18" t="s">
        <v>389</v>
      </c>
      <c r="C373" s="115" t="n">
        <v>45425</v>
      </c>
      <c r="D373" s="10" t="n">
        <v>102</v>
      </c>
      <c r="E373" s="10" t="n">
        <v>300</v>
      </c>
      <c r="F373" s="10" t="s">
        <v>225</v>
      </c>
      <c r="G373" s="10" t="s">
        <v>232</v>
      </c>
    </row>
    <row r="374" customFormat="false" ht="15.75" hidden="false" customHeight="true" outlineLevel="0" collapsed="false">
      <c r="A374" s="18" t="n">
        <v>483</v>
      </c>
      <c r="B374" s="18" t="s">
        <v>382</v>
      </c>
      <c r="C374" s="115" t="n">
        <v>45425</v>
      </c>
      <c r="D374" s="10" t="n">
        <v>125</v>
      </c>
      <c r="E374" s="10" t="n">
        <v>900</v>
      </c>
      <c r="F374" s="10" t="s">
        <v>225</v>
      </c>
      <c r="G374" s="10"/>
    </row>
    <row r="375" customFormat="false" ht="15.75" hidden="false" customHeight="true" outlineLevel="0" collapsed="false">
      <c r="A375" s="18" t="n">
        <v>486</v>
      </c>
      <c r="B375" s="18" t="s">
        <v>461</v>
      </c>
      <c r="C375" s="115" t="n">
        <v>45425</v>
      </c>
      <c r="D375" s="10" t="n">
        <v>130</v>
      </c>
      <c r="E375" s="10" t="n">
        <v>256</v>
      </c>
      <c r="F375" s="10" t="s">
        <v>225</v>
      </c>
      <c r="G375" s="10" t="s">
        <v>232</v>
      </c>
    </row>
    <row r="376" customFormat="false" ht="15.75" hidden="false" customHeight="true" outlineLevel="0" collapsed="false">
      <c r="A376" s="18" t="n">
        <v>260321</v>
      </c>
      <c r="B376" s="18" t="s">
        <v>337</v>
      </c>
      <c r="C376" s="115" t="n">
        <v>45426</v>
      </c>
      <c r="D376" s="10" t="n">
        <v>65</v>
      </c>
      <c r="E376" s="10" t="n">
        <v>1200</v>
      </c>
      <c r="F376" s="10" t="s">
        <v>225</v>
      </c>
      <c r="G376" s="10"/>
    </row>
    <row r="377" customFormat="false" ht="15.75" hidden="false" customHeight="true" outlineLevel="0" collapsed="false">
      <c r="A377" s="18" t="n">
        <v>260322</v>
      </c>
      <c r="B377" s="18" t="s">
        <v>462</v>
      </c>
      <c r="C377" s="115" t="n">
        <v>45426</v>
      </c>
      <c r="D377" s="10" t="n">
        <v>30</v>
      </c>
      <c r="E377" s="10" t="n">
        <v>500</v>
      </c>
      <c r="F377" s="10" t="s">
        <v>372</v>
      </c>
      <c r="G377" s="10"/>
    </row>
    <row r="378" customFormat="false" ht="15.75" hidden="false" customHeight="true" outlineLevel="0" collapsed="false">
      <c r="A378" s="18" t="n">
        <v>260324</v>
      </c>
      <c r="B378" s="18" t="s">
        <v>463</v>
      </c>
      <c r="C378" s="115" t="n">
        <v>45426</v>
      </c>
      <c r="D378" s="10" t="n">
        <v>20</v>
      </c>
      <c r="E378" s="10" t="n">
        <v>300</v>
      </c>
      <c r="F378" s="10" t="s">
        <v>464</v>
      </c>
      <c r="G378" s="10"/>
    </row>
    <row r="379" customFormat="false" ht="15.75" hidden="false" customHeight="true" outlineLevel="0" collapsed="false">
      <c r="A379" s="18" t="n">
        <v>412</v>
      </c>
      <c r="B379" s="18" t="s">
        <v>465</v>
      </c>
      <c r="C379" s="115" t="n">
        <v>45426</v>
      </c>
      <c r="D379" s="10" t="n">
        <v>110</v>
      </c>
      <c r="E379" s="10" t="n">
        <v>500</v>
      </c>
      <c r="F379" s="10" t="s">
        <v>229</v>
      </c>
      <c r="G379" s="10"/>
    </row>
    <row r="380" customFormat="false" ht="15.75" hidden="false" customHeight="true" outlineLevel="0" collapsed="false">
      <c r="A380" s="18" t="n">
        <v>412</v>
      </c>
      <c r="B380" s="18" t="s">
        <v>465</v>
      </c>
      <c r="C380" s="115" t="n">
        <v>45426</v>
      </c>
      <c r="D380" s="10" t="n">
        <v>100</v>
      </c>
      <c r="E380" s="10" t="n">
        <v>750</v>
      </c>
      <c r="F380" s="10" t="s">
        <v>225</v>
      </c>
      <c r="G380" s="10"/>
    </row>
    <row r="381" customFormat="false" ht="15.75" hidden="false" customHeight="true" outlineLevel="0" collapsed="false">
      <c r="A381" s="18" t="n">
        <v>487</v>
      </c>
      <c r="B381" s="18" t="s">
        <v>466</v>
      </c>
      <c r="C381" s="115" t="n">
        <v>45426</v>
      </c>
      <c r="D381" s="10" t="n">
        <v>210</v>
      </c>
      <c r="E381" s="10" t="n">
        <v>415</v>
      </c>
      <c r="F381" s="10" t="s">
        <v>236</v>
      </c>
      <c r="G381" s="10"/>
    </row>
    <row r="382" customFormat="false" ht="15.75" hidden="false" customHeight="true" outlineLevel="0" collapsed="false">
      <c r="A382" s="18" t="n">
        <v>492</v>
      </c>
      <c r="B382" s="18" t="s">
        <v>344</v>
      </c>
      <c r="C382" s="115" t="n">
        <v>45427</v>
      </c>
      <c r="D382" s="10" t="n">
        <v>45</v>
      </c>
      <c r="E382" s="10" t="n">
        <v>480</v>
      </c>
      <c r="F382" s="10" t="s">
        <v>225</v>
      </c>
      <c r="G382" s="10"/>
    </row>
    <row r="383" customFormat="false" ht="15.75" hidden="false" customHeight="true" outlineLevel="0" collapsed="false">
      <c r="A383" s="18" t="n">
        <v>492</v>
      </c>
      <c r="B383" s="18" t="s">
        <v>344</v>
      </c>
      <c r="C383" s="115" t="n">
        <v>45427</v>
      </c>
      <c r="D383" s="10" t="n">
        <v>55</v>
      </c>
      <c r="E383" s="10" t="n">
        <v>612</v>
      </c>
      <c r="F383" s="10" t="s">
        <v>225</v>
      </c>
      <c r="G383" s="10"/>
    </row>
    <row r="384" customFormat="false" ht="15.75" hidden="false" customHeight="true" outlineLevel="0" collapsed="false">
      <c r="A384" s="18" t="n">
        <v>489</v>
      </c>
      <c r="B384" s="18" t="s">
        <v>288</v>
      </c>
      <c r="C384" s="115" t="n">
        <v>45427</v>
      </c>
      <c r="D384" s="10" t="n">
        <v>110</v>
      </c>
      <c r="E384" s="10" t="n">
        <v>500</v>
      </c>
      <c r="F384" s="10" t="s">
        <v>229</v>
      </c>
      <c r="G384" s="10"/>
    </row>
    <row r="385" customFormat="false" ht="15.75" hidden="false" customHeight="true" outlineLevel="0" collapsed="false">
      <c r="A385" s="18" t="n">
        <v>260296</v>
      </c>
      <c r="B385" s="18" t="s">
        <v>444</v>
      </c>
      <c r="C385" s="115" t="n">
        <v>45427</v>
      </c>
      <c r="D385" s="10" t="n">
        <v>90</v>
      </c>
      <c r="E385" s="10" t="n">
        <v>800</v>
      </c>
      <c r="F385" s="10" t="s">
        <v>225</v>
      </c>
      <c r="G385" s="10"/>
    </row>
    <row r="386" customFormat="false" ht="15.75" hidden="false" customHeight="true" outlineLevel="0" collapsed="false">
      <c r="A386" s="18" t="n">
        <v>260332</v>
      </c>
      <c r="B386" s="18" t="s">
        <v>467</v>
      </c>
      <c r="C386" s="115" t="n">
        <v>45427</v>
      </c>
      <c r="D386" s="10" t="n">
        <v>100</v>
      </c>
      <c r="E386" s="10" t="n">
        <v>204</v>
      </c>
      <c r="F386" s="10" t="s">
        <v>225</v>
      </c>
      <c r="G386" s="10"/>
    </row>
    <row r="387" customFormat="false" ht="15.75" hidden="false" customHeight="true" outlineLevel="0" collapsed="false">
      <c r="A387" s="18" t="n">
        <v>260331</v>
      </c>
      <c r="B387" s="18" t="s">
        <v>468</v>
      </c>
      <c r="C387" s="115" t="n">
        <v>45427</v>
      </c>
      <c r="D387" s="10" t="n">
        <v>110</v>
      </c>
      <c r="E387" s="10" t="n">
        <v>2650</v>
      </c>
      <c r="F387" s="10" t="s">
        <v>225</v>
      </c>
      <c r="G387" s="10"/>
    </row>
    <row r="388" customFormat="false" ht="15.75" hidden="false" customHeight="true" outlineLevel="0" collapsed="false">
      <c r="A388" s="18" t="n">
        <v>493</v>
      </c>
      <c r="B388" s="18" t="s">
        <v>294</v>
      </c>
      <c r="C388" s="115" t="n">
        <v>45427</v>
      </c>
      <c r="D388" s="10" t="n">
        <v>130</v>
      </c>
      <c r="E388" s="10" t="n">
        <v>2560</v>
      </c>
      <c r="F388" s="10" t="s">
        <v>225</v>
      </c>
      <c r="G388" s="10"/>
    </row>
    <row r="389" customFormat="false" ht="15.75" hidden="false" customHeight="true" outlineLevel="0" collapsed="false">
      <c r="A389" s="18" t="n">
        <v>260326</v>
      </c>
      <c r="B389" s="18" t="s">
        <v>469</v>
      </c>
      <c r="C389" s="115" t="n">
        <v>45427</v>
      </c>
      <c r="D389" s="10" t="n">
        <v>155</v>
      </c>
      <c r="E389" s="10" t="n">
        <v>400</v>
      </c>
      <c r="F389" s="10" t="s">
        <v>225</v>
      </c>
      <c r="G389" s="10"/>
    </row>
    <row r="390" customFormat="false" ht="15.75" hidden="false" customHeight="true" outlineLevel="0" collapsed="false">
      <c r="A390" s="18" t="n">
        <v>495</v>
      </c>
      <c r="B390" s="18" t="s">
        <v>470</v>
      </c>
      <c r="C390" s="115" t="n">
        <v>45432</v>
      </c>
      <c r="D390" s="10" t="n">
        <v>25</v>
      </c>
      <c r="E390" s="10" t="n">
        <v>176</v>
      </c>
      <c r="F390" s="10" t="s">
        <v>225</v>
      </c>
      <c r="G390" s="10"/>
    </row>
    <row r="391" customFormat="false" ht="15.75" hidden="false" customHeight="true" outlineLevel="0" collapsed="false">
      <c r="A391" s="18" t="n">
        <v>260333</v>
      </c>
      <c r="B391" s="18" t="s">
        <v>471</v>
      </c>
      <c r="C391" s="115" t="n">
        <v>45432</v>
      </c>
      <c r="D391" s="10" t="n">
        <v>50</v>
      </c>
      <c r="E391" s="10" t="n">
        <v>12600</v>
      </c>
      <c r="F391" s="10" t="s">
        <v>225</v>
      </c>
      <c r="G391" s="10" t="s">
        <v>232</v>
      </c>
    </row>
    <row r="392" customFormat="false" ht="15.75" hidden="false" customHeight="true" outlineLevel="0" collapsed="false">
      <c r="A392" s="18" t="n">
        <v>507</v>
      </c>
      <c r="B392" s="18" t="s">
        <v>269</v>
      </c>
      <c r="C392" s="115" t="n">
        <v>45432</v>
      </c>
      <c r="D392" s="10" t="n">
        <v>60</v>
      </c>
      <c r="E392" s="10" t="n">
        <v>2010</v>
      </c>
      <c r="F392" s="10" t="s">
        <v>225</v>
      </c>
      <c r="G392" s="10"/>
    </row>
    <row r="393" customFormat="false" ht="15.75" hidden="false" customHeight="true" outlineLevel="0" collapsed="false">
      <c r="A393" s="18" t="n">
        <v>506</v>
      </c>
      <c r="B393" s="18" t="s">
        <v>472</v>
      </c>
      <c r="C393" s="115" t="n">
        <v>45432</v>
      </c>
      <c r="D393" s="10" t="n">
        <v>55</v>
      </c>
      <c r="E393" s="10" t="n">
        <v>1150</v>
      </c>
      <c r="F393" s="10" t="s">
        <v>262</v>
      </c>
      <c r="G393" s="10"/>
    </row>
    <row r="394" customFormat="false" ht="15.75" hidden="false" customHeight="true" outlineLevel="0" collapsed="false">
      <c r="A394" s="18" t="n">
        <v>510</v>
      </c>
      <c r="B394" s="18" t="s">
        <v>473</v>
      </c>
      <c r="C394" s="115" t="n">
        <v>45432</v>
      </c>
      <c r="D394" s="10" t="n">
        <v>30</v>
      </c>
      <c r="E394" s="10" t="n">
        <v>300</v>
      </c>
      <c r="F394" s="10" t="s">
        <v>372</v>
      </c>
      <c r="G394" s="10"/>
    </row>
    <row r="395" customFormat="false" ht="15.75" hidden="false" customHeight="true" outlineLevel="0" collapsed="false">
      <c r="A395" s="18" t="n">
        <v>260337</v>
      </c>
      <c r="B395" s="18" t="s">
        <v>474</v>
      </c>
      <c r="C395" s="115" t="n">
        <v>45432</v>
      </c>
      <c r="D395" s="10" t="n">
        <v>25</v>
      </c>
      <c r="E395" s="10" t="n">
        <v>950</v>
      </c>
      <c r="F395" s="10" t="s">
        <v>372</v>
      </c>
      <c r="G395" s="10"/>
    </row>
    <row r="396" customFormat="false" ht="15.75" hidden="false" customHeight="true" outlineLevel="0" collapsed="false">
      <c r="A396" s="18" t="n">
        <v>260339</v>
      </c>
      <c r="B396" s="18" t="s">
        <v>240</v>
      </c>
      <c r="C396" s="115" t="n">
        <v>45432</v>
      </c>
      <c r="D396" s="10" t="n">
        <v>110</v>
      </c>
      <c r="E396" s="10" t="n">
        <v>680</v>
      </c>
      <c r="F396" s="10" t="s">
        <v>227</v>
      </c>
      <c r="G396" s="10"/>
    </row>
    <row r="397" customFormat="false" ht="15.75" hidden="false" customHeight="true" outlineLevel="0" collapsed="false">
      <c r="A397" s="18" t="n">
        <v>494</v>
      </c>
      <c r="B397" s="18" t="s">
        <v>302</v>
      </c>
      <c r="C397" s="115" t="n">
        <v>45432</v>
      </c>
      <c r="D397" s="10" t="n">
        <v>105</v>
      </c>
      <c r="E397" s="10" t="n">
        <v>160</v>
      </c>
      <c r="F397" s="10" t="s">
        <v>225</v>
      </c>
      <c r="G397" s="10"/>
    </row>
    <row r="398" customFormat="false" ht="15.75" hidden="false" customHeight="true" outlineLevel="0" collapsed="false">
      <c r="A398" s="18" t="n">
        <v>505</v>
      </c>
      <c r="B398" s="18" t="s">
        <v>291</v>
      </c>
      <c r="C398" s="115" t="n">
        <v>45432</v>
      </c>
      <c r="D398" s="10" t="n">
        <v>105</v>
      </c>
      <c r="E398" s="10" t="n">
        <v>1100</v>
      </c>
      <c r="F398" s="10" t="s">
        <v>225</v>
      </c>
      <c r="G398" s="10"/>
    </row>
    <row r="399" customFormat="false" ht="15.75" hidden="false" customHeight="true" outlineLevel="0" collapsed="false">
      <c r="A399" s="18" t="n">
        <v>497</v>
      </c>
      <c r="B399" s="18" t="s">
        <v>242</v>
      </c>
      <c r="C399" s="115" t="n">
        <v>45432</v>
      </c>
      <c r="D399" s="10" t="n">
        <v>110</v>
      </c>
      <c r="E399" s="10" t="n">
        <v>500</v>
      </c>
      <c r="F399" s="10" t="s">
        <v>225</v>
      </c>
      <c r="G399" s="10"/>
    </row>
    <row r="400" customFormat="false" ht="15.75" hidden="false" customHeight="true" outlineLevel="0" collapsed="false">
      <c r="A400" s="18" t="n">
        <v>260327</v>
      </c>
      <c r="B400" s="18" t="s">
        <v>475</v>
      </c>
      <c r="C400" s="115" t="n">
        <v>45432</v>
      </c>
      <c r="D400" s="10" t="n">
        <v>110</v>
      </c>
      <c r="E400" s="10" t="n">
        <v>2700</v>
      </c>
      <c r="F400" s="10" t="s">
        <v>225</v>
      </c>
      <c r="G400" s="10"/>
    </row>
    <row r="401" customFormat="false" ht="15.75" hidden="false" customHeight="true" outlineLevel="0" collapsed="false">
      <c r="A401" s="18" t="n">
        <v>497</v>
      </c>
      <c r="B401" s="18" t="s">
        <v>242</v>
      </c>
      <c r="C401" s="115" t="n">
        <v>45432</v>
      </c>
      <c r="D401" s="10" t="n">
        <v>110</v>
      </c>
      <c r="E401" s="10" t="n">
        <v>500</v>
      </c>
      <c r="F401" s="10" t="s">
        <v>225</v>
      </c>
      <c r="G401" s="10"/>
    </row>
    <row r="402" customFormat="false" ht="15.75" hidden="false" customHeight="true" outlineLevel="0" collapsed="false">
      <c r="A402" s="18" t="n">
        <v>260336</v>
      </c>
      <c r="B402" s="18" t="s">
        <v>476</v>
      </c>
      <c r="C402" s="115" t="n">
        <v>45432</v>
      </c>
      <c r="D402" s="10" t="n">
        <v>138</v>
      </c>
      <c r="E402" s="10" t="n">
        <v>408</v>
      </c>
      <c r="F402" s="10" t="s">
        <v>225</v>
      </c>
      <c r="G402" s="10" t="s">
        <v>232</v>
      </c>
    </row>
    <row r="403" customFormat="false" ht="15.75" hidden="false" customHeight="true" outlineLevel="0" collapsed="false">
      <c r="A403" s="18" t="n">
        <v>503</v>
      </c>
      <c r="B403" s="18" t="s">
        <v>477</v>
      </c>
      <c r="C403" s="115" t="n">
        <v>45432</v>
      </c>
      <c r="D403" s="10" t="n">
        <v>140</v>
      </c>
      <c r="E403" s="10" t="n">
        <v>1200</v>
      </c>
      <c r="F403" s="10" t="s">
        <v>225</v>
      </c>
      <c r="G403" s="10"/>
    </row>
    <row r="404" customFormat="false" ht="15.75" hidden="false" customHeight="true" outlineLevel="0" collapsed="false">
      <c r="A404" s="18" t="n">
        <v>502</v>
      </c>
      <c r="B404" s="18" t="s">
        <v>478</v>
      </c>
      <c r="C404" s="115" t="n">
        <v>45432</v>
      </c>
      <c r="D404" s="10" t="n">
        <v>145</v>
      </c>
      <c r="E404" s="10" t="n">
        <v>1000</v>
      </c>
      <c r="F404" s="10" t="s">
        <v>225</v>
      </c>
      <c r="G404" s="10"/>
    </row>
    <row r="405" customFormat="false" ht="15.75" hidden="false" customHeight="true" outlineLevel="0" collapsed="false">
      <c r="A405" s="18" t="n">
        <v>505</v>
      </c>
      <c r="B405" s="18" t="s">
        <v>291</v>
      </c>
      <c r="C405" s="115" t="n">
        <v>45432</v>
      </c>
      <c r="D405" s="10" t="n">
        <v>180</v>
      </c>
      <c r="E405" s="10" t="n">
        <v>920</v>
      </c>
      <c r="F405" s="10" t="s">
        <v>225</v>
      </c>
      <c r="G405" s="10"/>
    </row>
    <row r="406" customFormat="false" ht="15.75" hidden="false" customHeight="true" outlineLevel="0" collapsed="false">
      <c r="A406" s="18" t="n">
        <v>499</v>
      </c>
      <c r="B406" s="18" t="s">
        <v>441</v>
      </c>
      <c r="C406" s="115" t="n">
        <v>45432</v>
      </c>
      <c r="D406" s="10" t="n">
        <v>210</v>
      </c>
      <c r="E406" s="10" t="n">
        <v>158</v>
      </c>
      <c r="F406" s="10" t="s">
        <v>225</v>
      </c>
      <c r="G406" s="10"/>
    </row>
    <row r="407" customFormat="false" ht="15.75" hidden="false" customHeight="true" outlineLevel="0" collapsed="false">
      <c r="A407" s="18" t="n">
        <v>501</v>
      </c>
      <c r="B407" s="18" t="s">
        <v>383</v>
      </c>
      <c r="C407" s="115" t="n">
        <v>45432</v>
      </c>
      <c r="D407" s="10" t="n">
        <v>210</v>
      </c>
      <c r="E407" s="10" t="n">
        <v>3090</v>
      </c>
      <c r="F407" s="10" t="s">
        <v>225</v>
      </c>
      <c r="G407" s="10"/>
    </row>
    <row r="408" customFormat="false" ht="15.75" hidden="false" customHeight="true" outlineLevel="0" collapsed="false">
      <c r="A408" s="18" t="n">
        <v>500</v>
      </c>
      <c r="B408" s="18" t="s">
        <v>321</v>
      </c>
      <c r="C408" s="115" t="n">
        <v>45432</v>
      </c>
      <c r="D408" s="10" t="n">
        <v>220</v>
      </c>
      <c r="E408" s="10" t="n">
        <v>1596</v>
      </c>
      <c r="F408" s="10" t="s">
        <v>236</v>
      </c>
      <c r="G408" s="10"/>
    </row>
    <row r="409" customFormat="false" ht="15.75" hidden="false" customHeight="true" outlineLevel="0" collapsed="false">
      <c r="A409" s="18" t="n">
        <v>509</v>
      </c>
      <c r="B409" s="18" t="s">
        <v>479</v>
      </c>
      <c r="C409" s="115" t="n">
        <v>45433</v>
      </c>
      <c r="D409" s="10" t="n">
        <v>70</v>
      </c>
      <c r="E409" s="10" t="n">
        <v>5500</v>
      </c>
      <c r="F409" s="10" t="s">
        <v>225</v>
      </c>
      <c r="G409" s="10" t="s">
        <v>232</v>
      </c>
    </row>
    <row r="410" customFormat="false" ht="15.75" hidden="false" customHeight="true" outlineLevel="0" collapsed="false">
      <c r="A410" s="18" t="n">
        <v>260351</v>
      </c>
      <c r="B410" s="18" t="s">
        <v>480</v>
      </c>
      <c r="C410" s="115" t="n">
        <v>45435</v>
      </c>
      <c r="D410" s="10" t="n">
        <v>25</v>
      </c>
      <c r="E410" s="10" t="n">
        <v>2500</v>
      </c>
      <c r="F410" s="10" t="s">
        <v>225</v>
      </c>
      <c r="G410" s="10"/>
    </row>
    <row r="411" customFormat="false" ht="15.75" hidden="false" customHeight="true" outlineLevel="0" collapsed="false">
      <c r="A411" s="18" t="n">
        <v>425</v>
      </c>
      <c r="B411" s="18" t="s">
        <v>301</v>
      </c>
      <c r="C411" s="115" t="n">
        <v>45435</v>
      </c>
      <c r="D411" s="10" t="n">
        <v>60</v>
      </c>
      <c r="E411" s="10" t="n">
        <v>500</v>
      </c>
      <c r="F411" s="10" t="s">
        <v>225</v>
      </c>
      <c r="G411" s="10"/>
    </row>
    <row r="412" customFormat="false" ht="15.75" hidden="false" customHeight="true" outlineLevel="0" collapsed="false">
      <c r="A412" s="18" t="n">
        <v>520</v>
      </c>
      <c r="B412" s="18" t="s">
        <v>481</v>
      </c>
      <c r="C412" s="115" t="n">
        <v>45435</v>
      </c>
      <c r="D412" s="10" t="n">
        <v>85</v>
      </c>
      <c r="E412" s="10" t="n">
        <v>800</v>
      </c>
      <c r="F412" s="10" t="s">
        <v>225</v>
      </c>
      <c r="G412" s="10"/>
    </row>
    <row r="413" customFormat="false" ht="15.75" hidden="false" customHeight="true" outlineLevel="0" collapsed="false">
      <c r="A413" s="18" t="n">
        <v>521</v>
      </c>
      <c r="B413" s="18" t="s">
        <v>316</v>
      </c>
      <c r="C413" s="115" t="n">
        <v>45435</v>
      </c>
      <c r="D413" s="10" t="n">
        <v>100</v>
      </c>
      <c r="E413" s="10" t="n">
        <v>857</v>
      </c>
      <c r="F413" s="10" t="s">
        <v>225</v>
      </c>
      <c r="G413" s="10"/>
    </row>
    <row r="414" customFormat="false" ht="15.75" hidden="false" customHeight="true" outlineLevel="0" collapsed="false">
      <c r="A414" s="18" t="n">
        <v>520</v>
      </c>
      <c r="B414" s="18" t="s">
        <v>481</v>
      </c>
      <c r="C414" s="115" t="n">
        <v>45435</v>
      </c>
      <c r="D414" s="10" t="n">
        <v>130</v>
      </c>
      <c r="E414" s="10" t="n">
        <v>720</v>
      </c>
      <c r="F414" s="10" t="s">
        <v>225</v>
      </c>
      <c r="G414" s="10"/>
    </row>
    <row r="415" customFormat="false" ht="15.75" hidden="false" customHeight="true" outlineLevel="0" collapsed="false">
      <c r="A415" s="18" t="n">
        <v>526</v>
      </c>
      <c r="B415" s="18" t="s">
        <v>242</v>
      </c>
      <c r="C415" s="115" t="n">
        <v>45439</v>
      </c>
      <c r="D415" s="10" t="n">
        <v>25</v>
      </c>
      <c r="E415" s="10" t="n">
        <v>540</v>
      </c>
      <c r="F415" s="10" t="s">
        <v>225</v>
      </c>
      <c r="G415" s="10"/>
    </row>
    <row r="416" customFormat="false" ht="15.75" hidden="false" customHeight="true" outlineLevel="0" collapsed="false">
      <c r="A416" s="18" t="n">
        <v>538</v>
      </c>
      <c r="B416" s="18" t="s">
        <v>91</v>
      </c>
      <c r="C416" s="115" t="n">
        <v>45439</v>
      </c>
      <c r="D416" s="10" t="n">
        <v>45</v>
      </c>
      <c r="E416" s="10" t="n">
        <v>1265</v>
      </c>
      <c r="F416" s="10" t="s">
        <v>225</v>
      </c>
      <c r="G416" s="10"/>
    </row>
    <row r="417" customFormat="false" ht="15.75" hidden="false" customHeight="true" outlineLevel="0" collapsed="false">
      <c r="A417" s="18" t="n">
        <v>260356</v>
      </c>
      <c r="B417" s="18" t="s">
        <v>482</v>
      </c>
      <c r="C417" s="115" t="n">
        <v>45439</v>
      </c>
      <c r="D417" s="10" t="n">
        <v>65</v>
      </c>
      <c r="E417" s="10" t="n">
        <v>680</v>
      </c>
      <c r="F417" s="10" t="s">
        <v>225</v>
      </c>
      <c r="G417" s="10"/>
    </row>
    <row r="418" customFormat="false" ht="15.75" hidden="false" customHeight="true" outlineLevel="0" collapsed="false">
      <c r="A418" s="18" t="n">
        <v>535</v>
      </c>
      <c r="B418" s="18" t="s">
        <v>270</v>
      </c>
      <c r="C418" s="115" t="n">
        <v>45439</v>
      </c>
      <c r="D418" s="10" t="n">
        <v>130</v>
      </c>
      <c r="E418" s="10" t="n">
        <v>1875</v>
      </c>
      <c r="F418" s="10" t="s">
        <v>229</v>
      </c>
      <c r="G418" s="10"/>
    </row>
    <row r="419" customFormat="false" ht="15.75" hidden="false" customHeight="true" outlineLevel="0" collapsed="false">
      <c r="A419" s="18" t="n">
        <v>531</v>
      </c>
      <c r="B419" s="18" t="s">
        <v>290</v>
      </c>
      <c r="C419" s="115" t="n">
        <v>45439</v>
      </c>
      <c r="D419" s="10" t="n">
        <v>75</v>
      </c>
      <c r="E419" s="10" t="n">
        <v>225</v>
      </c>
      <c r="F419" s="10" t="s">
        <v>225</v>
      </c>
      <c r="G419" s="10"/>
    </row>
    <row r="420" customFormat="false" ht="15.75" hidden="false" customHeight="true" outlineLevel="0" collapsed="false">
      <c r="A420" s="18" t="n">
        <v>525</v>
      </c>
      <c r="B420" s="18" t="s">
        <v>242</v>
      </c>
      <c r="C420" s="115" t="n">
        <v>45439</v>
      </c>
      <c r="D420" s="10" t="n">
        <v>75</v>
      </c>
      <c r="E420" s="10" t="n">
        <v>1575</v>
      </c>
      <c r="F420" s="10" t="s">
        <v>225</v>
      </c>
      <c r="G420" s="10"/>
    </row>
    <row r="421" customFormat="false" ht="15.75" hidden="false" customHeight="true" outlineLevel="0" collapsed="false">
      <c r="A421" s="18" t="n">
        <v>524</v>
      </c>
      <c r="B421" s="18" t="s">
        <v>270</v>
      </c>
      <c r="C421" s="115" t="n">
        <v>45439</v>
      </c>
      <c r="D421" s="10" t="n">
        <v>85</v>
      </c>
      <c r="E421" s="10" t="n">
        <v>2680</v>
      </c>
      <c r="F421" s="10" t="s">
        <v>225</v>
      </c>
      <c r="G421" s="10"/>
    </row>
    <row r="422" customFormat="false" ht="15.75" hidden="false" customHeight="true" outlineLevel="0" collapsed="false">
      <c r="A422" s="18" t="n">
        <v>528</v>
      </c>
      <c r="B422" s="18" t="s">
        <v>483</v>
      </c>
      <c r="C422" s="115" t="n">
        <v>45439</v>
      </c>
      <c r="D422" s="10" t="n">
        <v>90</v>
      </c>
      <c r="E422" s="10" t="n">
        <v>90</v>
      </c>
      <c r="F422" s="10" t="s">
        <v>225</v>
      </c>
      <c r="G422" s="10"/>
    </row>
    <row r="423" customFormat="false" ht="15.75" hidden="false" customHeight="true" outlineLevel="0" collapsed="false">
      <c r="A423" s="18" t="n">
        <v>532</v>
      </c>
      <c r="B423" s="18" t="s">
        <v>66</v>
      </c>
      <c r="C423" s="115" t="n">
        <v>45439</v>
      </c>
      <c r="D423" s="10" t="n">
        <v>95</v>
      </c>
      <c r="E423" s="10" t="n">
        <v>1695</v>
      </c>
      <c r="F423" s="10" t="s">
        <v>225</v>
      </c>
      <c r="G423" s="10"/>
    </row>
    <row r="424" customFormat="false" ht="15.75" hidden="false" customHeight="true" outlineLevel="0" collapsed="false">
      <c r="A424" s="18" t="n">
        <v>540</v>
      </c>
      <c r="B424" s="18" t="s">
        <v>320</v>
      </c>
      <c r="C424" s="115" t="n">
        <v>45439</v>
      </c>
      <c r="D424" s="10" t="n">
        <v>95</v>
      </c>
      <c r="E424" s="10" t="n">
        <v>525</v>
      </c>
      <c r="F424" s="10" t="s">
        <v>225</v>
      </c>
      <c r="G424" s="10"/>
    </row>
    <row r="425" customFormat="false" ht="15.75" hidden="false" customHeight="true" outlineLevel="0" collapsed="false">
      <c r="A425" s="18" t="n">
        <v>531</v>
      </c>
      <c r="B425" s="18" t="s">
        <v>290</v>
      </c>
      <c r="C425" s="115" t="n">
        <v>45439</v>
      </c>
      <c r="D425" s="10" t="n">
        <v>100</v>
      </c>
      <c r="E425" s="10" t="n">
        <v>525</v>
      </c>
      <c r="F425" s="10" t="s">
        <v>225</v>
      </c>
      <c r="G425" s="10"/>
    </row>
    <row r="426" customFormat="false" ht="15.75" hidden="false" customHeight="true" outlineLevel="0" collapsed="false">
      <c r="A426" s="18" t="n">
        <v>260359</v>
      </c>
      <c r="B426" s="18" t="s">
        <v>329</v>
      </c>
      <c r="C426" s="115" t="n">
        <v>45439</v>
      </c>
      <c r="D426" s="10" t="n">
        <v>105</v>
      </c>
      <c r="E426" s="10" t="n">
        <v>1050</v>
      </c>
      <c r="F426" s="10" t="s">
        <v>225</v>
      </c>
      <c r="G426" s="10"/>
    </row>
    <row r="427" customFormat="false" ht="15.75" hidden="false" customHeight="true" outlineLevel="0" collapsed="false">
      <c r="A427" s="18" t="n">
        <v>260355</v>
      </c>
      <c r="B427" s="18" t="s">
        <v>484</v>
      </c>
      <c r="C427" s="115" t="n">
        <v>45439</v>
      </c>
      <c r="D427" s="10" t="n">
        <v>105</v>
      </c>
      <c r="E427" s="10" t="n">
        <v>900</v>
      </c>
      <c r="F427" s="10" t="s">
        <v>225</v>
      </c>
      <c r="G427" s="10"/>
    </row>
    <row r="428" customFormat="false" ht="15.75" hidden="false" customHeight="true" outlineLevel="0" collapsed="false">
      <c r="A428" s="18" t="n">
        <v>540</v>
      </c>
      <c r="B428" s="18" t="s">
        <v>320</v>
      </c>
      <c r="C428" s="115" t="n">
        <v>45439</v>
      </c>
      <c r="D428" s="10" t="n">
        <v>105</v>
      </c>
      <c r="E428" s="10" t="n">
        <v>530</v>
      </c>
      <c r="F428" s="10" t="s">
        <v>225</v>
      </c>
      <c r="G428" s="10"/>
    </row>
    <row r="429" customFormat="false" ht="15.75" hidden="false" customHeight="true" outlineLevel="0" collapsed="false">
      <c r="A429" s="18" t="n">
        <v>260357</v>
      </c>
      <c r="B429" s="18" t="s">
        <v>485</v>
      </c>
      <c r="C429" s="115" t="n">
        <v>45439</v>
      </c>
      <c r="D429" s="10" t="n">
        <v>125</v>
      </c>
      <c r="E429" s="10" t="n">
        <v>640</v>
      </c>
      <c r="F429" s="10" t="s">
        <v>225</v>
      </c>
      <c r="G429" s="10"/>
    </row>
    <row r="430" customFormat="false" ht="15.75" hidden="false" customHeight="true" outlineLevel="0" collapsed="false">
      <c r="A430" s="18" t="n">
        <v>260360</v>
      </c>
      <c r="B430" s="18" t="s">
        <v>259</v>
      </c>
      <c r="C430" s="115" t="n">
        <v>45439</v>
      </c>
      <c r="D430" s="10" t="n">
        <v>125</v>
      </c>
      <c r="E430" s="10" t="n">
        <v>810</v>
      </c>
      <c r="F430" s="10" t="s">
        <v>225</v>
      </c>
      <c r="G430" s="10"/>
    </row>
    <row r="431" customFormat="false" ht="15.75" hidden="false" customHeight="true" outlineLevel="0" collapsed="false">
      <c r="A431" s="18" t="n">
        <v>530</v>
      </c>
      <c r="B431" s="18" t="s">
        <v>285</v>
      </c>
      <c r="C431" s="115" t="n">
        <v>45439</v>
      </c>
      <c r="D431" s="10" t="n">
        <v>125</v>
      </c>
      <c r="E431" s="10" t="n">
        <v>480</v>
      </c>
      <c r="F431" s="10" t="s">
        <v>225</v>
      </c>
      <c r="G431" s="10"/>
    </row>
    <row r="432" customFormat="false" ht="15.75" hidden="false" customHeight="true" outlineLevel="0" collapsed="false">
      <c r="A432" s="18" t="n">
        <v>260361</v>
      </c>
      <c r="B432" s="18" t="s">
        <v>486</v>
      </c>
      <c r="C432" s="115" t="n">
        <v>45439</v>
      </c>
      <c r="D432" s="10" t="n">
        <v>130</v>
      </c>
      <c r="E432" s="10" t="n">
        <v>450</v>
      </c>
      <c r="F432" s="10" t="s">
        <v>225</v>
      </c>
      <c r="G432" s="10"/>
    </row>
    <row r="433" customFormat="false" ht="15.75" hidden="false" customHeight="true" outlineLevel="0" collapsed="false">
      <c r="A433" s="18" t="n">
        <v>542</v>
      </c>
      <c r="B433" s="18" t="s">
        <v>353</v>
      </c>
      <c r="C433" s="115" t="n">
        <v>45439</v>
      </c>
      <c r="D433" s="10" t="n">
        <v>150</v>
      </c>
      <c r="E433" s="10" t="n">
        <v>2250</v>
      </c>
      <c r="F433" s="10" t="s">
        <v>225</v>
      </c>
      <c r="G433" s="10" t="s">
        <v>487</v>
      </c>
    </row>
    <row r="434" customFormat="false" ht="15.75" hidden="false" customHeight="true" outlineLevel="0" collapsed="false">
      <c r="A434" s="18" t="n">
        <v>524</v>
      </c>
      <c r="B434" s="18" t="s">
        <v>270</v>
      </c>
      <c r="C434" s="115" t="n">
        <v>45439</v>
      </c>
      <c r="D434" s="10" t="n">
        <v>155</v>
      </c>
      <c r="E434" s="10" t="n">
        <v>960</v>
      </c>
      <c r="F434" s="10" t="s">
        <v>225</v>
      </c>
      <c r="G434" s="10"/>
    </row>
    <row r="435" customFormat="false" ht="15.75" hidden="false" customHeight="true" outlineLevel="0" collapsed="false">
      <c r="A435" s="18" t="n">
        <v>528</v>
      </c>
      <c r="B435" s="18" t="s">
        <v>483</v>
      </c>
      <c r="C435" s="115" t="n">
        <v>45439</v>
      </c>
      <c r="D435" s="10" t="n">
        <v>210</v>
      </c>
      <c r="E435" s="10" t="n">
        <v>767</v>
      </c>
      <c r="F435" s="10" t="s">
        <v>225</v>
      </c>
      <c r="G435" s="10"/>
    </row>
    <row r="436" customFormat="false" ht="15.75" hidden="false" customHeight="true" outlineLevel="0" collapsed="false">
      <c r="A436" s="18" t="n">
        <v>537</v>
      </c>
      <c r="B436" s="18" t="s">
        <v>488</v>
      </c>
      <c r="C436" s="115" t="n">
        <v>45439</v>
      </c>
      <c r="D436" s="10" t="n">
        <v>210</v>
      </c>
      <c r="E436" s="10" t="n">
        <v>1050</v>
      </c>
      <c r="F436" s="10" t="s">
        <v>225</v>
      </c>
      <c r="G436" s="10"/>
    </row>
    <row r="437" customFormat="false" ht="15.75" hidden="false" customHeight="true" outlineLevel="0" collapsed="false">
      <c r="A437" s="18" t="n">
        <v>540</v>
      </c>
      <c r="B437" s="18" t="s">
        <v>320</v>
      </c>
      <c r="C437" s="115" t="n">
        <v>45439</v>
      </c>
      <c r="D437" s="10" t="n">
        <v>210</v>
      </c>
      <c r="E437" s="10" t="n">
        <v>480</v>
      </c>
      <c r="F437" s="10" t="s">
        <v>225</v>
      </c>
      <c r="G437" s="10"/>
    </row>
    <row r="438" customFormat="false" ht="15.75" hidden="false" customHeight="true" outlineLevel="0" collapsed="false">
      <c r="A438" s="18" t="n">
        <v>260370</v>
      </c>
      <c r="B438" s="18" t="s">
        <v>297</v>
      </c>
      <c r="C438" s="115" t="n">
        <v>45441</v>
      </c>
      <c r="D438" s="10" t="n">
        <v>5</v>
      </c>
      <c r="E438" s="10" t="n">
        <v>450</v>
      </c>
      <c r="F438" s="10" t="s">
        <v>262</v>
      </c>
      <c r="G438" s="10"/>
    </row>
    <row r="439" customFormat="false" ht="15.75" hidden="false" customHeight="true" outlineLevel="0" collapsed="false">
      <c r="A439" s="18" t="n">
        <v>540</v>
      </c>
      <c r="B439" s="18" t="s">
        <v>489</v>
      </c>
      <c r="C439" s="115" t="n">
        <v>45441</v>
      </c>
      <c r="D439" s="10" t="n">
        <v>95</v>
      </c>
      <c r="E439" s="10" t="n">
        <v>525</v>
      </c>
      <c r="F439" s="10" t="s">
        <v>225</v>
      </c>
      <c r="G439" s="10"/>
    </row>
    <row r="440" customFormat="false" ht="15.75" hidden="false" customHeight="true" outlineLevel="0" collapsed="false">
      <c r="A440" s="18" t="n">
        <v>260367</v>
      </c>
      <c r="B440" s="18" t="s">
        <v>490</v>
      </c>
      <c r="C440" s="115" t="n">
        <v>45441</v>
      </c>
      <c r="D440" s="10" t="n">
        <v>100</v>
      </c>
      <c r="E440" s="10" t="n">
        <v>300</v>
      </c>
      <c r="F440" s="10" t="s">
        <v>225</v>
      </c>
      <c r="G440" s="10" t="s">
        <v>232</v>
      </c>
    </row>
    <row r="441" customFormat="false" ht="15.75" hidden="false" customHeight="true" outlineLevel="0" collapsed="false">
      <c r="A441" s="18" t="n">
        <v>260368</v>
      </c>
      <c r="B441" s="18" t="s">
        <v>491</v>
      </c>
      <c r="C441" s="115" t="n">
        <v>45441</v>
      </c>
      <c r="D441" s="10" t="n">
        <v>100</v>
      </c>
      <c r="E441" s="10" t="n">
        <v>600</v>
      </c>
      <c r="F441" s="10" t="s">
        <v>225</v>
      </c>
      <c r="G441" s="10"/>
    </row>
    <row r="442" customFormat="false" ht="15.75" hidden="false" customHeight="true" outlineLevel="0" collapsed="false">
      <c r="A442" s="18" t="n">
        <v>545</v>
      </c>
      <c r="B442" s="18" t="s">
        <v>492</v>
      </c>
      <c r="C442" s="115" t="n">
        <v>45441</v>
      </c>
      <c r="D442" s="10" t="n">
        <v>100</v>
      </c>
      <c r="E442" s="10" t="n">
        <v>114</v>
      </c>
      <c r="F442" s="10" t="s">
        <v>225</v>
      </c>
      <c r="G442" s="10"/>
    </row>
    <row r="443" customFormat="false" ht="15.75" hidden="false" customHeight="true" outlineLevel="0" collapsed="false">
      <c r="A443" s="18" t="n">
        <v>540</v>
      </c>
      <c r="B443" s="18" t="s">
        <v>489</v>
      </c>
      <c r="C443" s="115" t="n">
        <v>45441</v>
      </c>
      <c r="D443" s="10" t="n">
        <v>105</v>
      </c>
      <c r="E443" s="10" t="n">
        <v>530</v>
      </c>
      <c r="F443" s="10" t="s">
        <v>225</v>
      </c>
      <c r="G443" s="10"/>
    </row>
    <row r="444" customFormat="false" ht="15.75" hidden="false" customHeight="true" outlineLevel="0" collapsed="false">
      <c r="A444" s="18" t="n">
        <v>260371</v>
      </c>
      <c r="B444" s="18" t="s">
        <v>493</v>
      </c>
      <c r="C444" s="115" t="n">
        <v>45441</v>
      </c>
      <c r="D444" s="10" t="n">
        <v>105</v>
      </c>
      <c r="E444" s="10" t="n">
        <v>640</v>
      </c>
      <c r="F444" s="10" t="s">
        <v>225</v>
      </c>
      <c r="G444" s="10"/>
    </row>
    <row r="445" customFormat="false" ht="15.75" hidden="false" customHeight="true" outlineLevel="0" collapsed="false">
      <c r="A445" s="18" t="n">
        <v>260373</v>
      </c>
      <c r="B445" s="18" t="s">
        <v>317</v>
      </c>
      <c r="C445" s="115" t="n">
        <v>45441</v>
      </c>
      <c r="D445" s="10" t="n">
        <v>105</v>
      </c>
      <c r="E445" s="10" t="n">
        <v>330</v>
      </c>
      <c r="F445" s="10" t="s">
        <v>225</v>
      </c>
      <c r="G445" s="10"/>
    </row>
    <row r="446" customFormat="false" ht="15.75" hidden="false" customHeight="true" outlineLevel="0" collapsed="false">
      <c r="A446" s="18" t="n">
        <v>548</v>
      </c>
      <c r="B446" s="18" t="s">
        <v>387</v>
      </c>
      <c r="C446" s="115" t="n">
        <v>45441</v>
      </c>
      <c r="D446" s="10" t="n">
        <v>110</v>
      </c>
      <c r="E446" s="10" t="n">
        <v>810</v>
      </c>
      <c r="F446" s="10" t="s">
        <v>225</v>
      </c>
      <c r="G446" s="10"/>
    </row>
    <row r="447" customFormat="false" ht="15.75" hidden="false" customHeight="true" outlineLevel="0" collapsed="false">
      <c r="A447" s="18" t="n">
        <v>548</v>
      </c>
      <c r="B447" s="18" t="s">
        <v>387</v>
      </c>
      <c r="C447" s="115" t="n">
        <v>45441</v>
      </c>
      <c r="D447" s="10" t="n">
        <v>120</v>
      </c>
      <c r="E447" s="10" t="n">
        <v>375</v>
      </c>
      <c r="F447" s="10" t="s">
        <v>225</v>
      </c>
      <c r="G447" s="10"/>
    </row>
    <row r="448" customFormat="false" ht="15.75" hidden="false" customHeight="true" outlineLevel="0" collapsed="false">
      <c r="A448" s="18" t="n">
        <v>260362</v>
      </c>
      <c r="B448" s="18" t="s">
        <v>285</v>
      </c>
      <c r="C448" s="115" t="n">
        <v>45441</v>
      </c>
      <c r="D448" s="10" t="n">
        <v>125</v>
      </c>
      <c r="E448" s="10" t="n">
        <v>810</v>
      </c>
      <c r="F448" s="10" t="s">
        <v>225</v>
      </c>
      <c r="G448" s="10"/>
    </row>
    <row r="449" customFormat="false" ht="15.75" hidden="false" customHeight="true" outlineLevel="0" collapsed="false">
      <c r="A449" s="18" t="n">
        <v>544</v>
      </c>
      <c r="B449" s="18" t="s">
        <v>359</v>
      </c>
      <c r="C449" s="115" t="n">
        <v>45441</v>
      </c>
      <c r="D449" s="10" t="n">
        <v>190</v>
      </c>
      <c r="E449" s="10" t="n">
        <v>3780</v>
      </c>
      <c r="F449" s="10" t="s">
        <v>225</v>
      </c>
      <c r="G449" s="10"/>
    </row>
    <row r="450" customFormat="false" ht="15.75" hidden="false" customHeight="true" outlineLevel="0" collapsed="false">
      <c r="A450" s="18" t="n">
        <v>540</v>
      </c>
      <c r="B450" s="18" t="s">
        <v>489</v>
      </c>
      <c r="C450" s="115" t="n">
        <v>45441</v>
      </c>
      <c r="D450" s="10" t="n">
        <v>210</v>
      </c>
      <c r="E450" s="10" t="n">
        <v>440</v>
      </c>
      <c r="F450" s="10" t="s">
        <v>225</v>
      </c>
      <c r="G450" s="10"/>
    </row>
    <row r="451" customFormat="false" ht="15.75" hidden="false" customHeight="true" outlineLevel="0" collapsed="false">
      <c r="A451" s="18" t="n">
        <v>547</v>
      </c>
      <c r="B451" s="18" t="s">
        <v>258</v>
      </c>
      <c r="C451" s="115" t="n">
        <v>45446</v>
      </c>
      <c r="D451" s="10" t="n">
        <v>105</v>
      </c>
      <c r="E451" s="10" t="n">
        <v>2400</v>
      </c>
      <c r="F451" s="10" t="s">
        <v>225</v>
      </c>
      <c r="G451" s="10"/>
    </row>
    <row r="452" customFormat="false" ht="15.75" hidden="false" customHeight="true" outlineLevel="0" collapsed="false">
      <c r="A452" s="18" t="n">
        <v>554</v>
      </c>
      <c r="B452" s="18" t="s">
        <v>494</v>
      </c>
      <c r="C452" s="115" t="n">
        <v>45447</v>
      </c>
      <c r="D452" s="10" t="n">
        <v>45</v>
      </c>
      <c r="E452" s="10" t="n">
        <v>70</v>
      </c>
      <c r="F452" s="10" t="s">
        <v>225</v>
      </c>
      <c r="G452" s="10"/>
    </row>
    <row r="453" customFormat="false" ht="15.75" hidden="false" customHeight="true" outlineLevel="0" collapsed="false">
      <c r="A453" s="18" t="n">
        <v>558</v>
      </c>
      <c r="B453" s="18" t="s">
        <v>427</v>
      </c>
      <c r="C453" s="115" t="n">
        <v>45447</v>
      </c>
      <c r="D453" s="10" t="n">
        <v>70</v>
      </c>
      <c r="E453" s="10" t="n">
        <v>1480</v>
      </c>
      <c r="F453" s="10" t="s">
        <v>225</v>
      </c>
      <c r="G453" s="10"/>
    </row>
    <row r="454" customFormat="false" ht="15.75" hidden="false" customHeight="true" outlineLevel="0" collapsed="false">
      <c r="A454" s="18" t="n">
        <v>559</v>
      </c>
      <c r="B454" s="18" t="s">
        <v>495</v>
      </c>
      <c r="C454" s="115" t="n">
        <v>45447</v>
      </c>
      <c r="D454" s="10" t="n">
        <v>210</v>
      </c>
      <c r="E454" s="10" t="n">
        <v>350</v>
      </c>
      <c r="F454" s="10" t="s">
        <v>229</v>
      </c>
      <c r="G454" s="10"/>
    </row>
    <row r="455" customFormat="false" ht="15.75" hidden="false" customHeight="true" outlineLevel="0" collapsed="false">
      <c r="A455" s="18" t="n">
        <v>561</v>
      </c>
      <c r="B455" s="18" t="s">
        <v>393</v>
      </c>
      <c r="C455" s="115" t="n">
        <v>45447</v>
      </c>
      <c r="D455" s="10" t="n">
        <v>220</v>
      </c>
      <c r="E455" s="10" t="n">
        <v>681</v>
      </c>
      <c r="F455" s="10" t="s">
        <v>229</v>
      </c>
      <c r="G455" s="10"/>
    </row>
    <row r="456" customFormat="false" ht="15.75" hidden="false" customHeight="true" outlineLevel="0" collapsed="false">
      <c r="A456" s="18" t="n">
        <v>260379</v>
      </c>
      <c r="B456" s="18" t="s">
        <v>496</v>
      </c>
      <c r="C456" s="115" t="n">
        <v>45447</v>
      </c>
      <c r="D456" s="10" t="n">
        <v>220</v>
      </c>
      <c r="E456" s="10" t="n">
        <v>681</v>
      </c>
      <c r="F456" s="10" t="s">
        <v>227</v>
      </c>
      <c r="G456" s="10"/>
    </row>
    <row r="457" customFormat="false" ht="15.75" hidden="false" customHeight="true" outlineLevel="0" collapsed="false">
      <c r="A457" s="18" t="n">
        <v>550</v>
      </c>
      <c r="B457" s="18" t="s">
        <v>258</v>
      </c>
      <c r="C457" s="115" t="n">
        <v>45447</v>
      </c>
      <c r="D457" s="10" t="n">
        <v>85</v>
      </c>
      <c r="E457" s="10" t="n">
        <v>670</v>
      </c>
      <c r="F457" s="10" t="s">
        <v>225</v>
      </c>
      <c r="G457" s="10" t="s">
        <v>232</v>
      </c>
    </row>
    <row r="458" customFormat="false" ht="15.75" hidden="false" customHeight="true" outlineLevel="0" collapsed="false">
      <c r="A458" s="18" t="n">
        <v>260378</v>
      </c>
      <c r="B458" s="18" t="s">
        <v>497</v>
      </c>
      <c r="C458" s="115" t="n">
        <v>45447</v>
      </c>
      <c r="D458" s="10" t="n">
        <v>85</v>
      </c>
      <c r="E458" s="10" t="n">
        <v>810</v>
      </c>
      <c r="F458" s="10" t="s">
        <v>225</v>
      </c>
      <c r="G458" s="10" t="s">
        <v>232</v>
      </c>
    </row>
    <row r="459" customFormat="false" ht="15.75" hidden="false" customHeight="true" outlineLevel="0" collapsed="false">
      <c r="A459" s="18" t="n">
        <v>260380</v>
      </c>
      <c r="B459" s="18" t="s">
        <v>498</v>
      </c>
      <c r="C459" s="115" t="n">
        <v>45447</v>
      </c>
      <c r="D459" s="10" t="n">
        <v>95</v>
      </c>
      <c r="E459" s="10" t="n">
        <v>270</v>
      </c>
      <c r="F459" s="10" t="s">
        <v>225</v>
      </c>
      <c r="G459" s="10"/>
    </row>
    <row r="460" customFormat="false" ht="15.75" hidden="false" customHeight="true" outlineLevel="0" collapsed="false">
      <c r="A460" s="18" t="n">
        <v>260374</v>
      </c>
      <c r="B460" s="18" t="s">
        <v>365</v>
      </c>
      <c r="C460" s="115" t="n">
        <v>45447</v>
      </c>
      <c r="D460" s="10" t="n">
        <v>100</v>
      </c>
      <c r="E460" s="10" t="n">
        <v>670</v>
      </c>
      <c r="F460" s="10" t="s">
        <v>225</v>
      </c>
      <c r="G460" s="10"/>
    </row>
    <row r="461" customFormat="false" ht="15.75" hidden="false" customHeight="true" outlineLevel="0" collapsed="false">
      <c r="A461" s="18" t="n">
        <v>260363</v>
      </c>
      <c r="B461" s="18" t="s">
        <v>499</v>
      </c>
      <c r="C461" s="115" t="n">
        <v>45447</v>
      </c>
      <c r="D461" s="10" t="n">
        <v>102</v>
      </c>
      <c r="E461" s="10" t="n">
        <v>600</v>
      </c>
      <c r="F461" s="10" t="s">
        <v>225</v>
      </c>
      <c r="G461" s="10"/>
    </row>
    <row r="462" customFormat="false" ht="15.75" hidden="false" customHeight="true" outlineLevel="0" collapsed="false">
      <c r="A462" s="18" t="n">
        <v>553</v>
      </c>
      <c r="B462" s="18" t="s">
        <v>383</v>
      </c>
      <c r="C462" s="115" t="n">
        <v>45447</v>
      </c>
      <c r="D462" s="10" t="n">
        <v>110</v>
      </c>
      <c r="E462" s="10" t="n">
        <v>690</v>
      </c>
      <c r="F462" s="10" t="s">
        <v>225</v>
      </c>
      <c r="G462" s="10"/>
    </row>
    <row r="463" customFormat="false" ht="21.75" hidden="false" customHeight="true" outlineLevel="0" collapsed="false">
      <c r="A463" s="18" t="n">
        <v>556</v>
      </c>
      <c r="B463" s="18" t="s">
        <v>500</v>
      </c>
      <c r="C463" s="115" t="n">
        <v>45447</v>
      </c>
      <c r="D463" s="10" t="n">
        <v>110</v>
      </c>
      <c r="E463" s="10" t="n">
        <v>495</v>
      </c>
      <c r="F463" s="10" t="s">
        <v>225</v>
      </c>
      <c r="G463" s="10"/>
    </row>
    <row r="464" customFormat="false" ht="19.5" hidden="false" customHeight="true" outlineLevel="0" collapsed="false">
      <c r="A464" s="18" t="n">
        <v>555</v>
      </c>
      <c r="B464" s="18" t="s">
        <v>427</v>
      </c>
      <c r="C464" s="115" t="n">
        <v>45447</v>
      </c>
      <c r="D464" s="10" t="n">
        <v>110</v>
      </c>
      <c r="E464" s="10" t="n">
        <v>600</v>
      </c>
      <c r="F464" s="10" t="s">
        <v>225</v>
      </c>
      <c r="G464" s="10"/>
    </row>
    <row r="465" customFormat="false" ht="19.5" hidden="false" customHeight="true" outlineLevel="0" collapsed="false">
      <c r="A465" s="18" t="n">
        <v>260385</v>
      </c>
      <c r="B465" s="18" t="s">
        <v>501</v>
      </c>
      <c r="C465" s="115" t="n">
        <v>45447</v>
      </c>
      <c r="D465" s="10" t="n">
        <v>110</v>
      </c>
      <c r="E465" s="10" t="n">
        <v>300</v>
      </c>
      <c r="F465" s="10" t="s">
        <v>225</v>
      </c>
      <c r="G465" s="10" t="s">
        <v>232</v>
      </c>
    </row>
    <row r="466" customFormat="false" ht="15.75" hidden="false" customHeight="true" outlineLevel="0" collapsed="false">
      <c r="A466" s="18" t="n">
        <v>553</v>
      </c>
      <c r="B466" s="18" t="s">
        <v>383</v>
      </c>
      <c r="C466" s="115" t="n">
        <v>45447</v>
      </c>
      <c r="D466" s="10" t="n">
        <v>115</v>
      </c>
      <c r="E466" s="10" t="n">
        <v>230</v>
      </c>
      <c r="F466" s="10" t="s">
        <v>225</v>
      </c>
      <c r="G466" s="10"/>
    </row>
    <row r="467" customFormat="false" ht="15.75" hidden="false" customHeight="true" outlineLevel="0" collapsed="false">
      <c r="A467" s="18" t="n">
        <v>260376</v>
      </c>
      <c r="B467" s="18" t="s">
        <v>502</v>
      </c>
      <c r="C467" s="115" t="n">
        <v>45447</v>
      </c>
      <c r="D467" s="10" t="n">
        <v>133</v>
      </c>
      <c r="E467" s="10" t="n">
        <v>680</v>
      </c>
      <c r="F467" s="10" t="s">
        <v>225</v>
      </c>
      <c r="G467" s="10"/>
    </row>
    <row r="468" customFormat="false" ht="15.75" hidden="false" customHeight="true" outlineLevel="0" collapsed="false">
      <c r="A468" s="18" t="n">
        <v>560</v>
      </c>
      <c r="B468" s="18" t="s">
        <v>478</v>
      </c>
      <c r="C468" s="115" t="n">
        <v>45447</v>
      </c>
      <c r="D468" s="10" t="n">
        <v>145</v>
      </c>
      <c r="E468" s="10" t="n">
        <v>900</v>
      </c>
      <c r="F468" s="10" t="s">
        <v>225</v>
      </c>
      <c r="G468" s="10"/>
    </row>
    <row r="469" customFormat="false" ht="15.75" hidden="false" customHeight="true" outlineLevel="0" collapsed="false">
      <c r="A469" s="18" t="n">
        <v>557</v>
      </c>
      <c r="B469" s="18" t="s">
        <v>287</v>
      </c>
      <c r="C469" s="115" t="n">
        <v>45447</v>
      </c>
      <c r="D469" s="10" t="n">
        <v>210</v>
      </c>
      <c r="E469" s="10" t="n">
        <v>1082</v>
      </c>
      <c r="F469" s="10" t="s">
        <v>225</v>
      </c>
      <c r="G469" s="10"/>
    </row>
    <row r="470" customFormat="false" ht="15.75" hidden="false" customHeight="true" outlineLevel="0" collapsed="false">
      <c r="A470" s="18" t="n">
        <v>563</v>
      </c>
      <c r="B470" s="18" t="s">
        <v>503</v>
      </c>
      <c r="C470" s="115" t="n">
        <v>45447</v>
      </c>
      <c r="D470" s="10" t="n">
        <v>210</v>
      </c>
      <c r="E470" s="10" t="n">
        <v>623</v>
      </c>
      <c r="F470" s="10" t="s">
        <v>236</v>
      </c>
      <c r="G470" s="10"/>
    </row>
    <row r="471" customFormat="false" ht="15.75" hidden="false" customHeight="true" outlineLevel="0" collapsed="false">
      <c r="A471" s="18" t="n">
        <v>564</v>
      </c>
      <c r="B471" s="18" t="s">
        <v>288</v>
      </c>
      <c r="C471" s="115" t="n">
        <v>45448</v>
      </c>
      <c r="D471" s="10" t="n">
        <v>110</v>
      </c>
      <c r="E471" s="10" t="n">
        <v>500</v>
      </c>
      <c r="F471" s="10" t="s">
        <v>229</v>
      </c>
      <c r="G471" s="10"/>
    </row>
    <row r="472" customFormat="false" ht="15.75" hidden="false" customHeight="true" outlineLevel="0" collapsed="false">
      <c r="A472" s="18" t="n">
        <v>260389</v>
      </c>
      <c r="B472" s="18" t="s">
        <v>418</v>
      </c>
      <c r="C472" s="115" t="n">
        <v>45448</v>
      </c>
      <c r="D472" s="10" t="n">
        <v>100</v>
      </c>
      <c r="E472" s="10" t="n">
        <v>300</v>
      </c>
      <c r="F472" s="10" t="s">
        <v>262</v>
      </c>
      <c r="G472" s="10"/>
    </row>
    <row r="473" customFormat="false" ht="15.75" hidden="false" customHeight="true" outlineLevel="0" collapsed="false">
      <c r="A473" s="18" t="n">
        <v>565</v>
      </c>
      <c r="B473" s="18" t="s">
        <v>272</v>
      </c>
      <c r="C473" s="115" t="n">
        <v>45448</v>
      </c>
      <c r="D473" s="10" t="n">
        <v>110</v>
      </c>
      <c r="E473" s="10" t="n">
        <v>3200</v>
      </c>
      <c r="F473" s="10" t="s">
        <v>227</v>
      </c>
      <c r="G473" s="10"/>
    </row>
    <row r="474" customFormat="false" ht="15.75" hidden="false" customHeight="true" outlineLevel="0" collapsed="false">
      <c r="A474" s="18" t="n">
        <v>260386</v>
      </c>
      <c r="B474" s="18" t="s">
        <v>497</v>
      </c>
      <c r="C474" s="115" t="n">
        <v>45448</v>
      </c>
      <c r="D474" s="10" t="n">
        <v>80</v>
      </c>
      <c r="E474" s="10" t="n">
        <v>180</v>
      </c>
      <c r="F474" s="10" t="s">
        <v>225</v>
      </c>
      <c r="G474" s="10"/>
    </row>
    <row r="475" customFormat="false" ht="15.75" hidden="false" customHeight="true" outlineLevel="0" collapsed="false">
      <c r="A475" s="18" t="n">
        <v>260390</v>
      </c>
      <c r="B475" s="18" t="s">
        <v>504</v>
      </c>
      <c r="C475" s="115" t="n">
        <v>45448</v>
      </c>
      <c r="D475" s="10" t="n">
        <v>85</v>
      </c>
      <c r="E475" s="10" t="n">
        <v>405</v>
      </c>
      <c r="F475" s="10" t="s">
        <v>225</v>
      </c>
      <c r="G475" s="10"/>
    </row>
    <row r="476" customFormat="false" ht="15.75" hidden="false" customHeight="true" outlineLevel="0" collapsed="false">
      <c r="A476" s="18" t="n">
        <v>260380</v>
      </c>
      <c r="B476" s="18" t="s">
        <v>498</v>
      </c>
      <c r="C476" s="115" t="n">
        <v>45448</v>
      </c>
      <c r="D476" s="10" t="n">
        <v>95</v>
      </c>
      <c r="E476" s="10" t="n">
        <v>270</v>
      </c>
      <c r="F476" s="10" t="s">
        <v>225</v>
      </c>
      <c r="G476" s="10"/>
    </row>
    <row r="477" customFormat="false" ht="15.75" hidden="false" customHeight="true" outlineLevel="0" collapsed="false">
      <c r="A477" s="18" t="n">
        <v>566</v>
      </c>
      <c r="B477" s="18" t="s">
        <v>505</v>
      </c>
      <c r="C477" s="115" t="n">
        <v>45448</v>
      </c>
      <c r="D477" s="10" t="n">
        <v>210</v>
      </c>
      <c r="E477" s="10" t="n">
        <v>3100</v>
      </c>
      <c r="F477" s="10" t="s">
        <v>225</v>
      </c>
      <c r="G477" s="10"/>
    </row>
    <row r="478" customFormat="false" ht="15.75" hidden="false" customHeight="true" outlineLevel="0" collapsed="false">
      <c r="A478" s="18" t="n">
        <v>573</v>
      </c>
      <c r="B478" s="18" t="s">
        <v>351</v>
      </c>
      <c r="C478" s="115" t="n">
        <v>45449</v>
      </c>
      <c r="D478" s="10" t="n">
        <v>125</v>
      </c>
      <c r="E478" s="10" t="n">
        <v>670</v>
      </c>
      <c r="F478" s="10" t="s">
        <v>225</v>
      </c>
      <c r="G478" s="10"/>
    </row>
    <row r="479" customFormat="false" ht="15.75" hidden="false" customHeight="true" outlineLevel="0" collapsed="false">
      <c r="A479" s="18" t="n">
        <v>260397</v>
      </c>
      <c r="B479" s="18" t="s">
        <v>231</v>
      </c>
      <c r="C479" s="115" t="n">
        <v>45450</v>
      </c>
      <c r="D479" s="10" t="n">
        <v>35</v>
      </c>
      <c r="E479" s="10" t="n">
        <v>5000</v>
      </c>
      <c r="F479" s="10" t="s">
        <v>225</v>
      </c>
      <c r="G479" s="10" t="s">
        <v>232</v>
      </c>
    </row>
    <row r="480" customFormat="false" ht="15.75" hidden="false" customHeight="true" outlineLevel="0" collapsed="false">
      <c r="A480" s="18" t="n">
        <v>581</v>
      </c>
      <c r="B480" s="18" t="s">
        <v>313</v>
      </c>
      <c r="C480" s="115" t="n">
        <v>45450</v>
      </c>
      <c r="D480" s="10" t="n">
        <v>65</v>
      </c>
      <c r="E480" s="10" t="n">
        <v>1100</v>
      </c>
      <c r="F480" s="10" t="s">
        <v>225</v>
      </c>
      <c r="G480" s="10"/>
    </row>
    <row r="481" customFormat="false" ht="15.75" hidden="false" customHeight="true" outlineLevel="0" collapsed="false">
      <c r="A481" s="18" t="n">
        <v>260393</v>
      </c>
      <c r="B481" s="18" t="s">
        <v>299</v>
      </c>
      <c r="C481" s="115" t="n">
        <v>45450</v>
      </c>
      <c r="D481" s="10" t="n">
        <v>70</v>
      </c>
      <c r="E481" s="10" t="n">
        <v>1780</v>
      </c>
      <c r="F481" s="10" t="s">
        <v>225</v>
      </c>
      <c r="G481" s="10"/>
    </row>
    <row r="482" customFormat="false" ht="15.75" hidden="false" customHeight="true" outlineLevel="0" collapsed="false">
      <c r="A482" s="18" t="n">
        <v>581</v>
      </c>
      <c r="B482" s="18" t="s">
        <v>313</v>
      </c>
      <c r="C482" s="115" t="n">
        <v>45450</v>
      </c>
      <c r="D482" s="10" t="n">
        <v>65</v>
      </c>
      <c r="E482" s="10" t="n">
        <v>2580</v>
      </c>
      <c r="F482" s="10" t="s">
        <v>227</v>
      </c>
      <c r="G482" s="10"/>
    </row>
    <row r="483" customFormat="false" ht="15.75" hidden="false" customHeight="true" outlineLevel="0" collapsed="false">
      <c r="A483" s="18" t="n">
        <v>260398</v>
      </c>
      <c r="B483" s="18" t="s">
        <v>355</v>
      </c>
      <c r="C483" s="115" t="n">
        <v>45450</v>
      </c>
      <c r="D483" s="10" t="n">
        <v>90</v>
      </c>
      <c r="E483" s="10" t="n">
        <v>900</v>
      </c>
      <c r="F483" s="10" t="s">
        <v>227</v>
      </c>
      <c r="G483" s="10"/>
    </row>
    <row r="484" customFormat="false" ht="15.75" hidden="false" customHeight="true" outlineLevel="0" collapsed="false">
      <c r="A484" s="18" t="n">
        <v>576</v>
      </c>
      <c r="B484" s="18" t="s">
        <v>506</v>
      </c>
      <c r="C484" s="115" t="n">
        <v>45450</v>
      </c>
      <c r="D484" s="10" t="n">
        <v>220</v>
      </c>
      <c r="E484" s="10" t="n">
        <v>2475</v>
      </c>
      <c r="F484" s="10" t="s">
        <v>229</v>
      </c>
      <c r="G484" s="10"/>
    </row>
    <row r="485" customFormat="false" ht="15.75" hidden="false" customHeight="true" outlineLevel="0" collapsed="false">
      <c r="A485" s="18" t="n">
        <v>260399</v>
      </c>
      <c r="B485" s="18" t="s">
        <v>507</v>
      </c>
      <c r="C485" s="115" t="n">
        <v>45450</v>
      </c>
      <c r="D485" s="10" t="n">
        <v>80</v>
      </c>
      <c r="E485" s="10" t="n">
        <v>2000</v>
      </c>
      <c r="F485" s="10" t="s">
        <v>225</v>
      </c>
      <c r="G485" s="10"/>
    </row>
    <row r="486" customFormat="false" ht="15.75" hidden="false" customHeight="true" outlineLevel="0" collapsed="false">
      <c r="A486" s="18" t="n">
        <v>574</v>
      </c>
      <c r="B486" s="18" t="s">
        <v>383</v>
      </c>
      <c r="C486" s="115" t="n">
        <v>45450</v>
      </c>
      <c r="D486" s="10" t="n">
        <v>80</v>
      </c>
      <c r="E486" s="10" t="n">
        <v>760</v>
      </c>
      <c r="F486" s="10" t="s">
        <v>225</v>
      </c>
      <c r="G486" s="10"/>
    </row>
    <row r="487" customFormat="false" ht="15.75" hidden="false" customHeight="true" outlineLevel="0" collapsed="false">
      <c r="A487" s="18" t="n">
        <v>581</v>
      </c>
      <c r="B487" s="18" t="s">
        <v>313</v>
      </c>
      <c r="C487" s="115" t="n">
        <v>45450</v>
      </c>
      <c r="D487" s="10" t="n">
        <v>90</v>
      </c>
      <c r="E487" s="10" t="n">
        <v>1900</v>
      </c>
      <c r="F487" s="10" t="s">
        <v>225</v>
      </c>
      <c r="G487" s="10"/>
    </row>
    <row r="488" customFormat="false" ht="15.75" hidden="false" customHeight="true" outlineLevel="0" collapsed="false">
      <c r="A488" s="18" t="n">
        <v>260392</v>
      </c>
      <c r="B488" s="18" t="s">
        <v>508</v>
      </c>
      <c r="C488" s="115" t="n">
        <v>45450</v>
      </c>
      <c r="D488" s="10" t="n">
        <v>100</v>
      </c>
      <c r="E488" s="10" t="n">
        <v>335</v>
      </c>
      <c r="F488" s="10" t="s">
        <v>225</v>
      </c>
      <c r="G488" s="10"/>
    </row>
    <row r="489" customFormat="false" ht="15.75" hidden="false" customHeight="true" outlineLevel="0" collapsed="false">
      <c r="A489" s="18" t="n">
        <v>581</v>
      </c>
      <c r="B489" s="18" t="s">
        <v>313</v>
      </c>
      <c r="C489" s="115" t="n">
        <v>45450</v>
      </c>
      <c r="D489" s="10" t="n">
        <v>100</v>
      </c>
      <c r="E489" s="10" t="n">
        <v>460</v>
      </c>
      <c r="F489" s="10" t="s">
        <v>225</v>
      </c>
      <c r="G489" s="10"/>
    </row>
    <row r="490" customFormat="false" ht="15.75" hidden="false" customHeight="true" outlineLevel="0" collapsed="false">
      <c r="A490" s="18"/>
      <c r="B490" s="18" t="s">
        <v>453</v>
      </c>
      <c r="C490" s="115" t="n">
        <v>45450</v>
      </c>
      <c r="D490" s="10" t="n">
        <v>105</v>
      </c>
      <c r="E490" s="10" t="n">
        <v>3549</v>
      </c>
      <c r="F490" s="10" t="s">
        <v>225</v>
      </c>
      <c r="G490" s="10"/>
    </row>
    <row r="491" customFormat="false" ht="15.75" hidden="false" customHeight="true" outlineLevel="0" collapsed="false">
      <c r="A491" s="18" t="n">
        <v>581</v>
      </c>
      <c r="B491" s="18" t="s">
        <v>313</v>
      </c>
      <c r="C491" s="115" t="n">
        <v>45450</v>
      </c>
      <c r="D491" s="10" t="n">
        <v>105</v>
      </c>
      <c r="E491" s="10" t="n">
        <v>7233</v>
      </c>
      <c r="F491" s="10" t="s">
        <v>225</v>
      </c>
      <c r="G491" s="10"/>
    </row>
    <row r="492" customFormat="false" ht="15.75" hidden="false" customHeight="true" outlineLevel="0" collapsed="false">
      <c r="A492" s="18" t="n">
        <v>568</v>
      </c>
      <c r="B492" s="18" t="s">
        <v>509</v>
      </c>
      <c r="C492" s="115" t="n">
        <v>45450</v>
      </c>
      <c r="D492" s="10" t="n">
        <v>110</v>
      </c>
      <c r="E492" s="10" t="n">
        <v>600</v>
      </c>
      <c r="F492" s="10" t="s">
        <v>225</v>
      </c>
      <c r="G492" s="10"/>
    </row>
    <row r="493" customFormat="false" ht="15.75" hidden="false" customHeight="true" outlineLevel="0" collapsed="false">
      <c r="A493" s="18" t="n">
        <v>581</v>
      </c>
      <c r="B493" s="18" t="s">
        <v>313</v>
      </c>
      <c r="C493" s="115" t="n">
        <v>45450</v>
      </c>
      <c r="D493" s="10" t="n">
        <v>130</v>
      </c>
      <c r="E493" s="10" t="n">
        <v>6200</v>
      </c>
      <c r="F493" s="10" t="s">
        <v>225</v>
      </c>
      <c r="G493" s="10"/>
    </row>
    <row r="494" customFormat="false" ht="15.75" hidden="false" customHeight="true" outlineLevel="0" collapsed="false">
      <c r="A494" s="18"/>
      <c r="B494" s="18" t="s">
        <v>418</v>
      </c>
      <c r="C494" s="115" t="n">
        <v>45450</v>
      </c>
      <c r="D494" s="10" t="n">
        <v>145</v>
      </c>
      <c r="E494" s="10" t="n">
        <v>1250</v>
      </c>
      <c r="F494" s="10" t="s">
        <v>225</v>
      </c>
      <c r="G494" s="10" t="s">
        <v>232</v>
      </c>
    </row>
    <row r="495" customFormat="false" ht="15.75" hidden="false" customHeight="true" outlineLevel="0" collapsed="false">
      <c r="A495" s="18" t="n">
        <v>260396</v>
      </c>
      <c r="B495" s="18" t="s">
        <v>510</v>
      </c>
      <c r="C495" s="115" t="n">
        <v>45450</v>
      </c>
      <c r="D495" s="10" t="n">
        <v>220</v>
      </c>
      <c r="E495" s="10" t="n">
        <v>37</v>
      </c>
      <c r="F495" s="10" t="s">
        <v>225</v>
      </c>
      <c r="G495" s="10"/>
    </row>
    <row r="496" customFormat="false" ht="15.75" hidden="false" customHeight="true" outlineLevel="0" collapsed="false">
      <c r="A496" s="18" t="n">
        <v>583</v>
      </c>
      <c r="B496" s="18" t="s">
        <v>313</v>
      </c>
      <c r="C496" s="115" t="n">
        <v>45450</v>
      </c>
      <c r="D496" s="10" t="n">
        <v>250</v>
      </c>
      <c r="E496" s="10" t="n">
        <v>13000</v>
      </c>
      <c r="F496" s="10" t="s">
        <v>236</v>
      </c>
      <c r="G496" s="10"/>
    </row>
    <row r="497" customFormat="false" ht="15.75" hidden="false" customHeight="true" outlineLevel="0" collapsed="false">
      <c r="A497" s="18" t="n">
        <v>594</v>
      </c>
      <c r="B497" s="18" t="s">
        <v>511</v>
      </c>
      <c r="C497" s="115" t="n">
        <v>45456</v>
      </c>
      <c r="D497" s="10" t="n">
        <v>40</v>
      </c>
      <c r="E497" s="10" t="n">
        <v>350</v>
      </c>
      <c r="F497" s="10" t="s">
        <v>225</v>
      </c>
      <c r="G497" s="10"/>
    </row>
    <row r="498" customFormat="false" ht="15.75" hidden="false" customHeight="true" outlineLevel="0" collapsed="false">
      <c r="A498" s="18" t="n">
        <v>260394</v>
      </c>
      <c r="B498" s="18" t="s">
        <v>512</v>
      </c>
      <c r="C498" s="115" t="n">
        <v>45456</v>
      </c>
      <c r="D498" s="10" t="n">
        <v>70</v>
      </c>
      <c r="E498" s="10" t="n">
        <v>340</v>
      </c>
      <c r="F498" s="10" t="s">
        <v>225</v>
      </c>
      <c r="G498" s="10"/>
    </row>
    <row r="499" customFormat="false" ht="15.75" hidden="false" customHeight="true" outlineLevel="0" collapsed="false">
      <c r="A499" s="18" t="n">
        <v>260412</v>
      </c>
      <c r="B499" s="18" t="s">
        <v>513</v>
      </c>
      <c r="C499" s="115" t="n">
        <v>45456</v>
      </c>
      <c r="D499" s="10" t="n">
        <v>70</v>
      </c>
      <c r="E499" s="10" t="n">
        <v>900</v>
      </c>
      <c r="F499" s="10" t="s">
        <v>296</v>
      </c>
      <c r="G499" s="10"/>
    </row>
    <row r="500" customFormat="false" ht="15.75" hidden="false" customHeight="true" outlineLevel="0" collapsed="false">
      <c r="A500" s="18" t="n">
        <v>596</v>
      </c>
      <c r="B500" s="18" t="s">
        <v>514</v>
      </c>
      <c r="C500" s="115" t="n">
        <v>45456</v>
      </c>
      <c r="D500" s="10" t="n">
        <v>40</v>
      </c>
      <c r="E500" s="10" t="n">
        <v>70</v>
      </c>
      <c r="F500" s="10" t="s">
        <v>262</v>
      </c>
      <c r="G500" s="10"/>
    </row>
    <row r="501" customFormat="false" ht="15.75" hidden="false" customHeight="true" outlineLevel="0" collapsed="false">
      <c r="A501" s="18" t="n">
        <v>260413</v>
      </c>
      <c r="B501" s="18" t="s">
        <v>231</v>
      </c>
      <c r="C501" s="115" t="n">
        <v>45456</v>
      </c>
      <c r="D501" s="10" t="n">
        <v>73</v>
      </c>
      <c r="E501" s="10" t="n">
        <v>1020</v>
      </c>
      <c r="F501" s="10" t="s">
        <v>229</v>
      </c>
      <c r="G501" s="10"/>
    </row>
    <row r="502" customFormat="false" ht="15.75" hidden="false" customHeight="true" outlineLevel="0" collapsed="false">
      <c r="A502" s="18" t="n">
        <v>260475</v>
      </c>
      <c r="B502" s="18" t="s">
        <v>323</v>
      </c>
      <c r="C502" s="115" t="n">
        <v>45456</v>
      </c>
      <c r="D502" s="10" t="n">
        <v>110</v>
      </c>
      <c r="E502" s="10" t="n">
        <v>1125</v>
      </c>
      <c r="F502" s="10" t="s">
        <v>227</v>
      </c>
      <c r="G502" s="10"/>
    </row>
    <row r="503" customFormat="false" ht="15.75" hidden="false" customHeight="true" outlineLevel="0" collapsed="false">
      <c r="A503" s="18" t="n">
        <v>260403</v>
      </c>
      <c r="B503" s="18" t="s">
        <v>235</v>
      </c>
      <c r="C503" s="115" t="n">
        <v>45456</v>
      </c>
      <c r="D503" s="10" t="n">
        <v>110</v>
      </c>
      <c r="E503" s="10" t="n">
        <v>560</v>
      </c>
      <c r="F503" s="10" t="s">
        <v>229</v>
      </c>
      <c r="G503" s="10"/>
    </row>
    <row r="504" customFormat="false" ht="15.75" hidden="false" customHeight="true" outlineLevel="0" collapsed="false">
      <c r="A504" s="18" t="n">
        <v>260394</v>
      </c>
      <c r="B504" s="18" t="s">
        <v>512</v>
      </c>
      <c r="C504" s="115" t="n">
        <v>45456</v>
      </c>
      <c r="D504" s="10" t="n">
        <v>130</v>
      </c>
      <c r="E504" s="10" t="n">
        <v>180</v>
      </c>
      <c r="F504" s="10" t="s">
        <v>225</v>
      </c>
      <c r="G504" s="10"/>
    </row>
    <row r="505" customFormat="false" ht="15.75" hidden="false" customHeight="true" outlineLevel="0" collapsed="false">
      <c r="A505" s="18" t="n">
        <v>260421</v>
      </c>
      <c r="B505" s="18" t="s">
        <v>515</v>
      </c>
      <c r="C505" s="115" t="n">
        <v>45457</v>
      </c>
      <c r="D505" s="10" t="n">
        <v>50</v>
      </c>
      <c r="E505" s="10" t="n">
        <v>400</v>
      </c>
      <c r="F505" s="10" t="s">
        <v>225</v>
      </c>
      <c r="G505" s="10"/>
    </row>
    <row r="506" customFormat="false" ht="15.75" hidden="false" customHeight="true" outlineLevel="0" collapsed="false">
      <c r="A506" s="18" t="n">
        <v>610</v>
      </c>
      <c r="B506" s="18" t="s">
        <v>258</v>
      </c>
      <c r="C506" s="115" t="n">
        <v>45457</v>
      </c>
      <c r="D506" s="10" t="n">
        <v>65</v>
      </c>
      <c r="E506" s="10" t="n">
        <v>800</v>
      </c>
      <c r="F506" s="10" t="s">
        <v>225</v>
      </c>
      <c r="G506" s="10"/>
    </row>
    <row r="507" customFormat="false" ht="15.75" hidden="false" customHeight="true" outlineLevel="0" collapsed="false">
      <c r="A507" s="18" t="n">
        <v>260417</v>
      </c>
      <c r="B507" s="18" t="s">
        <v>280</v>
      </c>
      <c r="C507" s="115" t="n">
        <v>45457</v>
      </c>
      <c r="D507" s="10" t="n">
        <v>80</v>
      </c>
      <c r="E507" s="10" t="n">
        <v>510</v>
      </c>
      <c r="F507" s="10" t="s">
        <v>225</v>
      </c>
      <c r="G507" s="10"/>
    </row>
    <row r="508" customFormat="false" ht="15.75" hidden="false" customHeight="true" outlineLevel="0" collapsed="false">
      <c r="A508" s="18" t="n">
        <v>607</v>
      </c>
      <c r="B508" s="18" t="s">
        <v>334</v>
      </c>
      <c r="C508" s="115" t="n">
        <v>45457</v>
      </c>
      <c r="D508" s="10" t="n">
        <v>210</v>
      </c>
      <c r="E508" s="10" t="n">
        <v>630</v>
      </c>
      <c r="F508" s="10" t="s">
        <v>229</v>
      </c>
      <c r="G508" s="10"/>
    </row>
    <row r="509" customFormat="false" ht="15.75" hidden="false" customHeight="true" outlineLevel="0" collapsed="false">
      <c r="A509" s="18" t="n">
        <v>260418</v>
      </c>
      <c r="B509" s="18" t="s">
        <v>516</v>
      </c>
      <c r="C509" s="115" t="n">
        <v>45457</v>
      </c>
      <c r="D509" s="10" t="n">
        <v>45</v>
      </c>
      <c r="E509" s="10" t="n">
        <v>230</v>
      </c>
      <c r="F509" s="10" t="s">
        <v>229</v>
      </c>
      <c r="G509" s="10"/>
    </row>
    <row r="510" customFormat="false" ht="15.75" hidden="false" customHeight="true" outlineLevel="0" collapsed="false">
      <c r="A510" s="18" t="n">
        <v>606</v>
      </c>
      <c r="B510" s="18" t="s">
        <v>224</v>
      </c>
      <c r="C510" s="115" t="n">
        <v>45457</v>
      </c>
      <c r="D510" s="10" t="n">
        <v>105</v>
      </c>
      <c r="E510" s="10" t="n">
        <v>10500</v>
      </c>
      <c r="F510" s="10" t="s">
        <v>225</v>
      </c>
      <c r="G510" s="10"/>
    </row>
    <row r="511" customFormat="false" ht="15.75" hidden="false" customHeight="true" outlineLevel="0" collapsed="false">
      <c r="A511" s="18" t="n">
        <v>605</v>
      </c>
      <c r="B511" s="18" t="s">
        <v>517</v>
      </c>
      <c r="C511" s="115" t="n">
        <v>45457</v>
      </c>
      <c r="D511" s="10" t="n">
        <v>105</v>
      </c>
      <c r="E511" s="10" t="n">
        <v>495</v>
      </c>
      <c r="F511" s="10" t="s">
        <v>225</v>
      </c>
      <c r="G511" s="10"/>
    </row>
    <row r="512" customFormat="false" ht="15.75" hidden="false" customHeight="true" outlineLevel="0" collapsed="false">
      <c r="A512" s="18" t="n">
        <v>604</v>
      </c>
      <c r="B512" s="18" t="s">
        <v>283</v>
      </c>
      <c r="C512" s="115" t="n">
        <v>45457</v>
      </c>
      <c r="D512" s="10" t="n">
        <v>110</v>
      </c>
      <c r="E512" s="10" t="n">
        <v>300</v>
      </c>
      <c r="F512" s="10" t="s">
        <v>225</v>
      </c>
      <c r="G512" s="10"/>
    </row>
    <row r="513" customFormat="false" ht="15.75" hidden="false" customHeight="true" outlineLevel="0" collapsed="false">
      <c r="A513" s="18" t="n">
        <v>260420</v>
      </c>
      <c r="B513" s="18" t="s">
        <v>518</v>
      </c>
      <c r="C513" s="115" t="n">
        <v>45457</v>
      </c>
      <c r="D513" s="10" t="n">
        <v>250</v>
      </c>
      <c r="E513" s="10" t="n">
        <v>371</v>
      </c>
      <c r="F513" s="10" t="s">
        <v>225</v>
      </c>
      <c r="G513" s="10"/>
    </row>
    <row r="514" customFormat="false" ht="15.75" hidden="false" customHeight="true" outlineLevel="0" collapsed="false">
      <c r="A514" s="18" t="n">
        <v>260434</v>
      </c>
      <c r="B514" s="18" t="s">
        <v>467</v>
      </c>
      <c r="C514" s="115" t="n">
        <v>45462</v>
      </c>
      <c r="D514" s="10" t="n">
        <v>15</v>
      </c>
      <c r="E514" s="10" t="n">
        <v>188</v>
      </c>
      <c r="F514" s="10" t="s">
        <v>225</v>
      </c>
      <c r="G514" s="10"/>
    </row>
    <row r="515" customFormat="false" ht="15.75" hidden="false" customHeight="true" outlineLevel="0" collapsed="false">
      <c r="A515" s="18" t="n">
        <v>630</v>
      </c>
      <c r="B515" s="18" t="s">
        <v>242</v>
      </c>
      <c r="C515" s="115" t="n">
        <v>45462</v>
      </c>
      <c r="D515" s="10" t="n">
        <v>20</v>
      </c>
      <c r="E515" s="10" t="n">
        <v>1000</v>
      </c>
      <c r="F515" s="10" t="s">
        <v>225</v>
      </c>
      <c r="G515" s="10"/>
    </row>
    <row r="516" customFormat="false" ht="15.75" hidden="false" customHeight="true" outlineLevel="0" collapsed="false">
      <c r="A516" s="18" t="n">
        <v>260431</v>
      </c>
      <c r="B516" s="18" t="s">
        <v>413</v>
      </c>
      <c r="C516" s="115" t="n">
        <v>45462</v>
      </c>
      <c r="D516" s="10" t="n">
        <v>45</v>
      </c>
      <c r="E516" s="10" t="n">
        <v>315</v>
      </c>
      <c r="F516" s="10" t="s">
        <v>225</v>
      </c>
      <c r="G516" s="10"/>
    </row>
    <row r="517" customFormat="false" ht="15.75" hidden="false" customHeight="true" outlineLevel="0" collapsed="false">
      <c r="A517" s="18" t="n">
        <v>633</v>
      </c>
      <c r="B517" s="18" t="s">
        <v>242</v>
      </c>
      <c r="C517" s="115" t="n">
        <v>45462</v>
      </c>
      <c r="D517" s="10" t="n">
        <v>60</v>
      </c>
      <c r="E517" s="10" t="n">
        <v>340</v>
      </c>
      <c r="F517" s="10" t="s">
        <v>225</v>
      </c>
      <c r="G517" s="10"/>
    </row>
    <row r="518" customFormat="false" ht="15.75" hidden="false" customHeight="true" outlineLevel="0" collapsed="false">
      <c r="A518" s="18" t="n">
        <v>603</v>
      </c>
      <c r="B518" s="18" t="s">
        <v>378</v>
      </c>
      <c r="C518" s="115" t="n">
        <v>45462</v>
      </c>
      <c r="D518" s="10" t="n">
        <v>110</v>
      </c>
      <c r="E518" s="10" t="n">
        <v>3000</v>
      </c>
      <c r="F518" s="10" t="s">
        <v>362</v>
      </c>
      <c r="G518" s="10"/>
    </row>
    <row r="519" customFormat="false" ht="15.75" hidden="false" customHeight="true" outlineLevel="0" collapsed="false">
      <c r="A519" s="18" t="n">
        <v>260438</v>
      </c>
      <c r="B519" s="18" t="s">
        <v>519</v>
      </c>
      <c r="C519" s="115" t="n">
        <v>45462</v>
      </c>
      <c r="D519" s="10" t="n">
        <v>20</v>
      </c>
      <c r="E519" s="10" t="n">
        <v>200</v>
      </c>
      <c r="F519" s="10" t="s">
        <v>464</v>
      </c>
      <c r="G519" s="10"/>
    </row>
    <row r="520" customFormat="false" ht="15.75" hidden="false" customHeight="true" outlineLevel="0" collapsed="false">
      <c r="A520" s="18" t="n">
        <v>628</v>
      </c>
      <c r="B520" s="18" t="s">
        <v>363</v>
      </c>
      <c r="C520" s="115" t="n">
        <v>45462</v>
      </c>
      <c r="D520" s="10" t="n">
        <v>75</v>
      </c>
      <c r="E520" s="10" t="n">
        <v>900</v>
      </c>
      <c r="F520" s="10" t="s">
        <v>227</v>
      </c>
      <c r="G520" s="10"/>
    </row>
    <row r="521" customFormat="false" ht="15.75" hidden="false" customHeight="true" outlineLevel="0" collapsed="false">
      <c r="A521" s="18" t="n">
        <v>260433</v>
      </c>
      <c r="B521" s="18" t="s">
        <v>520</v>
      </c>
      <c r="C521" s="115" t="n">
        <v>45462</v>
      </c>
      <c r="D521" s="10" t="n">
        <v>100</v>
      </c>
      <c r="E521" s="10" t="n">
        <v>1830</v>
      </c>
      <c r="F521" s="10" t="s">
        <v>225</v>
      </c>
      <c r="G521" s="10"/>
    </row>
    <row r="522" customFormat="false" ht="15.75" hidden="false" customHeight="true" outlineLevel="0" collapsed="false">
      <c r="A522" s="18" t="n">
        <v>629</v>
      </c>
      <c r="B522" s="18" t="s">
        <v>521</v>
      </c>
      <c r="C522" s="115" t="n">
        <v>45462</v>
      </c>
      <c r="D522" s="10" t="n">
        <v>105</v>
      </c>
      <c r="E522" s="10" t="n">
        <v>850</v>
      </c>
      <c r="F522" s="10" t="s">
        <v>225</v>
      </c>
      <c r="G522" s="10"/>
    </row>
    <row r="523" customFormat="false" ht="15.75" hidden="false" customHeight="true" outlineLevel="0" collapsed="false">
      <c r="A523" s="18" t="n">
        <v>623</v>
      </c>
      <c r="B523" s="18" t="s">
        <v>401</v>
      </c>
      <c r="C523" s="115" t="n">
        <v>45462</v>
      </c>
      <c r="D523" s="10" t="n">
        <v>110</v>
      </c>
      <c r="E523" s="10" t="n">
        <v>4200</v>
      </c>
      <c r="F523" s="10" t="s">
        <v>225</v>
      </c>
      <c r="G523" s="10"/>
    </row>
    <row r="524" customFormat="false" ht="15.75" hidden="false" customHeight="true" outlineLevel="0" collapsed="false">
      <c r="A524" s="18" t="n">
        <v>622</v>
      </c>
      <c r="B524" s="18" t="s">
        <v>401</v>
      </c>
      <c r="C524" s="115" t="n">
        <v>45462</v>
      </c>
      <c r="D524" s="10" t="n">
        <v>110</v>
      </c>
      <c r="E524" s="10" t="n">
        <v>750</v>
      </c>
      <c r="F524" s="10" t="s">
        <v>225</v>
      </c>
      <c r="G524" s="10"/>
    </row>
    <row r="525" customFormat="false" ht="15.75" hidden="false" customHeight="true" outlineLevel="0" collapsed="false">
      <c r="A525" s="18" t="n">
        <v>631</v>
      </c>
      <c r="B525" s="18" t="s">
        <v>242</v>
      </c>
      <c r="C525" s="115" t="n">
        <v>45462</v>
      </c>
      <c r="D525" s="10" t="n">
        <v>110</v>
      </c>
      <c r="E525" s="10" t="n">
        <v>112</v>
      </c>
      <c r="F525" s="10" t="s">
        <v>225</v>
      </c>
      <c r="G525" s="10"/>
    </row>
    <row r="526" customFormat="false" ht="15.75" hidden="false" customHeight="true" outlineLevel="0" collapsed="false">
      <c r="A526" s="18" t="n">
        <v>634</v>
      </c>
      <c r="B526" s="18" t="s">
        <v>242</v>
      </c>
      <c r="C526" s="115" t="n">
        <v>45462</v>
      </c>
      <c r="D526" s="10" t="n">
        <v>110</v>
      </c>
      <c r="E526" s="10" t="n">
        <v>130</v>
      </c>
      <c r="F526" s="10" t="s">
        <v>225</v>
      </c>
      <c r="G526" s="10"/>
    </row>
    <row r="527" customFormat="false" ht="15.75" hidden="false" customHeight="true" outlineLevel="0" collapsed="false">
      <c r="A527" s="18" t="n">
        <v>260432</v>
      </c>
      <c r="B527" s="18" t="s">
        <v>304</v>
      </c>
      <c r="C527" s="115" t="n">
        <v>45462</v>
      </c>
      <c r="D527" s="10" t="n">
        <v>118</v>
      </c>
      <c r="E527" s="10" t="n">
        <v>1700</v>
      </c>
      <c r="F527" s="10" t="s">
        <v>225</v>
      </c>
      <c r="G527" s="10"/>
    </row>
    <row r="528" customFormat="false" ht="15.75" hidden="false" customHeight="true" outlineLevel="0" collapsed="false">
      <c r="A528" s="18" t="n">
        <v>260437</v>
      </c>
      <c r="B528" s="18" t="s">
        <v>257</v>
      </c>
      <c r="C528" s="115" t="n">
        <v>45462</v>
      </c>
      <c r="D528" s="10" t="n">
        <v>130</v>
      </c>
      <c r="E528" s="10" t="n">
        <v>360</v>
      </c>
      <c r="F528" s="10" t="s">
        <v>225</v>
      </c>
      <c r="G528" s="10"/>
    </row>
    <row r="529" customFormat="false" ht="15.75" hidden="false" customHeight="true" outlineLevel="0" collapsed="false">
      <c r="A529" s="18" t="n">
        <v>626</v>
      </c>
      <c r="B529" s="18" t="s">
        <v>477</v>
      </c>
      <c r="C529" s="115" t="n">
        <v>45462</v>
      </c>
      <c r="D529" s="10" t="n">
        <v>140</v>
      </c>
      <c r="E529" s="10" t="n">
        <v>1600</v>
      </c>
      <c r="F529" s="10" t="s">
        <v>225</v>
      </c>
      <c r="G529" s="10"/>
    </row>
    <row r="530" customFormat="false" ht="15.75" hidden="false" customHeight="true" outlineLevel="0" collapsed="false">
      <c r="A530" s="18" t="n">
        <v>629</v>
      </c>
      <c r="B530" s="18" t="s">
        <v>521</v>
      </c>
      <c r="C530" s="115" t="n">
        <v>45462</v>
      </c>
      <c r="D530" s="10" t="n">
        <v>210</v>
      </c>
      <c r="E530" s="10" t="n">
        <v>239</v>
      </c>
      <c r="F530" s="10" t="s">
        <v>225</v>
      </c>
      <c r="G530" s="10"/>
    </row>
    <row r="531" customFormat="false" ht="15.75" hidden="false" customHeight="true" outlineLevel="0" collapsed="false">
      <c r="A531" s="18" t="n">
        <v>624</v>
      </c>
      <c r="B531" s="18" t="s">
        <v>522</v>
      </c>
      <c r="C531" s="115" t="n">
        <v>45462</v>
      </c>
      <c r="D531" s="10" t="n">
        <v>210</v>
      </c>
      <c r="E531" s="10" t="n">
        <v>83</v>
      </c>
      <c r="F531" s="10" t="s">
        <v>236</v>
      </c>
      <c r="G531" s="10"/>
    </row>
    <row r="532" customFormat="false" ht="15.75" hidden="false" customHeight="true" outlineLevel="0" collapsed="false">
      <c r="A532" s="18" t="n">
        <v>624</v>
      </c>
      <c r="B532" s="18" t="s">
        <v>522</v>
      </c>
      <c r="C532" s="115" t="n">
        <v>45462</v>
      </c>
      <c r="D532" s="10" t="n">
        <v>220</v>
      </c>
      <c r="E532" s="10" t="n">
        <v>128</v>
      </c>
      <c r="F532" s="10" t="s">
        <v>236</v>
      </c>
      <c r="G532" s="10"/>
    </row>
    <row r="533" customFormat="false" ht="15.75" hidden="false" customHeight="true" outlineLevel="0" collapsed="false">
      <c r="A533" s="18" t="n">
        <v>640</v>
      </c>
      <c r="B533" s="18" t="s">
        <v>342</v>
      </c>
      <c r="C533" s="115" t="n">
        <v>45467</v>
      </c>
      <c r="D533" s="10" t="n">
        <v>35</v>
      </c>
      <c r="E533" s="10" t="n">
        <v>1100</v>
      </c>
      <c r="F533" s="10" t="s">
        <v>225</v>
      </c>
      <c r="G533" s="10"/>
    </row>
    <row r="534" customFormat="false" ht="15.75" hidden="false" customHeight="true" outlineLevel="0" collapsed="false">
      <c r="A534" s="18" t="n">
        <v>260440</v>
      </c>
      <c r="B534" s="18" t="s">
        <v>523</v>
      </c>
      <c r="C534" s="115" t="n">
        <v>45467</v>
      </c>
      <c r="D534" s="10" t="n">
        <v>45</v>
      </c>
      <c r="E534" s="10" t="n">
        <v>260</v>
      </c>
      <c r="F534" s="10" t="s">
        <v>225</v>
      </c>
      <c r="G534" s="10"/>
    </row>
    <row r="535" customFormat="false" ht="15.75" hidden="false" customHeight="true" outlineLevel="0" collapsed="false">
      <c r="A535" s="18" t="n">
        <v>642</v>
      </c>
      <c r="B535" s="18" t="s">
        <v>524</v>
      </c>
      <c r="C535" s="115" t="n">
        <v>45467</v>
      </c>
      <c r="D535" s="10" t="n">
        <v>45</v>
      </c>
      <c r="E535" s="10" t="n">
        <v>240</v>
      </c>
      <c r="F535" s="10" t="s">
        <v>225</v>
      </c>
      <c r="G535" s="10" t="s">
        <v>232</v>
      </c>
    </row>
    <row r="536" customFormat="false" ht="15.75" hidden="false" customHeight="true" outlineLevel="0" collapsed="false">
      <c r="A536" s="18" t="n">
        <v>260443</v>
      </c>
      <c r="B536" s="18" t="s">
        <v>373</v>
      </c>
      <c r="C536" s="115" t="n">
        <v>45467</v>
      </c>
      <c r="D536" s="10" t="n">
        <v>70</v>
      </c>
      <c r="E536" s="10" t="n">
        <v>250</v>
      </c>
      <c r="F536" s="10" t="s">
        <v>225</v>
      </c>
      <c r="G536" s="10"/>
    </row>
    <row r="537" customFormat="false" ht="15.75" hidden="false" customHeight="true" outlineLevel="0" collapsed="false">
      <c r="A537" s="18" t="n">
        <v>449</v>
      </c>
      <c r="B537" s="18" t="s">
        <v>525</v>
      </c>
      <c r="C537" s="115" t="n">
        <v>45467</v>
      </c>
      <c r="D537" s="10" t="n">
        <v>70</v>
      </c>
      <c r="E537" s="10" t="n">
        <v>265</v>
      </c>
      <c r="F537" s="10" t="s">
        <v>225</v>
      </c>
      <c r="G537" s="10" t="s">
        <v>232</v>
      </c>
    </row>
    <row r="538" customFormat="false" ht="15.75" hidden="false" customHeight="true" outlineLevel="0" collapsed="false">
      <c r="A538" s="18" t="n">
        <v>260447</v>
      </c>
      <c r="B538" s="18" t="s">
        <v>240</v>
      </c>
      <c r="C538" s="115" t="n">
        <v>45467</v>
      </c>
      <c r="D538" s="10" t="n">
        <v>60</v>
      </c>
      <c r="E538" s="10" t="n">
        <v>1650</v>
      </c>
      <c r="F538" s="10" t="s">
        <v>227</v>
      </c>
      <c r="G538" s="10"/>
    </row>
    <row r="539" customFormat="false" ht="15.75" hidden="false" customHeight="true" outlineLevel="0" collapsed="false">
      <c r="A539" s="18" t="n">
        <v>260441</v>
      </c>
      <c r="B539" s="18" t="s">
        <v>415</v>
      </c>
      <c r="C539" s="115" t="n">
        <v>45467</v>
      </c>
      <c r="D539" s="10" t="n">
        <v>100</v>
      </c>
      <c r="E539" s="10" t="n">
        <v>1800</v>
      </c>
      <c r="F539" s="10" t="s">
        <v>103</v>
      </c>
      <c r="G539" s="10"/>
    </row>
    <row r="540" customFormat="false" ht="15.75" hidden="false" customHeight="true" outlineLevel="0" collapsed="false">
      <c r="A540" s="18" t="n">
        <v>635</v>
      </c>
      <c r="B540" s="18" t="s">
        <v>472</v>
      </c>
      <c r="C540" s="115" t="n">
        <v>45467</v>
      </c>
      <c r="D540" s="10" t="n">
        <v>55</v>
      </c>
      <c r="E540" s="10" t="n">
        <v>1150</v>
      </c>
      <c r="F540" s="10" t="s">
        <v>262</v>
      </c>
      <c r="G540" s="10"/>
    </row>
    <row r="541" customFormat="false" ht="15.75" hidden="false" customHeight="true" outlineLevel="0" collapsed="false">
      <c r="A541" s="18" t="n">
        <v>645</v>
      </c>
      <c r="B541" s="18" t="s">
        <v>526</v>
      </c>
      <c r="C541" s="115" t="n">
        <v>45467</v>
      </c>
      <c r="D541" s="10" t="n">
        <v>20</v>
      </c>
      <c r="E541" s="10" t="n">
        <v>120</v>
      </c>
      <c r="F541" s="10" t="s">
        <v>527</v>
      </c>
      <c r="G541" s="10"/>
    </row>
    <row r="542" customFormat="false" ht="15.75" hidden="false" customHeight="true" outlineLevel="0" collapsed="false">
      <c r="A542" s="18" t="n">
        <v>260424</v>
      </c>
      <c r="B542" s="18" t="s">
        <v>346</v>
      </c>
      <c r="C542" s="115" t="n">
        <v>45467</v>
      </c>
      <c r="D542" s="10" t="n">
        <v>105</v>
      </c>
      <c r="E542" s="10" t="n">
        <v>189</v>
      </c>
      <c r="F542" s="10" t="s">
        <v>229</v>
      </c>
      <c r="G542" s="10"/>
    </row>
    <row r="543" customFormat="false" ht="15.75" hidden="false" customHeight="true" outlineLevel="0" collapsed="false">
      <c r="A543" s="18" t="n">
        <v>643</v>
      </c>
      <c r="B543" s="18" t="s">
        <v>528</v>
      </c>
      <c r="C543" s="115" t="n">
        <v>45467</v>
      </c>
      <c r="D543" s="10" t="n">
        <v>110</v>
      </c>
      <c r="E543" s="10" t="n">
        <v>1500</v>
      </c>
      <c r="F543" s="10" t="s">
        <v>227</v>
      </c>
      <c r="G543" s="10"/>
    </row>
    <row r="544" customFormat="false" ht="15.75" hidden="false" customHeight="true" outlineLevel="0" collapsed="false">
      <c r="A544" s="18" t="n">
        <v>638</v>
      </c>
      <c r="B544" s="18" t="s">
        <v>529</v>
      </c>
      <c r="C544" s="115" t="n">
        <v>45467</v>
      </c>
      <c r="D544" s="10" t="n">
        <v>100</v>
      </c>
      <c r="E544" s="10" t="n">
        <v>225</v>
      </c>
      <c r="F544" s="10" t="s">
        <v>225</v>
      </c>
      <c r="G544" s="10"/>
    </row>
    <row r="545" customFormat="false" ht="15.75" hidden="false" customHeight="true" outlineLevel="0" collapsed="false">
      <c r="A545" s="18" t="n">
        <v>260443</v>
      </c>
      <c r="B545" s="18" t="s">
        <v>373</v>
      </c>
      <c r="C545" s="115" t="n">
        <v>45467</v>
      </c>
      <c r="D545" s="10" t="n">
        <v>100</v>
      </c>
      <c r="E545" s="10" t="n">
        <v>160</v>
      </c>
      <c r="F545" s="10" t="s">
        <v>225</v>
      </c>
      <c r="G545" s="10"/>
    </row>
    <row r="546" customFormat="false" ht="15.75" hidden="false" customHeight="true" outlineLevel="0" collapsed="false">
      <c r="A546" s="18" t="n">
        <v>639</v>
      </c>
      <c r="B546" s="18" t="s">
        <v>321</v>
      </c>
      <c r="C546" s="115" t="n">
        <v>45467</v>
      </c>
      <c r="D546" s="10" t="n">
        <v>100</v>
      </c>
      <c r="E546" s="10" t="n">
        <v>380</v>
      </c>
      <c r="F546" s="10" t="s">
        <v>225</v>
      </c>
      <c r="G546" s="10"/>
    </row>
    <row r="547" customFormat="false" ht="15.75" hidden="false" customHeight="true" outlineLevel="0" collapsed="false">
      <c r="A547" s="18" t="n">
        <v>260450</v>
      </c>
      <c r="B547" s="18" t="s">
        <v>259</v>
      </c>
      <c r="C547" s="115" t="n">
        <v>45467</v>
      </c>
      <c r="D547" s="10" t="n">
        <v>130</v>
      </c>
      <c r="E547" s="10" t="n">
        <v>3600</v>
      </c>
      <c r="F547" s="10" t="s">
        <v>225</v>
      </c>
      <c r="G547" s="10"/>
    </row>
    <row r="548" customFormat="false" ht="15.75" hidden="false" customHeight="true" outlineLevel="0" collapsed="false">
      <c r="A548" s="18" t="n">
        <v>60445</v>
      </c>
      <c r="B548" s="18" t="s">
        <v>429</v>
      </c>
      <c r="C548" s="115" t="n">
        <v>45467</v>
      </c>
      <c r="D548" s="10" t="n">
        <v>140</v>
      </c>
      <c r="E548" s="10" t="n">
        <v>1200</v>
      </c>
      <c r="F548" s="10" t="s">
        <v>225</v>
      </c>
      <c r="G548" s="10"/>
    </row>
    <row r="549" customFormat="false" ht="15.75" hidden="false" customHeight="true" outlineLevel="0" collapsed="false">
      <c r="A549" s="18" t="n">
        <v>636</v>
      </c>
      <c r="B549" s="18" t="s">
        <v>530</v>
      </c>
      <c r="C549" s="115" t="n">
        <v>45467</v>
      </c>
      <c r="D549" s="10" t="n">
        <v>220</v>
      </c>
      <c r="E549" s="10" t="n">
        <v>479</v>
      </c>
      <c r="F549" s="10" t="s">
        <v>225</v>
      </c>
      <c r="G549" s="10"/>
    </row>
    <row r="550" customFormat="false" ht="15.75" hidden="false" customHeight="true" outlineLevel="0" collapsed="false">
      <c r="A550" s="18" t="n">
        <v>641</v>
      </c>
      <c r="B550" s="18" t="s">
        <v>531</v>
      </c>
      <c r="C550" s="115" t="n">
        <v>45467</v>
      </c>
      <c r="D550" s="10" t="n">
        <v>220</v>
      </c>
      <c r="E550" s="10" t="n">
        <v>990</v>
      </c>
      <c r="F550" s="10" t="s">
        <v>225</v>
      </c>
      <c r="G550" s="10"/>
    </row>
    <row r="551" customFormat="false" ht="15.75" hidden="false" customHeight="true" outlineLevel="0" collapsed="false">
      <c r="A551" s="18" t="n">
        <v>260463</v>
      </c>
      <c r="B551" s="18" t="s">
        <v>532</v>
      </c>
      <c r="C551" s="115" t="n">
        <v>45470</v>
      </c>
      <c r="D551" s="10" t="n">
        <v>70</v>
      </c>
      <c r="E551" s="10" t="n">
        <v>1000</v>
      </c>
      <c r="F551" s="10" t="s">
        <v>527</v>
      </c>
      <c r="G551" s="10"/>
    </row>
    <row r="552" customFormat="false" ht="15.75" hidden="false" customHeight="true" outlineLevel="0" collapsed="false">
      <c r="A552" s="18" t="n">
        <v>650</v>
      </c>
      <c r="B552" s="18" t="s">
        <v>250</v>
      </c>
      <c r="C552" s="115" t="n">
        <v>45470</v>
      </c>
      <c r="D552" s="10" t="n">
        <v>110</v>
      </c>
      <c r="E552" s="10" t="n">
        <v>2040</v>
      </c>
      <c r="F552" s="10" t="s">
        <v>227</v>
      </c>
      <c r="G552" s="10"/>
    </row>
    <row r="553" customFormat="false" ht="15.75" hidden="false" customHeight="true" outlineLevel="0" collapsed="false">
      <c r="A553" s="18" t="n">
        <v>260453</v>
      </c>
      <c r="B553" s="18" t="s">
        <v>533</v>
      </c>
      <c r="C553" s="115" t="n">
        <v>45470</v>
      </c>
      <c r="D553" s="10" t="n">
        <v>100</v>
      </c>
      <c r="E553" s="10" t="n">
        <v>100</v>
      </c>
      <c r="F553" s="10" t="s">
        <v>229</v>
      </c>
      <c r="G553" s="10"/>
    </row>
    <row r="554" customFormat="false" ht="15.75" hidden="false" customHeight="true" outlineLevel="0" collapsed="false">
      <c r="A554" s="18" t="n">
        <v>260451</v>
      </c>
      <c r="B554" s="18" t="s">
        <v>534</v>
      </c>
      <c r="C554" s="115" t="n">
        <v>45470</v>
      </c>
      <c r="D554" s="10" t="n">
        <v>90</v>
      </c>
      <c r="E554" s="10" t="n">
        <v>1000</v>
      </c>
      <c r="F554" s="10" t="s">
        <v>225</v>
      </c>
      <c r="G554" s="10"/>
    </row>
    <row r="555" customFormat="false" ht="15.75" hidden="false" customHeight="true" outlineLevel="0" collapsed="false">
      <c r="A555" s="18" t="n">
        <v>632</v>
      </c>
      <c r="B555" s="18" t="s">
        <v>242</v>
      </c>
      <c r="C555" s="115" t="n">
        <v>45471</v>
      </c>
      <c r="D555" s="10" t="n">
        <v>40</v>
      </c>
      <c r="E555" s="10" t="n">
        <v>600</v>
      </c>
      <c r="F555" s="10" t="s">
        <v>225</v>
      </c>
      <c r="G555" s="10"/>
    </row>
    <row r="556" customFormat="false" ht="15.75" hidden="false" customHeight="true" outlineLevel="0" collapsed="false">
      <c r="A556" s="18" t="n">
        <v>260460</v>
      </c>
      <c r="B556" s="18" t="s">
        <v>315</v>
      </c>
      <c r="C556" s="115" t="n">
        <v>45471</v>
      </c>
      <c r="D556" s="10" t="n">
        <v>65</v>
      </c>
      <c r="E556" s="10" t="n">
        <v>3000</v>
      </c>
      <c r="F556" s="10" t="s">
        <v>225</v>
      </c>
      <c r="G556" s="10"/>
    </row>
    <row r="557" customFormat="false" ht="15.75" hidden="false" customHeight="true" outlineLevel="0" collapsed="false">
      <c r="A557" s="18" t="n">
        <v>230459</v>
      </c>
      <c r="B557" s="18" t="s">
        <v>535</v>
      </c>
      <c r="C557" s="115" t="n">
        <v>45471</v>
      </c>
      <c r="D557" s="10" t="n">
        <v>75</v>
      </c>
      <c r="E557" s="10" t="n">
        <v>300</v>
      </c>
      <c r="F557" s="10" t="s">
        <v>225</v>
      </c>
      <c r="G557" s="10"/>
    </row>
    <row r="558" customFormat="false" ht="15.75" hidden="false" customHeight="true" outlineLevel="0" collapsed="false">
      <c r="A558" s="18" t="n">
        <v>663</v>
      </c>
      <c r="B558" s="18" t="s">
        <v>536</v>
      </c>
      <c r="C558" s="115" t="n">
        <v>45471</v>
      </c>
      <c r="D558" s="10" t="n">
        <v>25</v>
      </c>
      <c r="E558" s="10" t="n">
        <v>200</v>
      </c>
      <c r="F558" s="10" t="s">
        <v>372</v>
      </c>
      <c r="G558" s="10"/>
    </row>
    <row r="559" customFormat="false" ht="15.75" hidden="false" customHeight="true" outlineLevel="0" collapsed="false">
      <c r="A559" s="18" t="n">
        <v>665</v>
      </c>
      <c r="B559" s="18" t="s">
        <v>423</v>
      </c>
      <c r="C559" s="115" t="n">
        <v>45471</v>
      </c>
      <c r="D559" s="10" t="n">
        <v>85</v>
      </c>
      <c r="E559" s="10" t="n">
        <v>1620</v>
      </c>
      <c r="F559" s="10" t="s">
        <v>225</v>
      </c>
      <c r="G559" s="10"/>
    </row>
    <row r="560" customFormat="false" ht="15.75" hidden="false" customHeight="true" outlineLevel="0" collapsed="false">
      <c r="A560" s="18" t="n">
        <v>260456</v>
      </c>
      <c r="B560" s="18" t="s">
        <v>537</v>
      </c>
      <c r="C560" s="115" t="n">
        <v>45471</v>
      </c>
      <c r="D560" s="10" t="n">
        <v>100</v>
      </c>
      <c r="E560" s="10" t="n">
        <v>680</v>
      </c>
      <c r="F560" s="10" t="s">
        <v>225</v>
      </c>
      <c r="G560" s="10"/>
    </row>
    <row r="561" customFormat="false" ht="15.75" hidden="false" customHeight="true" outlineLevel="0" collapsed="false">
      <c r="A561" s="18" t="n">
        <v>260465</v>
      </c>
      <c r="B561" s="18" t="s">
        <v>538</v>
      </c>
      <c r="C561" s="115" t="n">
        <v>45471</v>
      </c>
      <c r="D561" s="10" t="n">
        <v>100</v>
      </c>
      <c r="E561" s="10" t="n">
        <v>150</v>
      </c>
      <c r="F561" s="10" t="s">
        <v>225</v>
      </c>
      <c r="G561" s="10"/>
    </row>
    <row r="562" customFormat="false" ht="15.75" hidden="false" customHeight="true" outlineLevel="0" collapsed="false">
      <c r="A562" s="18" t="n">
        <v>260457</v>
      </c>
      <c r="B562" s="18" t="s">
        <v>467</v>
      </c>
      <c r="C562" s="115" t="n">
        <v>45471</v>
      </c>
      <c r="D562" s="10" t="n">
        <v>100</v>
      </c>
      <c r="E562" s="10" t="n">
        <v>204</v>
      </c>
      <c r="F562" s="10" t="s">
        <v>225</v>
      </c>
      <c r="G562" s="10"/>
    </row>
    <row r="563" customFormat="false" ht="15.75" hidden="false" customHeight="true" outlineLevel="0" collapsed="false">
      <c r="A563" s="18" t="n">
        <v>260462</v>
      </c>
      <c r="B563" s="18" t="s">
        <v>303</v>
      </c>
      <c r="C563" s="115" t="n">
        <v>45471</v>
      </c>
      <c r="D563" s="10" t="n">
        <v>105</v>
      </c>
      <c r="E563" s="10" t="n">
        <v>2900</v>
      </c>
      <c r="F563" s="10" t="s">
        <v>225</v>
      </c>
      <c r="G563" s="10"/>
    </row>
    <row r="564" customFormat="false" ht="15.75" hidden="false" customHeight="true" outlineLevel="0" collapsed="false">
      <c r="A564" s="18" t="n">
        <v>662</v>
      </c>
      <c r="B564" s="18" t="s">
        <v>302</v>
      </c>
      <c r="C564" s="115" t="n">
        <v>45471</v>
      </c>
      <c r="D564" s="10" t="n">
        <v>105</v>
      </c>
      <c r="E564" s="10" t="n">
        <v>5000</v>
      </c>
      <c r="F564" s="10" t="s">
        <v>225</v>
      </c>
      <c r="G564" s="10"/>
    </row>
    <row r="565" customFormat="false" ht="15.75" hidden="false" customHeight="true" outlineLevel="0" collapsed="false">
      <c r="A565" s="18" t="n">
        <v>260470</v>
      </c>
      <c r="B565" s="18" t="s">
        <v>283</v>
      </c>
      <c r="C565" s="115" t="n">
        <v>45471</v>
      </c>
      <c r="D565" s="10" t="n">
        <v>105</v>
      </c>
      <c r="E565" s="10" t="n">
        <v>150</v>
      </c>
      <c r="F565" s="10" t="s">
        <v>225</v>
      </c>
      <c r="G565" s="10"/>
    </row>
    <row r="566" customFormat="false" ht="15.75" hidden="false" customHeight="true" outlineLevel="0" collapsed="false">
      <c r="A566" s="18" t="n">
        <v>260470</v>
      </c>
      <c r="B566" s="18" t="s">
        <v>283</v>
      </c>
      <c r="C566" s="115" t="n">
        <v>45471</v>
      </c>
      <c r="D566" s="10" t="n">
        <v>110</v>
      </c>
      <c r="E566" s="10" t="n">
        <v>300</v>
      </c>
      <c r="F566" s="10" t="s">
        <v>225</v>
      </c>
      <c r="G566" s="10"/>
    </row>
    <row r="567" customFormat="false" ht="15.75" hidden="false" customHeight="true" outlineLevel="0" collapsed="false">
      <c r="A567" s="18" t="n">
        <v>660</v>
      </c>
      <c r="B567" s="18" t="s">
        <v>285</v>
      </c>
      <c r="C567" s="115" t="n">
        <v>45471</v>
      </c>
      <c r="D567" s="10" t="n">
        <v>125</v>
      </c>
      <c r="E567" s="10" t="n">
        <v>3400</v>
      </c>
      <c r="F567" s="10" t="s">
        <v>225</v>
      </c>
      <c r="G567" s="10"/>
    </row>
    <row r="568" customFormat="false" ht="15.75" hidden="false" customHeight="true" outlineLevel="0" collapsed="false">
      <c r="A568" s="18" t="n">
        <v>661</v>
      </c>
      <c r="B568" s="18" t="s">
        <v>353</v>
      </c>
      <c r="C568" s="115" t="n">
        <v>45471</v>
      </c>
      <c r="D568" s="10" t="n">
        <v>210</v>
      </c>
      <c r="E568" s="10" t="n">
        <v>1300</v>
      </c>
      <c r="F568" s="10" t="s">
        <v>225</v>
      </c>
      <c r="G568" s="10"/>
    </row>
    <row r="569" customFormat="false" ht="15.75" hidden="false" customHeight="true" outlineLevel="0" collapsed="false">
      <c r="A569" s="18" t="n">
        <v>680</v>
      </c>
      <c r="B569" s="18" t="s">
        <v>539</v>
      </c>
      <c r="C569" s="115" t="n">
        <v>45476</v>
      </c>
      <c r="D569" s="10" t="n">
        <v>74</v>
      </c>
      <c r="E569" s="10" t="n">
        <v>1200</v>
      </c>
      <c r="F569" s="10" t="s">
        <v>225</v>
      </c>
      <c r="G569" s="10"/>
    </row>
    <row r="570" customFormat="false" ht="15.75" hidden="false" customHeight="true" outlineLevel="0" collapsed="false">
      <c r="A570" s="18" t="n">
        <v>676</v>
      </c>
      <c r="B570" s="18" t="s">
        <v>461</v>
      </c>
      <c r="C570" s="115" t="n">
        <v>45476</v>
      </c>
      <c r="D570" s="10" t="n">
        <v>100</v>
      </c>
      <c r="E570" s="10" t="n">
        <v>250</v>
      </c>
      <c r="F570" s="10" t="s">
        <v>225</v>
      </c>
      <c r="G570" s="10"/>
    </row>
    <row r="571" customFormat="false" ht="15.75" hidden="false" customHeight="true" outlineLevel="0" collapsed="false">
      <c r="A571" s="18" t="n">
        <v>674</v>
      </c>
      <c r="B571" s="18" t="s">
        <v>428</v>
      </c>
      <c r="C571" s="115" t="n">
        <v>45476</v>
      </c>
      <c r="D571" s="10" t="n">
        <v>129</v>
      </c>
      <c r="E571" s="10" t="n">
        <v>615</v>
      </c>
      <c r="F571" s="10" t="s">
        <v>225</v>
      </c>
      <c r="G571" s="10" t="s">
        <v>232</v>
      </c>
    </row>
    <row r="572" customFormat="false" ht="15.75" hidden="false" customHeight="true" outlineLevel="0" collapsed="false">
      <c r="A572" s="18" t="n">
        <v>684</v>
      </c>
      <c r="B572" s="18" t="s">
        <v>242</v>
      </c>
      <c r="C572" s="115" t="n">
        <v>45477</v>
      </c>
      <c r="D572" s="10" t="n">
        <v>60</v>
      </c>
      <c r="E572" s="10" t="n">
        <v>120</v>
      </c>
      <c r="F572" s="10" t="s">
        <v>225</v>
      </c>
      <c r="G572" s="10"/>
    </row>
    <row r="573" customFormat="false" ht="15.75" hidden="false" customHeight="true" outlineLevel="0" collapsed="false">
      <c r="A573" s="18" t="n">
        <v>682</v>
      </c>
      <c r="B573" s="18" t="s">
        <v>506</v>
      </c>
      <c r="C573" s="115" t="n">
        <v>45477</v>
      </c>
      <c r="D573" s="10" t="n">
        <v>65</v>
      </c>
      <c r="E573" s="10" t="n">
        <v>99</v>
      </c>
      <c r="F573" s="10" t="s">
        <v>225</v>
      </c>
      <c r="G573" s="10"/>
    </row>
    <row r="574" customFormat="false" ht="15.75" hidden="false" customHeight="true" outlineLevel="0" collapsed="false">
      <c r="A574" s="18" t="n">
        <v>260482</v>
      </c>
      <c r="B574" s="18" t="s">
        <v>299</v>
      </c>
      <c r="C574" s="115" t="n">
        <v>45477</v>
      </c>
      <c r="D574" s="10" t="n">
        <v>65</v>
      </c>
      <c r="E574" s="10" t="n">
        <v>378</v>
      </c>
      <c r="F574" s="10" t="s">
        <v>225</v>
      </c>
      <c r="G574" s="10"/>
    </row>
    <row r="575" customFormat="false" ht="15.75" hidden="false" customHeight="true" outlineLevel="0" collapsed="false">
      <c r="A575" s="18" t="n">
        <v>260480</v>
      </c>
      <c r="B575" s="18" t="s">
        <v>240</v>
      </c>
      <c r="C575" s="115" t="n">
        <v>45477</v>
      </c>
      <c r="D575" s="10" t="n">
        <v>110</v>
      </c>
      <c r="E575" s="10" t="n">
        <v>1360</v>
      </c>
      <c r="F575" s="10" t="s">
        <v>227</v>
      </c>
      <c r="G575" s="10"/>
    </row>
    <row r="576" customFormat="false" ht="15.75" hidden="false" customHeight="true" outlineLevel="0" collapsed="false">
      <c r="A576" s="18" t="n">
        <v>685</v>
      </c>
      <c r="B576" s="18" t="s">
        <v>228</v>
      </c>
      <c r="C576" s="115" t="n">
        <v>45477</v>
      </c>
      <c r="D576" s="10" t="n">
        <v>210</v>
      </c>
      <c r="E576" s="10" t="n">
        <v>630</v>
      </c>
      <c r="F576" s="10" t="s">
        <v>229</v>
      </c>
      <c r="G576" s="10"/>
    </row>
    <row r="577" customFormat="false" ht="15.75" hidden="false" customHeight="true" outlineLevel="0" collapsed="false">
      <c r="A577" s="18" t="n">
        <v>681</v>
      </c>
      <c r="B577" s="18" t="s">
        <v>283</v>
      </c>
      <c r="C577" s="115" t="n">
        <v>45477</v>
      </c>
      <c r="D577" s="10" t="n">
        <v>110</v>
      </c>
      <c r="E577" s="10" t="n">
        <v>7500</v>
      </c>
      <c r="F577" s="10" t="s">
        <v>225</v>
      </c>
      <c r="G577" s="10"/>
    </row>
    <row r="578" customFormat="false" ht="15.75" hidden="false" customHeight="true" outlineLevel="0" collapsed="false">
      <c r="A578" s="18" t="n">
        <v>260472</v>
      </c>
      <c r="B578" s="18" t="s">
        <v>235</v>
      </c>
      <c r="C578" s="115" t="n">
        <v>45477</v>
      </c>
      <c r="D578" s="10" t="n">
        <v>120</v>
      </c>
      <c r="E578" s="10" t="n">
        <v>5161</v>
      </c>
      <c r="F578" s="10" t="s">
        <v>225</v>
      </c>
      <c r="G578" s="10"/>
    </row>
    <row r="579" customFormat="false" ht="15.75" hidden="false" customHeight="true" outlineLevel="0" collapsed="false">
      <c r="A579" s="18" t="n">
        <v>260472</v>
      </c>
      <c r="B579" s="18" t="s">
        <v>235</v>
      </c>
      <c r="C579" s="115" t="n">
        <v>45477</v>
      </c>
      <c r="D579" s="10" t="n">
        <v>130</v>
      </c>
      <c r="E579" s="10" t="n">
        <v>7750</v>
      </c>
      <c r="F579" s="10" t="s">
        <v>225</v>
      </c>
      <c r="G579" s="10"/>
    </row>
    <row r="580" customFormat="false" ht="15.75" hidden="false" customHeight="true" outlineLevel="0" collapsed="false">
      <c r="A580" s="18" t="n">
        <v>677</v>
      </c>
      <c r="B580" s="18" t="s">
        <v>540</v>
      </c>
      <c r="C580" s="115" t="n">
        <v>45477</v>
      </c>
      <c r="D580" s="10" t="n">
        <v>220</v>
      </c>
      <c r="E580" s="10" t="n">
        <v>958</v>
      </c>
      <c r="F580" s="10" t="s">
        <v>225</v>
      </c>
      <c r="G580" s="10"/>
    </row>
    <row r="581" customFormat="false" ht="15.75" hidden="false" customHeight="true" outlineLevel="0" collapsed="false">
      <c r="A581" s="18" t="n">
        <v>260472</v>
      </c>
      <c r="B581" s="18" t="s">
        <v>235</v>
      </c>
      <c r="C581" s="115" t="n">
        <v>45477</v>
      </c>
      <c r="D581" s="10" t="n">
        <v>225</v>
      </c>
      <c r="E581" s="10" t="n">
        <v>2650</v>
      </c>
      <c r="F581" s="10" t="s">
        <v>225</v>
      </c>
      <c r="G581" s="10"/>
    </row>
    <row r="582" customFormat="false" ht="15.75" hidden="false" customHeight="true" outlineLevel="0" collapsed="false">
      <c r="A582" s="18" t="n">
        <v>679</v>
      </c>
      <c r="B582" s="18" t="s">
        <v>283</v>
      </c>
      <c r="C582" s="115" t="n">
        <v>45477</v>
      </c>
      <c r="D582" s="10"/>
      <c r="E582" s="10" t="n">
        <v>679</v>
      </c>
      <c r="F582" s="10" t="s">
        <v>225</v>
      </c>
      <c r="G582" s="10"/>
    </row>
    <row r="583" customFormat="false" ht="15.75" hidden="false" customHeight="true" outlineLevel="0" collapsed="false">
      <c r="A583" s="18" t="n">
        <v>678</v>
      </c>
      <c r="B583" s="18" t="s">
        <v>483</v>
      </c>
      <c r="C583" s="115" t="n">
        <v>45477</v>
      </c>
      <c r="D583" s="10" t="n">
        <v>210</v>
      </c>
      <c r="E583" s="10" t="n">
        <v>198</v>
      </c>
      <c r="F583" s="10" t="s">
        <v>236</v>
      </c>
      <c r="G583" s="10"/>
    </row>
    <row r="584" customFormat="false" ht="15.75" hidden="false" customHeight="true" outlineLevel="0" collapsed="false">
      <c r="A584" s="18" t="n">
        <v>678</v>
      </c>
      <c r="B584" s="18" t="s">
        <v>483</v>
      </c>
      <c r="C584" s="115" t="n">
        <v>45477</v>
      </c>
      <c r="D584" s="10" t="n">
        <v>210</v>
      </c>
      <c r="E584" s="10" t="n">
        <v>198</v>
      </c>
      <c r="F584" s="10" t="s">
        <v>236</v>
      </c>
      <c r="G584" s="10"/>
    </row>
    <row r="585" customFormat="false" ht="15.75" hidden="false" customHeight="true" outlineLevel="0" collapsed="false">
      <c r="A585" s="18" t="n">
        <v>260488</v>
      </c>
      <c r="B585" s="18" t="s">
        <v>288</v>
      </c>
      <c r="C585" s="115" t="n">
        <v>45478</v>
      </c>
      <c r="D585" s="10" t="n">
        <v>110</v>
      </c>
      <c r="E585" s="10" t="n">
        <v>500</v>
      </c>
      <c r="F585" s="10" t="s">
        <v>229</v>
      </c>
      <c r="G585" s="10"/>
    </row>
    <row r="586" customFormat="false" ht="15.75" hidden="false" customHeight="true" outlineLevel="0" collapsed="false">
      <c r="A586" s="18" t="n">
        <v>698</v>
      </c>
      <c r="B586" s="18" t="s">
        <v>242</v>
      </c>
      <c r="C586" s="115" t="n">
        <v>45478</v>
      </c>
      <c r="D586" s="10" t="n">
        <v>75</v>
      </c>
      <c r="E586" s="10" t="n">
        <v>900</v>
      </c>
      <c r="F586" s="10" t="s">
        <v>248</v>
      </c>
      <c r="G586" s="10"/>
    </row>
    <row r="587" customFormat="false" ht="15.75" hidden="false" customHeight="true" outlineLevel="0" collapsed="false">
      <c r="A587" s="18" t="n">
        <v>692</v>
      </c>
      <c r="B587" s="18" t="s">
        <v>371</v>
      </c>
      <c r="C587" s="115" t="n">
        <v>45478</v>
      </c>
      <c r="D587" s="10" t="n">
        <v>25</v>
      </c>
      <c r="E587" s="10" t="n">
        <v>200</v>
      </c>
      <c r="F587" s="10" t="s">
        <v>372</v>
      </c>
      <c r="G587" s="10"/>
    </row>
    <row r="588" customFormat="false" ht="15.75" hidden="false" customHeight="true" outlineLevel="0" collapsed="false">
      <c r="A588" s="18" t="n">
        <v>695</v>
      </c>
      <c r="B588" s="18" t="s">
        <v>541</v>
      </c>
      <c r="C588" s="115" t="n">
        <v>45478</v>
      </c>
      <c r="D588" s="10" t="n">
        <v>100</v>
      </c>
      <c r="E588" s="10" t="n">
        <v>1539</v>
      </c>
      <c r="F588" s="10" t="s">
        <v>229</v>
      </c>
      <c r="G588" s="10"/>
    </row>
    <row r="589" customFormat="false" ht="15.75" hidden="false" customHeight="true" outlineLevel="0" collapsed="false">
      <c r="A589" s="18" t="n">
        <v>702</v>
      </c>
      <c r="B589" s="18" t="s">
        <v>272</v>
      </c>
      <c r="C589" s="115" t="n">
        <v>45478</v>
      </c>
      <c r="D589" s="10" t="n">
        <v>110</v>
      </c>
      <c r="E589" s="10" t="n">
        <v>3208</v>
      </c>
      <c r="F589" s="10" t="s">
        <v>227</v>
      </c>
      <c r="G589" s="10"/>
    </row>
    <row r="590" customFormat="false" ht="15.75" hidden="false" customHeight="true" outlineLevel="0" collapsed="false">
      <c r="A590" s="18" t="n">
        <v>689</v>
      </c>
      <c r="B590" s="18" t="s">
        <v>349</v>
      </c>
      <c r="C590" s="115" t="n">
        <v>45478</v>
      </c>
      <c r="D590" s="10" t="n">
        <v>85</v>
      </c>
      <c r="E590" s="10" t="n">
        <v>1600</v>
      </c>
      <c r="F590" s="10" t="s">
        <v>225</v>
      </c>
      <c r="G590" s="10"/>
    </row>
    <row r="591" customFormat="false" ht="15.75" hidden="false" customHeight="true" outlineLevel="0" collapsed="false">
      <c r="A591" s="18" t="n">
        <v>701</v>
      </c>
      <c r="B591" s="18" t="s">
        <v>542</v>
      </c>
      <c r="C591" s="115" t="n">
        <v>45478</v>
      </c>
      <c r="D591" s="10" t="n">
        <v>105</v>
      </c>
      <c r="E591" s="10" t="n">
        <v>258</v>
      </c>
      <c r="F591" s="10" t="s">
        <v>225</v>
      </c>
      <c r="G591" s="10"/>
    </row>
    <row r="592" customFormat="false" ht="15.75" hidden="false" customHeight="true" outlineLevel="0" collapsed="false">
      <c r="A592" s="18" t="n">
        <v>700</v>
      </c>
      <c r="B592" s="18" t="s">
        <v>489</v>
      </c>
      <c r="C592" s="115" t="n">
        <v>45478</v>
      </c>
      <c r="D592" s="10" t="n">
        <v>105</v>
      </c>
      <c r="E592" s="10" t="n">
        <v>530</v>
      </c>
      <c r="F592" s="10" t="s">
        <v>225</v>
      </c>
      <c r="G592" s="10"/>
    </row>
    <row r="593" customFormat="false" ht="15.75" hidden="false" customHeight="true" outlineLevel="0" collapsed="false">
      <c r="A593" s="18" t="n">
        <v>260487</v>
      </c>
      <c r="B593" s="18" t="s">
        <v>257</v>
      </c>
      <c r="C593" s="115" t="n">
        <v>45478</v>
      </c>
      <c r="D593" s="10" t="n">
        <v>130</v>
      </c>
      <c r="E593" s="10" t="n">
        <v>260</v>
      </c>
      <c r="F593" s="10" t="s">
        <v>225</v>
      </c>
      <c r="G593" s="10"/>
    </row>
    <row r="594" customFormat="false" ht="15.75" hidden="false" customHeight="true" outlineLevel="0" collapsed="false">
      <c r="A594" s="18" t="n">
        <v>693</v>
      </c>
      <c r="B594" s="18" t="s">
        <v>440</v>
      </c>
      <c r="C594" s="115" t="n">
        <v>45478</v>
      </c>
      <c r="D594" s="10" t="n">
        <v>210</v>
      </c>
      <c r="E594" s="10" t="n">
        <v>649</v>
      </c>
      <c r="F594" s="10" t="s">
        <v>225</v>
      </c>
      <c r="G594" s="10"/>
    </row>
    <row r="595" customFormat="false" ht="15.75" hidden="false" customHeight="true" outlineLevel="0" collapsed="false">
      <c r="A595" s="18" t="n">
        <v>699</v>
      </c>
      <c r="B595" s="18" t="s">
        <v>320</v>
      </c>
      <c r="C595" s="115" t="n">
        <v>45478</v>
      </c>
      <c r="D595" s="10" t="n">
        <v>210</v>
      </c>
      <c r="E595" s="10" t="n">
        <v>248</v>
      </c>
      <c r="F595" s="10" t="s">
        <v>225</v>
      </c>
      <c r="G595" s="10"/>
    </row>
    <row r="596" customFormat="false" ht="15.75" hidden="false" customHeight="true" outlineLevel="0" collapsed="false">
      <c r="A596" s="18" t="n">
        <v>686</v>
      </c>
      <c r="B596" s="18" t="s">
        <v>543</v>
      </c>
      <c r="C596" s="115" t="n">
        <v>45478</v>
      </c>
      <c r="D596" s="10" t="n">
        <v>210</v>
      </c>
      <c r="E596" s="10" t="n">
        <v>1245</v>
      </c>
      <c r="F596" s="10" t="s">
        <v>236</v>
      </c>
      <c r="G596" s="10"/>
    </row>
    <row r="597" customFormat="false" ht="15.75" hidden="false" customHeight="true" outlineLevel="0" collapsed="false">
      <c r="A597" s="18" t="n">
        <v>705</v>
      </c>
      <c r="B597" s="18" t="s">
        <v>319</v>
      </c>
      <c r="C597" s="115" t="n">
        <v>45482</v>
      </c>
      <c r="D597" s="10" t="n">
        <v>64</v>
      </c>
      <c r="E597" s="10" t="n">
        <v>1300</v>
      </c>
      <c r="F597" s="10" t="s">
        <v>225</v>
      </c>
      <c r="G597" s="10"/>
    </row>
    <row r="598" customFormat="false" ht="15.75" hidden="false" customHeight="true" outlineLevel="0" collapsed="false">
      <c r="A598" s="18" t="n">
        <v>260493</v>
      </c>
      <c r="B598" s="18" t="s">
        <v>544</v>
      </c>
      <c r="C598" s="115" t="n">
        <v>45482</v>
      </c>
      <c r="D598" s="10" t="n">
        <v>105</v>
      </c>
      <c r="E598" s="10" t="n">
        <v>2560</v>
      </c>
      <c r="F598" s="10" t="s">
        <v>225</v>
      </c>
      <c r="G598" s="10"/>
    </row>
    <row r="599" customFormat="false" ht="15.75" hidden="false" customHeight="true" outlineLevel="0" collapsed="false">
      <c r="A599" s="18" t="n">
        <v>690</v>
      </c>
      <c r="B599" s="18" t="s">
        <v>242</v>
      </c>
      <c r="C599" s="115" t="n">
        <v>45482</v>
      </c>
      <c r="D599" s="10" t="n">
        <v>110</v>
      </c>
      <c r="E599" s="10" t="n">
        <v>130</v>
      </c>
      <c r="F599" s="10" t="s">
        <v>225</v>
      </c>
      <c r="G599" s="10"/>
    </row>
    <row r="600" customFormat="false" ht="15.75" hidden="false" customHeight="true" outlineLevel="0" collapsed="false">
      <c r="A600" s="18" t="n">
        <v>709</v>
      </c>
      <c r="B600" s="18" t="s">
        <v>242</v>
      </c>
      <c r="C600" s="115" t="n">
        <v>45482</v>
      </c>
      <c r="D600" s="10" t="n">
        <v>110</v>
      </c>
      <c r="E600" s="10" t="n">
        <v>252</v>
      </c>
      <c r="F600" s="10" t="s">
        <v>225</v>
      </c>
      <c r="G600" s="10"/>
    </row>
    <row r="601" customFormat="false" ht="15.75" hidden="false" customHeight="true" outlineLevel="0" collapsed="false">
      <c r="A601" s="18" t="n">
        <v>704</v>
      </c>
      <c r="B601" s="18" t="s">
        <v>545</v>
      </c>
      <c r="C601" s="115" t="n">
        <v>45482</v>
      </c>
      <c r="D601" s="10" t="n">
        <v>155</v>
      </c>
      <c r="E601" s="10" t="n">
        <v>510</v>
      </c>
      <c r="F601" s="10" t="s">
        <v>225</v>
      </c>
      <c r="G601" s="10" t="s">
        <v>232</v>
      </c>
    </row>
    <row r="602" customFormat="false" ht="15.75" hidden="false" customHeight="true" outlineLevel="0" collapsed="false">
      <c r="A602" s="18" t="n">
        <v>711</v>
      </c>
      <c r="B602" s="18" t="s">
        <v>546</v>
      </c>
      <c r="C602" s="115" t="n">
        <v>45482</v>
      </c>
      <c r="D602" s="10" t="n">
        <v>158</v>
      </c>
      <c r="E602" s="10" t="n">
        <v>860</v>
      </c>
      <c r="F602" s="10" t="s">
        <v>225</v>
      </c>
      <c r="G602" s="10"/>
    </row>
    <row r="603" customFormat="false" ht="15.75" hidden="false" customHeight="true" outlineLevel="0" collapsed="false">
      <c r="A603" s="18" t="n">
        <v>715</v>
      </c>
      <c r="B603" s="18" t="s">
        <v>547</v>
      </c>
      <c r="C603" s="115" t="n">
        <v>45483</v>
      </c>
      <c r="D603" s="10" t="n">
        <v>75</v>
      </c>
      <c r="E603" s="10" t="n">
        <v>750</v>
      </c>
      <c r="F603" s="10" t="s">
        <v>225</v>
      </c>
      <c r="G603" s="10"/>
    </row>
    <row r="604" customFormat="false" ht="15.75" hidden="false" customHeight="true" outlineLevel="0" collapsed="false">
      <c r="A604" s="18" t="n">
        <v>260495</v>
      </c>
      <c r="B604" s="18" t="s">
        <v>415</v>
      </c>
      <c r="C604" s="115" t="n">
        <v>45483</v>
      </c>
      <c r="D604" s="10" t="n">
        <v>110</v>
      </c>
      <c r="E604" s="10" t="n">
        <v>200</v>
      </c>
      <c r="F604" s="10" t="s">
        <v>229</v>
      </c>
      <c r="G604" s="10"/>
    </row>
    <row r="605" customFormat="false" ht="15.75" hidden="false" customHeight="true" outlineLevel="0" collapsed="false">
      <c r="A605" s="18" t="n">
        <v>717</v>
      </c>
      <c r="B605" s="18" t="s">
        <v>548</v>
      </c>
      <c r="C605" s="115" t="n">
        <v>45483</v>
      </c>
      <c r="D605" s="10" t="n">
        <v>85</v>
      </c>
      <c r="E605" s="10" t="n">
        <v>320</v>
      </c>
      <c r="F605" s="10" t="s">
        <v>225</v>
      </c>
      <c r="G605" s="10"/>
    </row>
    <row r="606" customFormat="false" ht="15.75" hidden="false" customHeight="true" outlineLevel="0" collapsed="false">
      <c r="A606" s="18" t="n">
        <v>260493</v>
      </c>
      <c r="B606" s="18" t="s">
        <v>544</v>
      </c>
      <c r="C606" s="115" t="n">
        <v>45483</v>
      </c>
      <c r="D606" s="10" t="n">
        <v>105</v>
      </c>
      <c r="E606" s="10" t="n">
        <v>2540</v>
      </c>
      <c r="F606" s="10" t="s">
        <v>225</v>
      </c>
      <c r="G606" s="10"/>
    </row>
    <row r="607" customFormat="false" ht="15.75" hidden="false" customHeight="true" outlineLevel="0" collapsed="false">
      <c r="A607" s="18" t="n">
        <v>712</v>
      </c>
      <c r="B607" s="18" t="s">
        <v>427</v>
      </c>
      <c r="C607" s="115" t="n">
        <v>45483</v>
      </c>
      <c r="D607" s="10" t="n">
        <v>110</v>
      </c>
      <c r="E607" s="10" t="n">
        <v>600</v>
      </c>
      <c r="F607" s="10" t="s">
        <v>225</v>
      </c>
      <c r="G607" s="10"/>
    </row>
    <row r="608" customFormat="false" ht="15.75" hidden="false" customHeight="true" outlineLevel="0" collapsed="false">
      <c r="A608" s="18" t="n">
        <v>713</v>
      </c>
      <c r="B608" s="18" t="s">
        <v>351</v>
      </c>
      <c r="C608" s="115" t="n">
        <v>45483</v>
      </c>
      <c r="D608" s="10" t="n">
        <v>125</v>
      </c>
      <c r="E608" s="10" t="n">
        <v>1340</v>
      </c>
      <c r="F608" s="10" t="s">
        <v>225</v>
      </c>
      <c r="G608" s="10"/>
    </row>
    <row r="609" customFormat="false" ht="15.75" hidden="false" customHeight="true" outlineLevel="0" collapsed="false">
      <c r="A609" s="18" t="n">
        <v>717</v>
      </c>
      <c r="B609" s="18" t="s">
        <v>548</v>
      </c>
      <c r="C609" s="115" t="n">
        <v>45483</v>
      </c>
      <c r="D609" s="10" t="n">
        <v>210</v>
      </c>
      <c r="E609" s="10" t="n">
        <v>480</v>
      </c>
      <c r="F609" s="10" t="s">
        <v>225</v>
      </c>
      <c r="G609" s="10"/>
    </row>
    <row r="610" customFormat="false" ht="15.75" hidden="false" customHeight="true" outlineLevel="0" collapsed="false">
      <c r="A610" s="18" t="n">
        <v>716</v>
      </c>
      <c r="B610" s="18" t="s">
        <v>466</v>
      </c>
      <c r="C610" s="115" t="n">
        <v>45483</v>
      </c>
      <c r="D610" s="10" t="n">
        <v>210</v>
      </c>
      <c r="E610" s="10" t="n">
        <v>664</v>
      </c>
      <c r="F610" s="10" t="s">
        <v>236</v>
      </c>
      <c r="G610" s="10"/>
    </row>
    <row r="611" customFormat="false" ht="15.75" hidden="false" customHeight="true" outlineLevel="0" collapsed="false">
      <c r="A611" s="18" t="n">
        <v>260497</v>
      </c>
      <c r="B611" s="18" t="s">
        <v>549</v>
      </c>
      <c r="C611" s="115" t="n">
        <v>45483</v>
      </c>
      <c r="D611" s="10" t="n">
        <v>210</v>
      </c>
      <c r="E611" s="10" t="n">
        <v>192</v>
      </c>
      <c r="F611" s="10" t="s">
        <v>236</v>
      </c>
      <c r="G611" s="10"/>
    </row>
    <row r="612" customFormat="false" ht="15.75" hidden="false" customHeight="true" outlineLevel="0" collapsed="false">
      <c r="A612" s="18" t="n">
        <v>260515</v>
      </c>
      <c r="B612" s="18" t="s">
        <v>550</v>
      </c>
      <c r="C612" s="115" t="n">
        <v>45490</v>
      </c>
      <c r="D612" s="10" t="n">
        <v>30</v>
      </c>
      <c r="E612" s="10" t="n">
        <v>170</v>
      </c>
      <c r="F612" s="10" t="s">
        <v>225</v>
      </c>
      <c r="G612" s="10"/>
    </row>
    <row r="613" customFormat="false" ht="15.75" hidden="false" customHeight="true" outlineLevel="0" collapsed="false">
      <c r="A613" s="18" t="n">
        <v>741</v>
      </c>
      <c r="B613" s="18" t="s">
        <v>66</v>
      </c>
      <c r="C613" s="115" t="n">
        <v>45490</v>
      </c>
      <c r="D613" s="10" t="n">
        <v>210</v>
      </c>
      <c r="E613" s="10" t="n">
        <v>133</v>
      </c>
      <c r="F613" s="10" t="s">
        <v>248</v>
      </c>
      <c r="G613" s="10"/>
    </row>
    <row r="614" customFormat="false" ht="15.75" hidden="false" customHeight="true" outlineLevel="0" collapsed="false">
      <c r="A614" s="18" t="n">
        <v>737</v>
      </c>
      <c r="B614" s="18" t="s">
        <v>226</v>
      </c>
      <c r="C614" s="115" t="n">
        <v>45490</v>
      </c>
      <c r="D614" s="10" t="n">
        <v>84</v>
      </c>
      <c r="E614" s="10" t="n">
        <v>200</v>
      </c>
      <c r="F614" s="10" t="s">
        <v>227</v>
      </c>
      <c r="G614" s="10"/>
    </row>
    <row r="615" customFormat="false" ht="15.75" hidden="false" customHeight="true" outlineLevel="0" collapsed="false">
      <c r="A615" s="18" t="n">
        <v>743</v>
      </c>
      <c r="B615" s="18" t="s">
        <v>551</v>
      </c>
      <c r="C615" s="115" t="n">
        <v>45490</v>
      </c>
      <c r="D615" s="10" t="n">
        <v>210</v>
      </c>
      <c r="E615" s="10" t="n">
        <v>1575</v>
      </c>
      <c r="F615" s="10" t="s">
        <v>227</v>
      </c>
      <c r="G615" s="10"/>
    </row>
    <row r="616" customFormat="false" ht="15.75" hidden="false" customHeight="true" outlineLevel="0" collapsed="false">
      <c r="A616" s="18" t="n">
        <v>260513</v>
      </c>
      <c r="B616" s="18" t="s">
        <v>552</v>
      </c>
      <c r="C616" s="115" t="n">
        <v>45490</v>
      </c>
      <c r="D616" s="10" t="n">
        <v>100</v>
      </c>
      <c r="E616" s="10" t="n">
        <v>180</v>
      </c>
      <c r="F616" s="10" t="s">
        <v>225</v>
      </c>
      <c r="G616" s="10"/>
    </row>
    <row r="617" customFormat="false" ht="15.75" hidden="false" customHeight="true" outlineLevel="0" collapsed="false">
      <c r="A617" s="18" t="n">
        <v>739</v>
      </c>
      <c r="B617" s="18" t="s">
        <v>517</v>
      </c>
      <c r="C617" s="115" t="n">
        <v>45490</v>
      </c>
      <c r="D617" s="10" t="n">
        <v>100</v>
      </c>
      <c r="E617" s="10" t="n">
        <v>750</v>
      </c>
      <c r="F617" s="10" t="s">
        <v>225</v>
      </c>
      <c r="G617" s="10"/>
    </row>
    <row r="618" customFormat="false" ht="15.75" hidden="false" customHeight="true" outlineLevel="0" collapsed="false">
      <c r="A618" s="18" t="n">
        <v>260517</v>
      </c>
      <c r="B618" s="18" t="s">
        <v>508</v>
      </c>
      <c r="C618" s="115" t="n">
        <v>45490</v>
      </c>
      <c r="D618" s="10" t="n">
        <v>100</v>
      </c>
      <c r="E618" s="10" t="n">
        <v>2040</v>
      </c>
      <c r="F618" s="10" t="s">
        <v>225</v>
      </c>
      <c r="G618" s="10"/>
    </row>
    <row r="619" customFormat="false" ht="15.75" hidden="false" customHeight="true" outlineLevel="0" collapsed="false">
      <c r="A619" s="18" t="n">
        <v>745</v>
      </c>
      <c r="B619" s="18" t="s">
        <v>291</v>
      </c>
      <c r="C619" s="115" t="n">
        <v>45490</v>
      </c>
      <c r="D619" s="10" t="n">
        <v>105</v>
      </c>
      <c r="E619" s="10" t="n">
        <v>363</v>
      </c>
      <c r="F619" s="10" t="s">
        <v>225</v>
      </c>
      <c r="G619" s="10"/>
    </row>
    <row r="620" customFormat="false" ht="15.75" hidden="false" customHeight="true" outlineLevel="0" collapsed="false">
      <c r="A620" s="18" t="n">
        <v>735</v>
      </c>
      <c r="B620" s="18" t="s">
        <v>465</v>
      </c>
      <c r="C620" s="115" t="n">
        <v>45490</v>
      </c>
      <c r="D620" s="10" t="n">
        <v>110</v>
      </c>
      <c r="E620" s="10" t="n">
        <v>750</v>
      </c>
      <c r="F620" s="10" t="s">
        <v>225</v>
      </c>
      <c r="G620" s="10"/>
    </row>
    <row r="621" customFormat="false" ht="15.75" hidden="false" customHeight="true" outlineLevel="0" collapsed="false">
      <c r="A621" s="18" t="n">
        <v>738</v>
      </c>
      <c r="B621" s="18" t="s">
        <v>553</v>
      </c>
      <c r="C621" s="115" t="n">
        <v>45490</v>
      </c>
      <c r="D621" s="10" t="n">
        <v>110</v>
      </c>
      <c r="E621" s="10" t="n">
        <v>3500</v>
      </c>
      <c r="F621" s="10" t="s">
        <v>225</v>
      </c>
      <c r="G621" s="10"/>
    </row>
    <row r="622" customFormat="false" ht="15.75" hidden="false" customHeight="true" outlineLevel="0" collapsed="false">
      <c r="A622" s="18" t="n">
        <v>744</v>
      </c>
      <c r="B622" s="18" t="s">
        <v>241</v>
      </c>
      <c r="C622" s="115" t="n">
        <v>45490</v>
      </c>
      <c r="D622" s="10" t="n">
        <v>110</v>
      </c>
      <c r="E622" s="10" t="n">
        <v>300</v>
      </c>
      <c r="F622" s="10" t="s">
        <v>225</v>
      </c>
      <c r="G622" s="10"/>
    </row>
    <row r="623" customFormat="false" ht="15.75" hidden="false" customHeight="true" outlineLevel="0" collapsed="false">
      <c r="A623" s="18" t="n">
        <v>260512</v>
      </c>
      <c r="B623" s="18" t="s">
        <v>475</v>
      </c>
      <c r="C623" s="115" t="n">
        <v>45490</v>
      </c>
      <c r="D623" s="10" t="n">
        <v>138</v>
      </c>
      <c r="E623" s="10" t="n">
        <v>1400</v>
      </c>
      <c r="F623" s="10" t="s">
        <v>225</v>
      </c>
      <c r="G623" s="10"/>
    </row>
    <row r="624" customFormat="false" ht="15.75" hidden="false" customHeight="true" outlineLevel="0" collapsed="false">
      <c r="A624" s="18" t="n">
        <v>745</v>
      </c>
      <c r="B624" s="18" t="s">
        <v>291</v>
      </c>
      <c r="C624" s="115" t="n">
        <v>45490</v>
      </c>
      <c r="D624" s="10" t="n">
        <v>180</v>
      </c>
      <c r="E624" s="10" t="n">
        <v>460</v>
      </c>
      <c r="F624" s="10" t="s">
        <v>225</v>
      </c>
      <c r="G624" s="10"/>
    </row>
    <row r="625" customFormat="false" ht="15.75" hidden="false" customHeight="true" outlineLevel="0" collapsed="false">
      <c r="A625" s="18" t="n">
        <v>740</v>
      </c>
      <c r="B625" s="18" t="s">
        <v>287</v>
      </c>
      <c r="C625" s="115" t="n">
        <v>45490</v>
      </c>
      <c r="D625" s="10" t="n">
        <v>210</v>
      </c>
      <c r="E625" s="10" t="n">
        <v>2163</v>
      </c>
      <c r="F625" s="10" t="s">
        <v>225</v>
      </c>
      <c r="G625" s="10"/>
    </row>
    <row r="626" customFormat="false" ht="15.75" hidden="false" customHeight="true" outlineLevel="0" collapsed="false">
      <c r="A626" s="18" t="n">
        <v>736</v>
      </c>
      <c r="B626" s="18" t="s">
        <v>370</v>
      </c>
      <c r="C626" s="115" t="n">
        <v>45490</v>
      </c>
      <c r="D626" s="10" t="n">
        <v>220</v>
      </c>
      <c r="E626" s="10" t="n">
        <v>2520</v>
      </c>
      <c r="F626" s="10" t="s">
        <v>225</v>
      </c>
      <c r="G626" s="10"/>
    </row>
    <row r="627" customFormat="false" ht="15.75" hidden="false" customHeight="true" outlineLevel="0" collapsed="false">
      <c r="A627" s="18" t="n">
        <v>740</v>
      </c>
      <c r="B627" s="18" t="s">
        <v>287</v>
      </c>
      <c r="C627" s="115" t="n">
        <v>45490</v>
      </c>
      <c r="D627" s="10" t="n">
        <v>220</v>
      </c>
      <c r="E627" s="10" t="n">
        <v>3192</v>
      </c>
      <c r="F627" s="10" t="s">
        <v>225</v>
      </c>
      <c r="G627" s="10"/>
    </row>
    <row r="628" customFormat="false" ht="15.75" hidden="false" customHeight="true" outlineLevel="0" collapsed="false">
      <c r="A628" s="18" t="n">
        <v>260516</v>
      </c>
      <c r="B628" s="18" t="s">
        <v>231</v>
      </c>
      <c r="C628" s="115" t="n">
        <v>45490</v>
      </c>
      <c r="D628" s="10" t="n">
        <v>250</v>
      </c>
      <c r="E628" s="10" t="n">
        <v>285</v>
      </c>
      <c r="F628" s="10" t="s">
        <v>225</v>
      </c>
      <c r="G628" s="10"/>
    </row>
    <row r="629" customFormat="false" ht="15.75" hidden="false" customHeight="true" outlineLevel="0" collapsed="false">
      <c r="A629" s="18" t="n">
        <v>745</v>
      </c>
      <c r="B629" s="18" t="s">
        <v>554</v>
      </c>
      <c r="C629" s="115" t="n">
        <v>45490</v>
      </c>
      <c r="D629" s="10" t="n">
        <v>210</v>
      </c>
      <c r="E629" s="10" t="n">
        <v>819</v>
      </c>
      <c r="F629" s="10" t="s">
        <v>236</v>
      </c>
      <c r="G629" s="10"/>
    </row>
    <row r="630" customFormat="false" ht="15.75" hidden="false" customHeight="true" outlineLevel="0" collapsed="false">
      <c r="A630" s="18" t="n">
        <v>742</v>
      </c>
      <c r="B630" s="18" t="s">
        <v>344</v>
      </c>
      <c r="C630" s="115" t="n">
        <v>45490</v>
      </c>
      <c r="D630" s="10" t="n">
        <v>250</v>
      </c>
      <c r="E630" s="10" t="n">
        <v>371</v>
      </c>
      <c r="F630" s="10" t="s">
        <v>236</v>
      </c>
      <c r="G630" s="10"/>
    </row>
    <row r="631" customFormat="false" ht="15.75" hidden="false" customHeight="true" outlineLevel="0" collapsed="false">
      <c r="A631" s="18" t="n">
        <v>260522</v>
      </c>
      <c r="B631" s="18" t="s">
        <v>317</v>
      </c>
      <c r="C631" s="115" t="n">
        <v>45495</v>
      </c>
      <c r="D631" s="10" t="n">
        <v>35</v>
      </c>
      <c r="E631" s="10" t="n">
        <v>520</v>
      </c>
      <c r="F631" s="10" t="s">
        <v>225</v>
      </c>
      <c r="G631" s="10"/>
    </row>
    <row r="632" customFormat="false" ht="15.75" hidden="false" customHeight="true" outlineLevel="0" collapsed="false">
      <c r="A632" s="18" t="n">
        <v>731</v>
      </c>
      <c r="B632" s="18" t="s">
        <v>279</v>
      </c>
      <c r="C632" s="115" t="n">
        <v>45495</v>
      </c>
      <c r="D632" s="10" t="n">
        <v>70</v>
      </c>
      <c r="E632" s="10" t="n">
        <v>2040</v>
      </c>
      <c r="F632" s="10" t="s">
        <v>225</v>
      </c>
      <c r="G632" s="10"/>
    </row>
    <row r="633" customFormat="false" ht="15.75" hidden="false" customHeight="true" outlineLevel="0" collapsed="false">
      <c r="A633" s="18" t="n">
        <v>260526</v>
      </c>
      <c r="B633" s="18" t="s">
        <v>298</v>
      </c>
      <c r="C633" s="115" t="n">
        <v>45495</v>
      </c>
      <c r="D633" s="10" t="n">
        <v>80</v>
      </c>
      <c r="E633" s="10" t="n">
        <v>1250</v>
      </c>
      <c r="F633" s="10" t="s">
        <v>225</v>
      </c>
      <c r="G633" s="10"/>
    </row>
    <row r="634" customFormat="false" ht="15.75" hidden="false" customHeight="true" outlineLevel="0" collapsed="false">
      <c r="A634" s="18" t="n">
        <v>260518</v>
      </c>
      <c r="B634" s="18" t="s">
        <v>231</v>
      </c>
      <c r="C634" s="115" t="n">
        <v>45495</v>
      </c>
      <c r="D634" s="10" t="n">
        <v>138</v>
      </c>
      <c r="E634" s="10" t="n">
        <v>408</v>
      </c>
      <c r="F634" s="10" t="s">
        <v>229</v>
      </c>
      <c r="G634" s="10"/>
    </row>
    <row r="635" customFormat="false" ht="15.75" hidden="false" customHeight="true" outlineLevel="0" collapsed="false">
      <c r="A635" s="18" t="n">
        <v>260523</v>
      </c>
      <c r="B635" s="18" t="s">
        <v>555</v>
      </c>
      <c r="C635" s="115" t="n">
        <v>45495</v>
      </c>
      <c r="D635" s="10" t="n">
        <v>55</v>
      </c>
      <c r="E635" s="10" t="n">
        <v>280</v>
      </c>
      <c r="F635" s="10" t="s">
        <v>262</v>
      </c>
      <c r="G635" s="10"/>
    </row>
    <row r="636" customFormat="false" ht="15.75" hidden="false" customHeight="true" outlineLevel="0" collapsed="false">
      <c r="A636" s="18" t="n">
        <v>755</v>
      </c>
      <c r="B636" s="18" t="s">
        <v>556</v>
      </c>
      <c r="C636" s="115" t="n">
        <v>45495</v>
      </c>
      <c r="D636" s="10" t="n">
        <v>15</v>
      </c>
      <c r="E636" s="10" t="n">
        <v>180</v>
      </c>
      <c r="F636" s="10" t="s">
        <v>372</v>
      </c>
      <c r="G636" s="10"/>
    </row>
    <row r="637" customFormat="false" ht="15.75" hidden="false" customHeight="true" outlineLevel="0" collapsed="false">
      <c r="A637" s="18" t="n">
        <v>260524</v>
      </c>
      <c r="B637" s="18" t="s">
        <v>485</v>
      </c>
      <c r="C637" s="115" t="n">
        <v>45495</v>
      </c>
      <c r="D637" s="10" t="n">
        <v>90</v>
      </c>
      <c r="E637" s="10" t="n">
        <v>360</v>
      </c>
      <c r="F637" s="10" t="s">
        <v>225</v>
      </c>
      <c r="G637" s="10" t="s">
        <v>232</v>
      </c>
    </row>
    <row r="638" customFormat="false" ht="15.75" hidden="false" customHeight="true" outlineLevel="0" collapsed="false">
      <c r="A638" s="18" t="n">
        <v>765</v>
      </c>
      <c r="B638" s="18" t="s">
        <v>313</v>
      </c>
      <c r="C638" s="115" t="n">
        <v>45495</v>
      </c>
      <c r="D638" s="10" t="n">
        <v>90</v>
      </c>
      <c r="E638" s="10" t="n">
        <v>1300</v>
      </c>
      <c r="F638" s="10" t="s">
        <v>225</v>
      </c>
      <c r="G638" s="10"/>
    </row>
    <row r="639" customFormat="false" ht="15.75" hidden="false" customHeight="true" outlineLevel="0" collapsed="false">
      <c r="A639" s="18" t="n">
        <v>260520</v>
      </c>
      <c r="B639" s="18" t="s">
        <v>257</v>
      </c>
      <c r="C639" s="115" t="n">
        <v>45495</v>
      </c>
      <c r="D639" s="10" t="n">
        <v>100</v>
      </c>
      <c r="E639" s="10" t="n">
        <v>2010</v>
      </c>
      <c r="F639" s="10" t="s">
        <v>225</v>
      </c>
      <c r="G639" s="10"/>
    </row>
    <row r="640" customFormat="false" ht="15.75" hidden="false" customHeight="true" outlineLevel="0" collapsed="false">
      <c r="A640" s="18" t="n">
        <v>765</v>
      </c>
      <c r="B640" s="18" t="s">
        <v>313</v>
      </c>
      <c r="C640" s="115" t="n">
        <v>45495</v>
      </c>
      <c r="D640" s="10" t="n">
        <v>100</v>
      </c>
      <c r="E640" s="10" t="n">
        <v>920</v>
      </c>
      <c r="F640" s="10" t="s">
        <v>225</v>
      </c>
      <c r="G640" s="10"/>
    </row>
    <row r="641" customFormat="false" ht="15.75" hidden="false" customHeight="true" outlineLevel="0" collapsed="false">
      <c r="A641" s="18" t="n">
        <v>747</v>
      </c>
      <c r="B641" s="18" t="s">
        <v>453</v>
      </c>
      <c r="C641" s="115" t="n">
        <v>45495</v>
      </c>
      <c r="D641" s="10" t="n">
        <v>105</v>
      </c>
      <c r="E641" s="10" t="n">
        <v>2200</v>
      </c>
      <c r="F641" s="10" t="s">
        <v>225</v>
      </c>
      <c r="G641" s="10"/>
    </row>
    <row r="642" customFormat="false" ht="15.75" hidden="false" customHeight="true" outlineLevel="0" collapsed="false">
      <c r="A642" s="18" t="n">
        <v>260522</v>
      </c>
      <c r="B642" s="18" t="s">
        <v>317</v>
      </c>
      <c r="C642" s="115" t="n">
        <v>45495</v>
      </c>
      <c r="D642" s="10" t="n">
        <v>105</v>
      </c>
      <c r="E642" s="10" t="n">
        <v>213</v>
      </c>
      <c r="F642" s="10" t="s">
        <v>225</v>
      </c>
      <c r="G642" s="10"/>
    </row>
    <row r="643" customFormat="false" ht="15.75" hidden="false" customHeight="true" outlineLevel="0" collapsed="false">
      <c r="A643" s="18" t="n">
        <v>260519</v>
      </c>
      <c r="B643" s="18" t="s">
        <v>468</v>
      </c>
      <c r="C643" s="115" t="n">
        <v>45495</v>
      </c>
      <c r="D643" s="10" t="n">
        <v>110</v>
      </c>
      <c r="E643" s="10" t="n">
        <v>1325</v>
      </c>
      <c r="F643" s="10" t="s">
        <v>225</v>
      </c>
      <c r="G643" s="10"/>
    </row>
    <row r="644" customFormat="false" ht="15.75" hidden="false" customHeight="true" outlineLevel="0" collapsed="false">
      <c r="A644" s="18" t="n">
        <v>764</v>
      </c>
      <c r="B644" s="18" t="s">
        <v>347</v>
      </c>
      <c r="C644" s="115" t="n">
        <v>45495</v>
      </c>
      <c r="D644" s="10" t="n">
        <v>138</v>
      </c>
      <c r="E644" s="10" t="n">
        <v>136</v>
      </c>
      <c r="F644" s="10" t="s">
        <v>225</v>
      </c>
      <c r="G644" s="10"/>
    </row>
    <row r="645" customFormat="false" ht="15.75" hidden="false" customHeight="true" outlineLevel="0" collapsed="false">
      <c r="A645" s="18" t="n">
        <v>756</v>
      </c>
      <c r="B645" s="18" t="s">
        <v>353</v>
      </c>
      <c r="C645" s="115" t="n">
        <v>45495</v>
      </c>
      <c r="D645" s="10" t="n">
        <v>210</v>
      </c>
      <c r="E645" s="10" t="n">
        <v>630</v>
      </c>
      <c r="F645" s="10" t="s">
        <v>225</v>
      </c>
      <c r="G645" s="10"/>
    </row>
    <row r="646" customFormat="false" ht="15.75" hidden="false" customHeight="true" outlineLevel="0" collapsed="false">
      <c r="A646" s="18" t="n">
        <v>765</v>
      </c>
      <c r="B646" s="18" t="s">
        <v>313</v>
      </c>
      <c r="C646" s="115" t="n">
        <v>45495</v>
      </c>
      <c r="D646" s="10" t="n">
        <v>210</v>
      </c>
      <c r="E646" s="10" t="n">
        <v>1245</v>
      </c>
      <c r="F646" s="10" t="s">
        <v>225</v>
      </c>
      <c r="G646" s="10"/>
    </row>
    <row r="647" customFormat="false" ht="15.75" hidden="false" customHeight="true" outlineLevel="0" collapsed="false">
      <c r="A647" s="18" t="n">
        <v>751</v>
      </c>
      <c r="B647" s="18" t="s">
        <v>557</v>
      </c>
      <c r="C647" s="115" t="n">
        <v>45495</v>
      </c>
      <c r="D647" s="10" t="n">
        <v>220</v>
      </c>
      <c r="E647" s="10" t="n">
        <v>248</v>
      </c>
      <c r="F647" s="10" t="s">
        <v>225</v>
      </c>
      <c r="G647" s="10"/>
    </row>
    <row r="648" customFormat="false" ht="15.75" hidden="false" customHeight="true" outlineLevel="0" collapsed="false">
      <c r="A648" s="18" t="n">
        <v>750</v>
      </c>
      <c r="B648" s="18" t="s">
        <v>558</v>
      </c>
      <c r="C648" s="115" t="n">
        <v>45495</v>
      </c>
      <c r="D648" s="10" t="n">
        <v>220</v>
      </c>
      <c r="E648" s="10" t="n">
        <v>128</v>
      </c>
      <c r="F648" s="10" t="s">
        <v>225</v>
      </c>
      <c r="G648" s="10"/>
    </row>
    <row r="649" customFormat="false" ht="15.75" hidden="false" customHeight="true" outlineLevel="0" collapsed="false">
      <c r="A649" s="18" t="n">
        <v>757</v>
      </c>
      <c r="B649" s="18" t="s">
        <v>559</v>
      </c>
      <c r="C649" s="115" t="n">
        <v>45495</v>
      </c>
      <c r="D649" s="10" t="n">
        <v>250</v>
      </c>
      <c r="E649" s="10" t="n">
        <v>1300</v>
      </c>
      <c r="F649" s="10" t="s">
        <v>225</v>
      </c>
      <c r="G649" s="10"/>
    </row>
    <row r="650" customFormat="false" ht="15.75" hidden="false" customHeight="true" outlineLevel="0" collapsed="false">
      <c r="A650" s="18" t="n">
        <v>753</v>
      </c>
      <c r="B650" s="18" t="s">
        <v>403</v>
      </c>
      <c r="C650" s="115" t="n">
        <v>45495</v>
      </c>
      <c r="D650" s="10" t="n">
        <v>250</v>
      </c>
      <c r="E650" s="10" t="n">
        <v>3709</v>
      </c>
      <c r="F650" s="10" t="s">
        <v>236</v>
      </c>
      <c r="G650" s="10"/>
    </row>
    <row r="651" customFormat="false" ht="15.75" hidden="false" customHeight="true" outlineLevel="0" collapsed="false">
      <c r="A651" s="18" t="n">
        <v>765</v>
      </c>
      <c r="B651" s="18" t="s">
        <v>313</v>
      </c>
      <c r="C651" s="115" t="n">
        <v>45496</v>
      </c>
      <c r="D651" s="10" t="n">
        <v>65</v>
      </c>
      <c r="E651" s="10" t="n">
        <v>1290</v>
      </c>
      <c r="F651" s="10" t="s">
        <v>225</v>
      </c>
      <c r="G651" s="10"/>
    </row>
    <row r="652" customFormat="false" ht="15.75" hidden="false" customHeight="true" outlineLevel="0" collapsed="false">
      <c r="A652" s="18" t="n">
        <v>766</v>
      </c>
      <c r="B652" s="18" t="s">
        <v>313</v>
      </c>
      <c r="C652" s="115" t="n">
        <v>45496</v>
      </c>
      <c r="D652" s="10" t="n">
        <v>105</v>
      </c>
      <c r="E652" s="10" t="n">
        <v>13500</v>
      </c>
      <c r="F652" s="10" t="s">
        <v>560</v>
      </c>
      <c r="G652" s="10"/>
    </row>
    <row r="653" customFormat="false" ht="15.75" hidden="false" customHeight="true" outlineLevel="0" collapsed="false">
      <c r="A653" s="18" t="n">
        <v>765</v>
      </c>
      <c r="B653" s="18" t="s">
        <v>313</v>
      </c>
      <c r="C653" s="115" t="n">
        <v>45496</v>
      </c>
      <c r="D653" s="10" t="n">
        <v>105</v>
      </c>
      <c r="E653" s="10" t="n">
        <v>11000</v>
      </c>
      <c r="F653" s="10" t="s">
        <v>225</v>
      </c>
      <c r="G653" s="10"/>
    </row>
    <row r="654" customFormat="false" ht="15.75" hidden="false" customHeight="true" outlineLevel="0" collapsed="false">
      <c r="A654" s="18" t="n">
        <v>765</v>
      </c>
      <c r="B654" s="18" t="s">
        <v>313</v>
      </c>
      <c r="C654" s="115" t="n">
        <v>45496</v>
      </c>
      <c r="D654" s="10" t="n">
        <v>110</v>
      </c>
      <c r="E654" s="10" t="n">
        <v>1000</v>
      </c>
      <c r="F654" s="10" t="s">
        <v>225</v>
      </c>
      <c r="G654" s="10"/>
    </row>
    <row r="655" customFormat="false" ht="15.75" hidden="false" customHeight="true" outlineLevel="0" collapsed="false">
      <c r="A655" s="18" t="n">
        <v>760</v>
      </c>
      <c r="B655" s="18" t="s">
        <v>382</v>
      </c>
      <c r="C655" s="115" t="n">
        <v>45496</v>
      </c>
      <c r="D655" s="10" t="n">
        <v>125</v>
      </c>
      <c r="E655" s="10" t="n">
        <v>800</v>
      </c>
      <c r="F655" s="10" t="s">
        <v>225</v>
      </c>
      <c r="G655" s="10"/>
    </row>
    <row r="656" customFormat="false" ht="15.75" hidden="false" customHeight="true" outlineLevel="0" collapsed="false">
      <c r="A656" s="18" t="n">
        <v>765</v>
      </c>
      <c r="B656" s="18" t="s">
        <v>313</v>
      </c>
      <c r="C656" s="115" t="n">
        <v>45496</v>
      </c>
      <c r="D656" s="10" t="n">
        <v>130</v>
      </c>
      <c r="E656" s="10" t="n">
        <v>4650</v>
      </c>
      <c r="F656" s="10" t="s">
        <v>225</v>
      </c>
      <c r="G656" s="10"/>
    </row>
    <row r="657" customFormat="false" ht="15.75" hidden="false" customHeight="true" outlineLevel="0" collapsed="false">
      <c r="A657" s="18" t="n">
        <v>765</v>
      </c>
      <c r="B657" s="18" t="s">
        <v>313</v>
      </c>
      <c r="C657" s="115" t="n">
        <v>45496</v>
      </c>
      <c r="D657" s="10" t="n">
        <v>250</v>
      </c>
      <c r="E657" s="10" t="n">
        <v>28000</v>
      </c>
      <c r="F657" s="10" t="s">
        <v>236</v>
      </c>
      <c r="G657" s="10"/>
    </row>
    <row r="658" customFormat="false" ht="15.75" hidden="false" customHeight="true" outlineLevel="0" collapsed="false">
      <c r="A658" s="18" t="n">
        <v>773</v>
      </c>
      <c r="B658" s="18" t="s">
        <v>269</v>
      </c>
      <c r="C658" s="115" t="n">
        <v>45497</v>
      </c>
      <c r="D658" s="10" t="n">
        <v>20</v>
      </c>
      <c r="E658" s="10" t="n">
        <v>1000</v>
      </c>
      <c r="F658" s="10" t="s">
        <v>225</v>
      </c>
      <c r="G658" s="10"/>
    </row>
    <row r="659" customFormat="false" ht="15.75" hidden="false" customHeight="true" outlineLevel="0" collapsed="false">
      <c r="A659" s="18" t="n">
        <v>260540</v>
      </c>
      <c r="B659" s="18" t="s">
        <v>561</v>
      </c>
      <c r="C659" s="115" t="n">
        <v>45497</v>
      </c>
      <c r="D659" s="10" t="n">
        <v>80</v>
      </c>
      <c r="E659" s="10" t="n">
        <v>750</v>
      </c>
      <c r="F659" s="10" t="s">
        <v>225</v>
      </c>
      <c r="G659" s="10"/>
    </row>
    <row r="660" customFormat="false" ht="15.75" hidden="false" customHeight="true" outlineLevel="0" collapsed="false">
      <c r="A660" s="18" t="n">
        <v>777</v>
      </c>
      <c r="B660" s="18" t="s">
        <v>562</v>
      </c>
      <c r="C660" s="115" t="n">
        <v>45497</v>
      </c>
      <c r="D660" s="10" t="n">
        <v>84</v>
      </c>
      <c r="E660" s="10" t="n">
        <v>2000</v>
      </c>
      <c r="F660" s="10" t="s">
        <v>225</v>
      </c>
      <c r="G660" s="10"/>
    </row>
    <row r="661" customFormat="false" ht="15.75" hidden="false" customHeight="true" outlineLevel="0" collapsed="false">
      <c r="A661" s="18" t="n">
        <v>260539</v>
      </c>
      <c r="B661" s="18" t="s">
        <v>361</v>
      </c>
      <c r="C661" s="115" t="n">
        <v>45497</v>
      </c>
      <c r="D661" s="10" t="n">
        <v>140</v>
      </c>
      <c r="E661" s="10" t="n">
        <v>180</v>
      </c>
      <c r="F661" s="10" t="s">
        <v>362</v>
      </c>
      <c r="G661" s="10"/>
    </row>
    <row r="662" customFormat="false" ht="15.75" hidden="false" customHeight="true" outlineLevel="0" collapsed="false">
      <c r="A662" s="18" t="n">
        <v>260530</v>
      </c>
      <c r="B662" s="18" t="s">
        <v>513</v>
      </c>
      <c r="C662" s="115" t="n">
        <v>45497</v>
      </c>
      <c r="D662" s="10" t="n">
        <v>100</v>
      </c>
      <c r="E662" s="10" t="n">
        <v>750</v>
      </c>
      <c r="F662" s="10" t="s">
        <v>19</v>
      </c>
      <c r="G662" s="10"/>
    </row>
    <row r="663" customFormat="false" ht="15.75" hidden="false" customHeight="true" outlineLevel="0" collapsed="false">
      <c r="A663" s="18" t="n">
        <v>260538</v>
      </c>
      <c r="B663" s="18" t="s">
        <v>231</v>
      </c>
      <c r="C663" s="115" t="n">
        <v>45497</v>
      </c>
      <c r="D663" s="10" t="n">
        <v>100</v>
      </c>
      <c r="E663" s="10" t="n">
        <v>200</v>
      </c>
      <c r="F663" s="10" t="s">
        <v>225</v>
      </c>
      <c r="G663" s="10"/>
    </row>
    <row r="664" customFormat="false" ht="15.75" hidden="false" customHeight="true" outlineLevel="0" collapsed="false">
      <c r="A664" s="18" t="n">
        <v>761</v>
      </c>
      <c r="B664" s="18" t="s">
        <v>389</v>
      </c>
      <c r="C664" s="115" t="n">
        <v>45497</v>
      </c>
      <c r="D664" s="10" t="n">
        <v>155</v>
      </c>
      <c r="E664" s="10" t="n">
        <v>3600</v>
      </c>
      <c r="F664" s="10" t="s">
        <v>225</v>
      </c>
      <c r="G664" s="10" t="s">
        <v>232</v>
      </c>
    </row>
    <row r="665" customFormat="false" ht="15.75" hidden="false" customHeight="true" outlineLevel="0" collapsed="false">
      <c r="A665" s="18" t="n">
        <v>774</v>
      </c>
      <c r="B665" s="18" t="s">
        <v>359</v>
      </c>
      <c r="C665" s="115" t="n">
        <v>45497</v>
      </c>
      <c r="D665" s="10" t="n">
        <v>190</v>
      </c>
      <c r="E665" s="10" t="n">
        <v>3780</v>
      </c>
      <c r="F665" s="10" t="s">
        <v>225</v>
      </c>
      <c r="G665" s="10"/>
    </row>
    <row r="666" customFormat="false" ht="15.75" hidden="false" customHeight="true" outlineLevel="0" collapsed="false">
      <c r="A666" s="18" t="n">
        <v>770</v>
      </c>
      <c r="B666" s="18" t="s">
        <v>563</v>
      </c>
      <c r="C666" s="115" t="n">
        <v>45497</v>
      </c>
      <c r="D666" s="10" t="n">
        <v>210</v>
      </c>
      <c r="E666" s="10" t="n">
        <v>330</v>
      </c>
      <c r="F666" s="10" t="s">
        <v>225</v>
      </c>
      <c r="G666" s="10"/>
    </row>
    <row r="667" customFormat="false" ht="15.75" hidden="false" customHeight="true" outlineLevel="0" collapsed="false">
      <c r="A667" s="18" t="n">
        <v>771</v>
      </c>
      <c r="B667" s="18" t="s">
        <v>542</v>
      </c>
      <c r="C667" s="115" t="n">
        <v>45497</v>
      </c>
      <c r="D667" s="10" t="n">
        <v>210</v>
      </c>
      <c r="E667" s="10" t="n">
        <v>1800</v>
      </c>
      <c r="F667" s="10" t="s">
        <v>225</v>
      </c>
      <c r="G667" s="10"/>
    </row>
    <row r="668" customFormat="false" ht="15.75" hidden="false" customHeight="true" outlineLevel="0" collapsed="false">
      <c r="A668" s="18" t="n">
        <v>769</v>
      </c>
      <c r="B668" s="18" t="s">
        <v>505</v>
      </c>
      <c r="C668" s="115" t="n">
        <v>45497</v>
      </c>
      <c r="D668" s="10" t="n">
        <v>210</v>
      </c>
      <c r="E668" s="10" t="n">
        <v>318</v>
      </c>
      <c r="F668" s="10" t="s">
        <v>225</v>
      </c>
      <c r="G668" s="10"/>
    </row>
    <row r="669" customFormat="false" ht="15.75" hidden="false" customHeight="true" outlineLevel="0" collapsed="false">
      <c r="A669" s="18" t="n">
        <v>260541</v>
      </c>
      <c r="B669" s="18" t="s">
        <v>564</v>
      </c>
      <c r="C669" s="115" t="n">
        <v>45499</v>
      </c>
      <c r="D669" s="10" t="n">
        <v>80</v>
      </c>
      <c r="E669" s="10" t="n">
        <v>200</v>
      </c>
      <c r="F669" s="10" t="s">
        <v>225</v>
      </c>
      <c r="G669" s="10"/>
    </row>
    <row r="670" customFormat="false" ht="15.75" hidden="false" customHeight="true" outlineLevel="0" collapsed="false">
      <c r="A670" s="18" t="n">
        <v>799</v>
      </c>
      <c r="B670" s="18" t="s">
        <v>473</v>
      </c>
      <c r="C670" s="115" t="n">
        <v>45499</v>
      </c>
      <c r="D670" s="10" t="n">
        <v>30</v>
      </c>
      <c r="E670" s="10" t="n">
        <v>2000</v>
      </c>
      <c r="F670" s="10" t="s">
        <v>372</v>
      </c>
      <c r="G670" s="10"/>
    </row>
    <row r="671" customFormat="false" ht="15.75" hidden="false" customHeight="true" outlineLevel="0" collapsed="false">
      <c r="A671" s="18" t="n">
        <v>786</v>
      </c>
      <c r="B671" s="18" t="s">
        <v>565</v>
      </c>
      <c r="C671" s="115" t="n">
        <v>45499</v>
      </c>
      <c r="D671" s="10" t="n">
        <v>110</v>
      </c>
      <c r="E671" s="10" t="n">
        <v>13600</v>
      </c>
      <c r="F671" s="10" t="s">
        <v>227</v>
      </c>
      <c r="G671" s="10"/>
    </row>
    <row r="672" customFormat="false" ht="15.75" hidden="false" customHeight="true" outlineLevel="0" collapsed="false">
      <c r="A672" s="18" t="n">
        <v>785</v>
      </c>
      <c r="B672" s="18" t="s">
        <v>566</v>
      </c>
      <c r="C672" s="115" t="n">
        <v>45499</v>
      </c>
      <c r="D672" s="10" t="n">
        <v>100</v>
      </c>
      <c r="E672" s="10" t="n">
        <v>500</v>
      </c>
      <c r="F672" s="10" t="s">
        <v>225</v>
      </c>
      <c r="G672" s="10"/>
    </row>
    <row r="673" customFormat="false" ht="15.75" hidden="false" customHeight="true" outlineLevel="0" collapsed="false">
      <c r="A673" s="18" t="n">
        <v>260543</v>
      </c>
      <c r="B673" s="18" t="s">
        <v>231</v>
      </c>
      <c r="C673" s="115" t="n">
        <v>45499</v>
      </c>
      <c r="D673" s="10" t="n">
        <v>105</v>
      </c>
      <c r="E673" s="10" t="n">
        <v>720</v>
      </c>
      <c r="F673" s="10" t="s">
        <v>225</v>
      </c>
      <c r="G673" s="10"/>
    </row>
    <row r="674" customFormat="false" ht="15.75" hidden="false" customHeight="true" outlineLevel="0" collapsed="false">
      <c r="A674" s="18" t="n">
        <v>781</v>
      </c>
      <c r="B674" s="18" t="s">
        <v>350</v>
      </c>
      <c r="C674" s="115" t="n">
        <v>45499</v>
      </c>
      <c r="D674" s="10" t="n">
        <v>110</v>
      </c>
      <c r="E674" s="10" t="n">
        <v>2700</v>
      </c>
      <c r="F674" s="10" t="s">
        <v>225</v>
      </c>
      <c r="G674" s="10" t="s">
        <v>232</v>
      </c>
    </row>
    <row r="675" customFormat="false" ht="15.75" hidden="false" customHeight="true" outlineLevel="0" collapsed="false">
      <c r="A675" s="18" t="n">
        <v>783</v>
      </c>
      <c r="B675" s="18" t="s">
        <v>88</v>
      </c>
      <c r="C675" s="115" t="n">
        <v>45499</v>
      </c>
      <c r="D675" s="10" t="n">
        <v>250</v>
      </c>
      <c r="E675" s="10" t="n">
        <v>430</v>
      </c>
      <c r="F675" s="10" t="s">
        <v>225</v>
      </c>
      <c r="G675" s="10"/>
    </row>
    <row r="676" customFormat="false" ht="15.75" hidden="false" customHeight="true" outlineLevel="0" collapsed="false">
      <c r="A676" s="18" t="n">
        <v>801</v>
      </c>
      <c r="B676" s="18" t="s">
        <v>270</v>
      </c>
      <c r="C676" s="115" t="n">
        <v>45502</v>
      </c>
      <c r="D676" s="10" t="n">
        <v>75</v>
      </c>
      <c r="E676" s="10" t="n">
        <v>910</v>
      </c>
      <c r="F676" s="10" t="s">
        <v>225</v>
      </c>
      <c r="G676" s="10"/>
    </row>
    <row r="677" customFormat="false" ht="15.75" hidden="false" customHeight="true" outlineLevel="0" collapsed="false">
      <c r="A677" s="18" t="n">
        <v>803</v>
      </c>
      <c r="B677" s="18" t="s">
        <v>313</v>
      </c>
      <c r="C677" s="115" t="n">
        <v>45502</v>
      </c>
      <c r="D677" s="10" t="n">
        <v>80</v>
      </c>
      <c r="E677" s="10" t="n">
        <v>620</v>
      </c>
      <c r="F677" s="10" t="s">
        <v>227</v>
      </c>
      <c r="G677" s="10"/>
    </row>
    <row r="678" customFormat="false" ht="15.75" hidden="false" customHeight="true" outlineLevel="0" collapsed="false">
      <c r="A678" s="18" t="n">
        <v>260529</v>
      </c>
      <c r="B678" s="18" t="s">
        <v>508</v>
      </c>
      <c r="C678" s="115" t="n">
        <v>45502</v>
      </c>
      <c r="D678" s="10" t="n">
        <v>100</v>
      </c>
      <c r="E678" s="10" t="n">
        <v>680</v>
      </c>
      <c r="F678" s="10" t="s">
        <v>225</v>
      </c>
      <c r="G678" s="10"/>
    </row>
    <row r="679" customFormat="false" ht="15.75" hidden="false" customHeight="true" outlineLevel="0" collapsed="false">
      <c r="A679" s="18" t="n">
        <v>789</v>
      </c>
      <c r="B679" s="18" t="s">
        <v>567</v>
      </c>
      <c r="C679" s="115" t="n">
        <v>45502</v>
      </c>
      <c r="D679" s="10" t="n">
        <v>105</v>
      </c>
      <c r="E679" s="10" t="n">
        <v>1260</v>
      </c>
      <c r="F679" s="10" t="s">
        <v>225</v>
      </c>
      <c r="G679" s="10"/>
    </row>
    <row r="680" customFormat="false" ht="15.75" hidden="false" customHeight="true" outlineLevel="0" collapsed="false">
      <c r="A680" s="18" t="n">
        <v>260545</v>
      </c>
      <c r="B680" s="18" t="s">
        <v>257</v>
      </c>
      <c r="C680" s="115" t="n">
        <v>45502</v>
      </c>
      <c r="D680" s="10" t="n">
        <v>130</v>
      </c>
      <c r="E680" s="10" t="n">
        <v>450</v>
      </c>
      <c r="F680" s="10" t="s">
        <v>225</v>
      </c>
      <c r="G680" s="10"/>
    </row>
    <row r="681" customFormat="false" ht="15.75" hidden="false" customHeight="true" outlineLevel="0" collapsed="false">
      <c r="A681" s="18" t="n">
        <v>804</v>
      </c>
      <c r="B681" s="18" t="s">
        <v>313</v>
      </c>
      <c r="C681" s="115" t="n">
        <v>45502</v>
      </c>
      <c r="D681" s="10"/>
      <c r="E681" s="10"/>
      <c r="F681" s="10" t="s">
        <v>225</v>
      </c>
      <c r="G681" s="10"/>
    </row>
    <row r="682" customFormat="false" ht="15.75" hidden="false" customHeight="true" outlineLevel="0" collapsed="false">
      <c r="A682" s="18" t="n">
        <v>805</v>
      </c>
      <c r="B682" s="18" t="s">
        <v>313</v>
      </c>
      <c r="C682" s="115" t="n">
        <v>45502</v>
      </c>
      <c r="D682" s="10" t="n">
        <v>250</v>
      </c>
      <c r="E682" s="10" t="n">
        <v>4452</v>
      </c>
      <c r="F682" s="10" t="s">
        <v>236</v>
      </c>
      <c r="G682" s="10"/>
    </row>
    <row r="683" customFormat="false" ht="15.75" hidden="false" customHeight="true" outlineLevel="0" collapsed="false">
      <c r="A683" s="18" t="n">
        <v>823</v>
      </c>
      <c r="B683" s="18" t="s">
        <v>568</v>
      </c>
      <c r="C683" s="115" t="n">
        <v>45503</v>
      </c>
      <c r="D683" s="10" t="n">
        <v>35</v>
      </c>
      <c r="E683" s="10" t="n">
        <v>414</v>
      </c>
      <c r="F683" s="10" t="s">
        <v>225</v>
      </c>
      <c r="G683" s="10" t="s">
        <v>232</v>
      </c>
    </row>
    <row r="684" customFormat="false" ht="15.75" hidden="false" customHeight="true" outlineLevel="0" collapsed="false">
      <c r="A684" s="18" t="n">
        <v>260546</v>
      </c>
      <c r="B684" s="18" t="s">
        <v>421</v>
      </c>
      <c r="C684" s="115" t="n">
        <v>45503</v>
      </c>
      <c r="D684" s="10" t="n">
        <v>45</v>
      </c>
      <c r="E684" s="10" t="n">
        <v>320</v>
      </c>
      <c r="F684" s="10" t="s">
        <v>225</v>
      </c>
      <c r="G684" s="10" t="s">
        <v>232</v>
      </c>
    </row>
    <row r="685" customFormat="false" ht="15.75" hidden="false" customHeight="true" outlineLevel="0" collapsed="false">
      <c r="A685" s="18" t="n">
        <v>821</v>
      </c>
      <c r="B685" s="18" t="s">
        <v>311</v>
      </c>
      <c r="C685" s="115" t="n">
        <v>45503</v>
      </c>
      <c r="D685" s="10" t="n">
        <v>53</v>
      </c>
      <c r="E685" s="10" t="n">
        <v>510</v>
      </c>
      <c r="F685" s="10" t="s">
        <v>225</v>
      </c>
      <c r="G685" s="10"/>
    </row>
    <row r="686" customFormat="false" ht="15.75" hidden="false" customHeight="true" outlineLevel="0" collapsed="false">
      <c r="A686" s="18" t="n">
        <v>788</v>
      </c>
      <c r="B686" s="18" t="s">
        <v>88</v>
      </c>
      <c r="C686" s="115" t="n">
        <v>45503</v>
      </c>
      <c r="D686" s="10" t="n">
        <v>78</v>
      </c>
      <c r="E686" s="10" t="n">
        <v>810</v>
      </c>
      <c r="F686" s="10" t="s">
        <v>225</v>
      </c>
      <c r="G686" s="10"/>
    </row>
    <row r="687" customFormat="false" ht="15.75" hidden="false" customHeight="true" outlineLevel="0" collapsed="false">
      <c r="A687" s="18" t="n">
        <v>260549</v>
      </c>
      <c r="B687" s="18" t="s">
        <v>569</v>
      </c>
      <c r="C687" s="115" t="n">
        <v>45503</v>
      </c>
      <c r="D687" s="10" t="n">
        <v>85</v>
      </c>
      <c r="E687" s="10" t="n">
        <v>215</v>
      </c>
      <c r="F687" s="10" t="s">
        <v>225</v>
      </c>
      <c r="G687" s="10"/>
    </row>
    <row r="688" customFormat="false" ht="15.75" hidden="false" customHeight="true" outlineLevel="0" collapsed="false">
      <c r="A688" s="18" t="n">
        <v>818</v>
      </c>
      <c r="B688" s="18" t="s">
        <v>423</v>
      </c>
      <c r="C688" s="115" t="n">
        <v>45503</v>
      </c>
      <c r="D688" s="10" t="n">
        <v>85</v>
      </c>
      <c r="E688" s="10" t="n">
        <v>810</v>
      </c>
      <c r="F688" s="10" t="s">
        <v>225</v>
      </c>
      <c r="G688" s="10"/>
    </row>
    <row r="689" customFormat="false" ht="15.75" hidden="false" customHeight="true" outlineLevel="0" collapsed="false">
      <c r="A689" s="18" t="n">
        <v>260547</v>
      </c>
      <c r="B689" s="18" t="s">
        <v>570</v>
      </c>
      <c r="C689" s="115" t="n">
        <v>45503</v>
      </c>
      <c r="D689" s="10" t="n">
        <v>53</v>
      </c>
      <c r="E689" s="10" t="n">
        <v>255</v>
      </c>
      <c r="F689" s="10" t="s">
        <v>227</v>
      </c>
      <c r="G689" s="10"/>
    </row>
    <row r="690" customFormat="false" ht="15.75" hidden="false" customHeight="true" outlineLevel="0" collapsed="false">
      <c r="A690" s="18" t="n">
        <v>809</v>
      </c>
      <c r="B690" s="18" t="s">
        <v>495</v>
      </c>
      <c r="C690" s="115" t="n">
        <v>45503</v>
      </c>
      <c r="D690" s="10" t="n">
        <v>210</v>
      </c>
      <c r="E690" s="10" t="n">
        <v>315</v>
      </c>
      <c r="F690" s="10" t="s">
        <v>229</v>
      </c>
      <c r="G690" s="10"/>
    </row>
    <row r="691" customFormat="false" ht="15.75" hidden="false" customHeight="true" outlineLevel="0" collapsed="false">
      <c r="A691" s="18" t="n">
        <v>807</v>
      </c>
      <c r="B691" s="18" t="s">
        <v>495</v>
      </c>
      <c r="C691" s="115" t="n">
        <v>45503</v>
      </c>
      <c r="D691" s="10" t="n">
        <v>210</v>
      </c>
      <c r="E691" s="10" t="n">
        <v>350</v>
      </c>
      <c r="F691" s="10" t="s">
        <v>229</v>
      </c>
      <c r="G691" s="10"/>
    </row>
    <row r="692" customFormat="false" ht="15.75" hidden="false" customHeight="true" outlineLevel="0" collapsed="false">
      <c r="A692" s="18" t="n">
        <v>820</v>
      </c>
      <c r="B692" s="18" t="s">
        <v>571</v>
      </c>
      <c r="C692" s="115" t="n">
        <v>45503</v>
      </c>
      <c r="D692" s="10" t="n">
        <v>110</v>
      </c>
      <c r="E692" s="10" t="n">
        <v>2160</v>
      </c>
      <c r="F692" s="10" t="s">
        <v>227</v>
      </c>
      <c r="G692" s="10"/>
    </row>
    <row r="693" customFormat="false" ht="15.75" hidden="false" customHeight="true" outlineLevel="0" collapsed="false">
      <c r="A693" s="18" t="n">
        <v>260550</v>
      </c>
      <c r="B693" s="18" t="s">
        <v>240</v>
      </c>
      <c r="C693" s="115" t="n">
        <v>45503</v>
      </c>
      <c r="D693" s="10" t="n">
        <v>110</v>
      </c>
      <c r="E693" s="10" t="n">
        <v>810</v>
      </c>
      <c r="F693" s="10" t="s">
        <v>227</v>
      </c>
      <c r="G693" s="10"/>
    </row>
    <row r="694" customFormat="false" ht="15.75" hidden="false" customHeight="true" outlineLevel="0" collapsed="false">
      <c r="A694" s="18" t="n">
        <v>822</v>
      </c>
      <c r="B694" s="18" t="s">
        <v>528</v>
      </c>
      <c r="C694" s="115" t="n">
        <v>45503</v>
      </c>
      <c r="D694" s="10" t="n">
        <v>110</v>
      </c>
      <c r="E694" s="10" t="n">
        <v>3750</v>
      </c>
      <c r="F694" s="10" t="s">
        <v>227</v>
      </c>
      <c r="G694" s="10"/>
    </row>
    <row r="695" customFormat="false" ht="15.75" hidden="false" customHeight="true" outlineLevel="0" collapsed="false">
      <c r="A695" s="18" t="n">
        <v>819</v>
      </c>
      <c r="B695" s="18" t="s">
        <v>397</v>
      </c>
      <c r="C695" s="115" t="n">
        <v>45503</v>
      </c>
      <c r="D695" s="10" t="n">
        <v>110</v>
      </c>
      <c r="E695" s="10" t="n">
        <v>1050</v>
      </c>
      <c r="F695" s="10" t="s">
        <v>227</v>
      </c>
      <c r="G695" s="10"/>
    </row>
    <row r="696" customFormat="false" ht="15.75" hidden="false" customHeight="true" outlineLevel="0" collapsed="false">
      <c r="A696" s="18" t="n">
        <v>812</v>
      </c>
      <c r="B696" s="18" t="s">
        <v>572</v>
      </c>
      <c r="C696" s="115" t="n">
        <v>45503</v>
      </c>
      <c r="D696" s="10" t="n">
        <v>145</v>
      </c>
      <c r="E696" s="10" t="n">
        <v>1000</v>
      </c>
      <c r="F696" s="10" t="s">
        <v>227</v>
      </c>
      <c r="G696" s="10"/>
    </row>
    <row r="697" customFormat="false" ht="15.75" hidden="false" customHeight="true" outlineLevel="0" collapsed="false">
      <c r="A697" s="18" t="n">
        <v>811</v>
      </c>
      <c r="B697" s="18" t="s">
        <v>66</v>
      </c>
      <c r="C697" s="115" t="n">
        <v>45503</v>
      </c>
      <c r="D697" s="10" t="n">
        <v>95</v>
      </c>
      <c r="E697" s="10" t="n">
        <v>1753</v>
      </c>
      <c r="F697" s="10" t="s">
        <v>225</v>
      </c>
      <c r="G697" s="10"/>
    </row>
    <row r="698" customFormat="false" ht="15.75" hidden="false" customHeight="true" outlineLevel="0" collapsed="false">
      <c r="A698" s="18" t="n">
        <v>808</v>
      </c>
      <c r="B698" s="18" t="s">
        <v>411</v>
      </c>
      <c r="C698" s="115" t="n">
        <v>45503</v>
      </c>
      <c r="D698" s="10" t="n">
        <v>100</v>
      </c>
      <c r="E698" s="10" t="n">
        <v>680</v>
      </c>
      <c r="F698" s="10" t="s">
        <v>225</v>
      </c>
      <c r="G698" s="10"/>
    </row>
    <row r="699" customFormat="false" ht="15.75" hidden="false" customHeight="true" outlineLevel="0" collapsed="false">
      <c r="A699" s="18" t="n">
        <v>806</v>
      </c>
      <c r="B699" s="18" t="s">
        <v>294</v>
      </c>
      <c r="C699" s="115" t="n">
        <v>45503</v>
      </c>
      <c r="D699" s="10" t="n">
        <v>130</v>
      </c>
      <c r="E699" s="10" t="n">
        <v>2560</v>
      </c>
      <c r="F699" s="10" t="s">
        <v>225</v>
      </c>
      <c r="G699" s="10"/>
    </row>
    <row r="700" customFormat="false" ht="15.75" hidden="false" customHeight="true" outlineLevel="0" collapsed="false">
      <c r="A700" s="18" t="n">
        <v>814</v>
      </c>
      <c r="B700" s="18" t="s">
        <v>548</v>
      </c>
      <c r="C700" s="115" t="n">
        <v>45503</v>
      </c>
      <c r="D700" s="10" t="n">
        <v>210</v>
      </c>
      <c r="E700" s="10" t="n">
        <v>215</v>
      </c>
      <c r="F700" s="10" t="s">
        <v>225</v>
      </c>
      <c r="G700" s="10"/>
    </row>
    <row r="701" customFormat="false" ht="15.75" hidden="false" customHeight="true" outlineLevel="0" collapsed="false">
      <c r="A701" s="18" t="n">
        <v>824</v>
      </c>
      <c r="B701" s="18" t="s">
        <v>443</v>
      </c>
      <c r="C701" s="115" t="n">
        <v>45503</v>
      </c>
      <c r="D701" s="10" t="n">
        <v>210</v>
      </c>
      <c r="E701" s="10" t="n">
        <v>258</v>
      </c>
      <c r="F701" s="10" t="s">
        <v>225</v>
      </c>
      <c r="G701" s="10"/>
    </row>
    <row r="702" customFormat="false" ht="15.75" hidden="false" customHeight="true" outlineLevel="0" collapsed="false">
      <c r="A702" s="18" t="n">
        <v>664</v>
      </c>
      <c r="B702" s="18" t="s">
        <v>573</v>
      </c>
      <c r="C702" s="115" t="n">
        <v>45505</v>
      </c>
      <c r="D702" s="10" t="n">
        <v>55</v>
      </c>
      <c r="E702" s="10" t="n">
        <v>113</v>
      </c>
      <c r="F702" s="10" t="s">
        <v>225</v>
      </c>
      <c r="G702" s="10"/>
    </row>
    <row r="703" customFormat="false" ht="15.75" hidden="false" customHeight="true" outlineLevel="0" collapsed="false">
      <c r="A703" s="18" t="n">
        <v>830</v>
      </c>
      <c r="B703" s="18" t="s">
        <v>574</v>
      </c>
      <c r="C703" s="115" t="n">
        <v>45505</v>
      </c>
      <c r="D703" s="10" t="n">
        <v>55</v>
      </c>
      <c r="E703" s="10" t="n">
        <v>1600</v>
      </c>
      <c r="F703" s="10" t="s">
        <v>225</v>
      </c>
      <c r="G703" s="10"/>
    </row>
    <row r="704" customFormat="false" ht="15.75" hidden="false" customHeight="true" outlineLevel="0" collapsed="false">
      <c r="A704" s="18" t="n">
        <v>260552</v>
      </c>
      <c r="B704" s="18" t="s">
        <v>575</v>
      </c>
      <c r="C704" s="115" t="n">
        <v>45505</v>
      </c>
      <c r="D704" s="10" t="n">
        <v>73</v>
      </c>
      <c r="E704" s="10" t="n">
        <v>153</v>
      </c>
      <c r="F704" s="10" t="s">
        <v>225</v>
      </c>
      <c r="G704" s="10"/>
    </row>
    <row r="705" customFormat="false" ht="15.75" hidden="false" customHeight="true" outlineLevel="0" collapsed="false">
      <c r="A705" s="18" t="n">
        <v>832</v>
      </c>
      <c r="B705" s="18" t="s">
        <v>313</v>
      </c>
      <c r="C705" s="115" t="n">
        <v>45505</v>
      </c>
      <c r="D705" s="10" t="n">
        <v>80</v>
      </c>
      <c r="E705" s="10" t="n">
        <v>620</v>
      </c>
      <c r="F705" s="10" t="s">
        <v>227</v>
      </c>
      <c r="G705" s="10"/>
    </row>
    <row r="706" customFormat="false" ht="15.75" hidden="false" customHeight="true" outlineLevel="0" collapsed="false">
      <c r="A706" s="18" t="n">
        <v>260555</v>
      </c>
      <c r="B706" s="18" t="s">
        <v>259</v>
      </c>
      <c r="C706" s="115" t="n">
        <v>45505</v>
      </c>
      <c r="D706" s="10" t="n">
        <v>95</v>
      </c>
      <c r="E706" s="10" t="n">
        <v>3000</v>
      </c>
      <c r="F706" s="10" t="s">
        <v>225</v>
      </c>
      <c r="G706" s="10"/>
    </row>
    <row r="707" customFormat="false" ht="15.75" hidden="false" customHeight="true" outlineLevel="0" collapsed="false">
      <c r="A707" s="18" t="n">
        <v>260556</v>
      </c>
      <c r="B707" s="18" t="s">
        <v>259</v>
      </c>
      <c r="C707" s="115" t="n">
        <v>45505</v>
      </c>
      <c r="D707" s="10" t="n">
        <v>100</v>
      </c>
      <c r="E707" s="10" t="n">
        <v>750</v>
      </c>
      <c r="F707" s="10" t="s">
        <v>225</v>
      </c>
      <c r="G707" s="10"/>
    </row>
    <row r="708" customFormat="false" ht="15.75" hidden="false" customHeight="true" outlineLevel="0" collapsed="false">
      <c r="A708" s="18" t="n">
        <v>827</v>
      </c>
      <c r="B708" s="18" t="s">
        <v>244</v>
      </c>
      <c r="C708" s="115" t="n">
        <v>45505</v>
      </c>
      <c r="D708" s="10" t="n">
        <v>110</v>
      </c>
      <c r="E708" s="10" t="n">
        <v>1050</v>
      </c>
      <c r="F708" s="10" t="s">
        <v>225</v>
      </c>
      <c r="G708" s="10"/>
    </row>
    <row r="709" customFormat="false" ht="15.75" hidden="false" customHeight="true" outlineLevel="0" collapsed="false">
      <c r="A709" s="18" t="n">
        <v>831</v>
      </c>
      <c r="B709" s="18" t="s">
        <v>285</v>
      </c>
      <c r="C709" s="115" t="n">
        <v>45505</v>
      </c>
      <c r="D709" s="10" t="n">
        <v>125</v>
      </c>
      <c r="E709" s="10" t="n">
        <v>5000</v>
      </c>
      <c r="F709" s="10" t="s">
        <v>225</v>
      </c>
      <c r="G709" s="10"/>
    </row>
    <row r="710" customFormat="false" ht="15.75" hidden="false" customHeight="true" outlineLevel="0" collapsed="false">
      <c r="A710" s="18" t="n">
        <v>829</v>
      </c>
      <c r="B710" s="18" t="s">
        <v>488</v>
      </c>
      <c r="C710" s="115" t="n">
        <v>45505</v>
      </c>
      <c r="D710" s="10" t="n">
        <v>210</v>
      </c>
      <c r="E710" s="10" t="n">
        <v>1200</v>
      </c>
      <c r="F710" s="10" t="s">
        <v>225</v>
      </c>
      <c r="G710" s="10"/>
    </row>
    <row r="711" customFormat="false" ht="15.75" hidden="false" customHeight="true" outlineLevel="0" collapsed="false">
      <c r="A711" s="18" t="n">
        <v>833</v>
      </c>
      <c r="B711" s="18" t="s">
        <v>441</v>
      </c>
      <c r="C711" s="115" t="n">
        <v>45505</v>
      </c>
      <c r="D711" s="10" t="n">
        <v>210</v>
      </c>
      <c r="E711" s="10" t="n">
        <v>473</v>
      </c>
      <c r="F711" s="10" t="s">
        <v>225</v>
      </c>
      <c r="G711" s="10"/>
    </row>
    <row r="712" customFormat="false" ht="15.75" hidden="false" customHeight="true" outlineLevel="0" collapsed="false">
      <c r="A712" s="18" t="n">
        <v>260553</v>
      </c>
      <c r="B712" s="18" t="s">
        <v>576</v>
      </c>
      <c r="C712" s="115" t="n">
        <v>45506</v>
      </c>
      <c r="D712" s="10" t="n">
        <v>70</v>
      </c>
      <c r="E712" s="10" t="n">
        <v>340</v>
      </c>
      <c r="F712" s="10" t="s">
        <v>225</v>
      </c>
      <c r="G712" s="10"/>
    </row>
    <row r="713" customFormat="false" ht="15.75" hidden="false" customHeight="true" outlineLevel="0" collapsed="false">
      <c r="A713" s="18" t="n">
        <v>260560</v>
      </c>
      <c r="B713" s="18" t="s">
        <v>308</v>
      </c>
      <c r="C713" s="115" t="n">
        <v>45506</v>
      </c>
      <c r="D713" s="10" t="n">
        <v>70</v>
      </c>
      <c r="E713" s="10" t="n">
        <v>1080</v>
      </c>
      <c r="F713" s="10" t="s">
        <v>225</v>
      </c>
      <c r="G713" s="10"/>
    </row>
    <row r="714" customFormat="false" ht="15.75" hidden="false" customHeight="true" outlineLevel="0" collapsed="false">
      <c r="A714" s="18" t="n">
        <v>260557</v>
      </c>
      <c r="B714" s="18" t="s">
        <v>415</v>
      </c>
      <c r="C714" s="115" t="n">
        <v>45506</v>
      </c>
      <c r="D714" s="10" t="n">
        <v>110</v>
      </c>
      <c r="E714" s="10" t="n">
        <v>1900</v>
      </c>
      <c r="F714" s="10" t="s">
        <v>577</v>
      </c>
      <c r="G714" s="10"/>
    </row>
    <row r="715" customFormat="false" ht="15.75" hidden="false" customHeight="true" outlineLevel="0" collapsed="false">
      <c r="A715" s="18" t="n">
        <v>260561</v>
      </c>
      <c r="B715" s="18" t="s">
        <v>378</v>
      </c>
      <c r="C715" s="115" t="n">
        <v>45506</v>
      </c>
      <c r="D715" s="10" t="n">
        <v>110</v>
      </c>
      <c r="E715" s="10" t="n">
        <v>3000</v>
      </c>
      <c r="F715" s="10" t="s">
        <v>227</v>
      </c>
      <c r="G715" s="10"/>
    </row>
    <row r="716" customFormat="false" ht="15.75" hidden="false" customHeight="true" outlineLevel="0" collapsed="false">
      <c r="A716" s="18" t="n">
        <v>825</v>
      </c>
      <c r="B716" s="18" t="s">
        <v>428</v>
      </c>
      <c r="C716" s="115" t="n">
        <v>45506</v>
      </c>
      <c r="D716" s="10" t="n">
        <v>129</v>
      </c>
      <c r="E716" s="10" t="n">
        <v>615</v>
      </c>
      <c r="F716" s="10" t="s">
        <v>225</v>
      </c>
      <c r="G716" s="10" t="s">
        <v>232</v>
      </c>
    </row>
    <row r="717" customFormat="false" ht="15.75" hidden="false" customHeight="true" outlineLevel="0" collapsed="false">
      <c r="A717" s="18" t="n">
        <v>836</v>
      </c>
      <c r="B717" s="18" t="s">
        <v>258</v>
      </c>
      <c r="C717" s="115" t="n">
        <v>45506</v>
      </c>
      <c r="D717" s="10" t="n">
        <v>130</v>
      </c>
      <c r="E717" s="10" t="n">
        <v>1400</v>
      </c>
      <c r="F717" s="10" t="s">
        <v>225</v>
      </c>
      <c r="G717" s="10"/>
    </row>
    <row r="718" customFormat="false" ht="15.75" hidden="false" customHeight="true" outlineLevel="0" collapsed="false">
      <c r="A718" s="18" t="n">
        <v>834</v>
      </c>
      <c r="B718" s="18" t="s">
        <v>465</v>
      </c>
      <c r="C718" s="115" t="n">
        <v>45506</v>
      </c>
      <c r="D718" s="10" t="n">
        <v>140</v>
      </c>
      <c r="E718" s="10" t="n">
        <v>450</v>
      </c>
      <c r="F718" s="10" t="s">
        <v>225</v>
      </c>
      <c r="G718" s="10"/>
    </row>
    <row r="719" customFormat="false" ht="15.75" hidden="false" customHeight="true" outlineLevel="0" collapsed="false">
      <c r="A719" s="18" t="n">
        <v>838</v>
      </c>
      <c r="B719" s="18" t="s">
        <v>461</v>
      </c>
      <c r="C719" s="115" t="n">
        <v>45506</v>
      </c>
      <c r="D719" s="10" t="n">
        <v>140</v>
      </c>
      <c r="E719" s="10" t="n">
        <v>140</v>
      </c>
      <c r="F719" s="10" t="s">
        <v>225</v>
      </c>
      <c r="G719" s="10" t="s">
        <v>232</v>
      </c>
    </row>
    <row r="720" customFormat="false" ht="15.75" hidden="false" customHeight="true" outlineLevel="0" collapsed="false">
      <c r="A720" s="18" t="n">
        <v>837</v>
      </c>
      <c r="B720" s="18" t="s">
        <v>578</v>
      </c>
      <c r="C720" s="115" t="n">
        <v>45506</v>
      </c>
      <c r="D720" s="10" t="n">
        <v>140</v>
      </c>
      <c r="E720" s="10" t="n">
        <v>140</v>
      </c>
      <c r="F720" s="10" t="s">
        <v>225</v>
      </c>
      <c r="G720" s="10"/>
    </row>
    <row r="721" customFormat="false" ht="15.75" hidden="false" customHeight="true" outlineLevel="0" collapsed="false">
      <c r="A721" s="18" t="n">
        <v>783</v>
      </c>
      <c r="B721" s="18" t="s">
        <v>88</v>
      </c>
      <c r="C721" s="115" t="n">
        <v>45506</v>
      </c>
      <c r="D721" s="10" t="n">
        <v>250</v>
      </c>
      <c r="E721" s="10" t="n">
        <v>450</v>
      </c>
      <c r="F721" s="10" t="s">
        <v>225</v>
      </c>
      <c r="G721" s="10"/>
    </row>
    <row r="722" customFormat="false" ht="15.75" hidden="false" customHeight="true" outlineLevel="0" collapsed="false">
      <c r="A722" s="18" t="n">
        <v>260553</v>
      </c>
      <c r="B722" s="18" t="s">
        <v>576</v>
      </c>
      <c r="C722" s="115" t="n">
        <v>45506</v>
      </c>
      <c r="D722" s="10" t="n">
        <v>250</v>
      </c>
      <c r="E722" s="10" t="n">
        <v>85</v>
      </c>
      <c r="F722" s="10" t="s">
        <v>225</v>
      </c>
      <c r="G722" s="10"/>
    </row>
    <row r="723" customFormat="false" ht="15.75" hidden="false" customHeight="true" outlineLevel="0" collapsed="false">
      <c r="A723" s="18" t="n">
        <v>260563</v>
      </c>
      <c r="B723" s="18" t="s">
        <v>579</v>
      </c>
      <c r="C723" s="115" t="n">
        <v>45506</v>
      </c>
      <c r="D723" s="10" t="n">
        <v>250</v>
      </c>
      <c r="E723" s="10" t="n">
        <v>72</v>
      </c>
      <c r="F723" s="10" t="s">
        <v>236</v>
      </c>
      <c r="G723" s="10"/>
    </row>
    <row r="724" customFormat="false" ht="15.75" hidden="false" customHeight="true" outlineLevel="0" collapsed="false">
      <c r="A724" s="18" t="n">
        <v>260566</v>
      </c>
      <c r="B724" s="18" t="s">
        <v>580</v>
      </c>
      <c r="C724" s="115" t="n">
        <v>45510</v>
      </c>
      <c r="D724" s="10" t="n">
        <v>48</v>
      </c>
      <c r="E724" s="10" t="n">
        <v>690</v>
      </c>
      <c r="F724" s="10" t="s">
        <v>225</v>
      </c>
      <c r="G724" s="10"/>
    </row>
    <row r="725" customFormat="false" ht="15.75" hidden="false" customHeight="true" outlineLevel="0" collapsed="false">
      <c r="A725" s="18" t="n">
        <v>839</v>
      </c>
      <c r="B725" s="18" t="s">
        <v>401</v>
      </c>
      <c r="C725" s="115" t="n">
        <v>45510</v>
      </c>
      <c r="D725" s="10" t="n">
        <v>75</v>
      </c>
      <c r="E725" s="10" t="n">
        <v>1500</v>
      </c>
      <c r="F725" s="10" t="s">
        <v>225</v>
      </c>
      <c r="G725" s="10"/>
    </row>
    <row r="726" customFormat="false" ht="15.75" hidden="false" customHeight="true" outlineLevel="0" collapsed="false">
      <c r="A726" s="18" t="n">
        <v>260569</v>
      </c>
      <c r="B726" s="18" t="s">
        <v>298</v>
      </c>
      <c r="C726" s="115" t="n">
        <v>45510</v>
      </c>
      <c r="D726" s="10" t="n">
        <v>80</v>
      </c>
      <c r="E726" s="10" t="n">
        <v>1490</v>
      </c>
      <c r="F726" s="10" t="s">
        <v>225</v>
      </c>
      <c r="G726" s="10"/>
    </row>
    <row r="727" customFormat="false" ht="15.75" hidden="false" customHeight="true" outlineLevel="0" collapsed="false">
      <c r="A727" s="18" t="n">
        <v>855</v>
      </c>
      <c r="B727" s="18" t="s">
        <v>295</v>
      </c>
      <c r="C727" s="115" t="n">
        <v>45510</v>
      </c>
      <c r="D727" s="10" t="n">
        <v>210</v>
      </c>
      <c r="E727" s="10" t="n">
        <v>430</v>
      </c>
      <c r="F727" s="10" t="s">
        <v>229</v>
      </c>
      <c r="G727" s="10"/>
    </row>
    <row r="728" customFormat="false" ht="15.75" hidden="false" customHeight="true" outlineLevel="0" collapsed="false">
      <c r="A728" s="18" t="n">
        <v>858</v>
      </c>
      <c r="B728" s="18" t="s">
        <v>581</v>
      </c>
      <c r="C728" s="115" t="n">
        <v>45510</v>
      </c>
      <c r="D728" s="10" t="n">
        <v>110</v>
      </c>
      <c r="E728" s="10" t="n">
        <v>3900</v>
      </c>
      <c r="F728" s="10" t="s">
        <v>227</v>
      </c>
      <c r="G728" s="10"/>
    </row>
    <row r="729" customFormat="false" ht="15.75" hidden="false" customHeight="true" outlineLevel="0" collapsed="false">
      <c r="A729" s="18" t="n">
        <v>857</v>
      </c>
      <c r="B729" s="18" t="s">
        <v>582</v>
      </c>
      <c r="C729" s="115" t="n">
        <v>45510</v>
      </c>
      <c r="D729" s="10" t="n">
        <v>110</v>
      </c>
      <c r="E729" s="10" t="n">
        <v>374</v>
      </c>
      <c r="F729" s="10" t="s">
        <v>229</v>
      </c>
      <c r="G729" s="10"/>
    </row>
    <row r="730" customFormat="false" ht="15.75" hidden="false" customHeight="true" outlineLevel="0" collapsed="false">
      <c r="A730" s="18" t="n">
        <v>865</v>
      </c>
      <c r="B730" s="18" t="s">
        <v>272</v>
      </c>
      <c r="C730" s="115" t="n">
        <v>45510</v>
      </c>
      <c r="D730" s="10" t="n">
        <v>110</v>
      </c>
      <c r="E730" s="10" t="n">
        <v>3200</v>
      </c>
      <c r="F730" s="10" t="s">
        <v>227</v>
      </c>
      <c r="G730" s="10"/>
    </row>
    <row r="731" customFormat="false" ht="15.75" hidden="false" customHeight="true" outlineLevel="0" collapsed="false">
      <c r="A731" s="18" t="n">
        <v>867</v>
      </c>
      <c r="B731" s="18" t="s">
        <v>255</v>
      </c>
      <c r="C731" s="115" t="n">
        <v>45510</v>
      </c>
      <c r="D731" s="10" t="n">
        <v>100</v>
      </c>
      <c r="E731" s="10" t="n">
        <v>900</v>
      </c>
      <c r="F731" s="10" t="s">
        <v>225</v>
      </c>
      <c r="G731" s="10"/>
    </row>
    <row r="732" customFormat="false" ht="15.75" hidden="false" customHeight="true" outlineLevel="0" collapsed="false">
      <c r="A732" s="18" t="n">
        <v>260575</v>
      </c>
      <c r="B732" s="18" t="s">
        <v>583</v>
      </c>
      <c r="C732" s="115" t="n">
        <v>45510</v>
      </c>
      <c r="D732" s="10" t="n">
        <v>100</v>
      </c>
      <c r="E732" s="10" t="n">
        <v>800</v>
      </c>
      <c r="F732" s="10" t="s">
        <v>225</v>
      </c>
      <c r="G732" s="10"/>
    </row>
    <row r="733" customFormat="false" ht="15.75" hidden="false" customHeight="true" outlineLevel="0" collapsed="false">
      <c r="A733" s="18" t="n">
        <v>260538</v>
      </c>
      <c r="B733" s="18" t="s">
        <v>329</v>
      </c>
      <c r="C733" s="115" t="n">
        <v>45510</v>
      </c>
      <c r="D733" s="10" t="n">
        <v>105</v>
      </c>
      <c r="E733" s="10" t="n">
        <v>1050</v>
      </c>
      <c r="F733" s="10" t="s">
        <v>225</v>
      </c>
      <c r="G733" s="10"/>
    </row>
    <row r="734" customFormat="false" ht="15.75" hidden="false" customHeight="true" outlineLevel="0" collapsed="false">
      <c r="A734" s="18" t="n">
        <v>851</v>
      </c>
      <c r="B734" s="18" t="s">
        <v>521</v>
      </c>
      <c r="C734" s="115" t="n">
        <v>45510</v>
      </c>
      <c r="D734" s="10" t="n">
        <v>105</v>
      </c>
      <c r="E734" s="10" t="n">
        <v>1000</v>
      </c>
      <c r="F734" s="10" t="s">
        <v>225</v>
      </c>
      <c r="G734" s="10"/>
    </row>
    <row r="735" customFormat="false" ht="15.75" hidden="false" customHeight="true" outlineLevel="0" collapsed="false">
      <c r="A735" s="18" t="n">
        <v>843</v>
      </c>
      <c r="B735" s="18" t="s">
        <v>234</v>
      </c>
      <c r="C735" s="115" t="n">
        <v>45510</v>
      </c>
      <c r="D735" s="10" t="n">
        <v>110</v>
      </c>
      <c r="E735" s="10" t="n">
        <v>1700</v>
      </c>
      <c r="F735" s="10" t="s">
        <v>225</v>
      </c>
      <c r="G735" s="10"/>
    </row>
    <row r="736" customFormat="false" ht="15.75" hidden="false" customHeight="true" outlineLevel="0" collapsed="false">
      <c r="A736" s="18" t="n">
        <v>849</v>
      </c>
      <c r="B736" s="18" t="s">
        <v>401</v>
      </c>
      <c r="C736" s="115" t="n">
        <v>45510</v>
      </c>
      <c r="D736" s="10" t="n">
        <v>110</v>
      </c>
      <c r="E736" s="10" t="n">
        <v>5500</v>
      </c>
      <c r="F736" s="10" t="s">
        <v>225</v>
      </c>
      <c r="G736" s="10"/>
    </row>
    <row r="737" customFormat="false" ht="15.75" hidden="false" customHeight="true" outlineLevel="0" collapsed="false">
      <c r="A737" s="18" t="n">
        <v>850</v>
      </c>
      <c r="B737" s="18" t="s">
        <v>351</v>
      </c>
      <c r="C737" s="115" t="n">
        <v>45510</v>
      </c>
      <c r="D737" s="10" t="n">
        <v>125</v>
      </c>
      <c r="E737" s="10" t="n">
        <v>1340</v>
      </c>
      <c r="F737" s="10" t="s">
        <v>225</v>
      </c>
      <c r="G737" s="10"/>
    </row>
    <row r="738" customFormat="false" ht="15.75" hidden="false" customHeight="true" outlineLevel="0" collapsed="false">
      <c r="A738" s="18" t="n">
        <v>836</v>
      </c>
      <c r="B738" s="18" t="s">
        <v>258</v>
      </c>
      <c r="C738" s="115" t="n">
        <v>45510</v>
      </c>
      <c r="D738" s="10" t="n">
        <v>130</v>
      </c>
      <c r="E738" s="10" t="n">
        <v>1600</v>
      </c>
      <c r="F738" s="10" t="s">
        <v>225</v>
      </c>
      <c r="G738" s="10"/>
    </row>
    <row r="739" customFormat="false" ht="15.75" hidden="false" customHeight="true" outlineLevel="0" collapsed="false">
      <c r="A739" s="18" t="n">
        <v>843</v>
      </c>
      <c r="B739" s="18" t="s">
        <v>234</v>
      </c>
      <c r="C739" s="115" t="n">
        <v>45510</v>
      </c>
      <c r="D739" s="10" t="n">
        <v>220</v>
      </c>
      <c r="E739" s="10" t="n">
        <v>1428</v>
      </c>
      <c r="F739" s="10" t="s">
        <v>225</v>
      </c>
      <c r="G739" s="10"/>
    </row>
    <row r="740" customFormat="false" ht="15.75" hidden="false" customHeight="true" outlineLevel="0" collapsed="false">
      <c r="A740" s="18" t="n">
        <v>260564</v>
      </c>
      <c r="B740" s="18" t="s">
        <v>285</v>
      </c>
      <c r="C740" s="115" t="n">
        <v>45510</v>
      </c>
      <c r="D740" s="10" t="n">
        <v>250</v>
      </c>
      <c r="E740" s="10" t="n">
        <v>162</v>
      </c>
      <c r="F740" s="10" t="s">
        <v>225</v>
      </c>
      <c r="G740" s="10"/>
    </row>
    <row r="741" customFormat="false" ht="15.75" hidden="false" customHeight="true" outlineLevel="0" collapsed="false">
      <c r="A741" s="18" t="n">
        <v>872</v>
      </c>
      <c r="B741" s="18" t="s">
        <v>313</v>
      </c>
      <c r="C741" s="115" t="n">
        <v>45512</v>
      </c>
      <c r="D741" s="10" t="n">
        <v>65</v>
      </c>
      <c r="E741" s="10" t="n">
        <v>1700</v>
      </c>
      <c r="F741" s="10" t="s">
        <v>225</v>
      </c>
      <c r="G741" s="10"/>
    </row>
    <row r="742" customFormat="false" ht="15.75" hidden="false" customHeight="true" outlineLevel="0" collapsed="false">
      <c r="A742" s="18" t="n">
        <v>878</v>
      </c>
      <c r="B742" s="18" t="s">
        <v>313</v>
      </c>
      <c r="C742" s="115" t="n">
        <v>45512</v>
      </c>
      <c r="D742" s="10" t="n">
        <v>65</v>
      </c>
      <c r="E742" s="10" t="n">
        <v>860</v>
      </c>
      <c r="F742" s="10" t="s">
        <v>225</v>
      </c>
      <c r="G742" s="10"/>
    </row>
    <row r="743" customFormat="false" ht="15.75" hidden="false" customHeight="true" outlineLevel="0" collapsed="false">
      <c r="A743" s="18" t="n">
        <v>260579</v>
      </c>
      <c r="B743" s="18" t="s">
        <v>364</v>
      </c>
      <c r="C743" s="115" t="n">
        <v>45512</v>
      </c>
      <c r="D743" s="10" t="n">
        <v>85</v>
      </c>
      <c r="E743" s="10" t="n">
        <v>1200</v>
      </c>
      <c r="F743" s="10" t="s">
        <v>225</v>
      </c>
      <c r="G743" s="10"/>
    </row>
    <row r="744" customFormat="false" ht="15.75" hidden="false" customHeight="true" outlineLevel="0" collapsed="false">
      <c r="A744" s="18" t="n">
        <v>874</v>
      </c>
      <c r="B744" s="18" t="s">
        <v>584</v>
      </c>
      <c r="C744" s="115" t="n">
        <v>45512</v>
      </c>
      <c r="D744" s="10" t="n">
        <v>100</v>
      </c>
      <c r="E744" s="10" t="n">
        <v>2200</v>
      </c>
      <c r="F744" s="10" t="s">
        <v>225</v>
      </c>
      <c r="G744" s="10"/>
    </row>
    <row r="745" customFormat="false" ht="15.75" hidden="false" customHeight="true" outlineLevel="0" collapsed="false">
      <c r="A745" s="18" t="n">
        <v>878</v>
      </c>
      <c r="B745" s="18" t="s">
        <v>313</v>
      </c>
      <c r="C745" s="115" t="n">
        <v>45512</v>
      </c>
      <c r="D745" s="10" t="n">
        <v>100</v>
      </c>
      <c r="E745" s="10" t="n">
        <v>920</v>
      </c>
      <c r="F745" s="10" t="s">
        <v>225</v>
      </c>
      <c r="G745" s="10"/>
    </row>
    <row r="746" customFormat="false" ht="15.75" hidden="false" customHeight="true" outlineLevel="0" collapsed="false">
      <c r="A746" s="18" t="n">
        <v>873</v>
      </c>
      <c r="B746" s="18" t="s">
        <v>585</v>
      </c>
      <c r="C746" s="115" t="n">
        <v>45512</v>
      </c>
      <c r="D746" s="10" t="n">
        <v>110</v>
      </c>
      <c r="E746" s="10" t="n">
        <v>1000</v>
      </c>
      <c r="F746" s="10" t="s">
        <v>225</v>
      </c>
      <c r="G746" s="10"/>
    </row>
    <row r="747" customFormat="false" ht="15.75" hidden="false" customHeight="true" outlineLevel="0" collapsed="false">
      <c r="A747" s="18" t="n">
        <v>861</v>
      </c>
      <c r="B747" s="18" t="s">
        <v>505</v>
      </c>
      <c r="C747" s="115" t="n">
        <v>45512</v>
      </c>
      <c r="D747" s="10" t="n">
        <v>210</v>
      </c>
      <c r="E747" s="10" t="n">
        <v>224</v>
      </c>
      <c r="F747" s="10" t="s">
        <v>225</v>
      </c>
      <c r="G747" s="10"/>
    </row>
    <row r="748" customFormat="false" ht="15.75" hidden="false" customHeight="true" outlineLevel="0" collapsed="false">
      <c r="A748" s="18" t="n">
        <v>870</v>
      </c>
      <c r="B748" s="18" t="s">
        <v>260</v>
      </c>
      <c r="C748" s="115" t="n">
        <v>45512</v>
      </c>
      <c r="D748" s="10" t="n">
        <v>220</v>
      </c>
      <c r="E748" s="10" t="n">
        <v>1277</v>
      </c>
      <c r="F748" s="10" t="s">
        <v>225</v>
      </c>
      <c r="G748" s="10"/>
    </row>
    <row r="749" customFormat="false" ht="15.75" hidden="false" customHeight="true" outlineLevel="0" collapsed="false">
      <c r="A749" s="18" t="n">
        <v>871</v>
      </c>
      <c r="B749" s="18" t="s">
        <v>586</v>
      </c>
      <c r="C749" s="115" t="n">
        <v>45512</v>
      </c>
      <c r="D749" s="10" t="n">
        <v>210</v>
      </c>
      <c r="E749" s="10" t="n">
        <v>248</v>
      </c>
      <c r="F749" s="10" t="s">
        <v>236</v>
      </c>
      <c r="G749" s="10"/>
    </row>
    <row r="750" customFormat="false" ht="15.75" hidden="false" customHeight="true" outlineLevel="0" collapsed="false">
      <c r="A750" s="18" t="n">
        <v>898</v>
      </c>
      <c r="B750" s="18" t="s">
        <v>306</v>
      </c>
      <c r="C750" s="115" t="n">
        <v>45517</v>
      </c>
      <c r="D750" s="10" t="n">
        <v>60</v>
      </c>
      <c r="E750" s="10" t="n">
        <v>5934</v>
      </c>
      <c r="F750" s="10" t="s">
        <v>236</v>
      </c>
      <c r="G750" s="10"/>
    </row>
    <row r="751" customFormat="false" ht="15.75" hidden="false" customHeight="true" outlineLevel="0" collapsed="false">
      <c r="A751" s="18" t="n">
        <v>894</v>
      </c>
      <c r="B751" s="18" t="s">
        <v>587</v>
      </c>
      <c r="C751" s="115" t="n">
        <v>45517</v>
      </c>
      <c r="D751" s="10" t="n">
        <v>65</v>
      </c>
      <c r="E751" s="10" t="n">
        <v>3400</v>
      </c>
      <c r="F751" s="10" t="s">
        <v>225</v>
      </c>
      <c r="G751" s="10"/>
    </row>
    <row r="752" customFormat="false" ht="15.75" hidden="false" customHeight="true" outlineLevel="0" collapsed="false">
      <c r="A752" s="18" t="n">
        <v>260587</v>
      </c>
      <c r="B752" s="18" t="s">
        <v>588</v>
      </c>
      <c r="C752" s="115" t="n">
        <v>45517</v>
      </c>
      <c r="D752" s="10" t="n">
        <v>110</v>
      </c>
      <c r="E752" s="10" t="n">
        <v>375</v>
      </c>
      <c r="F752" s="10" t="s">
        <v>229</v>
      </c>
      <c r="G752" s="10"/>
    </row>
    <row r="753" customFormat="false" ht="15.75" hidden="false" customHeight="true" outlineLevel="0" collapsed="false">
      <c r="A753" s="18" t="n">
        <v>899</v>
      </c>
      <c r="B753" s="18" t="s">
        <v>91</v>
      </c>
      <c r="C753" s="115" t="n">
        <v>45517</v>
      </c>
      <c r="D753" s="10" t="n">
        <v>250</v>
      </c>
      <c r="E753" s="10" t="n">
        <v>260</v>
      </c>
      <c r="F753" s="10" t="s">
        <v>229</v>
      </c>
      <c r="G753" s="10"/>
    </row>
    <row r="754" customFormat="false" ht="15.75" hidden="false" customHeight="true" outlineLevel="0" collapsed="false">
      <c r="A754" s="18" t="n">
        <v>891</v>
      </c>
      <c r="B754" s="18" t="s">
        <v>352</v>
      </c>
      <c r="C754" s="115" t="n">
        <v>45517</v>
      </c>
      <c r="D754" s="10" t="n">
        <v>130</v>
      </c>
      <c r="E754" s="10" t="n">
        <v>1280</v>
      </c>
      <c r="F754" s="10" t="s">
        <v>225</v>
      </c>
      <c r="G754" s="10"/>
    </row>
    <row r="755" customFormat="false" ht="15.75" hidden="false" customHeight="true" outlineLevel="0" collapsed="false">
      <c r="A755" s="18" t="n">
        <v>260586</v>
      </c>
      <c r="B755" s="18" t="s">
        <v>418</v>
      </c>
      <c r="C755" s="115" t="n">
        <v>45517</v>
      </c>
      <c r="D755" s="10" t="n">
        <v>145</v>
      </c>
      <c r="E755" s="10" t="n">
        <v>800</v>
      </c>
      <c r="F755" s="10" t="s">
        <v>225</v>
      </c>
      <c r="G755" s="10" t="s">
        <v>232</v>
      </c>
    </row>
    <row r="756" customFormat="false" ht="15.75" hidden="false" customHeight="true" outlineLevel="0" collapsed="false">
      <c r="A756" s="18" t="n">
        <v>895</v>
      </c>
      <c r="B756" s="18" t="s">
        <v>237</v>
      </c>
      <c r="C756" s="115" t="n">
        <v>45517</v>
      </c>
      <c r="D756" s="10" t="n">
        <v>210</v>
      </c>
      <c r="E756" s="10" t="n">
        <v>260</v>
      </c>
      <c r="F756" s="10" t="s">
        <v>225</v>
      </c>
      <c r="G756" s="10"/>
    </row>
    <row r="757" customFormat="false" ht="15.75" hidden="false" customHeight="true" outlineLevel="0" collapsed="false">
      <c r="A757" s="18" t="n">
        <v>896</v>
      </c>
      <c r="B757" s="18" t="s">
        <v>277</v>
      </c>
      <c r="C757" s="115" t="n">
        <v>45517</v>
      </c>
      <c r="D757" s="10" t="n">
        <v>210</v>
      </c>
      <c r="E757" s="10" t="n">
        <v>260</v>
      </c>
      <c r="F757" s="10" t="s">
        <v>225</v>
      </c>
      <c r="G757" s="10"/>
    </row>
    <row r="758" customFormat="false" ht="15.75" hidden="false" customHeight="true" outlineLevel="0" collapsed="false">
      <c r="A758" s="18" t="n">
        <v>908</v>
      </c>
      <c r="B758" s="18" t="s">
        <v>589</v>
      </c>
      <c r="C758" s="115" t="n">
        <v>45518</v>
      </c>
      <c r="D758" s="10" t="n">
        <v>60</v>
      </c>
      <c r="E758" s="10" t="n">
        <v>2040</v>
      </c>
      <c r="F758" s="10" t="s">
        <v>225</v>
      </c>
      <c r="G758" s="10"/>
    </row>
    <row r="759" customFormat="false" ht="15.75" hidden="false" customHeight="true" outlineLevel="0" collapsed="false">
      <c r="A759" s="18" t="n">
        <v>260589</v>
      </c>
      <c r="B759" s="18" t="s">
        <v>231</v>
      </c>
      <c r="C759" s="115" t="n">
        <v>45518</v>
      </c>
      <c r="D759" s="10" t="n">
        <v>75</v>
      </c>
      <c r="E759" s="10" t="n">
        <v>2000</v>
      </c>
      <c r="F759" s="10" t="s">
        <v>225</v>
      </c>
      <c r="G759" s="10"/>
    </row>
    <row r="760" customFormat="false" ht="15.75" hidden="false" customHeight="true" outlineLevel="0" collapsed="false">
      <c r="A760" s="18" t="n">
        <v>906</v>
      </c>
      <c r="B760" s="18" t="s">
        <v>590</v>
      </c>
      <c r="C760" s="115" t="n">
        <v>45518</v>
      </c>
      <c r="D760" s="10" t="n">
        <v>100</v>
      </c>
      <c r="E760" s="10" t="n">
        <v>330</v>
      </c>
      <c r="F760" s="10" t="s">
        <v>19</v>
      </c>
      <c r="G760" s="10"/>
    </row>
    <row r="761" customFormat="false" ht="15.75" hidden="false" customHeight="true" outlineLevel="0" collapsed="false">
      <c r="A761" s="18" t="n">
        <v>905</v>
      </c>
      <c r="B761" s="18" t="s">
        <v>591</v>
      </c>
      <c r="C761" s="115" t="n">
        <v>45518</v>
      </c>
      <c r="D761" s="10" t="n">
        <v>110</v>
      </c>
      <c r="E761" s="10" t="n">
        <v>152</v>
      </c>
      <c r="F761" s="10" t="s">
        <v>229</v>
      </c>
      <c r="G761" s="10"/>
    </row>
    <row r="762" customFormat="false" ht="15.75" hidden="false" customHeight="true" outlineLevel="0" collapsed="false">
      <c r="A762" s="18" t="n">
        <v>839</v>
      </c>
      <c r="B762" s="18" t="s">
        <v>401</v>
      </c>
      <c r="C762" s="115" t="n">
        <v>45518</v>
      </c>
      <c r="D762" s="10" t="n">
        <v>110</v>
      </c>
      <c r="E762" s="10" t="n">
        <v>1500</v>
      </c>
      <c r="F762" s="10" t="s">
        <v>225</v>
      </c>
      <c r="G762" s="10"/>
    </row>
    <row r="763" customFormat="false" ht="15.75" hidden="false" customHeight="true" outlineLevel="0" collapsed="false">
      <c r="A763" s="18" t="n">
        <v>902</v>
      </c>
      <c r="B763" s="18" t="s">
        <v>427</v>
      </c>
      <c r="C763" s="115" t="n">
        <v>45518</v>
      </c>
      <c r="D763" s="10" t="n">
        <v>110</v>
      </c>
      <c r="E763" s="10" t="n">
        <v>600</v>
      </c>
      <c r="F763" s="10" t="s">
        <v>225</v>
      </c>
      <c r="G763" s="10"/>
    </row>
    <row r="764" customFormat="false" ht="15.75" hidden="false" customHeight="true" outlineLevel="0" collapsed="false">
      <c r="A764" s="18" t="n">
        <v>849</v>
      </c>
      <c r="B764" s="18" t="s">
        <v>401</v>
      </c>
      <c r="C764" s="115" t="n">
        <v>45518</v>
      </c>
      <c r="D764" s="10" t="n">
        <v>110</v>
      </c>
      <c r="E764" s="10" t="n">
        <v>5500</v>
      </c>
      <c r="F764" s="10" t="s">
        <v>225</v>
      </c>
      <c r="G764" s="10"/>
    </row>
    <row r="765" customFormat="false" ht="15.75" hidden="false" customHeight="true" outlineLevel="0" collapsed="false">
      <c r="A765" s="18" t="n">
        <v>260592</v>
      </c>
      <c r="B765" s="18" t="s">
        <v>592</v>
      </c>
      <c r="C765" s="115" t="n">
        <v>45518</v>
      </c>
      <c r="D765" s="10" t="n">
        <v>250</v>
      </c>
      <c r="E765" s="10" t="n">
        <v>2225</v>
      </c>
      <c r="F765" s="10" t="s">
        <v>236</v>
      </c>
      <c r="G765" s="10"/>
    </row>
    <row r="766" customFormat="false" ht="15.75" hidden="false" customHeight="true" outlineLevel="0" collapsed="false">
      <c r="A766" s="18" t="n">
        <v>964</v>
      </c>
      <c r="B766" s="18" t="s">
        <v>475</v>
      </c>
      <c r="C766" s="115" t="n">
        <v>45533</v>
      </c>
      <c r="D766" s="10" t="n">
        <v>80</v>
      </c>
      <c r="E766" s="10" t="n">
        <v>2000</v>
      </c>
      <c r="F766" s="10" t="s">
        <v>225</v>
      </c>
      <c r="G766" s="10"/>
    </row>
    <row r="767" customFormat="false" ht="15.75" hidden="false" customHeight="true" outlineLevel="0" collapsed="false">
      <c r="A767" s="18" t="n">
        <v>260624</v>
      </c>
      <c r="B767" s="18" t="s">
        <v>411</v>
      </c>
      <c r="C767" s="115" t="n">
        <v>45533</v>
      </c>
      <c r="D767" s="10" t="n">
        <v>130</v>
      </c>
      <c r="E767" s="10" t="n">
        <v>1500</v>
      </c>
      <c r="F767" s="10" t="s">
        <v>225</v>
      </c>
      <c r="G767" s="10"/>
    </row>
    <row r="768" customFormat="false" ht="15.75" hidden="false" customHeight="true" outlineLevel="0" collapsed="false">
      <c r="A768" s="18" t="n">
        <v>260637</v>
      </c>
      <c r="B768" s="18" t="s">
        <v>593</v>
      </c>
      <c r="C768" s="115" t="n">
        <v>45538</v>
      </c>
      <c r="D768" s="10" t="n">
        <v>75</v>
      </c>
      <c r="E768" s="10" t="n">
        <v>2200</v>
      </c>
      <c r="F768" s="10" t="s">
        <v>225</v>
      </c>
      <c r="G768" s="10"/>
    </row>
    <row r="769" customFormat="false" ht="15.75" hidden="false" customHeight="true" outlineLevel="0" collapsed="false">
      <c r="A769" s="18" t="n">
        <v>260628</v>
      </c>
      <c r="B769" s="18" t="s">
        <v>594</v>
      </c>
      <c r="C769" s="115" t="n">
        <v>45538</v>
      </c>
      <c r="D769" s="10" t="n">
        <v>80</v>
      </c>
      <c r="E769" s="10" t="n">
        <v>4080</v>
      </c>
      <c r="F769" s="10" t="s">
        <v>225</v>
      </c>
      <c r="G769" s="10"/>
    </row>
    <row r="770" customFormat="false" ht="15.75" hidden="false" customHeight="true" outlineLevel="0" collapsed="false">
      <c r="A770" s="18" t="n">
        <v>260629</v>
      </c>
      <c r="B770" s="18" t="s">
        <v>298</v>
      </c>
      <c r="C770" s="115" t="n">
        <v>45538</v>
      </c>
      <c r="D770" s="10" t="n">
        <v>80</v>
      </c>
      <c r="E770" s="10" t="n">
        <v>1800</v>
      </c>
      <c r="F770" s="10" t="s">
        <v>225</v>
      </c>
      <c r="G770" s="10"/>
    </row>
    <row r="771" customFormat="false" ht="15.75" hidden="false" customHeight="true" outlineLevel="0" collapsed="false">
      <c r="A771" s="18" t="n">
        <v>260636</v>
      </c>
      <c r="B771" s="18" t="s">
        <v>467</v>
      </c>
      <c r="C771" s="115" t="n">
        <v>45538</v>
      </c>
      <c r="D771" s="10" t="n">
        <v>100</v>
      </c>
      <c r="E771" s="10" t="n">
        <v>680</v>
      </c>
      <c r="F771" s="10" t="s">
        <v>225</v>
      </c>
      <c r="G771" s="10"/>
    </row>
    <row r="772" customFormat="false" ht="15.75" hidden="false" customHeight="true" outlineLevel="0" collapsed="false">
      <c r="A772" s="18" t="n">
        <v>260626</v>
      </c>
      <c r="B772" s="18" t="s">
        <v>257</v>
      </c>
      <c r="C772" s="115" t="n">
        <v>45538</v>
      </c>
      <c r="D772" s="10" t="n">
        <v>130</v>
      </c>
      <c r="E772" s="10" t="n">
        <v>450</v>
      </c>
      <c r="F772" s="10" t="s">
        <v>225</v>
      </c>
      <c r="G772" s="10"/>
    </row>
    <row r="773" customFormat="false" ht="15.75" hidden="false" customHeight="true" outlineLevel="0" collapsed="false">
      <c r="A773" s="18" t="n">
        <v>260635</v>
      </c>
      <c r="B773" s="18" t="s">
        <v>418</v>
      </c>
      <c r="C773" s="115" t="n">
        <v>45538</v>
      </c>
      <c r="D773" s="10" t="n">
        <v>130</v>
      </c>
      <c r="E773" s="10" t="n">
        <v>1800</v>
      </c>
      <c r="F773" s="10" t="s">
        <v>225</v>
      </c>
      <c r="G773" s="10"/>
    </row>
    <row r="774" customFormat="false" ht="15.75" hidden="false" customHeight="true" outlineLevel="0" collapsed="false">
      <c r="A774" s="18" t="n">
        <v>260641</v>
      </c>
      <c r="B774" s="18" t="s">
        <v>595</v>
      </c>
      <c r="C774" s="115" t="n">
        <v>45539</v>
      </c>
      <c r="D774" s="10" t="n">
        <v>44</v>
      </c>
      <c r="E774" s="10" t="n">
        <v>300</v>
      </c>
      <c r="F774" s="10" t="s">
        <v>227</v>
      </c>
      <c r="G774" s="10"/>
    </row>
    <row r="775" customFormat="false" ht="15.75" hidden="false" customHeight="true" outlineLevel="0" collapsed="false">
      <c r="A775" s="18" t="n">
        <v>260640</v>
      </c>
      <c r="B775" s="18" t="s">
        <v>476</v>
      </c>
      <c r="C775" s="115" t="n">
        <v>45539</v>
      </c>
      <c r="D775" s="10" t="n">
        <v>105</v>
      </c>
      <c r="E775" s="10" t="n">
        <v>500</v>
      </c>
      <c r="F775" s="10" t="s">
        <v>225</v>
      </c>
      <c r="G775" s="10" t="s">
        <v>232</v>
      </c>
    </row>
    <row r="776" customFormat="false" ht="15.75" hidden="false" customHeight="true" outlineLevel="0" collapsed="false">
      <c r="A776" s="18" t="n">
        <v>979</v>
      </c>
      <c r="B776" s="18" t="s">
        <v>382</v>
      </c>
      <c r="C776" s="115" t="n">
        <v>45539</v>
      </c>
      <c r="D776" s="10" t="n">
        <v>125</v>
      </c>
      <c r="E776" s="10" t="n">
        <v>800</v>
      </c>
      <c r="F776" s="10" t="s">
        <v>225</v>
      </c>
      <c r="G776" s="10"/>
    </row>
    <row r="777" customFormat="false" ht="15.75" hidden="false" customHeight="true" outlineLevel="0" collapsed="false">
      <c r="A777" s="18" t="n">
        <v>260939</v>
      </c>
      <c r="B777" s="18" t="s">
        <v>476</v>
      </c>
      <c r="C777" s="115" t="n">
        <v>45539</v>
      </c>
      <c r="D777" s="10" t="n">
        <v>138</v>
      </c>
      <c r="E777" s="10" t="n">
        <v>408</v>
      </c>
      <c r="F777" s="10" t="s">
        <v>225</v>
      </c>
      <c r="G777" s="10" t="s">
        <v>232</v>
      </c>
    </row>
    <row r="778" customFormat="false" ht="15.75" hidden="false" customHeight="true" outlineLevel="0" collapsed="false">
      <c r="A778" s="18" t="n">
        <v>260638</v>
      </c>
      <c r="B778" s="18" t="s">
        <v>429</v>
      </c>
      <c r="C778" s="115" t="n">
        <v>45539</v>
      </c>
      <c r="D778" s="10" t="n">
        <v>140</v>
      </c>
      <c r="E778" s="10" t="n">
        <v>1200</v>
      </c>
      <c r="F778" s="10" t="s">
        <v>225</v>
      </c>
      <c r="G778" s="10"/>
    </row>
    <row r="779" customFormat="false" ht="15.75" hidden="false" customHeight="true" outlineLevel="0" collapsed="false">
      <c r="A779" s="18" t="n">
        <v>260653</v>
      </c>
      <c r="B779" s="18" t="s">
        <v>596</v>
      </c>
      <c r="C779" s="115" t="n">
        <v>45541</v>
      </c>
      <c r="D779" s="10" t="n">
        <v>90</v>
      </c>
      <c r="E779" s="10" t="n">
        <v>430</v>
      </c>
      <c r="F779" s="10" t="s">
        <v>236</v>
      </c>
      <c r="G779" s="10"/>
    </row>
    <row r="780" customFormat="false" ht="15.75" hidden="false" customHeight="true" outlineLevel="0" collapsed="false">
      <c r="A780" s="18" t="n">
        <v>991</v>
      </c>
      <c r="B780" s="18" t="s">
        <v>597</v>
      </c>
      <c r="C780" s="115" t="n">
        <v>45541</v>
      </c>
      <c r="D780" s="10" t="n">
        <v>25</v>
      </c>
      <c r="E780" s="10" t="n">
        <v>480</v>
      </c>
      <c r="F780" s="10" t="s">
        <v>225</v>
      </c>
      <c r="G780" s="10"/>
    </row>
    <row r="781" customFormat="false" ht="15.75" hidden="false" customHeight="true" outlineLevel="0" collapsed="false">
      <c r="A781" s="18" t="n">
        <v>260654</v>
      </c>
      <c r="B781" s="18" t="s">
        <v>598</v>
      </c>
      <c r="C781" s="115" t="n">
        <v>45541</v>
      </c>
      <c r="D781" s="10" t="n">
        <v>40</v>
      </c>
      <c r="E781" s="10" t="n">
        <v>240</v>
      </c>
      <c r="F781" s="10" t="s">
        <v>225</v>
      </c>
      <c r="G781" s="10"/>
    </row>
    <row r="782" customFormat="false" ht="15.75" hidden="false" customHeight="true" outlineLevel="0" collapsed="false">
      <c r="A782" s="18" t="n">
        <v>260634</v>
      </c>
      <c r="B782" s="18" t="s">
        <v>599</v>
      </c>
      <c r="C782" s="115" t="n">
        <v>45541</v>
      </c>
      <c r="D782" s="10" t="n">
        <v>83</v>
      </c>
      <c r="E782" s="10" t="n">
        <v>243</v>
      </c>
      <c r="F782" s="10" t="s">
        <v>225</v>
      </c>
      <c r="G782" s="10" t="s">
        <v>232</v>
      </c>
    </row>
    <row r="783" customFormat="false" ht="15.75" hidden="false" customHeight="true" outlineLevel="0" collapsed="false">
      <c r="A783" s="18" t="n">
        <v>998</v>
      </c>
      <c r="B783" s="18" t="s">
        <v>327</v>
      </c>
      <c r="C783" s="115" t="n">
        <v>45541</v>
      </c>
      <c r="D783" s="10" t="n">
        <v>90</v>
      </c>
      <c r="E783" s="10" t="n">
        <v>600</v>
      </c>
      <c r="F783" s="10" t="s">
        <v>225</v>
      </c>
      <c r="G783" s="10"/>
    </row>
    <row r="784" customFormat="false" ht="15.75" hidden="false" customHeight="true" outlineLevel="0" collapsed="false">
      <c r="A784" s="18" t="n">
        <v>260644</v>
      </c>
      <c r="B784" s="18" t="s">
        <v>259</v>
      </c>
      <c r="C784" s="115" t="n">
        <v>45541</v>
      </c>
      <c r="D784" s="10" t="n">
        <v>95</v>
      </c>
      <c r="E784" s="10" t="n">
        <v>375</v>
      </c>
      <c r="F784" s="10" t="s">
        <v>225</v>
      </c>
      <c r="G784" s="10"/>
    </row>
    <row r="785" customFormat="false" ht="15.75" hidden="false" customHeight="true" outlineLevel="0" collapsed="false">
      <c r="A785" s="18" t="n">
        <v>260655</v>
      </c>
      <c r="B785" s="18" t="s">
        <v>600</v>
      </c>
      <c r="C785" s="115" t="n">
        <v>45541</v>
      </c>
      <c r="D785" s="10" t="n">
        <v>110</v>
      </c>
      <c r="E785" s="10" t="n">
        <v>600</v>
      </c>
      <c r="F785" s="10" t="s">
        <v>577</v>
      </c>
      <c r="G785" s="10"/>
    </row>
    <row r="786" customFormat="false" ht="15.75" hidden="false" customHeight="true" outlineLevel="0" collapsed="false">
      <c r="A786" s="18" t="n">
        <v>260648</v>
      </c>
      <c r="B786" s="18" t="s">
        <v>418</v>
      </c>
      <c r="C786" s="115" t="n">
        <v>45541</v>
      </c>
      <c r="D786" s="10" t="n">
        <v>120</v>
      </c>
      <c r="E786" s="10" t="n">
        <v>195</v>
      </c>
      <c r="F786" s="10" t="s">
        <v>262</v>
      </c>
      <c r="G786" s="10"/>
    </row>
    <row r="787" customFormat="false" ht="15.75" hidden="false" customHeight="true" outlineLevel="0" collapsed="false">
      <c r="A787" s="18" t="n">
        <v>985</v>
      </c>
      <c r="B787" s="18" t="s">
        <v>272</v>
      </c>
      <c r="C787" s="115" t="n">
        <v>45541</v>
      </c>
      <c r="D787" s="10" t="n">
        <v>110</v>
      </c>
      <c r="E787" s="10" t="n">
        <v>3200</v>
      </c>
      <c r="F787" s="10" t="s">
        <v>227</v>
      </c>
      <c r="G787" s="10"/>
    </row>
    <row r="788" customFormat="false" ht="15.75" hidden="false" customHeight="true" outlineLevel="0" collapsed="false">
      <c r="A788" s="18" t="n">
        <v>982</v>
      </c>
      <c r="B788" s="18" t="s">
        <v>228</v>
      </c>
      <c r="C788" s="115" t="n">
        <v>45541</v>
      </c>
      <c r="D788" s="10" t="n">
        <v>210</v>
      </c>
      <c r="E788" s="10" t="n">
        <v>630</v>
      </c>
      <c r="F788" s="10" t="s">
        <v>229</v>
      </c>
      <c r="G788" s="10"/>
    </row>
    <row r="789" customFormat="false" ht="15.75" hidden="false" customHeight="true" outlineLevel="0" collapsed="false">
      <c r="A789" s="18" t="n">
        <v>260649</v>
      </c>
      <c r="B789" s="18" t="s">
        <v>294</v>
      </c>
      <c r="C789" s="115" t="n">
        <v>45541</v>
      </c>
      <c r="D789" s="10" t="n">
        <v>100</v>
      </c>
      <c r="E789" s="10" t="n">
        <v>600</v>
      </c>
      <c r="F789" s="10" t="s">
        <v>225</v>
      </c>
      <c r="G789" s="10" t="s">
        <v>232</v>
      </c>
    </row>
    <row r="790" customFormat="false" ht="15.75" hidden="false" customHeight="true" outlineLevel="0" collapsed="false">
      <c r="A790" s="18" t="n">
        <v>1001</v>
      </c>
      <c r="B790" s="18" t="s">
        <v>352</v>
      </c>
      <c r="C790" s="115" t="n">
        <v>45541</v>
      </c>
      <c r="D790" s="10" t="n">
        <v>102</v>
      </c>
      <c r="E790" s="10" t="n">
        <v>3000</v>
      </c>
      <c r="F790" s="10" t="s">
        <v>225</v>
      </c>
      <c r="G790" s="10"/>
    </row>
    <row r="791" customFormat="false" ht="15.75" hidden="false" customHeight="true" outlineLevel="0" collapsed="false">
      <c r="A791" s="18" t="n">
        <v>992</v>
      </c>
      <c r="B791" s="18" t="s">
        <v>319</v>
      </c>
      <c r="C791" s="115" t="n">
        <v>45541</v>
      </c>
      <c r="D791" s="10" t="n">
        <v>105</v>
      </c>
      <c r="E791" s="10" t="n">
        <v>1400</v>
      </c>
      <c r="F791" s="10" t="s">
        <v>225</v>
      </c>
      <c r="G791" s="10"/>
    </row>
    <row r="792" customFormat="false" ht="15.75" hidden="false" customHeight="true" outlineLevel="0" collapsed="false">
      <c r="A792" s="18" t="n">
        <v>1002</v>
      </c>
      <c r="B792" s="18" t="s">
        <v>291</v>
      </c>
      <c r="C792" s="115" t="n">
        <v>45541</v>
      </c>
      <c r="D792" s="10" t="n">
        <v>105</v>
      </c>
      <c r="E792" s="10" t="n">
        <v>363</v>
      </c>
      <c r="F792" s="10" t="s">
        <v>225</v>
      </c>
      <c r="G792" s="10"/>
    </row>
    <row r="793" customFormat="false" ht="15.75" hidden="false" customHeight="true" outlineLevel="0" collapsed="false">
      <c r="A793" s="18" t="n">
        <v>992</v>
      </c>
      <c r="B793" s="18" t="s">
        <v>319</v>
      </c>
      <c r="C793" s="115" t="n">
        <v>45541</v>
      </c>
      <c r="D793" s="10" t="n">
        <v>140</v>
      </c>
      <c r="E793" s="10" t="n">
        <v>3800</v>
      </c>
      <c r="F793" s="10" t="s">
        <v>225</v>
      </c>
      <c r="G793" s="10"/>
    </row>
    <row r="794" customFormat="false" ht="15.75" hidden="false" customHeight="true" outlineLevel="0" collapsed="false">
      <c r="A794" s="18" t="n">
        <v>1002</v>
      </c>
      <c r="B794" s="18" t="s">
        <v>291</v>
      </c>
      <c r="C794" s="115" t="n">
        <v>45541</v>
      </c>
      <c r="D794" s="10" t="n">
        <v>180</v>
      </c>
      <c r="E794" s="10" t="n">
        <v>690</v>
      </c>
      <c r="F794" s="10" t="s">
        <v>225</v>
      </c>
      <c r="G794" s="10"/>
    </row>
    <row r="795" customFormat="false" ht="15.75" hidden="false" customHeight="true" outlineLevel="0" collapsed="false">
      <c r="A795" s="18" t="n">
        <v>995</v>
      </c>
      <c r="B795" s="18" t="s">
        <v>359</v>
      </c>
      <c r="C795" s="115" t="n">
        <v>45541</v>
      </c>
      <c r="D795" s="10" t="n">
        <v>190</v>
      </c>
      <c r="E795" s="10" t="n">
        <v>3780</v>
      </c>
      <c r="F795" s="10" t="s">
        <v>225</v>
      </c>
      <c r="G795" s="10"/>
    </row>
    <row r="796" customFormat="false" ht="15.75" hidden="false" customHeight="true" outlineLevel="0" collapsed="false">
      <c r="A796" s="18" t="n">
        <v>990</v>
      </c>
      <c r="B796" s="18" t="s">
        <v>321</v>
      </c>
      <c r="C796" s="115" t="n">
        <v>45541</v>
      </c>
      <c r="D796" s="10" t="n">
        <v>210</v>
      </c>
      <c r="E796" s="10" t="n">
        <v>439</v>
      </c>
      <c r="F796" s="10" t="s">
        <v>225</v>
      </c>
      <c r="G796" s="10"/>
    </row>
    <row r="797" customFormat="false" ht="15.75" hidden="false" customHeight="true" outlineLevel="0" collapsed="false">
      <c r="A797" s="18" t="n">
        <v>986</v>
      </c>
      <c r="B797" s="18" t="s">
        <v>260</v>
      </c>
      <c r="C797" s="115" t="n">
        <v>45541</v>
      </c>
      <c r="D797" s="10" t="n">
        <v>210</v>
      </c>
      <c r="E797" s="10" t="n">
        <v>430</v>
      </c>
      <c r="F797" s="10" t="s">
        <v>225</v>
      </c>
      <c r="G797" s="10"/>
    </row>
    <row r="798" customFormat="false" ht="15.75" hidden="false" customHeight="true" outlineLevel="0" collapsed="false">
      <c r="A798" s="18" t="n">
        <v>983</v>
      </c>
      <c r="B798" s="18" t="s">
        <v>601</v>
      </c>
      <c r="C798" s="115" t="n">
        <v>45541</v>
      </c>
      <c r="D798" s="10" t="n">
        <v>210</v>
      </c>
      <c r="E798" s="10" t="n">
        <v>1314</v>
      </c>
      <c r="F798" s="10" t="s">
        <v>225</v>
      </c>
      <c r="G798" s="10"/>
    </row>
    <row r="799" customFormat="false" ht="15.75" hidden="false" customHeight="true" outlineLevel="0" collapsed="false">
      <c r="A799" s="18" t="n">
        <v>987</v>
      </c>
      <c r="B799" s="18" t="s">
        <v>292</v>
      </c>
      <c r="C799" s="115" t="n">
        <v>45541</v>
      </c>
      <c r="D799" s="10" t="n">
        <v>220</v>
      </c>
      <c r="E799" s="10" t="n">
        <v>248</v>
      </c>
      <c r="F799" s="10" t="s">
        <v>225</v>
      </c>
      <c r="G799" s="10"/>
    </row>
    <row r="800" customFormat="false" ht="15.75" hidden="false" customHeight="true" outlineLevel="0" collapsed="false">
      <c r="A800" s="18" t="n">
        <v>988</v>
      </c>
      <c r="B800" s="18" t="s">
        <v>406</v>
      </c>
      <c r="C800" s="115" t="n">
        <v>45541</v>
      </c>
      <c r="D800" s="10" t="n">
        <v>250</v>
      </c>
      <c r="E800" s="10" t="n">
        <v>1300</v>
      </c>
      <c r="F800" s="10" t="s">
        <v>236</v>
      </c>
      <c r="G800" s="10"/>
    </row>
    <row r="801" customFormat="false" ht="15.75" hidden="false" customHeight="true" outlineLevel="0" collapsed="false">
      <c r="A801" s="18" t="n">
        <v>1006</v>
      </c>
      <c r="B801" s="18" t="s">
        <v>320</v>
      </c>
      <c r="C801" s="115" t="n">
        <v>45546</v>
      </c>
      <c r="D801" s="10" t="n">
        <v>50</v>
      </c>
      <c r="E801" s="10" t="n">
        <v>500</v>
      </c>
      <c r="F801" s="10" t="s">
        <v>225</v>
      </c>
      <c r="G801" s="10"/>
    </row>
    <row r="802" customFormat="false" ht="15.75" hidden="false" customHeight="true" outlineLevel="0" collapsed="false">
      <c r="A802" s="18" t="n">
        <v>1009</v>
      </c>
      <c r="B802" s="18" t="s">
        <v>602</v>
      </c>
      <c r="C802" s="115" t="n">
        <v>45546</v>
      </c>
      <c r="D802" s="10" t="n">
        <v>85</v>
      </c>
      <c r="E802" s="10" t="n">
        <v>520</v>
      </c>
      <c r="F802" s="10" t="s">
        <v>225</v>
      </c>
      <c r="G802" s="10"/>
    </row>
    <row r="803" customFormat="false" ht="15.75" hidden="false" customHeight="true" outlineLevel="0" collapsed="false">
      <c r="A803" s="18" t="n">
        <v>1007</v>
      </c>
      <c r="B803" s="18" t="s">
        <v>354</v>
      </c>
      <c r="C803" s="115" t="n">
        <v>45546</v>
      </c>
      <c r="D803" s="10" t="n">
        <v>110</v>
      </c>
      <c r="E803" s="10" t="n">
        <v>540</v>
      </c>
      <c r="F803" s="10" t="s">
        <v>227</v>
      </c>
      <c r="G803" s="10"/>
    </row>
    <row r="804" customFormat="false" ht="15.75" hidden="false" customHeight="true" outlineLevel="0" collapsed="false">
      <c r="A804" s="18" t="n">
        <v>260656</v>
      </c>
      <c r="B804" s="18" t="s">
        <v>240</v>
      </c>
      <c r="C804" s="115" t="n">
        <v>45546</v>
      </c>
      <c r="D804" s="10" t="n">
        <v>110</v>
      </c>
      <c r="E804" s="10" t="n">
        <v>1500</v>
      </c>
      <c r="F804" s="10" t="s">
        <v>227</v>
      </c>
      <c r="G804" s="10"/>
    </row>
    <row r="805" customFormat="false" ht="15.75" hidden="false" customHeight="true" outlineLevel="0" collapsed="false">
      <c r="A805" s="18" t="n">
        <v>1006</v>
      </c>
      <c r="B805" s="18" t="s">
        <v>320</v>
      </c>
      <c r="C805" s="115" t="n">
        <v>45546</v>
      </c>
      <c r="D805" s="10" t="n">
        <v>105</v>
      </c>
      <c r="E805" s="10" t="n">
        <v>159</v>
      </c>
      <c r="F805" s="10" t="s">
        <v>225</v>
      </c>
      <c r="G805" s="10"/>
    </row>
    <row r="806" customFormat="false" ht="15.75" hidden="false" customHeight="true" outlineLevel="0" collapsed="false">
      <c r="A806" s="18" t="n">
        <v>1015</v>
      </c>
      <c r="B806" s="18" t="s">
        <v>603</v>
      </c>
      <c r="C806" s="115" t="n">
        <v>45546</v>
      </c>
      <c r="D806" s="10" t="n">
        <v>210</v>
      </c>
      <c r="E806" s="10" t="n">
        <v>315</v>
      </c>
      <c r="F806" s="10" t="s">
        <v>236</v>
      </c>
      <c r="G806" s="10"/>
    </row>
    <row r="807" customFormat="false" ht="15.75" hidden="false" customHeight="true" outlineLevel="0" collapsed="false">
      <c r="A807" s="18" t="n">
        <v>1017</v>
      </c>
      <c r="B807" s="18" t="s">
        <v>604</v>
      </c>
      <c r="C807" s="115" t="n">
        <v>45548</v>
      </c>
      <c r="D807" s="10" t="n">
        <v>50</v>
      </c>
      <c r="E807" s="10"/>
      <c r="F807" s="10" t="s">
        <v>225</v>
      </c>
      <c r="G807" s="18"/>
    </row>
    <row r="808" customFormat="false" ht="15.75" hidden="false" customHeight="true" outlineLevel="0" collapsed="false">
      <c r="A808" s="18" t="n">
        <v>260665</v>
      </c>
      <c r="B808" s="18" t="s">
        <v>605</v>
      </c>
      <c r="C808" s="115" t="n">
        <v>45548</v>
      </c>
      <c r="D808" s="10" t="n">
        <v>55</v>
      </c>
      <c r="E808" s="10" t="n">
        <v>219</v>
      </c>
      <c r="F808" s="10" t="s">
        <v>225</v>
      </c>
      <c r="G808" s="18"/>
    </row>
    <row r="809" customFormat="false" ht="15.75" hidden="false" customHeight="true" outlineLevel="0" collapsed="false">
      <c r="A809" s="18" t="n">
        <v>1025</v>
      </c>
      <c r="B809" s="18" t="s">
        <v>334</v>
      </c>
      <c r="C809" s="115" t="n">
        <v>45548</v>
      </c>
      <c r="D809" s="10" t="n">
        <v>155</v>
      </c>
      <c r="E809" s="10" t="n">
        <v>1930</v>
      </c>
      <c r="F809" s="10" t="s">
        <v>229</v>
      </c>
      <c r="G809" s="18"/>
    </row>
    <row r="810" customFormat="false" ht="15.75" hidden="false" customHeight="true" outlineLevel="0" collapsed="false">
      <c r="A810" s="18" t="n">
        <v>260666</v>
      </c>
      <c r="B810" s="18" t="s">
        <v>606</v>
      </c>
      <c r="C810" s="115" t="n">
        <v>45548</v>
      </c>
      <c r="D810" s="10" t="n">
        <v>100</v>
      </c>
      <c r="E810" s="10" t="n">
        <v>191</v>
      </c>
      <c r="F810" s="10" t="s">
        <v>229</v>
      </c>
      <c r="G810" s="18"/>
    </row>
    <row r="811" customFormat="false" ht="15.75" hidden="false" customHeight="true" outlineLevel="0" collapsed="false">
      <c r="A811" s="18" t="n">
        <v>260661</v>
      </c>
      <c r="B811" s="18" t="s">
        <v>538</v>
      </c>
      <c r="C811" s="115" t="n">
        <v>45548</v>
      </c>
      <c r="D811" s="10" t="n">
        <v>100</v>
      </c>
      <c r="E811" s="10" t="n">
        <v>150</v>
      </c>
      <c r="F811" s="10" t="s">
        <v>225</v>
      </c>
      <c r="G811" s="18"/>
    </row>
    <row r="812" customFormat="false" ht="15.75" hidden="false" customHeight="true" outlineLevel="0" collapsed="false">
      <c r="A812" s="18" t="n">
        <v>260662</v>
      </c>
      <c r="B812" s="18" t="s">
        <v>357</v>
      </c>
      <c r="C812" s="115" t="n">
        <v>45548</v>
      </c>
      <c r="D812" s="10" t="n">
        <v>100</v>
      </c>
      <c r="E812" s="10" t="n">
        <v>300</v>
      </c>
      <c r="F812" s="10" t="s">
        <v>225</v>
      </c>
      <c r="G812" s="18"/>
    </row>
    <row r="813" customFormat="false" ht="15.75" hidden="false" customHeight="true" outlineLevel="0" collapsed="false">
      <c r="A813" s="18" t="n">
        <v>1028</v>
      </c>
      <c r="B813" s="18" t="s">
        <v>285</v>
      </c>
      <c r="C813" s="115" t="n">
        <v>45548</v>
      </c>
      <c r="D813" s="10" t="n">
        <v>125</v>
      </c>
      <c r="E813" s="10" t="n">
        <v>810</v>
      </c>
      <c r="F813" s="10" t="s">
        <v>225</v>
      </c>
      <c r="G813" s="18"/>
    </row>
    <row r="814" customFormat="false" ht="15.75" hidden="false" customHeight="true" outlineLevel="0" collapsed="false">
      <c r="A814" s="18" t="n">
        <v>1021</v>
      </c>
      <c r="B814" s="18" t="s">
        <v>477</v>
      </c>
      <c r="C814" s="115" t="n">
        <v>45548</v>
      </c>
      <c r="D814" s="10" t="n">
        <v>140</v>
      </c>
      <c r="E814" s="10" t="n">
        <v>2000</v>
      </c>
      <c r="F814" s="10" t="s">
        <v>225</v>
      </c>
      <c r="G814" s="18"/>
    </row>
    <row r="815" customFormat="false" ht="15.75" hidden="false" customHeight="true" outlineLevel="0" collapsed="false">
      <c r="A815" s="18" t="n">
        <v>260673</v>
      </c>
      <c r="B815" s="18" t="s">
        <v>420</v>
      </c>
      <c r="C815" s="115" t="n">
        <v>45552</v>
      </c>
      <c r="D815" s="10" t="n">
        <v>25</v>
      </c>
      <c r="E815" s="10" t="n">
        <v>920</v>
      </c>
      <c r="F815" s="10" t="s">
        <v>225</v>
      </c>
      <c r="G815" s="18"/>
    </row>
    <row r="816" customFormat="false" ht="15.75" hidden="false" customHeight="true" outlineLevel="0" collapsed="false">
      <c r="A816" s="18" t="n">
        <v>1029</v>
      </c>
      <c r="B816" s="18" t="s">
        <v>607</v>
      </c>
      <c r="C816" s="115" t="n">
        <v>45552</v>
      </c>
      <c r="D816" s="10" t="n">
        <v>55</v>
      </c>
      <c r="E816" s="10" t="n">
        <v>146</v>
      </c>
      <c r="F816" s="10" t="s">
        <v>225</v>
      </c>
      <c r="G816" s="18"/>
    </row>
    <row r="817" customFormat="false" ht="15.75" hidden="false" customHeight="true" outlineLevel="0" collapsed="false">
      <c r="A817" s="18" t="n">
        <v>260671</v>
      </c>
      <c r="B817" s="18" t="s">
        <v>608</v>
      </c>
      <c r="C817" s="115" t="n">
        <v>45552</v>
      </c>
      <c r="D817" s="10" t="n">
        <v>70</v>
      </c>
      <c r="E817" s="10" t="n">
        <v>340</v>
      </c>
      <c r="F817" s="10" t="s">
        <v>225</v>
      </c>
      <c r="G817" s="18"/>
    </row>
    <row r="818" customFormat="false" ht="15.75" hidden="false" customHeight="true" outlineLevel="0" collapsed="false">
      <c r="A818" s="18" t="n">
        <v>1042</v>
      </c>
      <c r="B818" s="18" t="s">
        <v>609</v>
      </c>
      <c r="C818" s="115" t="n">
        <v>45552</v>
      </c>
      <c r="D818" s="10" t="n">
        <v>85</v>
      </c>
      <c r="E818" s="10" t="n">
        <v>1340</v>
      </c>
      <c r="F818" s="10" t="s">
        <v>225</v>
      </c>
      <c r="G818" s="18" t="s">
        <v>232</v>
      </c>
    </row>
    <row r="819" customFormat="false" ht="15.75" hidden="false" customHeight="true" outlineLevel="0" collapsed="false">
      <c r="A819" s="18" t="n">
        <v>1035</v>
      </c>
      <c r="B819" s="18" t="s">
        <v>610</v>
      </c>
      <c r="C819" s="115" t="n">
        <v>45552</v>
      </c>
      <c r="D819" s="10" t="n">
        <v>42</v>
      </c>
      <c r="E819" s="10" t="n">
        <v>200</v>
      </c>
      <c r="F819" s="10" t="s">
        <v>227</v>
      </c>
      <c r="G819" s="18"/>
    </row>
    <row r="820" customFormat="false" ht="15.75" hidden="false" customHeight="true" outlineLevel="0" collapsed="false">
      <c r="A820" s="18" t="n">
        <v>1039</v>
      </c>
      <c r="B820" s="18" t="s">
        <v>292</v>
      </c>
      <c r="C820" s="115" t="n">
        <v>45552</v>
      </c>
      <c r="D820" s="10" t="n">
        <v>30</v>
      </c>
      <c r="E820" s="10" t="n">
        <v>450</v>
      </c>
      <c r="F820" s="10" t="s">
        <v>229</v>
      </c>
      <c r="G820" s="18"/>
    </row>
    <row r="821" customFormat="false" ht="15.75" hidden="false" customHeight="true" outlineLevel="0" collapsed="false">
      <c r="A821" s="18" t="n">
        <v>1044</v>
      </c>
      <c r="B821" s="18" t="s">
        <v>316</v>
      </c>
      <c r="C821" s="115" t="n">
        <v>45552</v>
      </c>
      <c r="D821" s="10" t="n">
        <v>100</v>
      </c>
      <c r="E821" s="10" t="n">
        <v>857</v>
      </c>
      <c r="F821" s="10" t="s">
        <v>225</v>
      </c>
      <c r="G821" s="18"/>
    </row>
    <row r="822" customFormat="false" ht="15.75" hidden="false" customHeight="true" outlineLevel="0" collapsed="false">
      <c r="A822" s="18" t="n">
        <v>1041</v>
      </c>
      <c r="B822" s="18" t="s">
        <v>611</v>
      </c>
      <c r="C822" s="115" t="n">
        <v>45552</v>
      </c>
      <c r="D822" s="10" t="n">
        <v>105</v>
      </c>
      <c r="E822" s="10" t="n">
        <v>594</v>
      </c>
      <c r="F822" s="10" t="s">
        <v>225</v>
      </c>
      <c r="G822" s="18"/>
    </row>
    <row r="823" customFormat="false" ht="15.75" hidden="false" customHeight="true" outlineLevel="0" collapsed="false">
      <c r="A823" s="18" t="n">
        <v>1037</v>
      </c>
      <c r="B823" s="18" t="s">
        <v>542</v>
      </c>
      <c r="C823" s="115" t="n">
        <v>45552</v>
      </c>
      <c r="D823" s="10" t="n">
        <v>133</v>
      </c>
      <c r="E823" s="10" t="n">
        <v>400</v>
      </c>
      <c r="F823" s="10" t="s">
        <v>225</v>
      </c>
      <c r="G823" s="18"/>
    </row>
    <row r="824" customFormat="false" ht="15.75" hidden="false" customHeight="true" outlineLevel="0" collapsed="false">
      <c r="A824" s="18" t="n">
        <v>1043</v>
      </c>
      <c r="B824" s="18" t="s">
        <v>612</v>
      </c>
      <c r="C824" s="115" t="n">
        <v>45552</v>
      </c>
      <c r="D824" s="10" t="n">
        <v>210</v>
      </c>
      <c r="E824" s="10" t="n">
        <v>1030</v>
      </c>
      <c r="F824" s="10" t="s">
        <v>225</v>
      </c>
      <c r="G824" s="18"/>
    </row>
    <row r="825" customFormat="false" ht="15.75" hidden="false" customHeight="true" outlineLevel="0" collapsed="false">
      <c r="A825" s="18" t="n">
        <v>1040</v>
      </c>
      <c r="B825" s="18" t="s">
        <v>383</v>
      </c>
      <c r="C825" s="115" t="n">
        <v>45552</v>
      </c>
      <c r="D825" s="10" t="n">
        <v>210</v>
      </c>
      <c r="E825" s="10" t="n">
        <v>3090</v>
      </c>
      <c r="F825" s="10" t="s">
        <v>225</v>
      </c>
      <c r="G825" s="18"/>
    </row>
    <row r="826" customFormat="false" ht="15.75" hidden="false" customHeight="true" outlineLevel="0" collapsed="false">
      <c r="A826" s="18" t="n">
        <v>1036</v>
      </c>
      <c r="B826" s="18" t="s">
        <v>91</v>
      </c>
      <c r="C826" s="115" t="n">
        <v>45552</v>
      </c>
      <c r="D826" s="10" t="n">
        <v>250</v>
      </c>
      <c r="E826" s="10" t="n">
        <v>148</v>
      </c>
      <c r="F826" s="10" t="s">
        <v>236</v>
      </c>
      <c r="G826" s="18"/>
    </row>
    <row r="827" customFormat="false" ht="15.75" hidden="false" customHeight="true" outlineLevel="0" collapsed="false">
      <c r="A827" s="18" t="n">
        <v>260674</v>
      </c>
      <c r="B827" s="18" t="s">
        <v>515</v>
      </c>
      <c r="C827" s="115" t="n">
        <v>45553</v>
      </c>
      <c r="D827" s="10" t="n">
        <v>50</v>
      </c>
      <c r="E827" s="10" t="n">
        <v>300</v>
      </c>
      <c r="F827" s="10" t="s">
        <v>225</v>
      </c>
      <c r="G827" s="18"/>
    </row>
    <row r="828" customFormat="false" ht="15.75" hidden="false" customHeight="true" outlineLevel="0" collapsed="false">
      <c r="A828" s="18" t="n">
        <v>1055</v>
      </c>
      <c r="B828" s="18" t="s">
        <v>514</v>
      </c>
      <c r="C828" s="115" t="n">
        <v>45553</v>
      </c>
      <c r="D828" s="10" t="n">
        <v>53</v>
      </c>
      <c r="E828" s="10" t="n">
        <v>255</v>
      </c>
      <c r="F828" s="10" t="s">
        <v>225</v>
      </c>
      <c r="G828" s="18"/>
    </row>
    <row r="829" customFormat="false" ht="15.75" hidden="false" customHeight="true" outlineLevel="0" collapsed="false">
      <c r="A829" s="18" t="n">
        <v>1050</v>
      </c>
      <c r="B829" s="18" t="s">
        <v>613</v>
      </c>
      <c r="C829" s="115" t="n">
        <v>45553</v>
      </c>
      <c r="D829" s="10" t="n">
        <v>75</v>
      </c>
      <c r="E829" s="10" t="n">
        <v>500</v>
      </c>
      <c r="F829" s="10" t="s">
        <v>225</v>
      </c>
      <c r="G829" s="18"/>
    </row>
    <row r="830" customFormat="false" ht="15.75" hidden="false" customHeight="true" outlineLevel="0" collapsed="false">
      <c r="A830" s="18" t="n">
        <v>1055</v>
      </c>
      <c r="B830" s="18" t="s">
        <v>514</v>
      </c>
      <c r="C830" s="115" t="n">
        <v>45553</v>
      </c>
      <c r="D830" s="10" t="n">
        <v>95</v>
      </c>
      <c r="E830" s="10" t="n">
        <v>950</v>
      </c>
      <c r="F830" s="10" t="s">
        <v>225</v>
      </c>
      <c r="G830" s="18"/>
    </row>
    <row r="831" customFormat="false" ht="15.75" hidden="false" customHeight="true" outlineLevel="0" collapsed="false">
      <c r="A831" s="18" t="n">
        <v>1045</v>
      </c>
      <c r="B831" s="18" t="s">
        <v>511</v>
      </c>
      <c r="C831" s="115" t="n">
        <v>45553</v>
      </c>
      <c r="D831" s="10" t="n">
        <v>35</v>
      </c>
      <c r="E831" s="10" t="n">
        <v>1260</v>
      </c>
      <c r="F831" s="10" t="s">
        <v>577</v>
      </c>
      <c r="G831" s="18"/>
    </row>
    <row r="832" customFormat="false" ht="15.75" hidden="false" customHeight="true" outlineLevel="0" collapsed="false">
      <c r="A832" s="18" t="n">
        <v>1048</v>
      </c>
      <c r="B832" s="18" t="s">
        <v>246</v>
      </c>
      <c r="C832" s="115" t="n">
        <v>45553</v>
      </c>
      <c r="D832" s="10" t="n">
        <v>100</v>
      </c>
      <c r="E832" s="10" t="n">
        <v>690</v>
      </c>
      <c r="F832" s="10" t="s">
        <v>229</v>
      </c>
      <c r="G832" s="18"/>
    </row>
    <row r="833" customFormat="false" ht="15.75" hidden="false" customHeight="true" outlineLevel="0" collapsed="false">
      <c r="A833" s="18" t="n">
        <v>260678</v>
      </c>
      <c r="B833" s="18" t="s">
        <v>386</v>
      </c>
      <c r="C833" s="115" t="n">
        <v>45553</v>
      </c>
      <c r="D833" s="10" t="n">
        <v>90</v>
      </c>
      <c r="E833" s="10" t="n">
        <v>135</v>
      </c>
      <c r="F833" s="10" t="s">
        <v>227</v>
      </c>
      <c r="G833" s="18"/>
    </row>
    <row r="834" customFormat="false" ht="15.75" hidden="false" customHeight="true" outlineLevel="0" collapsed="false">
      <c r="A834" s="18" t="n">
        <v>260679</v>
      </c>
      <c r="B834" s="18" t="s">
        <v>290</v>
      </c>
      <c r="C834" s="115" t="n">
        <v>45553</v>
      </c>
      <c r="D834" s="10" t="n">
        <v>100</v>
      </c>
      <c r="E834" s="10" t="n">
        <v>300</v>
      </c>
      <c r="F834" s="10" t="s">
        <v>227</v>
      </c>
      <c r="G834" s="18"/>
    </row>
    <row r="835" customFormat="false" ht="15.75" hidden="false" customHeight="true" outlineLevel="0" collapsed="false">
      <c r="A835" s="18" t="n">
        <v>1053</v>
      </c>
      <c r="B835" s="18" t="s">
        <v>495</v>
      </c>
      <c r="C835" s="115" t="n">
        <v>45553</v>
      </c>
      <c r="D835" s="10" t="n">
        <v>210</v>
      </c>
      <c r="E835" s="10" t="n">
        <v>630</v>
      </c>
      <c r="F835" s="10" t="s">
        <v>229</v>
      </c>
      <c r="G835" s="18"/>
    </row>
    <row r="836" customFormat="false" ht="15.75" hidden="false" customHeight="true" outlineLevel="0" collapsed="false">
      <c r="A836" s="18" t="n">
        <v>260677</v>
      </c>
      <c r="B836" s="18" t="s">
        <v>297</v>
      </c>
      <c r="C836" s="115" t="n">
        <v>45553</v>
      </c>
      <c r="D836" s="10" t="n">
        <v>55</v>
      </c>
      <c r="E836" s="10" t="n">
        <v>560</v>
      </c>
      <c r="F836" s="10" t="s">
        <v>577</v>
      </c>
      <c r="G836" s="18"/>
    </row>
    <row r="837" customFormat="false" ht="15.75" hidden="false" customHeight="true" outlineLevel="0" collapsed="false">
      <c r="A837" s="18" t="n">
        <v>1056</v>
      </c>
      <c r="B837" s="18" t="s">
        <v>614</v>
      </c>
      <c r="C837" s="115" t="n">
        <v>45553</v>
      </c>
      <c r="D837" s="10" t="n">
        <v>100</v>
      </c>
      <c r="E837" s="10" t="n">
        <v>600</v>
      </c>
      <c r="F837" s="10" t="s">
        <v>225</v>
      </c>
      <c r="G837" s="18"/>
    </row>
    <row r="838" customFormat="false" ht="15.75" hidden="false" customHeight="true" outlineLevel="0" collapsed="false">
      <c r="A838" s="18" t="n">
        <v>1048</v>
      </c>
      <c r="B838" s="18" t="s">
        <v>246</v>
      </c>
      <c r="C838" s="115" t="n">
        <v>45553</v>
      </c>
      <c r="D838" s="10" t="n">
        <v>100</v>
      </c>
      <c r="E838" s="10" t="n">
        <v>1500</v>
      </c>
      <c r="F838" s="10" t="s">
        <v>225</v>
      </c>
      <c r="G838" s="18"/>
    </row>
    <row r="839" customFormat="false" ht="15.75" hidden="false" customHeight="true" outlineLevel="0" collapsed="false">
      <c r="A839" s="18" t="n">
        <v>260676</v>
      </c>
      <c r="B839" s="18" t="s">
        <v>615</v>
      </c>
      <c r="C839" s="115" t="n">
        <v>45553</v>
      </c>
      <c r="D839" s="10" t="n">
        <v>110</v>
      </c>
      <c r="E839" s="10" t="n">
        <v>750</v>
      </c>
      <c r="F839" s="10" t="s">
        <v>225</v>
      </c>
      <c r="G839" s="18"/>
    </row>
    <row r="840" customFormat="false" ht="15.75" hidden="false" customHeight="true" outlineLevel="0" collapsed="false">
      <c r="A840" s="18" t="n">
        <v>1051</v>
      </c>
      <c r="B840" s="18" t="s">
        <v>351</v>
      </c>
      <c r="C840" s="115" t="n">
        <v>45553</v>
      </c>
      <c r="D840" s="10" t="n">
        <v>125</v>
      </c>
      <c r="E840" s="10" t="n">
        <v>670</v>
      </c>
      <c r="F840" s="10" t="s">
        <v>225</v>
      </c>
      <c r="G840" s="18"/>
    </row>
    <row r="841" customFormat="false" ht="15.75" hidden="false" customHeight="true" outlineLevel="0" collapsed="false">
      <c r="A841" s="18" t="n">
        <v>260680</v>
      </c>
      <c r="B841" s="18" t="s">
        <v>418</v>
      </c>
      <c r="C841" s="115" t="n">
        <v>45553</v>
      </c>
      <c r="D841" s="10" t="n">
        <v>145</v>
      </c>
      <c r="E841" s="10" t="n">
        <v>1100</v>
      </c>
      <c r="F841" s="10" t="s">
        <v>225</v>
      </c>
      <c r="G841" s="18" t="s">
        <v>232</v>
      </c>
    </row>
    <row r="842" customFormat="false" ht="15.75" hidden="false" customHeight="true" outlineLevel="0" collapsed="false">
      <c r="A842" s="18" t="n">
        <v>260681</v>
      </c>
      <c r="B842" s="18" t="s">
        <v>280</v>
      </c>
      <c r="C842" s="115" t="n">
        <v>45554</v>
      </c>
      <c r="D842" s="10" t="n">
        <v>80</v>
      </c>
      <c r="E842" s="10" t="n">
        <v>510</v>
      </c>
      <c r="F842" s="10" t="s">
        <v>225</v>
      </c>
      <c r="G842" s="18"/>
    </row>
    <row r="843" customFormat="false" ht="15.75" hidden="false" customHeight="true" outlineLevel="0" collapsed="false">
      <c r="A843" s="18" t="n">
        <v>1057</v>
      </c>
      <c r="B843" s="18" t="s">
        <v>401</v>
      </c>
      <c r="C843" s="115" t="n">
        <v>45554</v>
      </c>
      <c r="D843" s="10" t="n">
        <v>110</v>
      </c>
      <c r="E843" s="10" t="n">
        <v>1800</v>
      </c>
      <c r="F843" s="10" t="s">
        <v>225</v>
      </c>
      <c r="G843" s="18"/>
    </row>
    <row r="844" customFormat="false" ht="15.75" hidden="false" customHeight="true" outlineLevel="0" collapsed="false">
      <c r="A844" s="18" t="n">
        <v>1058</v>
      </c>
      <c r="B844" s="18" t="s">
        <v>401</v>
      </c>
      <c r="C844" s="115" t="n">
        <v>45554</v>
      </c>
      <c r="D844" s="10" t="n">
        <v>110</v>
      </c>
      <c r="E844" s="10" t="n">
        <v>4000</v>
      </c>
      <c r="F844" s="10" t="s">
        <v>225</v>
      </c>
      <c r="G844" s="18"/>
    </row>
    <row r="845" customFormat="false" ht="15.75" hidden="false" customHeight="true" outlineLevel="0" collapsed="false">
      <c r="A845" s="18" t="n">
        <v>1052</v>
      </c>
      <c r="B845" s="18" t="s">
        <v>427</v>
      </c>
      <c r="C845" s="115" t="n">
        <v>45554</v>
      </c>
      <c r="D845" s="10" t="n">
        <v>110</v>
      </c>
      <c r="E845" s="10" t="n">
        <v>900</v>
      </c>
      <c r="F845" s="10" t="s">
        <v>225</v>
      </c>
      <c r="G845" s="18"/>
    </row>
    <row r="846" customFormat="false" ht="15.75" hidden="false" customHeight="true" outlineLevel="0" collapsed="false">
      <c r="A846" s="18" t="n">
        <v>1047</v>
      </c>
      <c r="B846" s="18" t="s">
        <v>285</v>
      </c>
      <c r="C846" s="115" t="n">
        <v>45554</v>
      </c>
      <c r="D846" s="10" t="n">
        <v>125</v>
      </c>
      <c r="E846" s="10" t="n">
        <v>4500</v>
      </c>
      <c r="F846" s="10" t="s">
        <v>225</v>
      </c>
      <c r="G846" s="18"/>
    </row>
    <row r="847" customFormat="false" ht="15.75" hidden="false" customHeight="true" outlineLevel="0" collapsed="false">
      <c r="A847" s="18" t="n">
        <v>1061</v>
      </c>
      <c r="B847" s="18" t="s">
        <v>352</v>
      </c>
      <c r="C847" s="115" t="n">
        <v>45554</v>
      </c>
      <c r="D847" s="10" t="n">
        <v>130</v>
      </c>
      <c r="E847" s="10" t="n">
        <v>640</v>
      </c>
      <c r="F847" s="10" t="s">
        <v>225</v>
      </c>
      <c r="G847" s="18"/>
    </row>
    <row r="848" customFormat="false" ht="15.75" hidden="false" customHeight="true" outlineLevel="0" collapsed="false">
      <c r="A848" s="18" t="n">
        <v>1068</v>
      </c>
      <c r="B848" s="18" t="s">
        <v>539</v>
      </c>
      <c r="C848" s="115" t="n">
        <v>45558</v>
      </c>
      <c r="D848" s="10" t="n">
        <v>74</v>
      </c>
      <c r="E848" s="10" t="n">
        <v>400</v>
      </c>
      <c r="F848" s="10" t="s">
        <v>225</v>
      </c>
      <c r="G848" s="18"/>
    </row>
    <row r="849" customFormat="false" ht="15.75" hidden="false" customHeight="true" outlineLevel="0" collapsed="false">
      <c r="A849" s="18" t="n">
        <v>1067</v>
      </c>
      <c r="B849" s="18" t="s">
        <v>547</v>
      </c>
      <c r="C849" s="115" t="n">
        <v>45558</v>
      </c>
      <c r="D849" s="10" t="n">
        <v>75</v>
      </c>
      <c r="E849" s="10" t="n">
        <v>800</v>
      </c>
      <c r="F849" s="10" t="s">
        <v>225</v>
      </c>
      <c r="G849" s="18"/>
    </row>
    <row r="850" customFormat="false" ht="15.75" hidden="false" customHeight="true" outlineLevel="0" collapsed="false">
      <c r="A850" s="18" t="n">
        <v>260685</v>
      </c>
      <c r="B850" s="18" t="s">
        <v>231</v>
      </c>
      <c r="C850" s="115" t="n">
        <v>45558</v>
      </c>
      <c r="D850" s="10" t="n">
        <v>84</v>
      </c>
      <c r="E850" s="10" t="n">
        <v>400</v>
      </c>
      <c r="F850" s="10" t="s">
        <v>225</v>
      </c>
      <c r="G850" s="18" t="s">
        <v>232</v>
      </c>
    </row>
    <row r="851" customFormat="false" ht="15.75" hidden="false" customHeight="true" outlineLevel="0" collapsed="false">
      <c r="A851" s="18" t="n">
        <v>1063</v>
      </c>
      <c r="B851" s="18" t="s">
        <v>383</v>
      </c>
      <c r="C851" s="115" t="n">
        <v>45558</v>
      </c>
      <c r="D851" s="10" t="n">
        <v>88</v>
      </c>
      <c r="E851" s="10" t="n">
        <v>330</v>
      </c>
      <c r="F851" s="10" t="s">
        <v>225</v>
      </c>
      <c r="G851" s="18"/>
    </row>
    <row r="852" customFormat="false" ht="15.75" hidden="false" customHeight="true" outlineLevel="0" collapsed="false">
      <c r="A852" s="18" t="n">
        <v>260686</v>
      </c>
      <c r="B852" s="18" t="s">
        <v>288</v>
      </c>
      <c r="C852" s="115" t="n">
        <v>45558</v>
      </c>
      <c r="D852" s="10" t="n">
        <v>110</v>
      </c>
      <c r="E852" s="10" t="n">
        <v>500</v>
      </c>
      <c r="F852" s="10" t="s">
        <v>229</v>
      </c>
      <c r="G852" s="18"/>
    </row>
    <row r="853" customFormat="false" ht="15.75" hidden="false" customHeight="true" outlineLevel="0" collapsed="false">
      <c r="A853" s="18" t="n">
        <v>260690</v>
      </c>
      <c r="B853" s="18" t="s">
        <v>346</v>
      </c>
      <c r="C853" s="115" t="n">
        <v>45558</v>
      </c>
      <c r="D853" s="10" t="n">
        <v>105</v>
      </c>
      <c r="E853" s="10" t="n">
        <v>315</v>
      </c>
      <c r="F853" s="10" t="s">
        <v>229</v>
      </c>
      <c r="G853" s="18"/>
    </row>
    <row r="854" customFormat="false" ht="15.75" hidden="false" customHeight="true" outlineLevel="0" collapsed="false">
      <c r="A854" s="18" t="n">
        <v>260690</v>
      </c>
      <c r="B854" s="18" t="s">
        <v>346</v>
      </c>
      <c r="C854" s="115" t="n">
        <v>45558</v>
      </c>
      <c r="D854" s="10" t="n">
        <v>105</v>
      </c>
      <c r="E854" s="10" t="n">
        <v>315</v>
      </c>
      <c r="F854" s="10" t="s">
        <v>229</v>
      </c>
      <c r="G854" s="18"/>
    </row>
    <row r="855" customFormat="false" ht="15.75" hidden="false" customHeight="true" outlineLevel="0" collapsed="false">
      <c r="A855" s="18" t="n">
        <v>1059</v>
      </c>
      <c r="B855" s="18" t="s">
        <v>393</v>
      </c>
      <c r="C855" s="115" t="n">
        <v>45558</v>
      </c>
      <c r="D855" s="10" t="n">
        <v>220</v>
      </c>
      <c r="E855" s="10" t="n">
        <v>681</v>
      </c>
      <c r="F855" s="10" t="s">
        <v>229</v>
      </c>
      <c r="G855" s="18"/>
    </row>
    <row r="856" customFormat="false" ht="15.75" hidden="false" customHeight="true" outlineLevel="0" collapsed="false">
      <c r="A856" s="18" t="n">
        <v>1071</v>
      </c>
      <c r="B856" s="18" t="s">
        <v>616</v>
      </c>
      <c r="C856" s="115" t="n">
        <v>45558</v>
      </c>
      <c r="D856" s="10" t="n">
        <v>105</v>
      </c>
      <c r="E856" s="10" t="n">
        <v>2200</v>
      </c>
      <c r="F856" s="10" t="s">
        <v>225</v>
      </c>
      <c r="G856" s="18"/>
    </row>
    <row r="857" customFormat="false" ht="15.75" hidden="false" customHeight="true" outlineLevel="0" collapsed="false">
      <c r="A857" s="18" t="n">
        <v>260667</v>
      </c>
      <c r="B857" s="18" t="s">
        <v>617</v>
      </c>
      <c r="C857" s="115" t="n">
        <v>45558</v>
      </c>
      <c r="D857" s="10" t="n">
        <v>105</v>
      </c>
      <c r="E857" s="10" t="n">
        <v>330</v>
      </c>
      <c r="F857" s="10" t="s">
        <v>225</v>
      </c>
      <c r="G857" s="18"/>
    </row>
    <row r="858" customFormat="false" ht="15.75" hidden="false" customHeight="true" outlineLevel="0" collapsed="false">
      <c r="A858" s="18" t="n">
        <v>260687</v>
      </c>
      <c r="B858" s="18" t="s">
        <v>231</v>
      </c>
      <c r="C858" s="115" t="n">
        <v>45558</v>
      </c>
      <c r="D858" s="10" t="n">
        <v>105</v>
      </c>
      <c r="E858" s="10" t="n">
        <v>426</v>
      </c>
      <c r="F858" s="10" t="s">
        <v>225</v>
      </c>
      <c r="G858" s="18"/>
    </row>
    <row r="859" customFormat="false" ht="15.75" hidden="false" customHeight="true" outlineLevel="0" collapsed="false">
      <c r="A859" s="18" t="n">
        <v>1062</v>
      </c>
      <c r="B859" s="18" t="s">
        <v>585</v>
      </c>
      <c r="C859" s="115" t="n">
        <v>45558</v>
      </c>
      <c r="D859" s="10" t="n">
        <v>110</v>
      </c>
      <c r="E859" s="10" t="n">
        <v>1000</v>
      </c>
      <c r="F859" s="10" t="s">
        <v>225</v>
      </c>
      <c r="G859" s="18"/>
    </row>
    <row r="860" customFormat="false" ht="15.75" hidden="false" customHeight="true" outlineLevel="0" collapsed="false">
      <c r="A860" s="18" t="n">
        <v>1066</v>
      </c>
      <c r="B860" s="18" t="s">
        <v>383</v>
      </c>
      <c r="C860" s="115" t="n">
        <v>45558</v>
      </c>
      <c r="D860" s="10" t="n">
        <v>155</v>
      </c>
      <c r="E860" s="10" t="n">
        <v>5006</v>
      </c>
      <c r="F860" s="10" t="s">
        <v>225</v>
      </c>
      <c r="G860" s="18"/>
    </row>
    <row r="861" customFormat="false" ht="15.75" hidden="false" customHeight="true" outlineLevel="0" collapsed="false">
      <c r="A861" s="18" t="n">
        <v>1077</v>
      </c>
      <c r="B861" s="18" t="s">
        <v>618</v>
      </c>
      <c r="C861" s="115" t="n">
        <v>45558</v>
      </c>
      <c r="D861" s="10" t="n">
        <v>180</v>
      </c>
      <c r="E861" s="10" t="n">
        <v>272</v>
      </c>
      <c r="F861" s="10" t="s">
        <v>225</v>
      </c>
      <c r="G861" s="18"/>
    </row>
    <row r="862" customFormat="false" ht="15.75" hidden="false" customHeight="true" outlineLevel="0" collapsed="false">
      <c r="A862" s="18" t="n">
        <v>260684</v>
      </c>
      <c r="B862" s="18" t="s">
        <v>439</v>
      </c>
      <c r="C862" s="115" t="n">
        <v>45558</v>
      </c>
      <c r="D862" s="10" t="n">
        <v>210</v>
      </c>
      <c r="E862" s="10" t="n">
        <v>104</v>
      </c>
      <c r="F862" s="10" t="s">
        <v>225</v>
      </c>
      <c r="G862" s="18"/>
    </row>
    <row r="863" customFormat="false" ht="15.75" hidden="false" customHeight="true" outlineLevel="0" collapsed="false">
      <c r="A863" s="18" t="n">
        <v>260691</v>
      </c>
      <c r="B863" s="18" t="s">
        <v>424</v>
      </c>
      <c r="C863" s="115" t="n">
        <v>45559</v>
      </c>
      <c r="D863" s="10" t="n">
        <v>90</v>
      </c>
      <c r="E863" s="10" t="n">
        <v>500</v>
      </c>
      <c r="F863" s="10" t="s">
        <v>225</v>
      </c>
      <c r="G863" s="18"/>
    </row>
    <row r="864" customFormat="false" ht="15.75" hidden="false" customHeight="true" outlineLevel="0" collapsed="false">
      <c r="A864" s="18" t="n">
        <v>1081</v>
      </c>
      <c r="B864" s="18" t="s">
        <v>619</v>
      </c>
      <c r="C864" s="115" t="n">
        <v>45559</v>
      </c>
      <c r="D864" s="10" t="n">
        <v>80</v>
      </c>
      <c r="E864" s="10" t="n">
        <v>200</v>
      </c>
      <c r="F864" s="10" t="s">
        <v>227</v>
      </c>
      <c r="G864" s="18"/>
    </row>
    <row r="865" customFormat="false" ht="15.75" hidden="false" customHeight="true" outlineLevel="0" collapsed="false">
      <c r="A865" s="18" t="n">
        <v>260692</v>
      </c>
      <c r="B865" s="18" t="s">
        <v>480</v>
      </c>
      <c r="C865" s="115" t="n">
        <v>45559</v>
      </c>
      <c r="D865" s="10" t="n">
        <v>80</v>
      </c>
      <c r="E865" s="10" t="n">
        <v>1200</v>
      </c>
      <c r="F865" s="10" t="s">
        <v>227</v>
      </c>
      <c r="G865" s="18"/>
    </row>
    <row r="866" customFormat="false" ht="15.75" hidden="false" customHeight="true" outlineLevel="0" collapsed="false">
      <c r="A866" s="18" t="n">
        <v>1078</v>
      </c>
      <c r="B866" s="18" t="s">
        <v>556</v>
      </c>
      <c r="C866" s="115" t="n">
        <v>45559</v>
      </c>
      <c r="D866" s="10" t="n">
        <v>15</v>
      </c>
      <c r="E866" s="10" t="n">
        <v>180</v>
      </c>
      <c r="F866" s="10" t="s">
        <v>372</v>
      </c>
      <c r="G866" s="18"/>
    </row>
    <row r="867" customFormat="false" ht="15.75" hidden="false" customHeight="true" outlineLevel="0" collapsed="false">
      <c r="A867" s="18" t="n">
        <v>260693</v>
      </c>
      <c r="B867" s="18" t="s">
        <v>323</v>
      </c>
      <c r="C867" s="115" t="n">
        <v>45559</v>
      </c>
      <c r="D867" s="10" t="n">
        <v>110</v>
      </c>
      <c r="E867" s="10" t="n">
        <v>1125</v>
      </c>
      <c r="F867" s="10" t="s">
        <v>227</v>
      </c>
      <c r="G867" s="18"/>
    </row>
    <row r="868" customFormat="false" ht="15.75" hidden="false" customHeight="true" outlineLevel="0" collapsed="false">
      <c r="A868" s="18" t="n">
        <v>1079</v>
      </c>
      <c r="B868" s="18" t="s">
        <v>354</v>
      </c>
      <c r="C868" s="115" t="n">
        <v>45559</v>
      </c>
      <c r="D868" s="10" t="n">
        <v>110</v>
      </c>
      <c r="E868" s="10" t="n">
        <v>272</v>
      </c>
      <c r="F868" s="10" t="s">
        <v>227</v>
      </c>
      <c r="G868" s="18"/>
    </row>
    <row r="869" customFormat="false" ht="15.75" hidden="false" customHeight="true" outlineLevel="0" collapsed="false">
      <c r="A869" s="18" t="n">
        <v>1083</v>
      </c>
      <c r="B869" s="18" t="s">
        <v>88</v>
      </c>
      <c r="C869" s="115" t="n">
        <v>45559</v>
      </c>
      <c r="D869" s="10" t="n">
        <v>105</v>
      </c>
      <c r="E869" s="10" t="n">
        <v>630</v>
      </c>
      <c r="F869" s="10" t="s">
        <v>225</v>
      </c>
      <c r="G869" s="18"/>
    </row>
    <row r="870" customFormat="false" ht="15.75" hidden="false" customHeight="true" outlineLevel="0" collapsed="false">
      <c r="A870" s="18" t="n">
        <v>260694</v>
      </c>
      <c r="B870" s="18" t="s">
        <v>437</v>
      </c>
      <c r="C870" s="115" t="n">
        <v>45559</v>
      </c>
      <c r="D870" s="10" t="n">
        <v>110</v>
      </c>
      <c r="E870" s="10" t="n">
        <v>375</v>
      </c>
      <c r="F870" s="10" t="s">
        <v>225</v>
      </c>
      <c r="G870" s="18"/>
    </row>
    <row r="871" customFormat="false" ht="15.75" hidden="false" customHeight="true" outlineLevel="0" collapsed="false">
      <c r="A871" s="18" t="n">
        <v>1080</v>
      </c>
      <c r="B871" s="18" t="s">
        <v>283</v>
      </c>
      <c r="C871" s="115" t="n">
        <v>45559</v>
      </c>
      <c r="D871" s="10" t="n">
        <v>125</v>
      </c>
      <c r="E871" s="10" t="n">
        <v>4000</v>
      </c>
      <c r="F871" s="10" t="s">
        <v>225</v>
      </c>
      <c r="G871" s="18"/>
    </row>
    <row r="872" customFormat="false" ht="15.75" hidden="false" customHeight="true" outlineLevel="0" collapsed="false">
      <c r="A872" s="18" t="n">
        <v>1085</v>
      </c>
      <c r="B872" s="18" t="s">
        <v>461</v>
      </c>
      <c r="C872" s="115" t="n">
        <v>45559</v>
      </c>
      <c r="D872" s="10" t="n">
        <v>130</v>
      </c>
      <c r="E872" s="10" t="n">
        <v>384</v>
      </c>
      <c r="F872" s="10" t="s">
        <v>225</v>
      </c>
      <c r="G872" s="18"/>
    </row>
    <row r="873" customFormat="false" ht="15.75" hidden="false" customHeight="true" outlineLevel="0" collapsed="false">
      <c r="A873" s="18" t="n">
        <v>1074</v>
      </c>
      <c r="B873" s="18" t="s">
        <v>389</v>
      </c>
      <c r="C873" s="115" t="n">
        <v>45559</v>
      </c>
      <c r="D873" s="10" t="n">
        <v>148</v>
      </c>
      <c r="E873" s="10" t="n">
        <v>1620</v>
      </c>
      <c r="F873" s="10" t="s">
        <v>225</v>
      </c>
      <c r="G873" s="18" t="s">
        <v>232</v>
      </c>
    </row>
    <row r="874" customFormat="false" ht="15.75" hidden="false" customHeight="true" outlineLevel="0" collapsed="false">
      <c r="A874" s="18" t="n">
        <v>1075</v>
      </c>
      <c r="B874" s="18" t="s">
        <v>389</v>
      </c>
      <c r="C874" s="115" t="n">
        <v>45559</v>
      </c>
      <c r="D874" s="10" t="n">
        <v>155</v>
      </c>
      <c r="E874" s="10" t="n">
        <v>450</v>
      </c>
      <c r="F874" s="10" t="s">
        <v>225</v>
      </c>
      <c r="G874" s="18" t="s">
        <v>232</v>
      </c>
    </row>
    <row r="875" customFormat="false" ht="15.75" hidden="false" customHeight="true" outlineLevel="0" collapsed="false">
      <c r="A875" s="18" t="n">
        <v>1076</v>
      </c>
      <c r="B875" s="18" t="s">
        <v>389</v>
      </c>
      <c r="C875" s="115" t="n">
        <v>45559</v>
      </c>
      <c r="D875" s="10" t="n">
        <v>155</v>
      </c>
      <c r="E875" s="10" t="n">
        <v>2900</v>
      </c>
      <c r="F875" s="10" t="s">
        <v>225</v>
      </c>
      <c r="G875" s="18" t="s">
        <v>232</v>
      </c>
    </row>
    <row r="876" customFormat="false" ht="15.75" hidden="false" customHeight="true" outlineLevel="0" collapsed="false">
      <c r="A876" s="18" t="n">
        <v>1084</v>
      </c>
      <c r="B876" s="18" t="s">
        <v>530</v>
      </c>
      <c r="C876" s="115" t="n">
        <v>45559</v>
      </c>
      <c r="D876" s="10" t="n">
        <v>220</v>
      </c>
      <c r="E876" s="10" t="n">
        <v>478</v>
      </c>
      <c r="F876" s="10" t="s">
        <v>225</v>
      </c>
      <c r="G876" s="18"/>
    </row>
    <row r="877" customFormat="false" ht="15.75" hidden="false" customHeight="true" outlineLevel="0" collapsed="false">
      <c r="A877" s="18" t="n">
        <v>1073</v>
      </c>
      <c r="B877" s="18" t="s">
        <v>620</v>
      </c>
      <c r="C877" s="115" t="n">
        <v>45559</v>
      </c>
      <c r="D877" s="10" t="n">
        <v>250</v>
      </c>
      <c r="E877" s="10" t="n">
        <v>22568</v>
      </c>
      <c r="F877" s="10" t="s">
        <v>236</v>
      </c>
      <c r="G877" s="18"/>
    </row>
    <row r="878" customFormat="false" ht="15.75" hidden="false" customHeight="true" outlineLevel="0" collapsed="false">
      <c r="A878" s="18" t="n">
        <v>260701</v>
      </c>
      <c r="B878" s="18" t="s">
        <v>337</v>
      </c>
      <c r="C878" s="115" t="n">
        <v>45562</v>
      </c>
      <c r="D878" s="10" t="n">
        <v>65</v>
      </c>
      <c r="E878" s="10" t="n">
        <v>1200</v>
      </c>
      <c r="F878" s="10" t="s">
        <v>225</v>
      </c>
      <c r="G878" s="18"/>
    </row>
    <row r="879" customFormat="false" ht="15.75" hidden="false" customHeight="true" outlineLevel="0" collapsed="false">
      <c r="A879" s="18" t="n">
        <v>260770</v>
      </c>
      <c r="B879" s="18" t="s">
        <v>621</v>
      </c>
      <c r="C879" s="115" t="n">
        <v>45562</v>
      </c>
      <c r="D879" s="10" t="n">
        <v>70</v>
      </c>
      <c r="E879" s="10" t="n">
        <v>675</v>
      </c>
      <c r="F879" s="10" t="s">
        <v>225</v>
      </c>
      <c r="G879" s="18"/>
    </row>
    <row r="880" customFormat="false" ht="15.75" hidden="false" customHeight="true" outlineLevel="0" collapsed="false">
      <c r="A880" s="18" t="n">
        <v>260699</v>
      </c>
      <c r="B880" s="18" t="s">
        <v>257</v>
      </c>
      <c r="C880" s="115" t="n">
        <v>45562</v>
      </c>
      <c r="D880" s="10" t="n">
        <v>90</v>
      </c>
      <c r="E880" s="10" t="n">
        <v>480</v>
      </c>
      <c r="F880" s="10" t="s">
        <v>225</v>
      </c>
      <c r="G880" s="18"/>
    </row>
    <row r="881" customFormat="false" ht="15.75" hidden="false" customHeight="true" outlineLevel="0" collapsed="false">
      <c r="A881" s="18" t="n">
        <v>260708</v>
      </c>
      <c r="B881" s="18" t="s">
        <v>496</v>
      </c>
      <c r="C881" s="115" t="n">
        <v>45562</v>
      </c>
      <c r="D881" s="10" t="n">
        <v>90</v>
      </c>
      <c r="E881" s="10" t="n">
        <v>2000</v>
      </c>
      <c r="F881" s="10" t="s">
        <v>225</v>
      </c>
      <c r="G881" s="18"/>
    </row>
    <row r="882" customFormat="false" ht="15.75" hidden="false" customHeight="true" outlineLevel="0" collapsed="false">
      <c r="A882" s="18" t="n">
        <v>1093</v>
      </c>
      <c r="B882" s="18" t="s">
        <v>286</v>
      </c>
      <c r="C882" s="115" t="n">
        <v>45562</v>
      </c>
      <c r="D882" s="10" t="n">
        <v>210</v>
      </c>
      <c r="E882" s="10" t="n">
        <v>335</v>
      </c>
      <c r="F882" s="10" t="s">
        <v>236</v>
      </c>
      <c r="G882" s="18"/>
    </row>
    <row r="883" customFormat="false" ht="15.75" hidden="false" customHeight="true" outlineLevel="0" collapsed="false">
      <c r="A883" s="18" t="n">
        <v>260704</v>
      </c>
      <c r="B883" s="18" t="s">
        <v>622</v>
      </c>
      <c r="C883" s="115" t="n">
        <v>45562</v>
      </c>
      <c r="D883" s="10" t="n">
        <v>100</v>
      </c>
      <c r="E883" s="10" t="n">
        <v>170</v>
      </c>
      <c r="F883" s="10" t="s">
        <v>227</v>
      </c>
      <c r="G883" s="18"/>
    </row>
    <row r="884" customFormat="false" ht="15.75" hidden="false" customHeight="true" outlineLevel="0" collapsed="false">
      <c r="A884" s="18" t="n">
        <v>1096</v>
      </c>
      <c r="B884" s="18" t="s">
        <v>528</v>
      </c>
      <c r="C884" s="115" t="n">
        <v>45562</v>
      </c>
      <c r="D884" s="10" t="n">
        <v>110</v>
      </c>
      <c r="E884" s="10" t="n">
        <v>3750</v>
      </c>
      <c r="F884" s="10" t="s">
        <v>227</v>
      </c>
      <c r="G884" s="18"/>
    </row>
    <row r="885" customFormat="false" ht="15.75" hidden="false" customHeight="true" outlineLevel="0" collapsed="false">
      <c r="A885" s="18" t="n">
        <v>1099</v>
      </c>
      <c r="B885" s="18" t="s">
        <v>250</v>
      </c>
      <c r="C885" s="115" t="n">
        <v>45562</v>
      </c>
      <c r="D885" s="10" t="n">
        <v>110</v>
      </c>
      <c r="E885" s="10" t="n">
        <v>2160</v>
      </c>
      <c r="F885" s="10" t="s">
        <v>227</v>
      </c>
      <c r="G885" s="18"/>
    </row>
    <row r="886" customFormat="false" ht="15.75" hidden="false" customHeight="true" outlineLevel="0" collapsed="false">
      <c r="A886" s="18" t="n">
        <v>260703</v>
      </c>
      <c r="B886" s="18" t="s">
        <v>623</v>
      </c>
      <c r="C886" s="115" t="n">
        <v>45562</v>
      </c>
      <c r="D886" s="10" t="n">
        <v>110</v>
      </c>
      <c r="E886" s="10" t="n">
        <v>243</v>
      </c>
      <c r="F886" s="10" t="s">
        <v>225</v>
      </c>
      <c r="G886" s="18"/>
    </row>
    <row r="887" customFormat="false" ht="15.75" hidden="false" customHeight="true" outlineLevel="0" collapsed="false">
      <c r="A887" s="18" t="n">
        <v>260703</v>
      </c>
      <c r="B887" s="18" t="s">
        <v>623</v>
      </c>
      <c r="C887" s="115" t="n">
        <v>45562</v>
      </c>
      <c r="D887" s="10" t="n">
        <v>120</v>
      </c>
      <c r="E887" s="10" t="n">
        <v>113</v>
      </c>
      <c r="F887" s="10" t="s">
        <v>225</v>
      </c>
      <c r="G887" s="18"/>
    </row>
    <row r="888" customFormat="false" ht="15.75" hidden="false" customHeight="true" outlineLevel="0" collapsed="false">
      <c r="A888" s="18" t="n">
        <v>260700</v>
      </c>
      <c r="B888" s="18" t="s">
        <v>257</v>
      </c>
      <c r="C888" s="115" t="n">
        <v>45562</v>
      </c>
      <c r="D888" s="10" t="n">
        <v>130</v>
      </c>
      <c r="E888" s="10" t="n">
        <v>450</v>
      </c>
      <c r="F888" s="10" t="s">
        <v>225</v>
      </c>
      <c r="G888" s="18"/>
    </row>
    <row r="889" customFormat="false" ht="15.75" hidden="false" customHeight="true" outlineLevel="0" collapsed="false">
      <c r="A889" s="18" t="n">
        <v>260703</v>
      </c>
      <c r="B889" s="18" t="s">
        <v>623</v>
      </c>
      <c r="C889" s="115" t="n">
        <v>45562</v>
      </c>
      <c r="D889" s="10" t="n">
        <v>130</v>
      </c>
      <c r="E889" s="10" t="n">
        <v>68</v>
      </c>
      <c r="F889" s="10" t="s">
        <v>225</v>
      </c>
      <c r="G889" s="18"/>
    </row>
    <row r="890" customFormat="false" ht="15.75" hidden="false" customHeight="true" outlineLevel="0" collapsed="false">
      <c r="A890" s="18" t="n">
        <v>260702</v>
      </c>
      <c r="B890" s="18" t="s">
        <v>375</v>
      </c>
      <c r="C890" s="115" t="n">
        <v>45562</v>
      </c>
      <c r="D890" s="10" t="n">
        <v>140</v>
      </c>
      <c r="E890" s="10" t="n">
        <v>800</v>
      </c>
      <c r="F890" s="10" t="s">
        <v>225</v>
      </c>
      <c r="G890" s="18"/>
    </row>
    <row r="891" customFormat="false" ht="15.75" hidden="false" customHeight="true" outlineLevel="0" collapsed="false">
      <c r="A891" s="18" t="n">
        <v>1092</v>
      </c>
      <c r="B891" s="18" t="s">
        <v>353</v>
      </c>
      <c r="C891" s="115" t="n">
        <v>45562</v>
      </c>
      <c r="D891" s="10" t="n">
        <v>150</v>
      </c>
      <c r="E891" s="10" t="n">
        <v>45</v>
      </c>
      <c r="F891" s="10" t="s">
        <v>225</v>
      </c>
      <c r="G891" s="18"/>
    </row>
    <row r="892" customFormat="false" ht="15.75" hidden="false" customHeight="true" outlineLevel="0" collapsed="false">
      <c r="A892" s="18" t="n">
        <v>1097</v>
      </c>
      <c r="B892" s="18" t="s">
        <v>321</v>
      </c>
      <c r="C892" s="115" t="n">
        <v>45562</v>
      </c>
      <c r="D892" s="10" t="n">
        <v>210</v>
      </c>
      <c r="E892" s="10" t="n">
        <v>649</v>
      </c>
      <c r="F892" s="10" t="s">
        <v>225</v>
      </c>
      <c r="G892" s="18"/>
    </row>
    <row r="893" customFormat="false" ht="15.75" hidden="false" customHeight="true" outlineLevel="0" collapsed="false">
      <c r="A893" s="18" t="n">
        <v>1093</v>
      </c>
      <c r="B893" s="18" t="s">
        <v>286</v>
      </c>
      <c r="C893" s="115" t="n">
        <v>45562</v>
      </c>
      <c r="D893" s="10" t="n">
        <v>220</v>
      </c>
      <c r="E893" s="10" t="n">
        <v>108</v>
      </c>
      <c r="F893" s="10" t="s">
        <v>225</v>
      </c>
      <c r="G893" s="18"/>
    </row>
    <row r="894" customFormat="false" ht="15.75" hidden="false" customHeight="true" outlineLevel="0" collapsed="false">
      <c r="A894" s="18" t="n">
        <v>1097</v>
      </c>
      <c r="B894" s="18" t="s">
        <v>321</v>
      </c>
      <c r="C894" s="115" t="n">
        <v>45562</v>
      </c>
      <c r="D894" s="10" t="n">
        <v>220</v>
      </c>
      <c r="E894" s="10" t="n">
        <v>1596</v>
      </c>
      <c r="F894" s="10" t="s">
        <v>236</v>
      </c>
      <c r="G894" s="18"/>
    </row>
    <row r="895" customFormat="false" ht="15.75" hidden="false" customHeight="true" outlineLevel="0" collapsed="false">
      <c r="A895" s="18" t="n">
        <v>1105</v>
      </c>
      <c r="B895" s="18" t="s">
        <v>624</v>
      </c>
      <c r="C895" s="115" t="n">
        <v>45565</v>
      </c>
      <c r="D895" s="10" t="n">
        <v>140</v>
      </c>
      <c r="E895" s="10" t="n">
        <v>323</v>
      </c>
      <c r="F895" s="10" t="s">
        <v>362</v>
      </c>
      <c r="G895" s="18"/>
    </row>
    <row r="896" customFormat="false" ht="15.75" hidden="false" customHeight="true" outlineLevel="0" collapsed="false">
      <c r="A896" s="18" t="n">
        <v>260697</v>
      </c>
      <c r="B896" s="18" t="s">
        <v>625</v>
      </c>
      <c r="C896" s="115" t="n">
        <v>45565</v>
      </c>
      <c r="D896" s="10" t="n">
        <v>140</v>
      </c>
      <c r="E896" s="10" t="n">
        <v>45</v>
      </c>
      <c r="F896" s="10" t="s">
        <v>362</v>
      </c>
      <c r="G896" s="18"/>
    </row>
    <row r="897" customFormat="false" ht="15.75" hidden="false" customHeight="true" outlineLevel="0" collapsed="false">
      <c r="A897" s="18" t="n">
        <v>260710</v>
      </c>
      <c r="B897" s="18" t="s">
        <v>626</v>
      </c>
      <c r="C897" s="115" t="n">
        <v>45565</v>
      </c>
      <c r="D897" s="10" t="n">
        <v>30</v>
      </c>
      <c r="E897" s="10" t="n">
        <v>150</v>
      </c>
      <c r="F897" s="10" t="s">
        <v>262</v>
      </c>
      <c r="G897" s="18"/>
    </row>
    <row r="898" customFormat="false" ht="15.75" hidden="false" customHeight="true" outlineLevel="0" collapsed="false">
      <c r="A898" s="18" t="n">
        <v>260711</v>
      </c>
      <c r="B898" s="18" t="s">
        <v>627</v>
      </c>
      <c r="C898" s="115" t="n">
        <v>45565</v>
      </c>
      <c r="D898" s="10" t="n">
        <v>48</v>
      </c>
      <c r="E898" s="10" t="n">
        <v>260</v>
      </c>
      <c r="F898" s="10" t="s">
        <v>577</v>
      </c>
      <c r="G898" s="18"/>
    </row>
    <row r="899" customFormat="false" ht="15.75" hidden="false" customHeight="true" outlineLevel="0" collapsed="false">
      <c r="A899" s="18" t="n">
        <v>1102</v>
      </c>
      <c r="B899" s="18" t="s">
        <v>324</v>
      </c>
      <c r="C899" s="115" t="n">
        <v>45565</v>
      </c>
      <c r="D899" s="10" t="n">
        <v>220</v>
      </c>
      <c r="E899" s="10" t="n">
        <v>3040</v>
      </c>
      <c r="F899" s="10" t="s">
        <v>227</v>
      </c>
      <c r="G899" s="18"/>
    </row>
    <row r="900" customFormat="false" ht="15.75" hidden="false" customHeight="true" outlineLevel="0" collapsed="false">
      <c r="A900" s="18" t="n">
        <v>260710</v>
      </c>
      <c r="B900" s="18" t="s">
        <v>626</v>
      </c>
      <c r="C900" s="115" t="n">
        <v>45565</v>
      </c>
      <c r="D900" s="10" t="n">
        <v>105</v>
      </c>
      <c r="E900" s="10" t="n">
        <v>210</v>
      </c>
      <c r="F900" s="10" t="s">
        <v>225</v>
      </c>
      <c r="G900" s="18"/>
    </row>
    <row r="901" customFormat="false" ht="15.75" hidden="false" customHeight="true" outlineLevel="0" collapsed="false">
      <c r="A901" s="18" t="n">
        <v>1101</v>
      </c>
      <c r="B901" s="18" t="s">
        <v>628</v>
      </c>
      <c r="C901" s="115" t="n">
        <v>45565</v>
      </c>
      <c r="D901" s="10" t="n">
        <v>105</v>
      </c>
      <c r="E901" s="10" t="n">
        <v>2000</v>
      </c>
      <c r="F901" s="10" t="s">
        <v>225</v>
      </c>
      <c r="G901" s="18"/>
    </row>
    <row r="902" customFormat="false" ht="15.75" hidden="false" customHeight="true" outlineLevel="0" collapsed="false">
      <c r="A902" s="18" t="n">
        <v>1103</v>
      </c>
      <c r="B902" s="18" t="s">
        <v>258</v>
      </c>
      <c r="C902" s="115" t="n">
        <v>45565</v>
      </c>
      <c r="D902" s="10" t="n">
        <v>120</v>
      </c>
      <c r="E902" s="10" t="n">
        <v>1500</v>
      </c>
      <c r="F902" s="10" t="s">
        <v>225</v>
      </c>
      <c r="G902" s="18"/>
    </row>
    <row r="903" customFormat="false" ht="15.75" hidden="false" customHeight="true" outlineLevel="0" collapsed="false">
      <c r="A903" s="18" t="n">
        <v>1104</v>
      </c>
      <c r="B903" s="18" t="s">
        <v>258</v>
      </c>
      <c r="C903" s="115" t="n">
        <v>45565</v>
      </c>
      <c r="D903" s="10" t="n">
        <v>130</v>
      </c>
      <c r="E903" s="10" t="n">
        <v>620</v>
      </c>
      <c r="F903" s="10" t="s">
        <v>225</v>
      </c>
      <c r="G903" s="18"/>
    </row>
    <row r="904" customFormat="false" ht="15.75" hidden="false" customHeight="true" outlineLevel="0" collapsed="false">
      <c r="A904" s="18" t="n">
        <v>1115</v>
      </c>
      <c r="B904" s="18" t="s">
        <v>629</v>
      </c>
      <c r="C904" s="115" t="n">
        <v>45566</v>
      </c>
      <c r="D904" s="10" t="n">
        <v>55</v>
      </c>
      <c r="E904" s="10" t="n">
        <v>2550</v>
      </c>
      <c r="F904" s="10" t="s">
        <v>225</v>
      </c>
      <c r="G904" s="18"/>
    </row>
    <row r="905" customFormat="false" ht="15.75" hidden="false" customHeight="true" outlineLevel="0" collapsed="false">
      <c r="A905" s="18" t="n">
        <v>1111</v>
      </c>
      <c r="B905" s="18" t="s">
        <v>465</v>
      </c>
      <c r="C905" s="115" t="n">
        <v>45566</v>
      </c>
      <c r="D905" s="10" t="n">
        <v>93</v>
      </c>
      <c r="E905" s="10" t="n">
        <v>910</v>
      </c>
      <c r="F905" s="10" t="s">
        <v>225</v>
      </c>
      <c r="G905" s="18"/>
    </row>
    <row r="906" customFormat="false" ht="15.75" hidden="false" customHeight="true" outlineLevel="0" collapsed="false">
      <c r="A906" s="18" t="n">
        <v>1111</v>
      </c>
      <c r="B906" s="18" t="s">
        <v>465</v>
      </c>
      <c r="C906" s="115" t="n">
        <v>45566</v>
      </c>
      <c r="D906" s="10" t="n">
        <v>100</v>
      </c>
      <c r="E906" s="10" t="n">
        <v>750</v>
      </c>
      <c r="F906" s="10" t="s">
        <v>225</v>
      </c>
      <c r="G906" s="18"/>
    </row>
    <row r="907" customFormat="false" ht="15.75" hidden="false" customHeight="true" outlineLevel="0" collapsed="false">
      <c r="A907" s="18" t="n">
        <v>260709</v>
      </c>
      <c r="B907" s="18" t="s">
        <v>508</v>
      </c>
      <c r="C907" s="115" t="n">
        <v>45566</v>
      </c>
      <c r="D907" s="10" t="n">
        <v>100</v>
      </c>
      <c r="E907" s="10" t="n">
        <v>2040</v>
      </c>
      <c r="F907" s="10" t="s">
        <v>225</v>
      </c>
      <c r="G907" s="18"/>
    </row>
    <row r="908" customFormat="false" ht="15.75" hidden="false" customHeight="true" outlineLevel="0" collapsed="false">
      <c r="A908" s="18" t="n">
        <v>260718</v>
      </c>
      <c r="B908" s="18" t="s">
        <v>630</v>
      </c>
      <c r="C908" s="115" t="n">
        <v>45566</v>
      </c>
      <c r="D908" s="10" t="n">
        <v>80</v>
      </c>
      <c r="E908" s="10" t="n">
        <v>585</v>
      </c>
      <c r="F908" s="10" t="s">
        <v>19</v>
      </c>
      <c r="G908" s="18"/>
    </row>
    <row r="909" customFormat="false" ht="15.75" hidden="false" customHeight="true" outlineLevel="0" collapsed="false">
      <c r="A909" s="18" t="n">
        <v>260714</v>
      </c>
      <c r="B909" s="18" t="s">
        <v>450</v>
      </c>
      <c r="C909" s="115" t="n">
        <v>45566</v>
      </c>
      <c r="D909" s="10" t="n">
        <v>43</v>
      </c>
      <c r="E909" s="10" t="n">
        <v>312</v>
      </c>
      <c r="F909" s="10" t="s">
        <v>262</v>
      </c>
      <c r="G909" s="18"/>
    </row>
    <row r="910" customFormat="false" ht="15.75" hidden="false" customHeight="true" outlineLevel="0" collapsed="false">
      <c r="A910" s="18" t="n">
        <v>260712</v>
      </c>
      <c r="B910" s="18" t="s">
        <v>631</v>
      </c>
      <c r="C910" s="115" t="n">
        <v>45566</v>
      </c>
      <c r="D910" s="10" t="n">
        <v>35</v>
      </c>
      <c r="E910" s="10" t="n">
        <v>300</v>
      </c>
      <c r="F910" s="10" t="s">
        <v>632</v>
      </c>
      <c r="G910" s="18"/>
    </row>
    <row r="911" customFormat="false" ht="15.75" hidden="false" customHeight="true" outlineLevel="0" collapsed="false">
      <c r="A911" s="18" t="n">
        <v>1109</v>
      </c>
      <c r="B911" s="18" t="s">
        <v>550</v>
      </c>
      <c r="C911" s="115" t="n">
        <v>45566</v>
      </c>
      <c r="D911" s="10" t="n">
        <v>110</v>
      </c>
      <c r="E911" s="10" t="n">
        <v>495</v>
      </c>
      <c r="F911" s="10" t="s">
        <v>229</v>
      </c>
      <c r="G911" s="18"/>
    </row>
    <row r="912" customFormat="false" ht="15.75" hidden="false" customHeight="true" outlineLevel="0" collapsed="false">
      <c r="A912" s="18" t="n">
        <v>260713</v>
      </c>
      <c r="B912" s="18" t="s">
        <v>274</v>
      </c>
      <c r="C912" s="115" t="n">
        <v>45566</v>
      </c>
      <c r="D912" s="10" t="n">
        <v>130</v>
      </c>
      <c r="E912" s="10" t="n">
        <v>1000</v>
      </c>
      <c r="F912" s="10" t="s">
        <v>227</v>
      </c>
      <c r="G912" s="18"/>
    </row>
    <row r="913" customFormat="false" ht="15.75" hidden="false" customHeight="true" outlineLevel="0" collapsed="false">
      <c r="A913" s="18" t="n">
        <v>1113</v>
      </c>
      <c r="B913" s="18" t="s">
        <v>320</v>
      </c>
      <c r="C913" s="115" t="n">
        <v>45566</v>
      </c>
      <c r="D913" s="10" t="n">
        <v>105</v>
      </c>
      <c r="E913" s="10" t="n">
        <v>795</v>
      </c>
      <c r="F913" s="10" t="s">
        <v>225</v>
      </c>
      <c r="G913" s="18"/>
    </row>
    <row r="914" customFormat="false" ht="15.75" hidden="false" customHeight="true" outlineLevel="0" collapsed="false">
      <c r="A914" s="18" t="n">
        <v>1111</v>
      </c>
      <c r="B914" s="18" t="s">
        <v>465</v>
      </c>
      <c r="C914" s="115" t="n">
        <v>45566</v>
      </c>
      <c r="D914" s="10" t="n">
        <v>105</v>
      </c>
      <c r="E914" s="10" t="n">
        <v>746</v>
      </c>
      <c r="F914" s="10" t="s">
        <v>225</v>
      </c>
      <c r="G914" s="18"/>
    </row>
    <row r="915" customFormat="false" ht="15.75" hidden="false" customHeight="true" outlineLevel="0" collapsed="false">
      <c r="A915" s="18" t="n">
        <v>1107</v>
      </c>
      <c r="B915" s="18" t="s">
        <v>475</v>
      </c>
      <c r="C915" s="115" t="n">
        <v>45566</v>
      </c>
      <c r="D915" s="10" t="n">
        <v>110</v>
      </c>
      <c r="E915" s="10" t="n">
        <v>1300</v>
      </c>
      <c r="F915" s="10" t="s">
        <v>225</v>
      </c>
      <c r="G915" s="18"/>
    </row>
    <row r="916" customFormat="false" ht="15.75" hidden="false" customHeight="true" outlineLevel="0" collapsed="false">
      <c r="A916" s="18" t="n">
        <v>1108</v>
      </c>
      <c r="B916" s="18" t="s">
        <v>475</v>
      </c>
      <c r="C916" s="115" t="n">
        <v>45566</v>
      </c>
      <c r="D916" s="10" t="n">
        <v>140</v>
      </c>
      <c r="E916" s="10" t="n">
        <v>2800</v>
      </c>
      <c r="F916" s="10" t="s">
        <v>225</v>
      </c>
      <c r="G916" s="18"/>
    </row>
    <row r="917" customFormat="false" ht="15.75" hidden="false" customHeight="true" outlineLevel="0" collapsed="false">
      <c r="A917" s="18" t="n">
        <v>260717</v>
      </c>
      <c r="B917" s="18" t="s">
        <v>475</v>
      </c>
      <c r="C917" s="115" t="n">
        <v>45566</v>
      </c>
      <c r="D917" s="10" t="n">
        <v>158</v>
      </c>
      <c r="E917" s="10" t="n">
        <v>450</v>
      </c>
      <c r="F917" s="10" t="s">
        <v>225</v>
      </c>
      <c r="G917" s="18"/>
    </row>
    <row r="918" customFormat="false" ht="15.75" hidden="false" customHeight="true" outlineLevel="0" collapsed="false">
      <c r="A918" s="18" t="n">
        <v>1112</v>
      </c>
      <c r="B918" s="18" t="s">
        <v>359</v>
      </c>
      <c r="C918" s="115" t="n">
        <v>45566</v>
      </c>
      <c r="D918" s="10" t="n">
        <v>190</v>
      </c>
      <c r="E918" s="10" t="n">
        <v>3780</v>
      </c>
      <c r="F918" s="10" t="s">
        <v>225</v>
      </c>
      <c r="G918" s="18"/>
    </row>
    <row r="919" customFormat="false" ht="15.75" hidden="false" customHeight="true" outlineLevel="0" collapsed="false">
      <c r="A919" s="18" t="n">
        <v>1114</v>
      </c>
      <c r="B919" s="18" t="s">
        <v>291</v>
      </c>
      <c r="C919" s="115" t="n">
        <v>45566</v>
      </c>
      <c r="D919" s="10" t="n">
        <v>220</v>
      </c>
      <c r="E919" s="10" t="n">
        <v>638</v>
      </c>
      <c r="F919" s="10" t="s">
        <v>225</v>
      </c>
      <c r="G919" s="18"/>
    </row>
    <row r="920" customFormat="false" ht="15.75" hidden="false" customHeight="true" outlineLevel="0" collapsed="false">
      <c r="A920" s="18" t="n">
        <v>1119</v>
      </c>
      <c r="B920" s="18" t="s">
        <v>269</v>
      </c>
      <c r="C920" s="115" t="n">
        <v>45567</v>
      </c>
      <c r="D920" s="10" t="n">
        <v>20</v>
      </c>
      <c r="E920" s="10" t="n">
        <v>850</v>
      </c>
      <c r="F920" s="10" t="s">
        <v>225</v>
      </c>
      <c r="G920" s="18"/>
    </row>
    <row r="921" customFormat="false" ht="15.75" hidden="false" customHeight="true" outlineLevel="0" collapsed="false">
      <c r="A921" s="18" t="n">
        <v>1069</v>
      </c>
      <c r="B921" s="18" t="s">
        <v>539</v>
      </c>
      <c r="C921" s="115" t="n">
        <v>45567</v>
      </c>
      <c r="D921" s="10" t="n">
        <v>74</v>
      </c>
      <c r="E921" s="10" t="n">
        <v>400</v>
      </c>
      <c r="F921" s="10" t="s">
        <v>225</v>
      </c>
      <c r="G921" s="18"/>
    </row>
    <row r="922" customFormat="false" ht="15.75" hidden="false" customHeight="true" outlineLevel="0" collapsed="false">
      <c r="A922" s="18" t="n">
        <v>260723</v>
      </c>
      <c r="B922" s="18" t="s">
        <v>231</v>
      </c>
      <c r="C922" s="115" t="n">
        <v>45567</v>
      </c>
      <c r="D922" s="10" t="n">
        <v>83</v>
      </c>
      <c r="E922" s="10" t="n">
        <v>243</v>
      </c>
      <c r="F922" s="10" t="s">
        <v>225</v>
      </c>
      <c r="G922" s="18" t="s">
        <v>232</v>
      </c>
    </row>
    <row r="923" customFormat="false" ht="15.75" hidden="false" customHeight="true" outlineLevel="0" collapsed="false">
      <c r="A923" s="18" t="n">
        <v>260722</v>
      </c>
      <c r="B923" s="18" t="s">
        <v>231</v>
      </c>
      <c r="C923" s="115" t="n">
        <v>45567</v>
      </c>
      <c r="D923" s="10" t="n">
        <v>84</v>
      </c>
      <c r="E923" s="10" t="n">
        <v>400</v>
      </c>
      <c r="F923" s="10" t="s">
        <v>225</v>
      </c>
      <c r="G923" s="18"/>
    </row>
    <row r="924" customFormat="false" ht="15.75" hidden="false" customHeight="true" outlineLevel="0" collapsed="false">
      <c r="A924" s="18" t="n">
        <v>1116</v>
      </c>
      <c r="B924" s="18" t="s">
        <v>620</v>
      </c>
      <c r="C924" s="115" t="n">
        <v>45567</v>
      </c>
      <c r="D924" s="10" t="n">
        <v>90</v>
      </c>
      <c r="E924" s="10" t="n">
        <v>1100</v>
      </c>
      <c r="F924" s="10" t="s">
        <v>225</v>
      </c>
      <c r="G924" s="18"/>
    </row>
    <row r="925" customFormat="false" ht="15.75" hidden="false" customHeight="true" outlineLevel="0" collapsed="false">
      <c r="A925" s="18" t="n">
        <v>1116</v>
      </c>
      <c r="B925" s="18" t="s">
        <v>620</v>
      </c>
      <c r="C925" s="115" t="n">
        <v>45567</v>
      </c>
      <c r="D925" s="10" t="n">
        <v>65</v>
      </c>
      <c r="E925" s="10" t="n">
        <v>1290</v>
      </c>
      <c r="F925" s="10" t="s">
        <v>227</v>
      </c>
      <c r="G925" s="18"/>
    </row>
    <row r="926" customFormat="false" ht="15.75" hidden="false" customHeight="true" outlineLevel="0" collapsed="false">
      <c r="A926" s="18" t="n">
        <v>260698</v>
      </c>
      <c r="B926" s="18" t="s">
        <v>415</v>
      </c>
      <c r="C926" s="115" t="n">
        <v>45567</v>
      </c>
      <c r="D926" s="10" t="n">
        <v>100</v>
      </c>
      <c r="E926" s="10" t="n">
        <v>21000</v>
      </c>
      <c r="F926" s="10" t="s">
        <v>577</v>
      </c>
      <c r="G926" s="18"/>
    </row>
    <row r="927" customFormat="false" ht="15.75" hidden="false" customHeight="true" outlineLevel="0" collapsed="false">
      <c r="A927" s="18" t="n">
        <v>260698</v>
      </c>
      <c r="B927" s="18" t="s">
        <v>415</v>
      </c>
      <c r="C927" s="115" t="n">
        <v>45567</v>
      </c>
      <c r="D927" s="10" t="n">
        <v>100</v>
      </c>
      <c r="E927" s="10" t="n">
        <v>21000</v>
      </c>
      <c r="F927" s="10" t="s">
        <v>577</v>
      </c>
      <c r="G927" s="18"/>
    </row>
    <row r="928" customFormat="false" ht="15.75" hidden="false" customHeight="true" outlineLevel="0" collapsed="false">
      <c r="A928" s="18" t="n">
        <v>1121</v>
      </c>
      <c r="B928" s="18" t="s">
        <v>224</v>
      </c>
      <c r="C928" s="115" t="n">
        <v>45567</v>
      </c>
      <c r="D928" s="10" t="n">
        <v>55</v>
      </c>
      <c r="E928" s="10" t="n">
        <v>1380</v>
      </c>
      <c r="F928" s="10" t="s">
        <v>248</v>
      </c>
      <c r="G928" s="18"/>
    </row>
    <row r="929" customFormat="false" ht="15.75" hidden="false" customHeight="true" outlineLevel="0" collapsed="false">
      <c r="A929" s="18" t="n">
        <v>1121</v>
      </c>
      <c r="B929" s="18" t="s">
        <v>224</v>
      </c>
      <c r="C929" s="115" t="n">
        <v>45567</v>
      </c>
      <c r="D929" s="10" t="n">
        <v>55</v>
      </c>
      <c r="E929" s="10" t="n">
        <v>1380</v>
      </c>
      <c r="F929" s="10"/>
      <c r="G929" s="18"/>
    </row>
    <row r="930" customFormat="false" ht="15.75" hidden="false" customHeight="true" outlineLevel="0" collapsed="false">
      <c r="A930" s="18" t="n">
        <v>1120</v>
      </c>
      <c r="B930" s="18" t="s">
        <v>242</v>
      </c>
      <c r="C930" s="115" t="n">
        <v>45567</v>
      </c>
      <c r="D930" s="10" t="n">
        <v>40</v>
      </c>
      <c r="E930" s="10" t="n">
        <v>750</v>
      </c>
      <c r="F930" s="10" t="s">
        <v>248</v>
      </c>
      <c r="G930" s="18"/>
    </row>
    <row r="931" customFormat="false" ht="15.75" hidden="false" customHeight="true" outlineLevel="0" collapsed="false">
      <c r="A931" s="18" t="n">
        <v>1123</v>
      </c>
      <c r="B931" s="18" t="s">
        <v>506</v>
      </c>
      <c r="C931" s="115" t="n">
        <v>45567</v>
      </c>
      <c r="D931" s="10" t="n">
        <v>220</v>
      </c>
      <c r="E931" s="10" t="n">
        <v>1236</v>
      </c>
      <c r="F931" s="10" t="s">
        <v>229</v>
      </c>
      <c r="G931" s="18"/>
    </row>
    <row r="932" customFormat="false" ht="15.75" hidden="false" customHeight="true" outlineLevel="0" collapsed="false">
      <c r="A932" s="18" t="n">
        <v>1110</v>
      </c>
      <c r="B932" s="18" t="s">
        <v>272</v>
      </c>
      <c r="C932" s="115" t="n">
        <v>45567</v>
      </c>
      <c r="D932" s="10" t="n">
        <v>110</v>
      </c>
      <c r="E932" s="10" t="n">
        <v>3200</v>
      </c>
      <c r="F932" s="10" t="s">
        <v>227</v>
      </c>
      <c r="G932" s="18"/>
    </row>
    <row r="933" customFormat="false" ht="15.75" hidden="false" customHeight="true" outlineLevel="0" collapsed="false">
      <c r="A933" s="18" t="n">
        <v>1121</v>
      </c>
      <c r="B933" s="18" t="s">
        <v>224</v>
      </c>
      <c r="C933" s="115" t="n">
        <v>45567</v>
      </c>
      <c r="D933" s="10" t="n">
        <v>105</v>
      </c>
      <c r="E933" s="10" t="n">
        <v>8400</v>
      </c>
      <c r="F933" s="10" t="s">
        <v>225</v>
      </c>
      <c r="G933" s="18"/>
    </row>
    <row r="934" customFormat="false" ht="15.75" hidden="false" customHeight="true" outlineLevel="0" collapsed="false">
      <c r="A934" s="18" t="n">
        <v>1118</v>
      </c>
      <c r="B934" s="18" t="s">
        <v>258</v>
      </c>
      <c r="C934" s="115" t="n">
        <v>45567</v>
      </c>
      <c r="D934" s="10" t="n">
        <v>110</v>
      </c>
      <c r="E934" s="10" t="n">
        <v>810</v>
      </c>
      <c r="F934" s="10" t="s">
        <v>225</v>
      </c>
      <c r="G934" s="18"/>
    </row>
    <row r="935" customFormat="false" ht="15.75" hidden="false" customHeight="true" outlineLevel="0" collapsed="false">
      <c r="A935" s="18" t="n">
        <v>260721</v>
      </c>
      <c r="B935" s="18" t="s">
        <v>633</v>
      </c>
      <c r="C935" s="115" t="n">
        <v>45567</v>
      </c>
      <c r="D935" s="10" t="n">
        <v>110</v>
      </c>
      <c r="E935" s="10" t="n">
        <v>340</v>
      </c>
      <c r="F935" s="10" t="s">
        <v>225</v>
      </c>
      <c r="G935" s="18"/>
    </row>
    <row r="936" customFormat="false" ht="15.75" hidden="false" customHeight="true" outlineLevel="0" collapsed="false">
      <c r="A936" s="18" t="n">
        <v>1116</v>
      </c>
      <c r="B936" s="18" t="s">
        <v>620</v>
      </c>
      <c r="C936" s="115" t="n">
        <v>45567</v>
      </c>
      <c r="D936" s="10" t="n">
        <v>110</v>
      </c>
      <c r="E936" s="10" t="n">
        <v>950</v>
      </c>
      <c r="F936" s="10" t="s">
        <v>225</v>
      </c>
      <c r="G936" s="18"/>
    </row>
    <row r="937" customFormat="false" ht="15.75" hidden="false" customHeight="true" outlineLevel="0" collapsed="false">
      <c r="A937" s="18" t="n">
        <v>260722</v>
      </c>
      <c r="B937" s="18" t="s">
        <v>231</v>
      </c>
      <c r="C937" s="115" t="n">
        <v>45567</v>
      </c>
      <c r="D937" s="10" t="n">
        <v>120</v>
      </c>
      <c r="E937" s="10" t="n">
        <v>150</v>
      </c>
      <c r="F937" s="10" t="s">
        <v>225</v>
      </c>
      <c r="G937" s="18"/>
    </row>
    <row r="938" customFormat="false" ht="15.75" hidden="false" customHeight="true" outlineLevel="0" collapsed="false">
      <c r="A938" s="18" t="n">
        <v>1121</v>
      </c>
      <c r="B938" s="18" t="s">
        <v>224</v>
      </c>
      <c r="C938" s="115" t="n">
        <v>45567</v>
      </c>
      <c r="D938" s="10" t="n">
        <v>210</v>
      </c>
      <c r="E938" s="10" t="n">
        <v>2988</v>
      </c>
      <c r="F938" s="10" t="s">
        <v>225</v>
      </c>
      <c r="G938" s="18"/>
    </row>
    <row r="939" customFormat="false" ht="15.75" hidden="false" customHeight="true" outlineLevel="0" collapsed="false">
      <c r="A939" s="18" t="n">
        <v>1116</v>
      </c>
      <c r="B939" s="18" t="s">
        <v>620</v>
      </c>
      <c r="C939" s="115" t="n">
        <v>45567</v>
      </c>
      <c r="D939" s="10" t="n">
        <v>210</v>
      </c>
      <c r="E939" s="10" t="n">
        <v>1245</v>
      </c>
      <c r="F939" s="10" t="s">
        <v>225</v>
      </c>
      <c r="G939" s="18"/>
    </row>
    <row r="940" customFormat="false" ht="15.75" hidden="false" customHeight="true" outlineLevel="0" collapsed="false">
      <c r="A940" s="18" t="n">
        <v>1135</v>
      </c>
      <c r="B940" s="18" t="s">
        <v>242</v>
      </c>
      <c r="C940" s="115" t="n">
        <v>45572</v>
      </c>
      <c r="D940" s="10" t="n">
        <v>20</v>
      </c>
      <c r="E940" s="10" t="n">
        <v>675</v>
      </c>
      <c r="F940" s="10" t="s">
        <v>225</v>
      </c>
      <c r="G940" s="18"/>
    </row>
    <row r="941" customFormat="false" ht="15.75" hidden="false" customHeight="true" outlineLevel="0" collapsed="false">
      <c r="A941" s="18" t="n">
        <v>1129</v>
      </c>
      <c r="B941" s="18" t="s">
        <v>242</v>
      </c>
      <c r="C941" s="115" t="n">
        <v>45572</v>
      </c>
      <c r="D941" s="10" t="n">
        <v>20</v>
      </c>
      <c r="E941" s="10" t="n">
        <v>600</v>
      </c>
      <c r="F941" s="10" t="s">
        <v>225</v>
      </c>
      <c r="G941" s="18"/>
    </row>
    <row r="942" customFormat="false" ht="15.75" hidden="false" customHeight="true" outlineLevel="0" collapsed="false">
      <c r="A942" s="18" t="n">
        <v>260733</v>
      </c>
      <c r="B942" s="18" t="s">
        <v>634</v>
      </c>
      <c r="C942" s="115" t="n">
        <v>45572</v>
      </c>
      <c r="D942" s="10" t="n">
        <v>45</v>
      </c>
      <c r="E942" s="10" t="n">
        <v>215</v>
      </c>
      <c r="F942" s="10" t="s">
        <v>225</v>
      </c>
      <c r="G942" s="18"/>
    </row>
    <row r="943" customFormat="false" ht="15.75" hidden="false" customHeight="true" outlineLevel="0" collapsed="false">
      <c r="A943" s="18" t="n">
        <v>260736</v>
      </c>
      <c r="B943" s="18" t="s">
        <v>635</v>
      </c>
      <c r="C943" s="115" t="n">
        <v>45572</v>
      </c>
      <c r="D943" s="10" t="n">
        <v>48</v>
      </c>
      <c r="E943" s="10" t="n">
        <v>460</v>
      </c>
      <c r="F943" s="10" t="s">
        <v>225</v>
      </c>
      <c r="G943" s="18"/>
    </row>
    <row r="944" customFormat="false" ht="15.75" hidden="false" customHeight="true" outlineLevel="0" collapsed="false">
      <c r="A944" s="18" t="n">
        <v>1126</v>
      </c>
      <c r="B944" s="18" t="s">
        <v>636</v>
      </c>
      <c r="C944" s="115" t="n">
        <v>45572</v>
      </c>
      <c r="D944" s="10" t="n">
        <v>50</v>
      </c>
      <c r="E944" s="10" t="n">
        <v>225</v>
      </c>
      <c r="F944" s="10" t="s">
        <v>225</v>
      </c>
      <c r="G944" s="18"/>
    </row>
    <row r="945" customFormat="false" ht="15.75" hidden="false" customHeight="true" outlineLevel="0" collapsed="false">
      <c r="A945" s="18" t="n">
        <v>1130</v>
      </c>
      <c r="B945" s="18" t="s">
        <v>637</v>
      </c>
      <c r="C945" s="115" t="n">
        <v>45572</v>
      </c>
      <c r="D945" s="10" t="n">
        <v>53</v>
      </c>
      <c r="E945" s="10" t="n">
        <v>204</v>
      </c>
      <c r="F945" s="10" t="s">
        <v>225</v>
      </c>
      <c r="G945" s="18"/>
    </row>
    <row r="946" customFormat="false" ht="15.75" hidden="false" customHeight="true" outlineLevel="0" collapsed="false">
      <c r="A946" s="18" t="n">
        <v>260731</v>
      </c>
      <c r="B946" s="18" t="s">
        <v>638</v>
      </c>
      <c r="C946" s="115" t="n">
        <v>45572</v>
      </c>
      <c r="D946" s="10" t="n">
        <v>80</v>
      </c>
      <c r="E946" s="10" t="n">
        <v>105</v>
      </c>
      <c r="F946" s="10" t="s">
        <v>225</v>
      </c>
      <c r="G946" s="18"/>
    </row>
    <row r="947" customFormat="false" ht="15.75" hidden="false" customHeight="true" outlineLevel="0" collapsed="false">
      <c r="A947" s="18" t="n">
        <v>260727</v>
      </c>
      <c r="B947" s="18" t="s">
        <v>398</v>
      </c>
      <c r="C947" s="115" t="n">
        <v>45572</v>
      </c>
      <c r="D947" s="10" t="n">
        <v>83</v>
      </c>
      <c r="E947" s="10" t="n">
        <v>405</v>
      </c>
      <c r="F947" s="10" t="s">
        <v>225</v>
      </c>
      <c r="G947" s="18"/>
    </row>
    <row r="948" customFormat="false" ht="15.75" hidden="false" customHeight="true" outlineLevel="0" collapsed="false">
      <c r="A948" s="18" t="n">
        <v>1134</v>
      </c>
      <c r="B948" s="18" t="s">
        <v>311</v>
      </c>
      <c r="C948" s="115" t="n">
        <v>45572</v>
      </c>
      <c r="D948" s="10" t="n">
        <v>85</v>
      </c>
      <c r="E948" s="10" t="n">
        <v>800</v>
      </c>
      <c r="F948" s="10" t="s">
        <v>225</v>
      </c>
      <c r="G948" s="18"/>
    </row>
    <row r="949" customFormat="false" ht="15.75" hidden="false" customHeight="true" outlineLevel="0" collapsed="false">
      <c r="A949" s="18" t="n">
        <v>1126</v>
      </c>
      <c r="B949" s="18" t="s">
        <v>636</v>
      </c>
      <c r="C949" s="115" t="n">
        <v>45572</v>
      </c>
      <c r="D949" s="10" t="n">
        <v>90</v>
      </c>
      <c r="E949" s="10" t="n">
        <v>100</v>
      </c>
      <c r="F949" s="10" t="s">
        <v>225</v>
      </c>
      <c r="G949" s="18"/>
    </row>
    <row r="950" customFormat="false" ht="15.75" hidden="false" customHeight="true" outlineLevel="0" collapsed="false">
      <c r="A950" s="18" t="n">
        <v>1131</v>
      </c>
      <c r="B950" s="18" t="s">
        <v>639</v>
      </c>
      <c r="C950" s="115" t="n">
        <v>45572</v>
      </c>
      <c r="D950" s="10" t="n">
        <v>120</v>
      </c>
      <c r="E950" s="10" t="n">
        <v>150</v>
      </c>
      <c r="F950" s="10" t="s">
        <v>229</v>
      </c>
      <c r="G950" s="18"/>
    </row>
    <row r="951" customFormat="false" ht="15.75" hidden="false" customHeight="true" outlineLevel="0" collapsed="false">
      <c r="A951" s="18" t="n">
        <v>1131</v>
      </c>
      <c r="B951" s="18" t="s">
        <v>639</v>
      </c>
      <c r="C951" s="115" t="n">
        <v>45572</v>
      </c>
      <c r="D951" s="10" t="n">
        <v>110</v>
      </c>
      <c r="E951" s="10" t="n">
        <v>324</v>
      </c>
      <c r="F951" s="10" t="s">
        <v>229</v>
      </c>
      <c r="G951" s="18"/>
    </row>
    <row r="952" customFormat="false" ht="15.75" hidden="false" customHeight="true" outlineLevel="0" collapsed="false">
      <c r="A952" s="18" t="n">
        <v>1128</v>
      </c>
      <c r="B952" s="18" t="s">
        <v>640</v>
      </c>
      <c r="C952" s="115" t="n">
        <v>45572</v>
      </c>
      <c r="D952" s="10" t="n">
        <v>210</v>
      </c>
      <c r="E952" s="10" t="n">
        <v>600</v>
      </c>
      <c r="F952" s="10" t="s">
        <v>229</v>
      </c>
      <c r="G952" s="18"/>
    </row>
    <row r="953" customFormat="false" ht="15.75" hidden="false" customHeight="true" outlineLevel="0" collapsed="false">
      <c r="A953" s="18" t="n">
        <v>260728</v>
      </c>
      <c r="B953" s="18" t="s">
        <v>346</v>
      </c>
      <c r="C953" s="115" t="n">
        <v>45572</v>
      </c>
      <c r="D953" s="10" t="n">
        <v>105</v>
      </c>
      <c r="E953" s="10" t="n">
        <v>189</v>
      </c>
      <c r="F953" s="10" t="s">
        <v>229</v>
      </c>
      <c r="G953" s="18"/>
    </row>
    <row r="954" customFormat="false" ht="15.75" hidden="false" customHeight="true" outlineLevel="0" collapsed="false">
      <c r="A954" s="18" t="n">
        <v>1120</v>
      </c>
      <c r="B954" s="18" t="s">
        <v>242</v>
      </c>
      <c r="C954" s="115" t="n">
        <v>45572</v>
      </c>
      <c r="D954" s="10" t="n">
        <v>40</v>
      </c>
      <c r="E954" s="10" t="n">
        <v>900</v>
      </c>
      <c r="F954" s="10" t="s">
        <v>248</v>
      </c>
      <c r="G954" s="18"/>
    </row>
    <row r="955" customFormat="false" ht="15.75" hidden="false" customHeight="true" outlineLevel="0" collapsed="false">
      <c r="A955" s="18" t="n">
        <v>260726</v>
      </c>
      <c r="B955" s="18" t="s">
        <v>641</v>
      </c>
      <c r="C955" s="115" t="n">
        <v>45572</v>
      </c>
      <c r="D955" s="10" t="n">
        <v>20</v>
      </c>
      <c r="E955" s="10" t="n">
        <v>200</v>
      </c>
      <c r="F955" s="10" t="s">
        <v>464</v>
      </c>
      <c r="G955" s="18"/>
    </row>
    <row r="956" customFormat="false" ht="15.75" hidden="false" customHeight="true" outlineLevel="0" collapsed="false">
      <c r="A956" s="18" t="n">
        <v>1133</v>
      </c>
      <c r="B956" s="18" t="s">
        <v>305</v>
      </c>
      <c r="C956" s="115" t="n">
        <v>45572</v>
      </c>
      <c r="D956" s="10" t="n">
        <v>250</v>
      </c>
      <c r="E956" s="10" t="n">
        <v>223</v>
      </c>
      <c r="F956" s="10" t="s">
        <v>229</v>
      </c>
      <c r="G956" s="18"/>
    </row>
    <row r="957" customFormat="false" ht="15.75" hidden="false" customHeight="true" outlineLevel="0" collapsed="false">
      <c r="A957" s="18" t="n">
        <v>1125</v>
      </c>
      <c r="B957" s="18" t="s">
        <v>642</v>
      </c>
      <c r="C957" s="115" t="n">
        <v>45572</v>
      </c>
      <c r="D957" s="10" t="n">
        <v>210</v>
      </c>
      <c r="E957" s="10" t="n">
        <v>630</v>
      </c>
      <c r="F957" s="10" t="s">
        <v>227</v>
      </c>
      <c r="G957" s="18"/>
    </row>
    <row r="958" customFormat="false" ht="15.75" hidden="false" customHeight="true" outlineLevel="0" collapsed="false">
      <c r="A958" s="18" t="n">
        <v>1106</v>
      </c>
      <c r="B958" s="18" t="s">
        <v>383</v>
      </c>
      <c r="C958" s="115" t="n">
        <v>45572</v>
      </c>
      <c r="D958" s="10" t="n">
        <v>110</v>
      </c>
      <c r="E958" s="10" t="n">
        <v>690</v>
      </c>
      <c r="F958" s="10" t="s">
        <v>225</v>
      </c>
      <c r="G958" s="18"/>
    </row>
    <row r="959" customFormat="false" ht="15.75" hidden="false" customHeight="true" outlineLevel="0" collapsed="false">
      <c r="A959" s="18" t="n">
        <v>260715</v>
      </c>
      <c r="B959" s="18" t="s">
        <v>445</v>
      </c>
      <c r="C959" s="115" t="n">
        <v>45572</v>
      </c>
      <c r="D959" s="10" t="n">
        <v>130</v>
      </c>
      <c r="E959" s="10" t="n">
        <v>685</v>
      </c>
      <c r="F959" s="10" t="s">
        <v>225</v>
      </c>
      <c r="G959" s="18"/>
    </row>
    <row r="960" customFormat="false" ht="15.75" hidden="false" customHeight="true" outlineLevel="0" collapsed="false">
      <c r="A960" s="18" t="n">
        <v>260730</v>
      </c>
      <c r="B960" s="18" t="s">
        <v>259</v>
      </c>
      <c r="C960" s="115" t="n">
        <v>45572</v>
      </c>
      <c r="D960" s="10" t="n">
        <v>190</v>
      </c>
      <c r="E960" s="10" t="n">
        <v>1500</v>
      </c>
      <c r="F960" s="10" t="s">
        <v>225</v>
      </c>
      <c r="G960" s="18"/>
    </row>
    <row r="961" customFormat="false" ht="15.75" hidden="false" customHeight="true" outlineLevel="0" collapsed="false">
      <c r="A961" s="18" t="n">
        <v>1142</v>
      </c>
      <c r="B961" s="18" t="s">
        <v>597</v>
      </c>
      <c r="C961" s="115" t="n">
        <v>45574</v>
      </c>
      <c r="D961" s="10" t="n">
        <v>20</v>
      </c>
      <c r="E961" s="10" t="n">
        <v>528</v>
      </c>
      <c r="F961" s="10" t="s">
        <v>225</v>
      </c>
      <c r="G961" s="18"/>
    </row>
    <row r="962" customFormat="false" ht="15.75" hidden="false" customHeight="true" outlineLevel="0" collapsed="false">
      <c r="A962" s="18" t="n">
        <v>1142</v>
      </c>
      <c r="B962" s="18" t="s">
        <v>597</v>
      </c>
      <c r="C962" s="115" t="n">
        <v>45574</v>
      </c>
      <c r="D962" s="10" t="n">
        <v>30</v>
      </c>
      <c r="E962" s="10" t="n">
        <v>720</v>
      </c>
      <c r="F962" s="10" t="s">
        <v>225</v>
      </c>
      <c r="G962" s="18"/>
    </row>
    <row r="963" customFormat="false" ht="15.75" hidden="false" customHeight="true" outlineLevel="0" collapsed="false">
      <c r="A963" s="18" t="n">
        <v>1140</v>
      </c>
      <c r="B963" s="18" t="s">
        <v>322</v>
      </c>
      <c r="C963" s="115" t="n">
        <v>45574</v>
      </c>
      <c r="D963" s="10" t="n">
        <v>70</v>
      </c>
      <c r="E963" s="10" t="n">
        <v>1360</v>
      </c>
      <c r="F963" s="10" t="s">
        <v>225</v>
      </c>
      <c r="G963" s="18" t="s">
        <v>232</v>
      </c>
    </row>
    <row r="964" customFormat="false" ht="15.75" hidden="false" customHeight="true" outlineLevel="0" collapsed="false">
      <c r="A964" s="18" t="n">
        <v>260739</v>
      </c>
      <c r="B964" s="18" t="s">
        <v>643</v>
      </c>
      <c r="C964" s="115" t="n">
        <v>45574</v>
      </c>
      <c r="D964" s="10" t="n">
        <v>70</v>
      </c>
      <c r="E964" s="10" t="n">
        <v>680</v>
      </c>
      <c r="F964" s="10" t="s">
        <v>225</v>
      </c>
      <c r="G964" s="18"/>
    </row>
    <row r="965" customFormat="false" ht="15.75" hidden="false" customHeight="true" outlineLevel="0" collapsed="false">
      <c r="A965" s="18" t="n">
        <v>1140</v>
      </c>
      <c r="B965" s="18" t="s">
        <v>322</v>
      </c>
      <c r="C965" s="115" t="n">
        <v>45574</v>
      </c>
      <c r="D965" s="10" t="n">
        <v>80</v>
      </c>
      <c r="E965" s="10" t="n">
        <v>768</v>
      </c>
      <c r="F965" s="10" t="s">
        <v>225</v>
      </c>
      <c r="G965" s="18" t="s">
        <v>232</v>
      </c>
    </row>
    <row r="966" customFormat="false" ht="15.75" hidden="false" customHeight="true" outlineLevel="0" collapsed="false">
      <c r="A966" s="18" t="n">
        <v>1148</v>
      </c>
      <c r="B966" s="18" t="s">
        <v>327</v>
      </c>
      <c r="C966" s="115" t="n">
        <v>45574</v>
      </c>
      <c r="D966" s="10" t="n">
        <v>84</v>
      </c>
      <c r="E966" s="10" t="n">
        <v>2000</v>
      </c>
      <c r="F966" s="10" t="s">
        <v>225</v>
      </c>
      <c r="G966" s="18"/>
    </row>
    <row r="967" customFormat="false" ht="15.75" hidden="false" customHeight="true" outlineLevel="0" collapsed="false">
      <c r="A967" s="18" t="n">
        <v>1139</v>
      </c>
      <c r="B967" s="18" t="s">
        <v>309</v>
      </c>
      <c r="C967" s="115" t="n">
        <v>45574</v>
      </c>
      <c r="D967" s="10" t="n">
        <v>97</v>
      </c>
      <c r="E967" s="10" t="n">
        <v>190</v>
      </c>
      <c r="F967" s="10" t="s">
        <v>225</v>
      </c>
      <c r="G967" s="18"/>
    </row>
    <row r="968" customFormat="false" ht="15.75" hidden="false" customHeight="true" outlineLevel="0" collapsed="false">
      <c r="A968" s="18" t="n">
        <v>1140</v>
      </c>
      <c r="B968" s="18" t="s">
        <v>322</v>
      </c>
      <c r="C968" s="115" t="n">
        <v>45574</v>
      </c>
      <c r="D968" s="10" t="n">
        <v>100</v>
      </c>
      <c r="E968" s="10" t="n">
        <v>1000</v>
      </c>
      <c r="F968" s="10" t="s">
        <v>225</v>
      </c>
      <c r="G968" s="18" t="s">
        <v>232</v>
      </c>
    </row>
    <row r="969" customFormat="false" ht="15.75" hidden="false" customHeight="true" outlineLevel="0" collapsed="false">
      <c r="A969" s="18" t="n">
        <v>260743</v>
      </c>
      <c r="B969" s="18" t="s">
        <v>392</v>
      </c>
      <c r="C969" s="115" t="n">
        <v>45574</v>
      </c>
      <c r="D969" s="10" t="n">
        <v>120</v>
      </c>
      <c r="E969" s="10" t="n">
        <v>750</v>
      </c>
      <c r="F969" s="10" t="s">
        <v>296</v>
      </c>
      <c r="G969" s="18"/>
    </row>
    <row r="970" customFormat="false" ht="15.75" hidden="false" customHeight="true" outlineLevel="0" collapsed="false">
      <c r="A970" s="18" t="n">
        <v>1138</v>
      </c>
      <c r="B970" s="18" t="s">
        <v>378</v>
      </c>
      <c r="C970" s="115" t="n">
        <v>45574</v>
      </c>
      <c r="D970" s="10" t="n">
        <v>110</v>
      </c>
      <c r="E970" s="10" t="n">
        <v>3000</v>
      </c>
      <c r="F970" s="10" t="s">
        <v>362</v>
      </c>
      <c r="G970" s="18"/>
    </row>
    <row r="971" customFormat="false" ht="15.75" hidden="false" customHeight="true" outlineLevel="0" collapsed="false">
      <c r="A971" s="18" t="n">
        <v>260741</v>
      </c>
      <c r="B971" s="18" t="s">
        <v>644</v>
      </c>
      <c r="C971" s="115" t="n">
        <v>45574</v>
      </c>
      <c r="D971" s="10" t="n">
        <v>65</v>
      </c>
      <c r="E971" s="10" t="n">
        <v>680</v>
      </c>
      <c r="F971" s="10" t="s">
        <v>262</v>
      </c>
      <c r="G971" s="18"/>
    </row>
    <row r="972" customFormat="false" ht="15.75" hidden="false" customHeight="true" outlineLevel="0" collapsed="false">
      <c r="A972" s="18" t="n">
        <v>1141</v>
      </c>
      <c r="B972" s="18" t="s">
        <v>347</v>
      </c>
      <c r="C972" s="115" t="n">
        <v>45574</v>
      </c>
      <c r="D972" s="10" t="n">
        <v>63</v>
      </c>
      <c r="E972" s="10" t="n">
        <v>120</v>
      </c>
      <c r="F972" s="10" t="s">
        <v>229</v>
      </c>
      <c r="G972" s="18"/>
    </row>
    <row r="973" customFormat="false" ht="15.75" hidden="false" customHeight="true" outlineLevel="0" collapsed="false">
      <c r="A973" s="18" t="n">
        <v>1141</v>
      </c>
      <c r="B973" s="18" t="s">
        <v>347</v>
      </c>
      <c r="C973" s="115" t="n">
        <v>45574</v>
      </c>
      <c r="D973" s="10" t="n">
        <v>30</v>
      </c>
      <c r="E973" s="10" t="n">
        <v>1350</v>
      </c>
      <c r="F973" s="10" t="s">
        <v>229</v>
      </c>
      <c r="G973" s="18"/>
    </row>
    <row r="974" customFormat="false" ht="15.75" hidden="false" customHeight="true" outlineLevel="0" collapsed="false">
      <c r="A974" s="18" t="n">
        <v>1141</v>
      </c>
      <c r="B974" s="18" t="s">
        <v>347</v>
      </c>
      <c r="C974" s="115" t="n">
        <v>45574</v>
      </c>
      <c r="D974" s="10" t="n">
        <v>25</v>
      </c>
      <c r="E974" s="10" t="n">
        <v>180</v>
      </c>
      <c r="F974" s="10" t="s">
        <v>229</v>
      </c>
      <c r="G974" s="18"/>
    </row>
    <row r="975" customFormat="false" ht="15.75" hidden="false" customHeight="true" outlineLevel="0" collapsed="false">
      <c r="A975" s="18" t="n">
        <v>1144</v>
      </c>
      <c r="B975" s="18" t="s">
        <v>397</v>
      </c>
      <c r="C975" s="115" t="n">
        <v>45574</v>
      </c>
      <c r="D975" s="10" t="n">
        <v>110</v>
      </c>
      <c r="E975" s="10" t="n">
        <v>680</v>
      </c>
      <c r="F975" s="10" t="s">
        <v>227</v>
      </c>
      <c r="G975" s="18"/>
    </row>
    <row r="976" customFormat="false" ht="15.75" hidden="false" customHeight="true" outlineLevel="0" collapsed="false">
      <c r="A976" s="18" t="n">
        <v>1147</v>
      </c>
      <c r="B976" s="18" t="s">
        <v>551</v>
      </c>
      <c r="C976" s="115" t="n">
        <v>45574</v>
      </c>
      <c r="D976" s="10" t="n">
        <v>210</v>
      </c>
      <c r="E976" s="10" t="n">
        <v>1575</v>
      </c>
      <c r="F976" s="10" t="s">
        <v>227</v>
      </c>
      <c r="G976" s="18"/>
    </row>
    <row r="977" customFormat="false" ht="15.75" hidden="false" customHeight="true" outlineLevel="0" collapsed="false">
      <c r="A977" s="18" t="n">
        <v>1137</v>
      </c>
      <c r="B977" s="18" t="s">
        <v>291</v>
      </c>
      <c r="C977" s="115" t="n">
        <v>45574</v>
      </c>
      <c r="D977" s="10" t="n">
        <v>105</v>
      </c>
      <c r="E977" s="10" t="n">
        <v>726</v>
      </c>
      <c r="F977" s="10" t="s">
        <v>225</v>
      </c>
      <c r="G977" s="18"/>
    </row>
    <row r="978" customFormat="false" ht="15.75" hidden="false" customHeight="true" outlineLevel="0" collapsed="false">
      <c r="A978" s="18" t="n">
        <v>1145</v>
      </c>
      <c r="B978" s="18" t="s">
        <v>353</v>
      </c>
      <c r="C978" s="115" t="n">
        <v>45574</v>
      </c>
      <c r="D978" s="10" t="n">
        <v>150</v>
      </c>
      <c r="E978" s="10" t="n">
        <v>2250</v>
      </c>
      <c r="F978" s="10" t="s">
        <v>225</v>
      </c>
      <c r="G978" s="18"/>
    </row>
    <row r="979" customFormat="false" ht="15.75" hidden="false" customHeight="true" outlineLevel="0" collapsed="false">
      <c r="A979" s="18" t="n">
        <v>1137</v>
      </c>
      <c r="B979" s="18" t="s">
        <v>291</v>
      </c>
      <c r="C979" s="115" t="n">
        <v>45574</v>
      </c>
      <c r="D979" s="10" t="n">
        <v>180</v>
      </c>
      <c r="E979" s="10" t="n">
        <v>460</v>
      </c>
      <c r="F979" s="10" t="s">
        <v>225</v>
      </c>
      <c r="G979" s="18"/>
    </row>
    <row r="980" customFormat="false" ht="15.75" hidden="false" customHeight="true" outlineLevel="0" collapsed="false">
      <c r="A980" s="18" t="n">
        <v>260748</v>
      </c>
      <c r="B980" s="18" t="s">
        <v>645</v>
      </c>
      <c r="C980" s="115" t="n">
        <v>45579</v>
      </c>
      <c r="D980" s="10" t="n">
        <v>30</v>
      </c>
      <c r="E980" s="10" t="n">
        <v>250</v>
      </c>
      <c r="F980" s="10" t="s">
        <v>225</v>
      </c>
      <c r="G980" s="18"/>
    </row>
    <row r="981" customFormat="false" ht="15.75" hidden="false" customHeight="true" outlineLevel="0" collapsed="false">
      <c r="A981" s="18" t="n">
        <v>1151</v>
      </c>
      <c r="B981" s="18" t="s">
        <v>414</v>
      </c>
      <c r="C981" s="115" t="n">
        <v>45579</v>
      </c>
      <c r="D981" s="10" t="n">
        <v>48</v>
      </c>
      <c r="E981" s="10" t="n">
        <v>1200</v>
      </c>
      <c r="F981" s="10" t="s">
        <v>225</v>
      </c>
      <c r="G981" s="18" t="s">
        <v>232</v>
      </c>
    </row>
    <row r="982" customFormat="false" ht="15.75" hidden="false" customHeight="true" outlineLevel="0" collapsed="false">
      <c r="A982" s="18" t="n">
        <v>1171</v>
      </c>
      <c r="B982" s="18" t="s">
        <v>313</v>
      </c>
      <c r="C982" s="115" t="n">
        <v>45579</v>
      </c>
      <c r="D982" s="10" t="n">
        <v>65</v>
      </c>
      <c r="E982" s="10" t="n">
        <v>2150</v>
      </c>
      <c r="F982" s="10" t="s">
        <v>225</v>
      </c>
      <c r="G982" s="18"/>
    </row>
    <row r="983" customFormat="false" ht="15.75" hidden="false" customHeight="true" outlineLevel="0" collapsed="false">
      <c r="A983" s="18" t="n">
        <v>1140</v>
      </c>
      <c r="B983" s="18" t="s">
        <v>322</v>
      </c>
      <c r="C983" s="115" t="n">
        <v>45579</v>
      </c>
      <c r="D983" s="10" t="n">
        <v>70</v>
      </c>
      <c r="E983" s="10" t="n">
        <v>1360</v>
      </c>
      <c r="F983" s="10" t="s">
        <v>225</v>
      </c>
      <c r="G983" s="18" t="s">
        <v>232</v>
      </c>
    </row>
    <row r="984" customFormat="false" ht="15.75" hidden="false" customHeight="true" outlineLevel="0" collapsed="false">
      <c r="A984" s="18" t="n">
        <v>1140</v>
      </c>
      <c r="B984" s="18" t="s">
        <v>322</v>
      </c>
      <c r="C984" s="115" t="n">
        <v>45579</v>
      </c>
      <c r="D984" s="10" t="n">
        <v>80</v>
      </c>
      <c r="E984" s="10" t="n">
        <v>768</v>
      </c>
      <c r="F984" s="10" t="s">
        <v>225</v>
      </c>
      <c r="G984" s="18" t="s">
        <v>232</v>
      </c>
    </row>
    <row r="985" customFormat="false" ht="15.75" hidden="false" customHeight="true" outlineLevel="0" collapsed="false">
      <c r="A985" s="18" t="n">
        <v>1161</v>
      </c>
      <c r="B985" s="18" t="s">
        <v>443</v>
      </c>
      <c r="C985" s="115" t="n">
        <v>45579</v>
      </c>
      <c r="D985" s="10" t="n">
        <v>85</v>
      </c>
      <c r="E985" s="10" t="n">
        <v>544</v>
      </c>
      <c r="F985" s="10" t="s">
        <v>225</v>
      </c>
      <c r="G985" s="18"/>
    </row>
    <row r="986" customFormat="false" ht="15.75" hidden="false" customHeight="true" outlineLevel="0" collapsed="false">
      <c r="A986" s="18" t="n">
        <v>1172</v>
      </c>
      <c r="B986" s="18" t="s">
        <v>383</v>
      </c>
      <c r="C986" s="115" t="n">
        <v>45579</v>
      </c>
      <c r="D986" s="10" t="n">
        <v>88</v>
      </c>
      <c r="E986" s="10" t="n">
        <v>440</v>
      </c>
      <c r="F986" s="10" t="s">
        <v>225</v>
      </c>
      <c r="G986" s="18"/>
    </row>
    <row r="987" customFormat="false" ht="15.75" hidden="false" customHeight="true" outlineLevel="0" collapsed="false">
      <c r="A987" s="18" t="n">
        <v>260751</v>
      </c>
      <c r="B987" s="18" t="s">
        <v>635</v>
      </c>
      <c r="C987" s="115" t="n">
        <v>45579</v>
      </c>
      <c r="D987" s="10" t="n">
        <v>90</v>
      </c>
      <c r="E987" s="10" t="n">
        <v>430</v>
      </c>
      <c r="F987" s="10" t="s">
        <v>225</v>
      </c>
      <c r="G987" s="18"/>
    </row>
    <row r="988" customFormat="false" ht="15.75" hidden="false" customHeight="true" outlineLevel="0" collapsed="false">
      <c r="A988" s="18" t="n">
        <v>1171</v>
      </c>
      <c r="B988" s="18" t="s">
        <v>313</v>
      </c>
      <c r="C988" s="115" t="n">
        <v>45579</v>
      </c>
      <c r="D988" s="10" t="n">
        <v>90</v>
      </c>
      <c r="E988" s="10" t="n">
        <v>1300</v>
      </c>
      <c r="F988" s="10" t="s">
        <v>225</v>
      </c>
      <c r="G988" s="18"/>
    </row>
    <row r="989" customFormat="false" ht="15.75" hidden="false" customHeight="true" outlineLevel="0" collapsed="false">
      <c r="A989" s="18" t="n">
        <v>1157</v>
      </c>
      <c r="B989" s="18" t="s">
        <v>303</v>
      </c>
      <c r="C989" s="115" t="n">
        <v>45579</v>
      </c>
      <c r="D989" s="10" t="n">
        <v>95</v>
      </c>
      <c r="E989" s="10" t="n">
        <v>4000</v>
      </c>
      <c r="F989" s="10" t="s">
        <v>225</v>
      </c>
      <c r="G989" s="18"/>
    </row>
    <row r="990" customFormat="false" ht="15.75" hidden="false" customHeight="true" outlineLevel="0" collapsed="false">
      <c r="A990" s="18" t="n">
        <v>1165</v>
      </c>
      <c r="B990" s="18" t="s">
        <v>340</v>
      </c>
      <c r="C990" s="115" t="n">
        <v>45579</v>
      </c>
      <c r="D990" s="10" t="n">
        <v>100</v>
      </c>
      <c r="E990" s="10" t="n">
        <v>2667</v>
      </c>
      <c r="F990" s="10" t="s">
        <v>225</v>
      </c>
      <c r="G990" s="18"/>
    </row>
    <row r="991" customFormat="false" ht="15.75" hidden="false" customHeight="true" outlineLevel="0" collapsed="false">
      <c r="A991" s="18" t="n">
        <v>1167</v>
      </c>
      <c r="B991" s="18" t="s">
        <v>646</v>
      </c>
      <c r="C991" s="115" t="n">
        <v>45579</v>
      </c>
      <c r="D991" s="10" t="n">
        <v>100</v>
      </c>
      <c r="E991" s="10" t="n">
        <v>371</v>
      </c>
      <c r="F991" s="10" t="s">
        <v>225</v>
      </c>
      <c r="G991" s="18"/>
    </row>
    <row r="992" customFormat="false" ht="15.75" hidden="false" customHeight="true" outlineLevel="0" collapsed="false">
      <c r="A992" s="18" t="n">
        <v>1140</v>
      </c>
      <c r="B992" s="18" t="s">
        <v>322</v>
      </c>
      <c r="C992" s="115" t="n">
        <v>45579</v>
      </c>
      <c r="D992" s="10" t="n">
        <v>100</v>
      </c>
      <c r="E992" s="10" t="n">
        <v>1200</v>
      </c>
      <c r="F992" s="10" t="s">
        <v>225</v>
      </c>
      <c r="G992" s="18" t="s">
        <v>232</v>
      </c>
    </row>
    <row r="993" customFormat="false" ht="15.75" hidden="false" customHeight="true" outlineLevel="0" collapsed="false">
      <c r="A993" s="18" t="n">
        <v>1171</v>
      </c>
      <c r="B993" s="18" t="s">
        <v>313</v>
      </c>
      <c r="C993" s="115" t="n">
        <v>45579</v>
      </c>
      <c r="D993" s="10" t="n">
        <v>65</v>
      </c>
      <c r="E993" s="10" t="n">
        <v>2580</v>
      </c>
      <c r="F993" s="10" t="s">
        <v>227</v>
      </c>
      <c r="G993" s="18"/>
    </row>
    <row r="994" customFormat="false" ht="15.75" hidden="false" customHeight="true" outlineLevel="0" collapsed="false">
      <c r="A994" s="18" t="n">
        <v>1070</v>
      </c>
      <c r="B994" s="18" t="s">
        <v>647</v>
      </c>
      <c r="C994" s="115" t="n">
        <v>45579</v>
      </c>
      <c r="D994" s="10" t="n">
        <v>210</v>
      </c>
      <c r="E994" s="10" t="n">
        <v>84</v>
      </c>
      <c r="F994" s="10" t="s">
        <v>229</v>
      </c>
      <c r="G994" s="18"/>
    </row>
    <row r="995" customFormat="false" ht="15.75" hidden="false" customHeight="true" outlineLevel="0" collapsed="false">
      <c r="A995" s="18" t="n">
        <v>1150</v>
      </c>
      <c r="B995" s="18" t="s">
        <v>472</v>
      </c>
      <c r="C995" s="115" t="n">
        <v>45579</v>
      </c>
      <c r="D995" s="10" t="n">
        <v>100</v>
      </c>
      <c r="E995" s="10" t="n">
        <v>230</v>
      </c>
      <c r="F995" s="10" t="s">
        <v>262</v>
      </c>
      <c r="G995" s="18"/>
    </row>
    <row r="996" customFormat="false" ht="15.75" hidden="false" customHeight="true" outlineLevel="0" collapsed="false">
      <c r="A996" s="18" t="n">
        <v>1171</v>
      </c>
      <c r="B996" s="18" t="s">
        <v>313</v>
      </c>
      <c r="C996" s="115" t="n">
        <v>45579</v>
      </c>
      <c r="D996" s="10" t="n">
        <v>100</v>
      </c>
      <c r="E996" s="10" t="n">
        <v>1840</v>
      </c>
      <c r="F996" s="10" t="s">
        <v>248</v>
      </c>
      <c r="G996" s="18"/>
    </row>
    <row r="997" customFormat="false" ht="15.75" hidden="false" customHeight="true" outlineLevel="0" collapsed="false">
      <c r="A997" s="18" t="n">
        <v>1150</v>
      </c>
      <c r="B997" s="18" t="s">
        <v>472</v>
      </c>
      <c r="C997" s="115" t="n">
        <v>45579</v>
      </c>
      <c r="D997" s="10" t="n">
        <v>55</v>
      </c>
      <c r="E997" s="10" t="n">
        <v>690</v>
      </c>
      <c r="F997" s="10" t="s">
        <v>262</v>
      </c>
      <c r="G997" s="18"/>
    </row>
    <row r="998" customFormat="false" ht="15.75" hidden="false" customHeight="true" outlineLevel="0" collapsed="false">
      <c r="A998" s="18" t="n">
        <v>260572</v>
      </c>
      <c r="B998" s="18" t="s">
        <v>404</v>
      </c>
      <c r="C998" s="115" t="n">
        <v>45579</v>
      </c>
      <c r="D998" s="10" t="n">
        <v>25</v>
      </c>
      <c r="E998" s="10" t="n">
        <v>400</v>
      </c>
      <c r="F998" s="10" t="s">
        <v>632</v>
      </c>
      <c r="G998" s="18"/>
    </row>
    <row r="999" customFormat="false" ht="15.75" hidden="false" customHeight="true" outlineLevel="0" collapsed="false">
      <c r="A999" s="18" t="n">
        <v>260750</v>
      </c>
      <c r="B999" s="18" t="s">
        <v>329</v>
      </c>
      <c r="C999" s="115" t="n">
        <v>45579</v>
      </c>
      <c r="D999" s="10" t="n">
        <v>105</v>
      </c>
      <c r="E999" s="10" t="n">
        <v>1050</v>
      </c>
      <c r="F999" s="10" t="s">
        <v>225</v>
      </c>
      <c r="G999" s="18"/>
    </row>
    <row r="1000" customFormat="false" ht="15" hidden="false" customHeight="true" outlineLevel="0" collapsed="false">
      <c r="A1000" s="18" t="n">
        <v>1171</v>
      </c>
      <c r="B1000" s="18" t="s">
        <v>313</v>
      </c>
      <c r="C1000" s="115" t="n">
        <v>45579</v>
      </c>
      <c r="D1000" s="10" t="n">
        <v>105</v>
      </c>
      <c r="E1000" s="10" t="n">
        <v>5168</v>
      </c>
      <c r="F1000" s="10" t="s">
        <v>225</v>
      </c>
      <c r="G1000" s="18"/>
    </row>
    <row r="1001" customFormat="false" ht="15" hidden="false" customHeight="true" outlineLevel="0" collapsed="false">
      <c r="A1001" s="18" t="n">
        <v>260747</v>
      </c>
      <c r="B1001" s="18" t="s">
        <v>367</v>
      </c>
      <c r="C1001" s="115" t="n">
        <v>45579</v>
      </c>
      <c r="D1001" s="10" t="n">
        <v>110</v>
      </c>
      <c r="E1001" s="10" t="n">
        <v>300</v>
      </c>
      <c r="F1001" s="10" t="s">
        <v>225</v>
      </c>
      <c r="G1001" s="18"/>
    </row>
    <row r="1002" customFormat="false" ht="15" hidden="false" customHeight="true" outlineLevel="0" collapsed="false">
      <c r="A1002" s="18" t="n">
        <v>260747</v>
      </c>
      <c r="B1002" s="18" t="s">
        <v>367</v>
      </c>
      <c r="C1002" s="115" t="n">
        <v>45579</v>
      </c>
      <c r="D1002" s="10" t="n">
        <v>110</v>
      </c>
      <c r="E1002" s="10" t="n">
        <v>290</v>
      </c>
      <c r="F1002" s="10" t="s">
        <v>225</v>
      </c>
      <c r="G1002" s="18"/>
    </row>
    <row r="1003" customFormat="false" ht="15" hidden="false" customHeight="true" outlineLevel="0" collapsed="false">
      <c r="A1003" s="18" t="n">
        <v>1171</v>
      </c>
      <c r="B1003" s="18" t="s">
        <v>383</v>
      </c>
      <c r="C1003" s="115" t="n">
        <v>45579</v>
      </c>
      <c r="D1003" s="10" t="n">
        <v>115</v>
      </c>
      <c r="E1003" s="10" t="n">
        <v>299</v>
      </c>
      <c r="F1003" s="10" t="s">
        <v>225</v>
      </c>
      <c r="G1003" s="18"/>
    </row>
    <row r="1004" customFormat="false" ht="15" hidden="false" customHeight="true" outlineLevel="0" collapsed="false">
      <c r="A1004" s="18" t="n">
        <v>1159</v>
      </c>
      <c r="B1004" s="18" t="s">
        <v>294</v>
      </c>
      <c r="C1004" s="115" t="n">
        <v>45579</v>
      </c>
      <c r="D1004" s="10" t="n">
        <v>130</v>
      </c>
      <c r="E1004" s="10" t="n">
        <v>2560</v>
      </c>
      <c r="F1004" s="10" t="s">
        <v>225</v>
      </c>
      <c r="G1004" s="18" t="s">
        <v>232</v>
      </c>
    </row>
    <row r="1005" customFormat="false" ht="15" hidden="false" customHeight="true" outlineLevel="0" collapsed="false">
      <c r="A1005" s="18" t="n">
        <v>1149</v>
      </c>
      <c r="B1005" s="18" t="s">
        <v>383</v>
      </c>
      <c r="C1005" s="115" t="n">
        <v>45579</v>
      </c>
      <c r="D1005" s="10" t="n">
        <v>155</v>
      </c>
      <c r="E1005" s="10" t="n">
        <v>100</v>
      </c>
      <c r="F1005" s="10" t="s">
        <v>225</v>
      </c>
      <c r="G1005" s="18"/>
    </row>
    <row r="1006" customFormat="false" ht="15" hidden="false" customHeight="true" outlineLevel="0" collapsed="false">
      <c r="A1006" s="18" t="n">
        <v>1173</v>
      </c>
      <c r="B1006" s="18" t="s">
        <v>383</v>
      </c>
      <c r="C1006" s="115" t="n">
        <v>45579</v>
      </c>
      <c r="D1006" s="10" t="n">
        <v>155</v>
      </c>
      <c r="E1006" s="10" t="n">
        <v>6007</v>
      </c>
      <c r="F1006" s="10" t="s">
        <v>225</v>
      </c>
      <c r="G1006" s="18"/>
    </row>
    <row r="1007" customFormat="false" ht="15" hidden="false" customHeight="true" outlineLevel="0" collapsed="false">
      <c r="A1007" s="18" t="n">
        <v>1154</v>
      </c>
      <c r="B1007" s="18" t="s">
        <v>542</v>
      </c>
      <c r="C1007" s="115" t="n">
        <v>45579</v>
      </c>
      <c r="D1007" s="10" t="n">
        <v>210</v>
      </c>
      <c r="E1007" s="10" t="n">
        <v>847</v>
      </c>
      <c r="F1007" s="10" t="s">
        <v>225</v>
      </c>
      <c r="G1007" s="18"/>
    </row>
    <row r="1008" customFormat="false" ht="15" hidden="false" customHeight="true" outlineLevel="0" collapsed="false">
      <c r="A1008" s="18" t="n">
        <v>1161</v>
      </c>
      <c r="B1008" s="18" t="s">
        <v>443</v>
      </c>
      <c r="C1008" s="115" t="n">
        <v>45579</v>
      </c>
      <c r="D1008" s="10" t="n">
        <v>210</v>
      </c>
      <c r="E1008" s="10" t="n">
        <v>215</v>
      </c>
      <c r="F1008" s="10" t="s">
        <v>225</v>
      </c>
      <c r="G1008" s="18"/>
    </row>
    <row r="1009" customFormat="false" ht="15" hidden="false" customHeight="true" outlineLevel="0" collapsed="false">
      <c r="A1009" s="18" t="n">
        <v>1171</v>
      </c>
      <c r="B1009" s="18" t="s">
        <v>313</v>
      </c>
      <c r="C1009" s="115" t="n">
        <v>45579</v>
      </c>
      <c r="D1009" s="10" t="n">
        <v>210</v>
      </c>
      <c r="E1009" s="10" t="n">
        <v>1245</v>
      </c>
      <c r="F1009" s="10" t="s">
        <v>225</v>
      </c>
      <c r="G1009" s="18"/>
    </row>
    <row r="1010" customFormat="false" ht="15" hidden="false" customHeight="true" outlineLevel="0" collapsed="false">
      <c r="A1010" s="18" t="n">
        <v>1170</v>
      </c>
      <c r="B1010" s="18" t="s">
        <v>383</v>
      </c>
      <c r="C1010" s="115" t="n">
        <v>45579</v>
      </c>
      <c r="D1010" s="10" t="n">
        <v>210</v>
      </c>
      <c r="E1010" s="10" t="n">
        <v>4300</v>
      </c>
      <c r="F1010" s="10" t="s">
        <v>225</v>
      </c>
      <c r="G1010" s="18"/>
    </row>
    <row r="1011" customFormat="false" ht="15" hidden="false" customHeight="true" outlineLevel="0" collapsed="false">
      <c r="A1011" s="18" t="n">
        <v>260745</v>
      </c>
      <c r="B1011" s="18" t="s">
        <v>231</v>
      </c>
      <c r="C1011" s="115" t="n">
        <v>45579</v>
      </c>
      <c r="D1011" s="10" t="n">
        <v>250</v>
      </c>
      <c r="E1011" s="10" t="n">
        <v>495</v>
      </c>
      <c r="F1011" s="10" t="s">
        <v>236</v>
      </c>
      <c r="G1011" s="18"/>
    </row>
    <row r="1012" customFormat="false" ht="15" hidden="false" customHeight="true" outlineLevel="0" collapsed="false">
      <c r="A1012" s="18" t="n">
        <v>1169</v>
      </c>
      <c r="B1012" s="18" t="s">
        <v>313</v>
      </c>
      <c r="C1012" s="115" t="n">
        <v>45579</v>
      </c>
      <c r="D1012" s="10" t="n">
        <v>250</v>
      </c>
      <c r="E1012" s="10" t="n">
        <v>22568</v>
      </c>
      <c r="F1012" s="10" t="s">
        <v>236</v>
      </c>
      <c r="G1012" s="18"/>
    </row>
    <row r="1013" customFormat="false" ht="15" hidden="false" customHeight="true" outlineLevel="0" collapsed="false">
      <c r="A1013" s="18" t="n">
        <v>1153</v>
      </c>
      <c r="B1013" s="18" t="s">
        <v>613</v>
      </c>
      <c r="C1013" s="115" t="n">
        <v>45581</v>
      </c>
      <c r="D1013" s="10" t="n">
        <v>10</v>
      </c>
      <c r="E1013" s="10" t="n">
        <v>45</v>
      </c>
      <c r="F1013" s="10" t="s">
        <v>225</v>
      </c>
      <c r="G1013" s="18"/>
    </row>
    <row r="1014" customFormat="false" ht="15" hidden="false" customHeight="true" outlineLevel="0" collapsed="false">
      <c r="A1014" s="18" t="n">
        <v>1176</v>
      </c>
      <c r="B1014" s="18" t="s">
        <v>270</v>
      </c>
      <c r="C1014" s="115" t="n">
        <v>45581</v>
      </c>
      <c r="D1014" s="10" t="n">
        <v>70</v>
      </c>
      <c r="E1014" s="10" t="n">
        <v>620</v>
      </c>
      <c r="F1014" s="10" t="s">
        <v>225</v>
      </c>
      <c r="G1014" s="18"/>
    </row>
    <row r="1015" customFormat="false" ht="15" hidden="false" customHeight="true" outlineLevel="0" collapsed="false">
      <c r="A1015" s="18" t="n">
        <v>1175</v>
      </c>
      <c r="B1015" s="18" t="s">
        <v>648</v>
      </c>
      <c r="C1015" s="115" t="n">
        <v>45581</v>
      </c>
      <c r="D1015" s="10" t="n">
        <v>90</v>
      </c>
      <c r="E1015" s="10" t="n">
        <v>1200</v>
      </c>
      <c r="F1015" s="10" t="s">
        <v>225</v>
      </c>
      <c r="G1015" s="18"/>
    </row>
    <row r="1016" customFormat="false" ht="15" hidden="false" customHeight="true" outlineLevel="0" collapsed="false">
      <c r="A1016" s="18" t="n">
        <v>260759</v>
      </c>
      <c r="B1016" s="18" t="s">
        <v>581</v>
      </c>
      <c r="C1016" s="115" t="n">
        <v>45581</v>
      </c>
      <c r="D1016" s="10" t="n">
        <v>75</v>
      </c>
      <c r="E1016" s="10" t="n">
        <v>648</v>
      </c>
      <c r="F1016" s="10" t="s">
        <v>227</v>
      </c>
      <c r="G1016" s="18"/>
    </row>
    <row r="1017" customFormat="false" ht="15" hidden="false" customHeight="true" outlineLevel="0" collapsed="false">
      <c r="A1017" s="18" t="n">
        <v>1176</v>
      </c>
      <c r="B1017" s="18" t="s">
        <v>270</v>
      </c>
      <c r="C1017" s="115" t="n">
        <v>45581</v>
      </c>
      <c r="D1017" s="10" t="n">
        <v>75</v>
      </c>
      <c r="E1017" s="10" t="n">
        <v>2900</v>
      </c>
      <c r="F1017" s="10" t="s">
        <v>229</v>
      </c>
      <c r="G1017" s="18"/>
    </row>
    <row r="1018" customFormat="false" ht="15" hidden="false" customHeight="true" outlineLevel="0" collapsed="false">
      <c r="A1018" s="18" t="n">
        <v>1176</v>
      </c>
      <c r="B1018" s="18" t="s">
        <v>270</v>
      </c>
      <c r="C1018" s="115" t="n">
        <v>45581</v>
      </c>
      <c r="D1018" s="10" t="n">
        <v>125</v>
      </c>
      <c r="E1018" s="10" t="n">
        <v>310</v>
      </c>
      <c r="F1018" s="10" t="s">
        <v>225</v>
      </c>
      <c r="G1018" s="18"/>
    </row>
    <row r="1019" customFormat="false" ht="15" hidden="false" customHeight="true" outlineLevel="0" collapsed="false">
      <c r="A1019" s="18" t="n">
        <v>1176</v>
      </c>
      <c r="B1019" s="18" t="s">
        <v>270</v>
      </c>
      <c r="C1019" s="115" t="n">
        <v>45581</v>
      </c>
      <c r="D1019" s="10" t="n">
        <v>140</v>
      </c>
      <c r="E1019" s="10" t="n">
        <v>373</v>
      </c>
      <c r="F1019" s="10" t="s">
        <v>225</v>
      </c>
      <c r="G1019" s="18"/>
    </row>
    <row r="1020" customFormat="false" ht="15" hidden="false" customHeight="true" outlineLevel="0" collapsed="false">
      <c r="A1020" s="18" t="n">
        <v>260755</v>
      </c>
      <c r="B1020" s="18" t="s">
        <v>231</v>
      </c>
      <c r="C1020" s="115" t="n">
        <v>45581</v>
      </c>
      <c r="D1020" s="10" t="n">
        <v>210</v>
      </c>
      <c r="E1020" s="10" t="n">
        <v>2000</v>
      </c>
      <c r="F1020" s="10" t="s">
        <v>225</v>
      </c>
      <c r="G1020" s="18"/>
    </row>
    <row r="1021" customFormat="false" ht="15" hidden="false" customHeight="true" outlineLevel="0" collapsed="false">
      <c r="A1021" s="18" t="n">
        <v>1166</v>
      </c>
      <c r="B1021" s="18" t="s">
        <v>234</v>
      </c>
      <c r="C1021" s="115" t="n">
        <v>45581</v>
      </c>
      <c r="D1021" s="10" t="n">
        <v>220</v>
      </c>
      <c r="E1021" s="10" t="n">
        <v>1425</v>
      </c>
      <c r="F1021" s="10" t="s">
        <v>225</v>
      </c>
      <c r="G1021" s="18"/>
    </row>
    <row r="1022" customFormat="false" ht="15" hidden="false" customHeight="true" outlineLevel="0" collapsed="false">
      <c r="A1022" s="18" t="n">
        <v>1217</v>
      </c>
      <c r="B1022" s="18" t="s">
        <v>649</v>
      </c>
      <c r="C1022" s="115" t="n">
        <v>45593</v>
      </c>
      <c r="D1022" s="10" t="n">
        <v>65</v>
      </c>
      <c r="E1022" s="10" t="n">
        <v>945</v>
      </c>
      <c r="F1022" s="10" t="s">
        <v>225</v>
      </c>
      <c r="G1022" s="18"/>
    </row>
    <row r="1023" customFormat="false" ht="15" hidden="false" customHeight="true" outlineLevel="0" collapsed="false">
      <c r="A1023" s="18" t="n">
        <v>260775</v>
      </c>
      <c r="B1023" s="18" t="s">
        <v>650</v>
      </c>
      <c r="C1023" s="115" t="n">
        <v>45593</v>
      </c>
      <c r="D1023" s="10" t="n">
        <v>103</v>
      </c>
      <c r="E1023" s="10" t="n">
        <v>1000</v>
      </c>
      <c r="F1023" s="10" t="s">
        <v>225</v>
      </c>
      <c r="G1023" s="18"/>
    </row>
    <row r="1024" customFormat="false" ht="15" hidden="false" customHeight="true" outlineLevel="0" collapsed="false">
      <c r="A1024" s="18" t="n">
        <v>1216</v>
      </c>
      <c r="B1024" s="18" t="s">
        <v>651</v>
      </c>
      <c r="C1024" s="115" t="n">
        <v>45593</v>
      </c>
      <c r="D1024" s="10" t="n">
        <v>100</v>
      </c>
      <c r="E1024" s="10" t="n">
        <v>191</v>
      </c>
      <c r="F1024" s="10" t="s">
        <v>229</v>
      </c>
      <c r="G1024" s="18"/>
    </row>
    <row r="1025" customFormat="false" ht="15" hidden="false" customHeight="true" outlineLevel="0" collapsed="false">
      <c r="A1025" s="18" t="n">
        <v>1220</v>
      </c>
      <c r="B1025" s="18" t="s">
        <v>269</v>
      </c>
      <c r="C1025" s="115" t="n">
        <v>45593</v>
      </c>
      <c r="D1025" s="10" t="n">
        <v>35</v>
      </c>
      <c r="E1025" s="10" t="n">
        <v>330</v>
      </c>
      <c r="F1025" s="10" t="s">
        <v>248</v>
      </c>
      <c r="G1025" s="18"/>
    </row>
    <row r="1026" customFormat="false" ht="15" hidden="false" customHeight="true" outlineLevel="0" collapsed="false">
      <c r="A1026" s="18" t="n">
        <v>1224</v>
      </c>
      <c r="B1026" s="18" t="s">
        <v>652</v>
      </c>
      <c r="C1026" s="115" t="n">
        <v>45593</v>
      </c>
      <c r="D1026" s="10" t="n">
        <v>105</v>
      </c>
      <c r="E1026" s="10" t="n">
        <v>850</v>
      </c>
      <c r="F1026" s="10" t="s">
        <v>225</v>
      </c>
      <c r="G1026" s="18"/>
    </row>
    <row r="1027" customFormat="false" ht="15" hidden="false" customHeight="true" outlineLevel="0" collapsed="false">
      <c r="A1027" s="18" t="n">
        <v>1225</v>
      </c>
      <c r="B1027" s="18" t="s">
        <v>350</v>
      </c>
      <c r="C1027" s="115" t="n">
        <v>45593</v>
      </c>
      <c r="D1027" s="10" t="n">
        <v>158</v>
      </c>
      <c r="E1027" s="10" t="n">
        <v>150</v>
      </c>
      <c r="F1027" s="10" t="s">
        <v>225</v>
      </c>
      <c r="G1027" s="18"/>
    </row>
    <row r="1028" customFormat="false" ht="15" hidden="false" customHeight="true" outlineLevel="0" collapsed="false">
      <c r="A1028" s="18" t="n">
        <v>1246</v>
      </c>
      <c r="B1028" s="18" t="s">
        <v>653</v>
      </c>
      <c r="C1028" s="115" t="n">
        <v>45595</v>
      </c>
      <c r="D1028" s="10" t="n">
        <v>210</v>
      </c>
      <c r="E1028" s="10" t="n">
        <v>623</v>
      </c>
      <c r="F1028" s="10" t="s">
        <v>236</v>
      </c>
      <c r="G1028" s="18"/>
    </row>
    <row r="1029" customFormat="false" ht="15" hidden="false" customHeight="true" outlineLevel="0" collapsed="false">
      <c r="A1029" s="18" t="n">
        <v>1247</v>
      </c>
      <c r="B1029" s="18" t="s">
        <v>648</v>
      </c>
      <c r="C1029" s="115" t="n">
        <v>45595</v>
      </c>
      <c r="D1029" s="10" t="n">
        <v>34</v>
      </c>
      <c r="E1029" s="10" t="n">
        <v>400</v>
      </c>
      <c r="F1029" s="10" t="s">
        <v>225</v>
      </c>
      <c r="G1029" s="18"/>
    </row>
    <row r="1030" customFormat="false" ht="15" hidden="false" customHeight="true" outlineLevel="0" collapsed="false">
      <c r="A1030" s="18" t="n">
        <v>1228</v>
      </c>
      <c r="B1030" s="18" t="s">
        <v>422</v>
      </c>
      <c r="C1030" s="115" t="n">
        <v>45595</v>
      </c>
      <c r="D1030" s="10" t="n">
        <v>45</v>
      </c>
      <c r="E1030" s="10" t="n">
        <v>240</v>
      </c>
      <c r="F1030" s="10" t="s">
        <v>225</v>
      </c>
      <c r="G1030" s="18"/>
    </row>
    <row r="1031" customFormat="false" ht="15" hidden="false" customHeight="true" outlineLevel="0" collapsed="false">
      <c r="A1031" s="18" t="n">
        <v>1247</v>
      </c>
      <c r="B1031" s="18" t="s">
        <v>648</v>
      </c>
      <c r="C1031" s="115" t="n">
        <v>45595</v>
      </c>
      <c r="D1031" s="10" t="n">
        <v>58</v>
      </c>
      <c r="E1031" s="10" t="n">
        <v>500</v>
      </c>
      <c r="F1031" s="10" t="s">
        <v>225</v>
      </c>
      <c r="G1031" s="18"/>
    </row>
    <row r="1032" customFormat="false" ht="15" hidden="false" customHeight="true" outlineLevel="0" collapsed="false">
      <c r="A1032" s="18" t="n">
        <v>260777</v>
      </c>
      <c r="B1032" s="18" t="s">
        <v>447</v>
      </c>
      <c r="C1032" s="115" t="n">
        <v>45595</v>
      </c>
      <c r="D1032" s="10" t="n">
        <v>73</v>
      </c>
      <c r="E1032" s="10" t="n">
        <v>510</v>
      </c>
      <c r="F1032" s="10" t="s">
        <v>225</v>
      </c>
      <c r="G1032" s="18"/>
    </row>
    <row r="1033" customFormat="false" ht="15" hidden="false" customHeight="true" outlineLevel="0" collapsed="false">
      <c r="A1033" s="18" t="n">
        <v>1245</v>
      </c>
      <c r="B1033" s="18" t="s">
        <v>423</v>
      </c>
      <c r="C1033" s="115" t="n">
        <v>45595</v>
      </c>
      <c r="D1033" s="10" t="n">
        <v>85</v>
      </c>
      <c r="E1033" s="10" t="n">
        <v>810</v>
      </c>
      <c r="F1033" s="10" t="s">
        <v>225</v>
      </c>
      <c r="G1033" s="18"/>
    </row>
    <row r="1034" customFormat="false" ht="15" hidden="false" customHeight="true" outlineLevel="0" collapsed="false">
      <c r="A1034" s="18" t="n">
        <v>260779</v>
      </c>
      <c r="B1034" s="18" t="s">
        <v>233</v>
      </c>
      <c r="C1034" s="115" t="n">
        <v>45595</v>
      </c>
      <c r="D1034" s="10" t="n">
        <v>85</v>
      </c>
      <c r="E1034" s="10" t="n">
        <v>120</v>
      </c>
      <c r="F1034" s="10" t="s">
        <v>225</v>
      </c>
      <c r="G1034" s="18"/>
    </row>
    <row r="1035" customFormat="false" ht="15" hidden="false" customHeight="true" outlineLevel="0" collapsed="false">
      <c r="A1035" s="18" t="n">
        <v>260786</v>
      </c>
      <c r="B1035" s="18" t="s">
        <v>504</v>
      </c>
      <c r="C1035" s="115" t="n">
        <v>45595</v>
      </c>
      <c r="D1035" s="10" t="n">
        <v>85</v>
      </c>
      <c r="E1035" s="10" t="n">
        <v>400</v>
      </c>
      <c r="F1035" s="10" t="s">
        <v>225</v>
      </c>
      <c r="G1035" s="18"/>
    </row>
    <row r="1036" customFormat="false" ht="15" hidden="false" customHeight="true" outlineLevel="0" collapsed="false">
      <c r="A1036" s="18" t="n">
        <v>260781</v>
      </c>
      <c r="B1036" s="18" t="s">
        <v>496</v>
      </c>
      <c r="C1036" s="115" t="n">
        <v>45595</v>
      </c>
      <c r="D1036" s="10" t="n">
        <v>90</v>
      </c>
      <c r="E1036" s="10" t="n">
        <v>900</v>
      </c>
      <c r="F1036" s="10" t="s">
        <v>225</v>
      </c>
      <c r="G1036" s="18"/>
    </row>
    <row r="1037" customFormat="false" ht="15" hidden="false" customHeight="true" outlineLevel="0" collapsed="false">
      <c r="A1037" s="18" t="n">
        <v>1247</v>
      </c>
      <c r="B1037" s="18" t="s">
        <v>648</v>
      </c>
      <c r="C1037" s="115" t="n">
        <v>45595</v>
      </c>
      <c r="D1037" s="10" t="n">
        <v>90</v>
      </c>
      <c r="E1037" s="10" t="n">
        <v>900</v>
      </c>
      <c r="F1037" s="10" t="s">
        <v>225</v>
      </c>
      <c r="G1037" s="18"/>
    </row>
    <row r="1038" customFormat="false" ht="15" hidden="false" customHeight="true" outlineLevel="0" collapsed="false">
      <c r="A1038" s="18" t="n">
        <v>260778</v>
      </c>
      <c r="B1038" s="18" t="s">
        <v>654</v>
      </c>
      <c r="C1038" s="115" t="n">
        <v>45595</v>
      </c>
      <c r="D1038" s="10" t="n">
        <v>100</v>
      </c>
      <c r="E1038" s="10" t="n">
        <v>750</v>
      </c>
      <c r="F1038" s="10" t="s">
        <v>225</v>
      </c>
      <c r="G1038" s="18"/>
    </row>
    <row r="1039" customFormat="false" ht="15" hidden="false" customHeight="true" outlineLevel="0" collapsed="false">
      <c r="A1039" s="18" t="n">
        <v>1248</v>
      </c>
      <c r="B1039" s="18" t="s">
        <v>290</v>
      </c>
      <c r="C1039" s="115" t="n">
        <v>45595</v>
      </c>
      <c r="D1039" s="10" t="n">
        <v>100</v>
      </c>
      <c r="E1039" s="10" t="n">
        <v>300</v>
      </c>
      <c r="F1039" s="10" t="s">
        <v>227</v>
      </c>
      <c r="G1039" s="18"/>
    </row>
    <row r="1040" customFormat="false" ht="15" hidden="false" customHeight="true" outlineLevel="0" collapsed="false">
      <c r="A1040" s="18" t="n">
        <v>1255</v>
      </c>
      <c r="B1040" s="18" t="s">
        <v>270</v>
      </c>
      <c r="C1040" s="115" t="n">
        <v>45595</v>
      </c>
      <c r="D1040" s="10" t="n">
        <v>130</v>
      </c>
      <c r="E1040" s="10" t="n">
        <v>1875</v>
      </c>
      <c r="F1040" s="10" t="s">
        <v>229</v>
      </c>
      <c r="G1040" s="18"/>
    </row>
    <row r="1041" customFormat="false" ht="15" hidden="false" customHeight="true" outlineLevel="0" collapsed="false">
      <c r="A1041" s="18" t="n">
        <v>260773</v>
      </c>
      <c r="B1041" s="18" t="s">
        <v>323</v>
      </c>
      <c r="C1041" s="115" t="n">
        <v>45595</v>
      </c>
      <c r="D1041" s="10" t="n">
        <v>110</v>
      </c>
      <c r="E1041" s="10" t="n">
        <v>375</v>
      </c>
      <c r="F1041" s="10" t="s">
        <v>227</v>
      </c>
      <c r="G1041" s="18"/>
    </row>
    <row r="1042" customFormat="false" ht="15" hidden="false" customHeight="true" outlineLevel="0" collapsed="false">
      <c r="A1042" s="18" t="n">
        <v>1241</v>
      </c>
      <c r="B1042" s="18" t="s">
        <v>382</v>
      </c>
      <c r="C1042" s="115" t="n">
        <v>45595</v>
      </c>
      <c r="D1042" s="10" t="n">
        <v>125</v>
      </c>
      <c r="E1042" s="10" t="n">
        <v>800</v>
      </c>
      <c r="F1042" s="10" t="s">
        <v>225</v>
      </c>
      <c r="G1042" s="18"/>
    </row>
    <row r="1043" customFormat="false" ht="15" hidden="false" customHeight="true" outlineLevel="0" collapsed="false">
      <c r="A1043" s="18" t="n">
        <v>1253</v>
      </c>
      <c r="B1043" s="18" t="s">
        <v>440</v>
      </c>
      <c r="C1043" s="115" t="n">
        <v>45595</v>
      </c>
      <c r="D1043" s="10" t="n">
        <v>150</v>
      </c>
      <c r="E1043" s="10" t="n">
        <v>271</v>
      </c>
      <c r="F1043" s="10" t="s">
        <v>225</v>
      </c>
      <c r="G1043" s="18"/>
    </row>
    <row r="1044" customFormat="false" ht="15" hidden="false" customHeight="true" outlineLevel="0" collapsed="false">
      <c r="A1044" s="18" t="n">
        <v>1250</v>
      </c>
      <c r="B1044" s="18" t="s">
        <v>246</v>
      </c>
      <c r="C1044" s="115" t="n">
        <v>45595</v>
      </c>
      <c r="D1044" s="10" t="n">
        <v>200</v>
      </c>
      <c r="E1044" s="10" t="n">
        <v>1700</v>
      </c>
      <c r="F1044" s="10" t="s">
        <v>225</v>
      </c>
      <c r="G1044" s="18"/>
    </row>
    <row r="1045" customFormat="false" ht="15" hidden="false" customHeight="true" outlineLevel="0" collapsed="false">
      <c r="A1045" s="18" t="n">
        <v>1249</v>
      </c>
      <c r="B1045" s="18" t="s">
        <v>320</v>
      </c>
      <c r="C1045" s="115" t="n">
        <v>45595</v>
      </c>
      <c r="D1045" s="10" t="n">
        <v>210</v>
      </c>
      <c r="E1045" s="10" t="n">
        <v>248</v>
      </c>
      <c r="F1045" s="10" t="s">
        <v>225</v>
      </c>
      <c r="G1045" s="18"/>
    </row>
    <row r="1046" customFormat="false" ht="15" hidden="false" customHeight="true" outlineLevel="0" collapsed="false">
      <c r="A1046" s="18" t="n">
        <v>1251</v>
      </c>
      <c r="B1046" s="18" t="s">
        <v>549</v>
      </c>
      <c r="C1046" s="115" t="n">
        <v>45595</v>
      </c>
      <c r="D1046" s="10" t="n">
        <v>220</v>
      </c>
      <c r="E1046" s="10" t="n">
        <v>638</v>
      </c>
      <c r="F1046" s="10" t="s">
        <v>225</v>
      </c>
      <c r="G1046" s="18"/>
    </row>
    <row r="1047" customFormat="false" ht="15" hidden="false" customHeight="true" outlineLevel="0" collapsed="false">
      <c r="A1047" s="18" t="n">
        <v>1252</v>
      </c>
      <c r="B1047" s="18" t="s">
        <v>655</v>
      </c>
      <c r="C1047" s="115" t="n">
        <v>45595</v>
      </c>
      <c r="D1047" s="10" t="n">
        <v>250</v>
      </c>
      <c r="E1047" s="10" t="n">
        <v>111</v>
      </c>
      <c r="F1047" s="10" t="s">
        <v>236</v>
      </c>
      <c r="G1047" s="18"/>
    </row>
    <row r="1048" customFormat="false" ht="15" hidden="false" customHeight="true" outlineLevel="0" collapsed="false">
      <c r="A1048" s="18" t="n">
        <v>1251</v>
      </c>
      <c r="B1048" s="18" t="s">
        <v>246</v>
      </c>
      <c r="C1048" s="115" t="n">
        <v>45595</v>
      </c>
      <c r="D1048" s="10" t="n">
        <v>250</v>
      </c>
      <c r="E1048" s="10" t="n">
        <v>9000</v>
      </c>
      <c r="F1048" s="10" t="s">
        <v>236</v>
      </c>
      <c r="G1048" s="18"/>
    </row>
    <row r="1049" customFormat="false" ht="15" hidden="false" customHeight="true" outlineLevel="0" collapsed="false">
      <c r="A1049" s="18" t="n">
        <v>260774</v>
      </c>
      <c r="B1049" s="18" t="s">
        <v>656</v>
      </c>
      <c r="C1049" s="115" t="n">
        <v>45595</v>
      </c>
      <c r="D1049" s="10" t="n">
        <v>250</v>
      </c>
      <c r="E1049" s="10" t="n">
        <v>1485</v>
      </c>
      <c r="F1049" s="10" t="s">
        <v>236</v>
      </c>
      <c r="G1049" s="18"/>
    </row>
    <row r="1050" customFormat="false" ht="15" hidden="false" customHeight="true" outlineLevel="0" collapsed="false">
      <c r="A1050" s="18" t="n">
        <v>1263</v>
      </c>
      <c r="B1050" s="18" t="s">
        <v>506</v>
      </c>
      <c r="C1050" s="115" t="n">
        <v>45596</v>
      </c>
      <c r="D1050" s="10" t="n">
        <v>65</v>
      </c>
      <c r="E1050" s="10" t="n">
        <v>165</v>
      </c>
      <c r="F1050" s="10" t="s">
        <v>225</v>
      </c>
      <c r="G1050" s="18"/>
    </row>
    <row r="1051" customFormat="false" ht="15" hidden="false" customHeight="true" outlineLevel="0" collapsed="false">
      <c r="A1051" s="18" t="n">
        <v>1257</v>
      </c>
      <c r="B1051" s="18" t="s">
        <v>311</v>
      </c>
      <c r="C1051" s="115" t="n">
        <v>45596</v>
      </c>
      <c r="D1051" s="10" t="n">
        <v>70</v>
      </c>
      <c r="E1051" s="10" t="n">
        <v>340</v>
      </c>
      <c r="F1051" s="10" t="s">
        <v>225</v>
      </c>
      <c r="G1051" s="18"/>
    </row>
    <row r="1052" customFormat="false" ht="15" hidden="false" customHeight="true" outlineLevel="0" collapsed="false">
      <c r="A1052" s="18" t="n">
        <v>1262</v>
      </c>
      <c r="B1052" s="18" t="s">
        <v>657</v>
      </c>
      <c r="C1052" s="115" t="n">
        <v>45596</v>
      </c>
      <c r="D1052" s="10" t="n">
        <v>70</v>
      </c>
      <c r="E1052" s="10" t="n">
        <v>680</v>
      </c>
      <c r="F1052" s="10" t="s">
        <v>225</v>
      </c>
      <c r="G1052" s="18"/>
    </row>
    <row r="1053" customFormat="false" ht="15" hidden="false" customHeight="true" outlineLevel="0" collapsed="false">
      <c r="A1053" s="18" t="n">
        <v>260786</v>
      </c>
      <c r="B1053" s="18" t="s">
        <v>658</v>
      </c>
      <c r="C1053" s="115" t="n">
        <v>45596</v>
      </c>
      <c r="D1053" s="10" t="n">
        <v>78</v>
      </c>
      <c r="E1053" s="10" t="n">
        <v>420</v>
      </c>
      <c r="F1053" s="10" t="s">
        <v>225</v>
      </c>
      <c r="G1053" s="18"/>
    </row>
    <row r="1054" customFormat="false" ht="15" hidden="false" customHeight="true" outlineLevel="0" collapsed="false">
      <c r="A1054" s="18" t="n">
        <v>260796</v>
      </c>
      <c r="B1054" s="18" t="s">
        <v>659</v>
      </c>
      <c r="C1054" s="115" t="n">
        <v>45596</v>
      </c>
      <c r="D1054" s="10" t="n">
        <v>80</v>
      </c>
      <c r="E1054" s="10" t="n">
        <v>153</v>
      </c>
      <c r="F1054" s="10" t="s">
        <v>225</v>
      </c>
      <c r="G1054" s="18"/>
    </row>
    <row r="1055" customFormat="false" ht="15" hidden="false" customHeight="true" outlineLevel="0" collapsed="false">
      <c r="A1055" s="18" t="n">
        <v>1257</v>
      </c>
      <c r="B1055" s="18" t="s">
        <v>311</v>
      </c>
      <c r="C1055" s="115" t="n">
        <v>45596</v>
      </c>
      <c r="D1055" s="10" t="n">
        <v>97</v>
      </c>
      <c r="E1055" s="10" t="n">
        <v>475</v>
      </c>
      <c r="F1055" s="10" t="s">
        <v>225</v>
      </c>
      <c r="G1055" s="18"/>
    </row>
    <row r="1056" customFormat="false" ht="15" hidden="false" customHeight="true" outlineLevel="0" collapsed="false">
      <c r="A1056" s="18" t="n">
        <v>260797</v>
      </c>
      <c r="B1056" s="18" t="s">
        <v>361</v>
      </c>
      <c r="C1056" s="115" t="n">
        <v>45596</v>
      </c>
      <c r="D1056" s="10" t="n">
        <v>145</v>
      </c>
      <c r="E1056" s="10" t="n">
        <v>135</v>
      </c>
      <c r="F1056" s="10" t="s">
        <v>229</v>
      </c>
      <c r="G1056" s="18"/>
    </row>
    <row r="1057" customFormat="false" ht="15" hidden="false" customHeight="true" outlineLevel="0" collapsed="false">
      <c r="A1057" s="18" t="n">
        <v>260791</v>
      </c>
      <c r="B1057" s="18" t="s">
        <v>513</v>
      </c>
      <c r="C1057" s="115" t="n">
        <v>45596</v>
      </c>
      <c r="D1057" s="10" t="n">
        <v>100</v>
      </c>
      <c r="E1057" s="10" t="n">
        <v>500</v>
      </c>
      <c r="F1057" s="10" t="s">
        <v>19</v>
      </c>
      <c r="G1057" s="18"/>
    </row>
    <row r="1058" customFormat="false" ht="15" hidden="false" customHeight="true" outlineLevel="0" collapsed="false">
      <c r="A1058" s="18" t="n">
        <v>260773</v>
      </c>
      <c r="B1058" s="18" t="s">
        <v>660</v>
      </c>
      <c r="C1058" s="115" t="n">
        <v>45596</v>
      </c>
      <c r="D1058" s="10" t="n">
        <v>110</v>
      </c>
      <c r="E1058" s="10" t="n">
        <v>375</v>
      </c>
      <c r="F1058" s="10" t="s">
        <v>227</v>
      </c>
      <c r="G1058" s="18"/>
    </row>
    <row r="1059" customFormat="false" ht="15" hidden="false" customHeight="true" outlineLevel="0" collapsed="false">
      <c r="A1059" s="18" t="n">
        <v>260792</v>
      </c>
      <c r="B1059" s="18" t="s">
        <v>257</v>
      </c>
      <c r="C1059" s="115" t="n">
        <v>45596</v>
      </c>
      <c r="D1059" s="10" t="n">
        <v>130</v>
      </c>
      <c r="E1059" s="10" t="n">
        <v>980</v>
      </c>
      <c r="F1059" s="10" t="s">
        <v>225</v>
      </c>
      <c r="G1059" s="18"/>
    </row>
    <row r="1060" customFormat="false" ht="15" hidden="false" customHeight="true" outlineLevel="0" collapsed="false">
      <c r="A1060" s="18" t="n">
        <v>1260</v>
      </c>
      <c r="B1060" s="18" t="s">
        <v>353</v>
      </c>
      <c r="C1060" s="115" t="n">
        <v>45596</v>
      </c>
      <c r="D1060" s="10" t="n">
        <v>210</v>
      </c>
      <c r="E1060" s="10" t="n">
        <v>1300</v>
      </c>
      <c r="F1060" s="10" t="s">
        <v>225</v>
      </c>
      <c r="G1060" s="18"/>
    </row>
    <row r="1061" customFormat="false" ht="15" hidden="false" customHeight="true" outlineLevel="0" collapsed="false">
      <c r="A1061" s="18" t="n">
        <v>1252</v>
      </c>
      <c r="B1061" s="18" t="s">
        <v>661</v>
      </c>
      <c r="C1061" s="115" t="n">
        <v>45596</v>
      </c>
      <c r="D1061" s="10" t="n">
        <v>250</v>
      </c>
      <c r="E1061" s="10" t="n">
        <v>148</v>
      </c>
      <c r="F1061" s="10" t="s">
        <v>236</v>
      </c>
      <c r="G1061" s="18"/>
    </row>
    <row r="1062" customFormat="false" ht="15" hidden="false" customHeight="true" outlineLevel="0" collapsed="false">
      <c r="A1062" s="18" t="n">
        <v>260798</v>
      </c>
      <c r="B1062" s="18" t="s">
        <v>460</v>
      </c>
      <c r="C1062" s="115" t="n">
        <v>45600</v>
      </c>
      <c r="D1062" s="10" t="n">
        <v>35</v>
      </c>
      <c r="E1062" s="10" t="n">
        <v>153</v>
      </c>
      <c r="F1062" s="10" t="s">
        <v>225</v>
      </c>
      <c r="G1062" s="18"/>
    </row>
    <row r="1063" customFormat="false" ht="15" hidden="false" customHeight="true" outlineLevel="0" collapsed="false">
      <c r="A1063" s="18" t="n">
        <v>260799</v>
      </c>
      <c r="B1063" s="18" t="s">
        <v>447</v>
      </c>
      <c r="C1063" s="115" t="n">
        <v>45600</v>
      </c>
      <c r="D1063" s="10" t="n">
        <v>35</v>
      </c>
      <c r="E1063" s="10" t="n">
        <v>1240</v>
      </c>
      <c r="F1063" s="10" t="s">
        <v>225</v>
      </c>
      <c r="G1063" s="18" t="s">
        <v>232</v>
      </c>
    </row>
    <row r="1064" customFormat="false" ht="15" hidden="false" customHeight="true" outlineLevel="0" collapsed="false">
      <c r="A1064" s="18" t="n">
        <v>1267</v>
      </c>
      <c r="B1064" s="18" t="s">
        <v>234</v>
      </c>
      <c r="C1064" s="115" t="n">
        <v>45600</v>
      </c>
      <c r="D1064" s="10" t="n">
        <v>55</v>
      </c>
      <c r="E1064" s="10" t="n">
        <v>2000</v>
      </c>
      <c r="F1064" s="10" t="s">
        <v>225</v>
      </c>
      <c r="G1064" s="18"/>
    </row>
    <row r="1065" customFormat="false" ht="15" hidden="false" customHeight="true" outlineLevel="0" collapsed="false">
      <c r="A1065" s="18" t="n">
        <v>260807</v>
      </c>
      <c r="B1065" s="18" t="s">
        <v>515</v>
      </c>
      <c r="C1065" s="115" t="n">
        <v>45600</v>
      </c>
      <c r="D1065" s="10" t="n">
        <v>60</v>
      </c>
      <c r="E1065" s="10" t="n">
        <v>250</v>
      </c>
      <c r="F1065" s="10" t="s">
        <v>225</v>
      </c>
      <c r="G1065" s="18"/>
    </row>
    <row r="1066" customFormat="false" ht="15" hidden="false" customHeight="true" outlineLevel="0" collapsed="false">
      <c r="A1066" s="18" t="n">
        <v>260882</v>
      </c>
      <c r="B1066" s="18" t="s">
        <v>638</v>
      </c>
      <c r="C1066" s="115" t="n">
        <v>45600</v>
      </c>
      <c r="D1066" s="10" t="n">
        <v>100</v>
      </c>
      <c r="E1066" s="10" t="n">
        <v>150</v>
      </c>
      <c r="F1066" s="10" t="s">
        <v>225</v>
      </c>
      <c r="G1066" s="18"/>
    </row>
    <row r="1067" customFormat="false" ht="15" hidden="false" customHeight="true" outlineLevel="0" collapsed="false">
      <c r="A1067" s="18" t="n">
        <v>1258</v>
      </c>
      <c r="B1067" s="18" t="s">
        <v>452</v>
      </c>
      <c r="C1067" s="115" t="n">
        <v>45600</v>
      </c>
      <c r="D1067" s="10" t="n">
        <v>210</v>
      </c>
      <c r="E1067" s="10" t="n">
        <v>5395</v>
      </c>
      <c r="F1067" s="10" t="s">
        <v>229</v>
      </c>
      <c r="G1067" s="18"/>
    </row>
    <row r="1068" customFormat="false" ht="15" hidden="false" customHeight="true" outlineLevel="0" collapsed="false">
      <c r="A1068" s="18" t="n">
        <v>1265</v>
      </c>
      <c r="B1068" s="18" t="s">
        <v>66</v>
      </c>
      <c r="C1068" s="115" t="n">
        <v>45600</v>
      </c>
      <c r="D1068" s="10" t="n">
        <v>95</v>
      </c>
      <c r="E1068" s="10" t="n">
        <v>1900</v>
      </c>
      <c r="F1068" s="10" t="s">
        <v>248</v>
      </c>
      <c r="G1068" s="18"/>
    </row>
    <row r="1069" customFormat="false" ht="15" hidden="false" customHeight="true" outlineLevel="0" collapsed="false">
      <c r="A1069" s="18" t="n">
        <v>1264</v>
      </c>
      <c r="B1069" s="18" t="s">
        <v>662</v>
      </c>
      <c r="C1069" s="115" t="n">
        <v>45600</v>
      </c>
      <c r="D1069" s="10" t="n">
        <v>25</v>
      </c>
      <c r="E1069" s="10" t="n">
        <v>200</v>
      </c>
      <c r="F1069" s="10" t="s">
        <v>372</v>
      </c>
      <c r="G1069" s="18"/>
    </row>
    <row r="1070" customFormat="false" ht="15" hidden="false" customHeight="true" outlineLevel="0" collapsed="false">
      <c r="A1070" s="18" t="n">
        <v>260785</v>
      </c>
      <c r="B1070" s="18" t="s">
        <v>501</v>
      </c>
      <c r="C1070" s="115" t="n">
        <v>45600</v>
      </c>
      <c r="D1070" s="10" t="n">
        <v>110</v>
      </c>
      <c r="E1070" s="10" t="n">
        <v>4000</v>
      </c>
      <c r="F1070" s="10" t="s">
        <v>225</v>
      </c>
      <c r="G1070" s="18"/>
    </row>
    <row r="1071" customFormat="false" ht="15" hidden="false" customHeight="true" outlineLevel="0" collapsed="false">
      <c r="A1071" s="18" t="n">
        <v>260881</v>
      </c>
      <c r="B1071" s="18" t="s">
        <v>663</v>
      </c>
      <c r="C1071" s="115" t="n">
        <v>45600</v>
      </c>
      <c r="D1071" s="10" t="n">
        <v>110</v>
      </c>
      <c r="E1071" s="10" t="n">
        <v>365</v>
      </c>
      <c r="F1071" s="10" t="s">
        <v>225</v>
      </c>
      <c r="G1071" s="18"/>
    </row>
    <row r="1072" customFormat="false" ht="15" hidden="false" customHeight="true" outlineLevel="0" collapsed="false">
      <c r="A1072" s="18" t="n">
        <v>1270</v>
      </c>
      <c r="B1072" s="18" t="s">
        <v>465</v>
      </c>
      <c r="C1072" s="115" t="n">
        <v>45600</v>
      </c>
      <c r="D1072" s="10" t="n">
        <v>110</v>
      </c>
      <c r="E1072" s="10" t="n">
        <v>750</v>
      </c>
      <c r="F1072" s="10" t="s">
        <v>225</v>
      </c>
      <c r="G1072" s="18"/>
    </row>
    <row r="1073" customFormat="false" ht="15" hidden="false" customHeight="true" outlineLevel="0" collapsed="false">
      <c r="A1073" s="18" t="n">
        <v>1272</v>
      </c>
      <c r="B1073" s="18" t="s">
        <v>306</v>
      </c>
      <c r="C1073" s="115" t="n">
        <v>45602</v>
      </c>
      <c r="D1073" s="10" t="n">
        <v>60</v>
      </c>
      <c r="E1073" s="10" t="n">
        <v>5934</v>
      </c>
      <c r="F1073" s="10" t="s">
        <v>236</v>
      </c>
      <c r="G1073" s="18"/>
    </row>
    <row r="1074" customFormat="false" ht="15" hidden="false" customHeight="true" outlineLevel="0" collapsed="false">
      <c r="A1074" s="18" t="n">
        <v>1284</v>
      </c>
      <c r="B1074" s="18" t="s">
        <v>539</v>
      </c>
      <c r="C1074" s="115" t="n">
        <v>45602</v>
      </c>
      <c r="D1074" s="10" t="n">
        <v>65</v>
      </c>
      <c r="E1074" s="10" t="n">
        <v>620</v>
      </c>
      <c r="F1074" s="10" t="s">
        <v>225</v>
      </c>
      <c r="G1074" s="18"/>
    </row>
    <row r="1075" customFormat="false" ht="15" hidden="false" customHeight="true" outlineLevel="0" collapsed="false">
      <c r="A1075" s="18" t="n">
        <v>1299</v>
      </c>
      <c r="B1075" s="18" t="s">
        <v>313</v>
      </c>
      <c r="C1075" s="115" t="n">
        <v>45602</v>
      </c>
      <c r="D1075" s="10" t="n">
        <v>65</v>
      </c>
      <c r="E1075" s="10" t="n">
        <v>5000</v>
      </c>
      <c r="F1075" s="10" t="s">
        <v>227</v>
      </c>
      <c r="G1075" s="18"/>
    </row>
    <row r="1076" customFormat="false" ht="15" hidden="false" customHeight="true" outlineLevel="0" collapsed="false">
      <c r="A1076" s="18" t="n">
        <v>1280</v>
      </c>
      <c r="B1076" s="18" t="s">
        <v>452</v>
      </c>
      <c r="C1076" s="115" t="n">
        <v>45602</v>
      </c>
      <c r="D1076" s="10" t="n">
        <v>210</v>
      </c>
      <c r="E1076" s="10" t="n">
        <v>5200</v>
      </c>
      <c r="F1076" s="10" t="s">
        <v>229</v>
      </c>
      <c r="G1076" s="18"/>
    </row>
    <row r="1077" customFormat="false" ht="15" hidden="false" customHeight="true" outlineLevel="0" collapsed="false">
      <c r="A1077" s="18" t="n">
        <v>1286</v>
      </c>
      <c r="B1077" s="18" t="s">
        <v>66</v>
      </c>
      <c r="C1077" s="115" t="n">
        <v>45602</v>
      </c>
      <c r="D1077" s="10" t="n">
        <v>95</v>
      </c>
      <c r="E1077" s="10" t="n">
        <v>730</v>
      </c>
      <c r="F1077" s="10" t="s">
        <v>248</v>
      </c>
      <c r="G1077" s="18"/>
    </row>
    <row r="1078" customFormat="false" ht="15" hidden="false" customHeight="true" outlineLevel="0" collapsed="false">
      <c r="A1078" s="18" t="n">
        <v>1256</v>
      </c>
      <c r="B1078" s="18" t="s">
        <v>272</v>
      </c>
      <c r="C1078" s="115" t="n">
        <v>45602</v>
      </c>
      <c r="D1078" s="10" t="n">
        <v>110</v>
      </c>
      <c r="E1078" s="10" t="n">
        <v>1604</v>
      </c>
      <c r="F1078" s="10" t="s">
        <v>227</v>
      </c>
      <c r="G1078" s="18"/>
    </row>
    <row r="1079" customFormat="false" ht="15" hidden="false" customHeight="true" outlineLevel="0" collapsed="false">
      <c r="A1079" s="18" t="n">
        <v>260809</v>
      </c>
      <c r="B1079" s="18" t="s">
        <v>664</v>
      </c>
      <c r="C1079" s="115" t="n">
        <v>45602</v>
      </c>
      <c r="D1079" s="10" t="n">
        <v>110</v>
      </c>
      <c r="E1079" s="10" t="n">
        <v>1000</v>
      </c>
      <c r="F1079" s="10" t="s">
        <v>227</v>
      </c>
      <c r="G1079" s="18"/>
    </row>
    <row r="1080" customFormat="false" ht="15" hidden="false" customHeight="true" outlineLevel="0" collapsed="false">
      <c r="A1080" s="18" t="n">
        <v>260808</v>
      </c>
      <c r="B1080" s="18" t="s">
        <v>665</v>
      </c>
      <c r="C1080" s="115" t="n">
        <v>45602</v>
      </c>
      <c r="D1080" s="10" t="n">
        <v>250</v>
      </c>
      <c r="E1080" s="10" t="n">
        <v>54</v>
      </c>
      <c r="F1080" s="10" t="s">
        <v>229</v>
      </c>
      <c r="G1080" s="18"/>
    </row>
    <row r="1081" customFormat="false" ht="15" hidden="false" customHeight="true" outlineLevel="0" collapsed="false">
      <c r="A1081" s="18" t="n">
        <v>260809</v>
      </c>
      <c r="B1081" s="18" t="s">
        <v>664</v>
      </c>
      <c r="C1081" s="115" t="n">
        <v>45602</v>
      </c>
      <c r="D1081" s="10" t="n">
        <v>120</v>
      </c>
      <c r="E1081" s="10" t="n">
        <v>375</v>
      </c>
      <c r="F1081" s="10" t="s">
        <v>227</v>
      </c>
      <c r="G1081" s="18"/>
    </row>
    <row r="1082" customFormat="false" ht="15" hidden="false" customHeight="true" outlineLevel="0" collapsed="false">
      <c r="A1082" s="18" t="n">
        <v>1300</v>
      </c>
      <c r="B1082" s="18" t="s">
        <v>313</v>
      </c>
      <c r="C1082" s="115" t="n">
        <v>45602</v>
      </c>
      <c r="D1082" s="10" t="n">
        <v>105</v>
      </c>
      <c r="E1082" s="10" t="n">
        <v>4500</v>
      </c>
      <c r="F1082" s="10" t="s">
        <v>225</v>
      </c>
      <c r="G1082" s="18"/>
    </row>
    <row r="1083" customFormat="false" ht="15" hidden="false" customHeight="true" outlineLevel="0" collapsed="false">
      <c r="A1083" s="18" t="n">
        <v>1281</v>
      </c>
      <c r="B1083" s="18" t="s">
        <v>284</v>
      </c>
      <c r="C1083" s="115" t="n">
        <v>45602</v>
      </c>
      <c r="D1083" s="10" t="n">
        <v>110</v>
      </c>
      <c r="E1083" s="10" t="n">
        <v>600</v>
      </c>
      <c r="F1083" s="10" t="s">
        <v>225</v>
      </c>
      <c r="G1083" s="18"/>
    </row>
    <row r="1084" customFormat="false" ht="15" hidden="false" customHeight="true" outlineLevel="0" collapsed="false">
      <c r="A1084" s="18" t="n">
        <v>260785</v>
      </c>
      <c r="B1084" s="18" t="s">
        <v>501</v>
      </c>
      <c r="C1084" s="115" t="n">
        <v>45602</v>
      </c>
      <c r="D1084" s="10" t="n">
        <v>110</v>
      </c>
      <c r="E1084" s="10" t="n">
        <v>4500</v>
      </c>
      <c r="F1084" s="10" t="s">
        <v>225</v>
      </c>
      <c r="G1084" s="18"/>
    </row>
    <row r="1085" customFormat="false" ht="15" hidden="false" customHeight="true" outlineLevel="0" collapsed="false">
      <c r="A1085" s="18" t="n">
        <v>1299</v>
      </c>
      <c r="B1085" s="18" t="s">
        <v>313</v>
      </c>
      <c r="C1085" s="115" t="n">
        <v>45602</v>
      </c>
      <c r="D1085" s="10" t="n">
        <v>110</v>
      </c>
      <c r="E1085" s="10" t="n">
        <v>2000</v>
      </c>
      <c r="F1085" s="10" t="s">
        <v>225</v>
      </c>
      <c r="G1085" s="18"/>
    </row>
    <row r="1086" customFormat="false" ht="15" hidden="false" customHeight="true" outlineLevel="0" collapsed="false">
      <c r="A1086" s="18" t="n">
        <v>1275</v>
      </c>
      <c r="B1086" s="18" t="s">
        <v>270</v>
      </c>
      <c r="C1086" s="115" t="n">
        <v>45602</v>
      </c>
      <c r="D1086" s="10" t="n">
        <v>125</v>
      </c>
      <c r="E1086" s="10" t="n">
        <v>735</v>
      </c>
      <c r="F1086" s="10" t="s">
        <v>225</v>
      </c>
      <c r="G1086" s="18" t="s">
        <v>232</v>
      </c>
    </row>
    <row r="1087" customFormat="false" ht="15" hidden="false" customHeight="true" outlineLevel="0" collapsed="false">
      <c r="A1087" s="18" t="n">
        <v>260788</v>
      </c>
      <c r="B1087" s="18" t="s">
        <v>411</v>
      </c>
      <c r="C1087" s="115" t="n">
        <v>45602</v>
      </c>
      <c r="D1087" s="10" t="n">
        <v>130</v>
      </c>
      <c r="E1087" s="10" t="n">
        <v>150</v>
      </c>
      <c r="F1087" s="10" t="s">
        <v>225</v>
      </c>
      <c r="G1087" s="18"/>
    </row>
    <row r="1088" customFormat="false" ht="15" hidden="false" customHeight="true" outlineLevel="0" collapsed="false">
      <c r="A1088" s="18" t="n">
        <v>1277</v>
      </c>
      <c r="B1088" s="18" t="s">
        <v>291</v>
      </c>
      <c r="C1088" s="115" t="n">
        <v>45602</v>
      </c>
      <c r="D1088" s="10" t="n">
        <v>220</v>
      </c>
      <c r="E1088" s="10" t="n">
        <v>638</v>
      </c>
      <c r="F1088" s="10" t="s">
        <v>225</v>
      </c>
      <c r="G1088" s="18"/>
    </row>
    <row r="1089" customFormat="false" ht="15" hidden="false" customHeight="true" outlineLevel="0" collapsed="false">
      <c r="A1089" s="18" t="n">
        <v>1301</v>
      </c>
      <c r="B1089" s="18" t="s">
        <v>313</v>
      </c>
      <c r="C1089" s="115" t="n">
        <v>45602</v>
      </c>
      <c r="D1089" s="10" t="n">
        <v>250</v>
      </c>
      <c r="E1089" s="10" t="n">
        <v>22568</v>
      </c>
      <c r="F1089" s="10" t="s">
        <v>236</v>
      </c>
      <c r="G1089" s="18"/>
    </row>
    <row r="1090" customFormat="false" ht="15" hidden="false" customHeight="true" outlineLevel="0" collapsed="false">
      <c r="A1090" s="18" t="n">
        <v>1299</v>
      </c>
      <c r="B1090" s="18" t="s">
        <v>313</v>
      </c>
      <c r="C1090" s="115" t="n">
        <v>45602</v>
      </c>
      <c r="D1090" s="10" t="n">
        <v>250</v>
      </c>
      <c r="E1090" s="10" t="n">
        <v>8904</v>
      </c>
      <c r="F1090" s="10" t="s">
        <v>236</v>
      </c>
      <c r="G1090" s="18"/>
    </row>
    <row r="1091" customFormat="false" ht="15" hidden="false" customHeight="true" outlineLevel="0" collapsed="false">
      <c r="A1091" s="18" t="n">
        <v>1315</v>
      </c>
      <c r="B1091" s="18" t="s">
        <v>543</v>
      </c>
      <c r="C1091" s="115" t="n">
        <v>45607</v>
      </c>
      <c r="D1091" s="10" t="n">
        <v>210</v>
      </c>
      <c r="E1091" s="10" t="n">
        <v>1245</v>
      </c>
      <c r="F1091" s="10" t="s">
        <v>236</v>
      </c>
      <c r="G1091" s="18"/>
    </row>
    <row r="1092" customFormat="false" ht="15" hidden="false" customHeight="true" outlineLevel="0" collapsed="false">
      <c r="A1092" s="18" t="n">
        <v>1305</v>
      </c>
      <c r="B1092" s="18" t="s">
        <v>666</v>
      </c>
      <c r="C1092" s="115" t="n">
        <v>45607</v>
      </c>
      <c r="D1092" s="10" t="n">
        <v>60</v>
      </c>
      <c r="E1092" s="10" t="n">
        <v>1240</v>
      </c>
      <c r="F1092" s="10" t="s">
        <v>225</v>
      </c>
      <c r="G1092" s="18"/>
    </row>
    <row r="1093" customFormat="false" ht="15" hidden="false" customHeight="true" outlineLevel="0" collapsed="false">
      <c r="A1093" s="18" t="n">
        <v>1299</v>
      </c>
      <c r="B1093" s="18" t="s">
        <v>313</v>
      </c>
      <c r="C1093" s="115" t="n">
        <v>45607</v>
      </c>
      <c r="D1093" s="10" t="n">
        <v>65</v>
      </c>
      <c r="E1093" s="10" t="n">
        <v>4300</v>
      </c>
      <c r="F1093" s="10" t="s">
        <v>225</v>
      </c>
      <c r="G1093" s="18"/>
    </row>
    <row r="1094" customFormat="false" ht="15" hidden="false" customHeight="true" outlineLevel="0" collapsed="false">
      <c r="A1094" s="18" t="n">
        <v>60817</v>
      </c>
      <c r="B1094" s="18" t="s">
        <v>667</v>
      </c>
      <c r="C1094" s="115" t="n">
        <v>45607</v>
      </c>
      <c r="D1094" s="10" t="n">
        <v>80</v>
      </c>
      <c r="E1094" s="10" t="n">
        <v>3100</v>
      </c>
      <c r="F1094" s="10" t="s">
        <v>225</v>
      </c>
      <c r="G1094" s="18"/>
    </row>
    <row r="1095" customFormat="false" ht="15" hidden="false" customHeight="true" outlineLevel="0" collapsed="false">
      <c r="A1095" s="18" t="n">
        <v>260818</v>
      </c>
      <c r="B1095" s="18" t="s">
        <v>298</v>
      </c>
      <c r="C1095" s="115" t="n">
        <v>45607</v>
      </c>
      <c r="D1095" s="10" t="n">
        <v>80</v>
      </c>
      <c r="E1095" s="10" t="n">
        <v>894</v>
      </c>
      <c r="F1095" s="10" t="s">
        <v>225</v>
      </c>
      <c r="G1095" s="18"/>
    </row>
    <row r="1096" customFormat="false" ht="15" hidden="false" customHeight="true" outlineLevel="0" collapsed="false">
      <c r="A1096" s="18" t="n">
        <v>1302</v>
      </c>
      <c r="B1096" s="18" t="s">
        <v>668</v>
      </c>
      <c r="C1096" s="115" t="n">
        <v>45607</v>
      </c>
      <c r="D1096" s="10" t="n">
        <v>100</v>
      </c>
      <c r="E1096" s="10" t="n">
        <v>366</v>
      </c>
      <c r="F1096" s="10" t="s">
        <v>577</v>
      </c>
      <c r="G1096" s="18"/>
    </row>
    <row r="1097" customFormat="false" ht="15" hidden="false" customHeight="true" outlineLevel="0" collapsed="false">
      <c r="A1097" s="18" t="n">
        <v>1299</v>
      </c>
      <c r="B1097" s="18" t="s">
        <v>313</v>
      </c>
      <c r="C1097" s="115" t="n">
        <v>45607</v>
      </c>
      <c r="D1097" s="10" t="n">
        <v>100</v>
      </c>
      <c r="E1097" s="10" t="n">
        <v>1850</v>
      </c>
      <c r="F1097" s="10" t="s">
        <v>248</v>
      </c>
      <c r="G1097" s="18"/>
    </row>
    <row r="1098" customFormat="false" ht="15" hidden="false" customHeight="true" outlineLevel="0" collapsed="false">
      <c r="A1098" s="18" t="n">
        <v>1299</v>
      </c>
      <c r="B1098" s="18" t="s">
        <v>313</v>
      </c>
      <c r="C1098" s="115" t="n">
        <v>45607</v>
      </c>
      <c r="D1098" s="10" t="n">
        <v>90</v>
      </c>
      <c r="E1098" s="10" t="n">
        <v>650</v>
      </c>
      <c r="F1098" s="10"/>
      <c r="G1098" s="18"/>
    </row>
    <row r="1099" customFormat="false" ht="15" hidden="false" customHeight="true" outlineLevel="0" collapsed="false">
      <c r="A1099" s="18" t="n">
        <v>1310</v>
      </c>
      <c r="B1099" s="18" t="s">
        <v>669</v>
      </c>
      <c r="C1099" s="115" t="n">
        <v>45607</v>
      </c>
      <c r="D1099" s="10" t="n">
        <v>45</v>
      </c>
      <c r="E1099" s="10" t="n">
        <v>345</v>
      </c>
      <c r="F1099" s="10" t="s">
        <v>229</v>
      </c>
      <c r="G1099" s="18"/>
    </row>
    <row r="1100" customFormat="false" ht="15" hidden="false" customHeight="true" outlineLevel="0" collapsed="false">
      <c r="A1100" s="18" t="n">
        <v>1307</v>
      </c>
      <c r="B1100" s="18" t="s">
        <v>528</v>
      </c>
      <c r="C1100" s="115" t="n">
        <v>45607</v>
      </c>
      <c r="D1100" s="10" t="n">
        <v>110</v>
      </c>
      <c r="E1100" s="10" t="n">
        <v>3750</v>
      </c>
      <c r="F1100" s="10" t="s">
        <v>227</v>
      </c>
      <c r="G1100" s="18"/>
    </row>
    <row r="1101" customFormat="false" ht="15" hidden="false" customHeight="true" outlineLevel="0" collapsed="false">
      <c r="A1101" s="18" t="n">
        <v>1299</v>
      </c>
      <c r="B1101" s="18" t="s">
        <v>313</v>
      </c>
      <c r="C1101" s="115" t="n">
        <v>45607</v>
      </c>
      <c r="D1101" s="10" t="n">
        <v>105</v>
      </c>
      <c r="E1101" s="10" t="n">
        <v>10400</v>
      </c>
      <c r="F1101" s="10" t="s">
        <v>225</v>
      </c>
      <c r="G1101" s="18"/>
    </row>
    <row r="1102" customFormat="false" ht="15" hidden="false" customHeight="true" outlineLevel="0" collapsed="false">
      <c r="A1102" s="18" t="n">
        <v>1299</v>
      </c>
      <c r="B1102" s="18" t="s">
        <v>313</v>
      </c>
      <c r="C1102" s="115" t="n">
        <v>45607</v>
      </c>
      <c r="D1102" s="10" t="n">
        <v>105</v>
      </c>
      <c r="E1102" s="10" t="n">
        <v>10500</v>
      </c>
      <c r="F1102" s="10" t="s">
        <v>225</v>
      </c>
      <c r="G1102" s="18"/>
    </row>
    <row r="1103" customFormat="false" ht="15" hidden="false" customHeight="true" outlineLevel="0" collapsed="false">
      <c r="A1103" s="18" t="n">
        <v>260822</v>
      </c>
      <c r="B1103" s="18" t="s">
        <v>429</v>
      </c>
      <c r="C1103" s="115" t="n">
        <v>45607</v>
      </c>
      <c r="D1103" s="10" t="n">
        <v>140</v>
      </c>
      <c r="E1103" s="10" t="n">
        <v>1200</v>
      </c>
      <c r="F1103" s="10" t="s">
        <v>225</v>
      </c>
      <c r="G1103" s="18"/>
    </row>
    <row r="1104" customFormat="false" ht="15" hidden="false" customHeight="true" outlineLevel="0" collapsed="false">
      <c r="A1104" s="18" t="n">
        <v>1304</v>
      </c>
      <c r="B1104" s="18" t="s">
        <v>383</v>
      </c>
      <c r="C1104" s="115" t="n">
        <v>45607</v>
      </c>
      <c r="D1104" s="10" t="n">
        <v>155</v>
      </c>
      <c r="E1104" s="10" t="n">
        <v>5005</v>
      </c>
      <c r="F1104" s="10" t="s">
        <v>225</v>
      </c>
      <c r="G1104" s="18"/>
    </row>
    <row r="1105" customFormat="false" ht="15" hidden="false" customHeight="true" outlineLevel="0" collapsed="false">
      <c r="A1105" s="18" t="n">
        <v>260820</v>
      </c>
      <c r="B1105" s="18" t="s">
        <v>469</v>
      </c>
      <c r="C1105" s="115" t="n">
        <v>45607</v>
      </c>
      <c r="D1105" s="10" t="n">
        <v>155</v>
      </c>
      <c r="E1105" s="10" t="n">
        <v>1000</v>
      </c>
      <c r="F1105" s="10" t="s">
        <v>225</v>
      </c>
      <c r="G1105" s="18"/>
    </row>
    <row r="1106" customFormat="false" ht="15" hidden="false" customHeight="true" outlineLevel="0" collapsed="false">
      <c r="A1106" s="18" t="n">
        <v>1319</v>
      </c>
      <c r="B1106" s="18" t="s">
        <v>432</v>
      </c>
      <c r="C1106" s="115" t="n">
        <v>45607</v>
      </c>
      <c r="D1106" s="10" t="n">
        <v>210</v>
      </c>
      <c r="E1106" s="10" t="n">
        <v>1200</v>
      </c>
      <c r="F1106" s="10" t="s">
        <v>225</v>
      </c>
      <c r="G1106" s="18"/>
    </row>
    <row r="1107" customFormat="false" ht="15" hidden="false" customHeight="true" outlineLevel="0" collapsed="false">
      <c r="A1107" s="18" t="n">
        <v>1306</v>
      </c>
      <c r="B1107" s="18" t="s">
        <v>454</v>
      </c>
      <c r="C1107" s="115" t="n">
        <v>45607</v>
      </c>
      <c r="D1107" s="10" t="n">
        <v>210</v>
      </c>
      <c r="E1107" s="10" t="n">
        <v>3150</v>
      </c>
      <c r="F1107" s="10" t="s">
        <v>225</v>
      </c>
      <c r="G1107" s="18"/>
    </row>
    <row r="1108" customFormat="false" ht="15" hidden="false" customHeight="true" outlineLevel="0" collapsed="false">
      <c r="A1108" s="18" t="n">
        <v>1303</v>
      </c>
      <c r="B1108" s="18" t="s">
        <v>505</v>
      </c>
      <c r="C1108" s="115" t="n">
        <v>45607</v>
      </c>
      <c r="D1108" s="10" t="n">
        <v>210</v>
      </c>
      <c r="E1108" s="10" t="n">
        <v>500</v>
      </c>
      <c r="F1108" s="10" t="s">
        <v>225</v>
      </c>
      <c r="G1108" s="18"/>
    </row>
    <row r="1109" customFormat="false" ht="15" hidden="false" customHeight="true" outlineLevel="0" collapsed="false">
      <c r="A1109" s="18" t="n">
        <v>1312</v>
      </c>
      <c r="B1109" s="18" t="s">
        <v>521</v>
      </c>
      <c r="C1109" s="115" t="n">
        <v>45607</v>
      </c>
      <c r="D1109" s="10" t="n">
        <v>210</v>
      </c>
      <c r="E1109" s="10" t="n">
        <v>239</v>
      </c>
      <c r="F1109" s="10" t="s">
        <v>225</v>
      </c>
      <c r="G1109" s="18"/>
    </row>
    <row r="1110" customFormat="false" ht="15" hidden="false" customHeight="true" outlineLevel="0" collapsed="false">
      <c r="A1110" s="18" t="n">
        <v>1318</v>
      </c>
      <c r="B1110" s="18" t="s">
        <v>548</v>
      </c>
      <c r="C1110" s="115" t="n">
        <v>45607</v>
      </c>
      <c r="D1110" s="10" t="n">
        <v>210</v>
      </c>
      <c r="E1110" s="10" t="n">
        <v>215</v>
      </c>
      <c r="F1110" s="10" t="s">
        <v>225</v>
      </c>
      <c r="G1110" s="18"/>
    </row>
    <row r="1111" customFormat="false" ht="15" hidden="false" customHeight="true" outlineLevel="0" collapsed="false">
      <c r="A1111" s="18" t="n">
        <v>1303</v>
      </c>
      <c r="B1111" s="18" t="s">
        <v>505</v>
      </c>
      <c r="C1111" s="115" t="n">
        <v>45607</v>
      </c>
      <c r="D1111" s="10" t="n">
        <v>250</v>
      </c>
      <c r="E1111" s="10" t="n">
        <v>108</v>
      </c>
      <c r="F1111" s="10" t="s">
        <v>225</v>
      </c>
      <c r="G1111" s="18"/>
    </row>
    <row r="1112" customFormat="false" ht="15" hidden="false" customHeight="true" outlineLevel="0" collapsed="false">
      <c r="A1112" s="18" t="n">
        <v>1311</v>
      </c>
      <c r="B1112" s="18" t="s">
        <v>321</v>
      </c>
      <c r="C1112" s="115" t="n">
        <v>45607</v>
      </c>
      <c r="D1112" s="10" t="n">
        <v>220</v>
      </c>
      <c r="E1112" s="10" t="n">
        <v>3192</v>
      </c>
      <c r="F1112" s="10" t="s">
        <v>236</v>
      </c>
      <c r="G1112" s="18"/>
    </row>
    <row r="1113" customFormat="false" ht="15" hidden="false" customHeight="true" outlineLevel="0" collapsed="false">
      <c r="A1113" s="18" t="n">
        <v>1314</v>
      </c>
      <c r="B1113" s="18" t="s">
        <v>376</v>
      </c>
      <c r="C1113" s="115" t="n">
        <v>45607</v>
      </c>
      <c r="D1113" s="10" t="n">
        <v>250</v>
      </c>
      <c r="E1113" s="10" t="n">
        <v>742</v>
      </c>
      <c r="F1113" s="10" t="s">
        <v>236</v>
      </c>
      <c r="G1113" s="18"/>
    </row>
    <row r="1114" customFormat="false" ht="15" hidden="false" customHeight="true" outlineLevel="0" collapsed="false">
      <c r="A1114" s="18" t="n">
        <v>260826</v>
      </c>
      <c r="B1114" s="18" t="s">
        <v>231</v>
      </c>
      <c r="C1114" s="115" t="n">
        <v>45614</v>
      </c>
      <c r="D1114" s="10" t="n">
        <v>35</v>
      </c>
      <c r="E1114" s="10" t="n">
        <v>3000</v>
      </c>
      <c r="F1114" s="10" t="s">
        <v>225</v>
      </c>
      <c r="G1114" s="18" t="s">
        <v>232</v>
      </c>
    </row>
    <row r="1115" customFormat="false" ht="15" hidden="false" customHeight="true" outlineLevel="0" collapsed="false">
      <c r="A1115" s="18" t="n">
        <v>1329</v>
      </c>
      <c r="B1115" s="18" t="s">
        <v>670</v>
      </c>
      <c r="C1115" s="115" t="n">
        <v>45614</v>
      </c>
      <c r="D1115" s="10" t="n">
        <v>47</v>
      </c>
      <c r="E1115" s="10" t="n">
        <v>135</v>
      </c>
      <c r="F1115" s="10" t="s">
        <v>225</v>
      </c>
      <c r="G1115" s="18"/>
    </row>
    <row r="1116" customFormat="false" ht="15" hidden="false" customHeight="true" outlineLevel="0" collapsed="false">
      <c r="A1116" s="18" t="n">
        <v>1327</v>
      </c>
      <c r="B1116" s="18" t="s">
        <v>671</v>
      </c>
      <c r="C1116" s="115" t="n">
        <v>45614</v>
      </c>
      <c r="D1116" s="10" t="n">
        <v>50</v>
      </c>
      <c r="E1116" s="10" t="n">
        <v>510</v>
      </c>
      <c r="F1116" s="10" t="s">
        <v>225</v>
      </c>
      <c r="G1116" s="18"/>
    </row>
    <row r="1117" customFormat="false" ht="15" hidden="false" customHeight="true" outlineLevel="0" collapsed="false">
      <c r="A1117" s="18" t="n">
        <v>260825</v>
      </c>
      <c r="B1117" s="18" t="s">
        <v>231</v>
      </c>
      <c r="C1117" s="115" t="n">
        <v>45614</v>
      </c>
      <c r="D1117" s="10" t="n">
        <v>78</v>
      </c>
      <c r="E1117" s="10" t="n">
        <v>1600</v>
      </c>
      <c r="F1117" s="10" t="s">
        <v>225</v>
      </c>
      <c r="G1117" s="18" t="s">
        <v>232</v>
      </c>
    </row>
    <row r="1118" customFormat="false" ht="15" hidden="false" customHeight="true" outlineLevel="0" collapsed="false">
      <c r="A1118" s="18" t="n">
        <v>260818</v>
      </c>
      <c r="B1118" s="18" t="s">
        <v>298</v>
      </c>
      <c r="C1118" s="115" t="n">
        <v>45614</v>
      </c>
      <c r="D1118" s="10" t="n">
        <v>80</v>
      </c>
      <c r="E1118" s="10" t="n">
        <v>894</v>
      </c>
      <c r="F1118" s="10" t="s">
        <v>225</v>
      </c>
      <c r="G1118" s="18"/>
    </row>
    <row r="1119" customFormat="false" ht="15" hidden="false" customHeight="true" outlineLevel="0" collapsed="false">
      <c r="A1119" s="18" t="n">
        <v>260825</v>
      </c>
      <c r="B1119" s="18" t="s">
        <v>231</v>
      </c>
      <c r="C1119" s="115" t="n">
        <v>45614</v>
      </c>
      <c r="D1119" s="10" t="n">
        <v>97</v>
      </c>
      <c r="E1119" s="10" t="n">
        <v>600</v>
      </c>
      <c r="F1119" s="10" t="s">
        <v>225</v>
      </c>
      <c r="G1119" s="18" t="s">
        <v>232</v>
      </c>
    </row>
    <row r="1120" customFormat="false" ht="15" hidden="false" customHeight="true" outlineLevel="0" collapsed="false">
      <c r="A1120" s="18" t="n">
        <v>1325</v>
      </c>
      <c r="B1120" s="18" t="s">
        <v>291</v>
      </c>
      <c r="C1120" s="115" t="n">
        <v>45614</v>
      </c>
      <c r="D1120" s="10" t="n">
        <v>105</v>
      </c>
      <c r="E1120" s="10" t="n">
        <v>182</v>
      </c>
      <c r="F1120" s="10" t="s">
        <v>225</v>
      </c>
      <c r="G1120" s="18"/>
    </row>
    <row r="1121" customFormat="false" ht="15" hidden="false" customHeight="true" outlineLevel="0" collapsed="false">
      <c r="A1121" s="18" t="n">
        <v>1328</v>
      </c>
      <c r="B1121" s="18" t="s">
        <v>628</v>
      </c>
      <c r="C1121" s="115" t="n">
        <v>45614</v>
      </c>
      <c r="D1121" s="10" t="n">
        <v>105</v>
      </c>
      <c r="E1121" s="10" t="n">
        <v>4300</v>
      </c>
      <c r="F1121" s="10" t="s">
        <v>225</v>
      </c>
      <c r="G1121" s="18"/>
    </row>
    <row r="1122" customFormat="false" ht="15" hidden="false" customHeight="true" outlineLevel="0" collapsed="false">
      <c r="A1122" s="18" t="n">
        <v>260829</v>
      </c>
      <c r="B1122" s="18" t="s">
        <v>298</v>
      </c>
      <c r="C1122" s="115" t="n">
        <v>45614</v>
      </c>
      <c r="D1122" s="10" t="n">
        <v>80</v>
      </c>
      <c r="E1122" s="10" t="n">
        <v>894</v>
      </c>
      <c r="F1122" s="10" t="s">
        <v>227</v>
      </c>
      <c r="G1122" s="18"/>
    </row>
    <row r="1123" customFormat="false" ht="15" hidden="false" customHeight="true" outlineLevel="0" collapsed="false">
      <c r="A1123" s="18" t="n">
        <v>1321</v>
      </c>
      <c r="B1123" s="18" t="s">
        <v>396</v>
      </c>
      <c r="C1123" s="115" t="n">
        <v>45614</v>
      </c>
      <c r="D1123" s="10" t="n">
        <v>30</v>
      </c>
      <c r="E1123" s="10" t="n">
        <v>500</v>
      </c>
      <c r="F1123" s="10" t="s">
        <v>632</v>
      </c>
      <c r="G1123" s="18"/>
    </row>
    <row r="1124" customFormat="false" ht="15" hidden="false" customHeight="true" outlineLevel="0" collapsed="false">
      <c r="A1124" s="18" t="n">
        <v>1323</v>
      </c>
      <c r="B1124" s="18" t="s">
        <v>347</v>
      </c>
      <c r="C1124" s="115" t="n">
        <v>45614</v>
      </c>
      <c r="D1124" s="10" t="n">
        <v>25</v>
      </c>
      <c r="E1124" s="10" t="n">
        <v>1200</v>
      </c>
      <c r="F1124" s="10" t="s">
        <v>229</v>
      </c>
      <c r="G1124" s="18"/>
    </row>
    <row r="1125" customFormat="false" ht="15" hidden="false" customHeight="true" outlineLevel="0" collapsed="false">
      <c r="A1125" s="18" t="n">
        <v>1046</v>
      </c>
      <c r="B1125" s="18" t="s">
        <v>672</v>
      </c>
      <c r="C1125" s="115" t="n">
        <v>45614</v>
      </c>
      <c r="D1125" s="10" t="n">
        <v>125</v>
      </c>
      <c r="E1125" s="10" t="n">
        <v>2500</v>
      </c>
      <c r="F1125" s="10" t="s">
        <v>225</v>
      </c>
      <c r="G1125" s="18"/>
    </row>
    <row r="1126" customFormat="false" ht="15" hidden="false" customHeight="true" outlineLevel="0" collapsed="false">
      <c r="A1126" s="18" t="n">
        <v>1325</v>
      </c>
      <c r="B1126" s="18" t="s">
        <v>291</v>
      </c>
      <c r="C1126" s="115" t="n">
        <v>45614</v>
      </c>
      <c r="D1126" s="10" t="n">
        <v>180</v>
      </c>
      <c r="E1126" s="10" t="n">
        <v>230</v>
      </c>
      <c r="F1126" s="10" t="s">
        <v>225</v>
      </c>
      <c r="G1126" s="18"/>
    </row>
    <row r="1127" customFormat="false" ht="15" hidden="false" customHeight="true" outlineLevel="0" collapsed="false">
      <c r="A1127" s="18" t="n">
        <v>1336</v>
      </c>
      <c r="B1127" s="18" t="s">
        <v>91</v>
      </c>
      <c r="C1127" s="115" t="n">
        <v>45614</v>
      </c>
      <c r="D1127" s="10" t="n">
        <v>250</v>
      </c>
      <c r="E1127" s="10" t="n">
        <v>223</v>
      </c>
      <c r="F1127" s="10" t="s">
        <v>236</v>
      </c>
      <c r="G1127" s="18"/>
    </row>
    <row r="1128" customFormat="false" ht="15" hidden="false" customHeight="true" outlineLevel="0" collapsed="false">
      <c r="A1128" s="18" t="n">
        <v>1324</v>
      </c>
      <c r="B1128" s="18" t="s">
        <v>673</v>
      </c>
      <c r="C1128" s="115" t="n">
        <v>45614</v>
      </c>
      <c r="D1128" s="10" t="n">
        <v>250</v>
      </c>
      <c r="E1128" s="10" t="n">
        <v>3000</v>
      </c>
      <c r="F1128" s="10" t="s">
        <v>236</v>
      </c>
      <c r="G1128" s="18"/>
    </row>
    <row r="1129" customFormat="false" ht="15" hidden="false" customHeight="true" outlineLevel="0" collapsed="false">
      <c r="A1129" s="18" t="n">
        <v>1324</v>
      </c>
      <c r="B1129" s="18" t="s">
        <v>673</v>
      </c>
      <c r="C1129" s="115" t="n">
        <v>45614</v>
      </c>
      <c r="D1129" s="10" t="n">
        <v>250</v>
      </c>
      <c r="E1129" s="10" t="n">
        <v>742</v>
      </c>
      <c r="F1129" s="10" t="s">
        <v>236</v>
      </c>
      <c r="G1129" s="18"/>
    </row>
    <row r="1130" customFormat="false" ht="15" hidden="false" customHeight="true" outlineLevel="0" collapsed="false">
      <c r="A1130" s="18" t="n">
        <v>260838</v>
      </c>
      <c r="B1130" s="18" t="s">
        <v>467</v>
      </c>
      <c r="C1130" s="115" t="n">
        <v>45615</v>
      </c>
      <c r="D1130" s="10" t="n">
        <v>15</v>
      </c>
      <c r="E1130" s="10" t="n">
        <v>1125</v>
      </c>
      <c r="F1130" s="10" t="s">
        <v>225</v>
      </c>
      <c r="G1130" s="18"/>
    </row>
    <row r="1131" customFormat="false" ht="15" hidden="false" customHeight="true" outlineLevel="0" collapsed="false">
      <c r="A1131" s="18" t="n">
        <v>1326</v>
      </c>
      <c r="B1131" s="18" t="s">
        <v>674</v>
      </c>
      <c r="C1131" s="115" t="n">
        <v>45615</v>
      </c>
      <c r="D1131" s="10" t="n">
        <v>35</v>
      </c>
      <c r="E1131" s="10" t="n">
        <v>930</v>
      </c>
      <c r="F1131" s="10" t="s">
        <v>225</v>
      </c>
      <c r="G1131" s="18"/>
    </row>
    <row r="1132" customFormat="false" ht="15" hidden="false" customHeight="true" outlineLevel="0" collapsed="false">
      <c r="A1132" s="18" t="n">
        <v>260836</v>
      </c>
      <c r="B1132" s="18" t="s">
        <v>675</v>
      </c>
      <c r="C1132" s="115" t="n">
        <v>45615</v>
      </c>
      <c r="D1132" s="10" t="n">
        <v>75</v>
      </c>
      <c r="E1132" s="10" t="n">
        <v>250</v>
      </c>
      <c r="F1132" s="10" t="s">
        <v>225</v>
      </c>
      <c r="G1132" s="18"/>
    </row>
    <row r="1133" customFormat="false" ht="15" hidden="false" customHeight="true" outlineLevel="0" collapsed="false">
      <c r="A1133" s="18" t="n">
        <v>1340</v>
      </c>
      <c r="B1133" s="18" t="s">
        <v>542</v>
      </c>
      <c r="C1133" s="115" t="n">
        <v>45615</v>
      </c>
      <c r="D1133" s="10" t="n">
        <v>85</v>
      </c>
      <c r="E1133" s="10" t="n">
        <v>775</v>
      </c>
      <c r="F1133" s="10" t="s">
        <v>225</v>
      </c>
      <c r="G1133" s="18"/>
    </row>
    <row r="1134" customFormat="false" ht="15" hidden="false" customHeight="true" outlineLevel="0" collapsed="false">
      <c r="A1134" s="18" t="n">
        <v>1326</v>
      </c>
      <c r="B1134" s="18" t="s">
        <v>674</v>
      </c>
      <c r="C1134" s="115" t="n">
        <v>45615</v>
      </c>
      <c r="D1134" s="10" t="n">
        <v>90</v>
      </c>
      <c r="E1134" s="10" t="n">
        <v>108</v>
      </c>
      <c r="F1134" s="10" t="s">
        <v>225</v>
      </c>
      <c r="G1134" s="18"/>
    </row>
    <row r="1135" customFormat="false" ht="15" hidden="false" customHeight="true" outlineLevel="0" collapsed="false">
      <c r="A1135" s="18" t="n">
        <v>260838</v>
      </c>
      <c r="B1135" s="18" t="s">
        <v>467</v>
      </c>
      <c r="C1135" s="115" t="n">
        <v>45615</v>
      </c>
      <c r="D1135" s="10" t="n">
        <v>100</v>
      </c>
      <c r="E1135" s="10" t="n">
        <v>680</v>
      </c>
      <c r="F1135" s="10" t="s">
        <v>225</v>
      </c>
      <c r="G1135" s="18"/>
    </row>
    <row r="1136" customFormat="false" ht="15" hidden="false" customHeight="true" outlineLevel="0" collapsed="false">
      <c r="A1136" s="18" t="n">
        <v>1338</v>
      </c>
      <c r="B1136" s="18" t="s">
        <v>358</v>
      </c>
      <c r="C1136" s="115" t="n">
        <v>45615</v>
      </c>
      <c r="D1136" s="10" t="n">
        <v>100</v>
      </c>
      <c r="E1136" s="10" t="n">
        <v>88</v>
      </c>
      <c r="F1136" s="10" t="s">
        <v>225</v>
      </c>
      <c r="G1136" s="18"/>
    </row>
    <row r="1137" customFormat="false" ht="15" hidden="false" customHeight="true" outlineLevel="0" collapsed="false">
      <c r="A1137" s="18" t="n">
        <v>260832</v>
      </c>
      <c r="B1137" s="18" t="s">
        <v>288</v>
      </c>
      <c r="C1137" s="115" t="n">
        <v>45615</v>
      </c>
      <c r="D1137" s="10" t="n">
        <v>110</v>
      </c>
      <c r="E1137" s="10" t="n">
        <v>500</v>
      </c>
      <c r="F1137" s="10" t="s">
        <v>229</v>
      </c>
      <c r="G1137" s="18"/>
    </row>
    <row r="1138" customFormat="false" ht="15" hidden="false" customHeight="true" outlineLevel="0" collapsed="false">
      <c r="A1138" s="18" t="n">
        <v>1344</v>
      </c>
      <c r="B1138" s="18" t="s">
        <v>602</v>
      </c>
      <c r="C1138" s="115" t="n">
        <v>45615</v>
      </c>
      <c r="D1138" s="10" t="n">
        <v>85</v>
      </c>
      <c r="E1138" s="10" t="n">
        <v>800</v>
      </c>
      <c r="F1138" s="10" t="s">
        <v>227</v>
      </c>
      <c r="G1138" s="18"/>
    </row>
    <row r="1139" customFormat="false" ht="15" hidden="false" customHeight="true" outlineLevel="0" collapsed="false">
      <c r="A1139" s="18" t="n">
        <v>260839</v>
      </c>
      <c r="B1139" s="18" t="s">
        <v>418</v>
      </c>
      <c r="C1139" s="115" t="n">
        <v>45615</v>
      </c>
      <c r="D1139" s="10" t="n">
        <v>48</v>
      </c>
      <c r="E1139" s="10" t="n">
        <v>184</v>
      </c>
      <c r="F1139" s="10" t="s">
        <v>262</v>
      </c>
      <c r="G1139" s="18"/>
    </row>
    <row r="1140" customFormat="false" ht="15" hidden="false" customHeight="true" outlineLevel="0" collapsed="false">
      <c r="A1140" s="18" t="n">
        <v>1334</v>
      </c>
      <c r="B1140" s="18" t="s">
        <v>242</v>
      </c>
      <c r="C1140" s="115" t="n">
        <v>45615</v>
      </c>
      <c r="D1140" s="10" t="n">
        <v>40</v>
      </c>
      <c r="E1140" s="10" t="n">
        <v>500</v>
      </c>
      <c r="F1140" s="10" t="s">
        <v>248</v>
      </c>
      <c r="G1140" s="18"/>
    </row>
    <row r="1141" customFormat="false" ht="15" hidden="false" customHeight="true" outlineLevel="0" collapsed="false">
      <c r="A1141" s="18" t="n">
        <v>260835</v>
      </c>
      <c r="B1141" s="18" t="s">
        <v>676</v>
      </c>
      <c r="C1141" s="115" t="n">
        <v>45615</v>
      </c>
      <c r="D1141" s="10" t="n">
        <v>48</v>
      </c>
      <c r="E1141" s="10" t="n">
        <v>520</v>
      </c>
      <c r="F1141" s="10" t="s">
        <v>577</v>
      </c>
      <c r="G1141" s="18"/>
    </row>
    <row r="1142" customFormat="false" ht="15" hidden="false" customHeight="true" outlineLevel="0" collapsed="false">
      <c r="A1142" s="18" t="n">
        <v>1337</v>
      </c>
      <c r="B1142" s="18" t="s">
        <v>666</v>
      </c>
      <c r="C1142" s="115" t="n">
        <v>45615</v>
      </c>
      <c r="D1142" s="10" t="n">
        <v>110</v>
      </c>
      <c r="E1142" s="10" t="n">
        <v>600</v>
      </c>
      <c r="F1142" s="10" t="s">
        <v>225</v>
      </c>
      <c r="G1142" s="18"/>
    </row>
    <row r="1143" customFormat="false" ht="15" hidden="false" customHeight="true" outlineLevel="0" collapsed="false">
      <c r="A1143" s="18" t="n">
        <v>1341</v>
      </c>
      <c r="B1143" s="18" t="s">
        <v>287</v>
      </c>
      <c r="C1143" s="115" t="n">
        <v>45615</v>
      </c>
      <c r="D1143" s="10" t="n">
        <v>210</v>
      </c>
      <c r="E1143" s="10" t="n">
        <v>3245</v>
      </c>
      <c r="F1143" s="10" t="s">
        <v>225</v>
      </c>
      <c r="G1143" s="18"/>
    </row>
    <row r="1144" customFormat="false" ht="15" hidden="false" customHeight="true" outlineLevel="0" collapsed="false">
      <c r="A1144" s="18" t="n">
        <v>1341</v>
      </c>
      <c r="B1144" s="18" t="s">
        <v>287</v>
      </c>
      <c r="C1144" s="115" t="n">
        <v>45615</v>
      </c>
      <c r="D1144" s="10" t="n">
        <v>220</v>
      </c>
      <c r="E1144" s="10" t="n">
        <v>4788</v>
      </c>
      <c r="F1144" s="10" t="s">
        <v>225</v>
      </c>
      <c r="G1144" s="18"/>
    </row>
    <row r="1145" customFormat="false" ht="15" hidden="false" customHeight="true" outlineLevel="0" collapsed="false">
      <c r="A1145" s="18" t="n">
        <v>1339</v>
      </c>
      <c r="B1145" s="18" t="s">
        <v>677</v>
      </c>
      <c r="C1145" s="115" t="n">
        <v>45615</v>
      </c>
      <c r="D1145" s="10" t="n">
        <v>250</v>
      </c>
      <c r="E1145" s="10" t="n">
        <v>371</v>
      </c>
      <c r="F1145" s="10" t="s">
        <v>225</v>
      </c>
      <c r="G1145" s="18"/>
    </row>
    <row r="1146" customFormat="false" ht="15" hidden="false" customHeight="true" outlineLevel="0" collapsed="false">
      <c r="A1146" s="18" t="n">
        <v>1360</v>
      </c>
      <c r="B1146" s="18" t="s">
        <v>388</v>
      </c>
      <c r="C1146" s="115" t="n">
        <v>45621</v>
      </c>
      <c r="D1146" s="10" t="n">
        <v>78</v>
      </c>
      <c r="E1146" s="10" t="n">
        <v>30</v>
      </c>
      <c r="F1146" s="10" t="s">
        <v>236</v>
      </c>
      <c r="G1146" s="18"/>
    </row>
    <row r="1147" customFormat="false" ht="15" hidden="false" customHeight="true" outlineLevel="0" collapsed="false">
      <c r="A1147" s="18" t="n">
        <v>1361</v>
      </c>
      <c r="B1147" s="18" t="s">
        <v>265</v>
      </c>
      <c r="C1147" s="115" t="n">
        <v>45621</v>
      </c>
      <c r="D1147" s="10" t="n">
        <v>48</v>
      </c>
      <c r="E1147" s="10" t="n">
        <v>780</v>
      </c>
      <c r="F1147" s="10" t="s">
        <v>225</v>
      </c>
      <c r="G1147" s="18"/>
    </row>
    <row r="1148" customFormat="false" ht="15" hidden="false" customHeight="true" outlineLevel="0" collapsed="false">
      <c r="A1148" s="18" t="n">
        <v>260856</v>
      </c>
      <c r="B1148" s="18" t="s">
        <v>512</v>
      </c>
      <c r="C1148" s="115" t="n">
        <v>45621</v>
      </c>
      <c r="D1148" s="10" t="n">
        <v>70</v>
      </c>
      <c r="E1148" s="10" t="n">
        <v>340</v>
      </c>
      <c r="F1148" s="10" t="s">
        <v>225</v>
      </c>
      <c r="G1148" s="18"/>
    </row>
    <row r="1149" customFormat="false" ht="15" hidden="false" customHeight="true" outlineLevel="0" collapsed="false">
      <c r="A1149" s="18" t="n">
        <v>1347</v>
      </c>
      <c r="B1149" s="18" t="s">
        <v>678</v>
      </c>
      <c r="C1149" s="115" t="n">
        <v>45621</v>
      </c>
      <c r="D1149" s="10" t="n">
        <v>100</v>
      </c>
      <c r="E1149" s="10" t="n">
        <v>300</v>
      </c>
      <c r="F1149" s="10" t="s">
        <v>225</v>
      </c>
      <c r="G1149" s="18" t="s">
        <v>232</v>
      </c>
    </row>
    <row r="1150" customFormat="false" ht="15" hidden="false" customHeight="true" outlineLevel="0" collapsed="false">
      <c r="A1150" s="18" t="n">
        <v>260841</v>
      </c>
      <c r="B1150" s="18" t="s">
        <v>259</v>
      </c>
      <c r="C1150" s="115" t="n">
        <v>45621</v>
      </c>
      <c r="D1150" s="10" t="n">
        <v>100</v>
      </c>
      <c r="E1150" s="10" t="n">
        <v>3000</v>
      </c>
      <c r="F1150" s="10" t="s">
        <v>225</v>
      </c>
      <c r="G1150" s="18"/>
    </row>
    <row r="1151" customFormat="false" ht="15" hidden="false" customHeight="true" outlineLevel="0" collapsed="false">
      <c r="A1151" s="18" t="n">
        <v>260845</v>
      </c>
      <c r="B1151" s="18" t="s">
        <v>538</v>
      </c>
      <c r="C1151" s="115" t="n">
        <v>45621</v>
      </c>
      <c r="D1151" s="10" t="n">
        <v>100</v>
      </c>
      <c r="E1151" s="10" t="n">
        <v>400</v>
      </c>
      <c r="F1151" s="10" t="s">
        <v>225</v>
      </c>
      <c r="G1151" s="18"/>
    </row>
    <row r="1152" customFormat="false" ht="15" hidden="false" customHeight="true" outlineLevel="0" collapsed="false">
      <c r="A1152" s="18" t="n">
        <v>260843</v>
      </c>
      <c r="B1152" s="18" t="s">
        <v>288</v>
      </c>
      <c r="C1152" s="115" t="n">
        <v>45621</v>
      </c>
      <c r="D1152" s="10" t="n">
        <v>110</v>
      </c>
      <c r="E1152" s="10" t="n">
        <v>500</v>
      </c>
      <c r="F1152" s="10" t="s">
        <v>229</v>
      </c>
      <c r="G1152" s="18"/>
    </row>
    <row r="1153" customFormat="false" ht="15" hidden="false" customHeight="true" outlineLevel="0" collapsed="false">
      <c r="A1153" s="18" t="n">
        <v>1358</v>
      </c>
      <c r="B1153" s="18" t="s">
        <v>363</v>
      </c>
      <c r="C1153" s="115" t="n">
        <v>45621</v>
      </c>
      <c r="D1153" s="10" t="n">
        <v>75</v>
      </c>
      <c r="E1153" s="10" t="n">
        <v>675</v>
      </c>
      <c r="F1153" s="10" t="s">
        <v>227</v>
      </c>
      <c r="G1153" s="18"/>
    </row>
    <row r="1154" customFormat="false" ht="15" hidden="false" customHeight="true" outlineLevel="0" collapsed="false">
      <c r="A1154" s="18" t="n">
        <v>1359</v>
      </c>
      <c r="B1154" s="18" t="s">
        <v>556</v>
      </c>
      <c r="C1154" s="115" t="n">
        <v>45621</v>
      </c>
      <c r="D1154" s="10" t="n">
        <v>15</v>
      </c>
      <c r="E1154" s="10" t="n">
        <v>180</v>
      </c>
      <c r="F1154" s="10" t="s">
        <v>372</v>
      </c>
      <c r="G1154" s="18"/>
    </row>
    <row r="1155" customFormat="false" ht="15" hidden="false" customHeight="true" outlineLevel="0" collapsed="false">
      <c r="A1155" s="18" t="n">
        <v>1333</v>
      </c>
      <c r="B1155" s="18" t="s">
        <v>679</v>
      </c>
      <c r="C1155" s="115" t="n">
        <v>45621</v>
      </c>
      <c r="D1155" s="10" t="n">
        <v>220</v>
      </c>
      <c r="E1155" s="10" t="n">
        <v>1800</v>
      </c>
      <c r="F1155" s="10" t="s">
        <v>229</v>
      </c>
      <c r="G1155" s="18"/>
    </row>
    <row r="1156" customFormat="false" ht="15" hidden="false" customHeight="true" outlineLevel="0" collapsed="false">
      <c r="A1156" s="18" t="n">
        <v>260850</v>
      </c>
      <c r="B1156" s="18" t="s">
        <v>680</v>
      </c>
      <c r="C1156" s="115" t="n">
        <v>45621</v>
      </c>
      <c r="D1156" s="10" t="n">
        <v>110</v>
      </c>
      <c r="E1156" s="10" t="n">
        <v>3750</v>
      </c>
      <c r="F1156" s="10" t="s">
        <v>225</v>
      </c>
      <c r="G1156" s="18"/>
    </row>
    <row r="1157" customFormat="false" ht="15" hidden="false" customHeight="true" outlineLevel="0" collapsed="false">
      <c r="A1157" s="18" t="n">
        <v>1352</v>
      </c>
      <c r="B1157" s="18" t="s">
        <v>242</v>
      </c>
      <c r="C1157" s="115" t="n">
        <v>45621</v>
      </c>
      <c r="D1157" s="10" t="n">
        <v>110</v>
      </c>
      <c r="E1157" s="10" t="n">
        <v>130</v>
      </c>
      <c r="F1157" s="10" t="s">
        <v>225</v>
      </c>
      <c r="G1157" s="18"/>
    </row>
    <row r="1158" customFormat="false" ht="15" hidden="false" customHeight="true" outlineLevel="0" collapsed="false">
      <c r="A1158" s="18" t="n">
        <v>260855</v>
      </c>
      <c r="B1158" s="18" t="s">
        <v>304</v>
      </c>
      <c r="C1158" s="115" t="n">
        <v>45621</v>
      </c>
      <c r="D1158" s="10" t="n">
        <v>130</v>
      </c>
      <c r="E1158" s="10" t="n">
        <v>400</v>
      </c>
      <c r="F1158" s="10" t="s">
        <v>225</v>
      </c>
      <c r="G1158" s="18"/>
    </row>
    <row r="1159" customFormat="false" ht="15" hidden="false" customHeight="true" outlineLevel="0" collapsed="false">
      <c r="A1159" s="18" t="n">
        <v>260849</v>
      </c>
      <c r="B1159" s="18" t="s">
        <v>447</v>
      </c>
      <c r="C1159" s="115" t="n">
        <v>45621</v>
      </c>
      <c r="D1159" s="10" t="n">
        <v>140</v>
      </c>
      <c r="E1159" s="10" t="n">
        <v>2940</v>
      </c>
      <c r="F1159" s="10" t="s">
        <v>225</v>
      </c>
      <c r="G1159" s="18"/>
    </row>
    <row r="1160" customFormat="false" ht="15" hidden="false" customHeight="true" outlineLevel="0" collapsed="false">
      <c r="A1160" s="18" t="n">
        <v>1218</v>
      </c>
      <c r="B1160" s="18" t="s">
        <v>475</v>
      </c>
      <c r="C1160" s="115" t="n">
        <v>45621</v>
      </c>
      <c r="D1160" s="10" t="n">
        <v>140</v>
      </c>
      <c r="E1160" s="10" t="n">
        <v>520</v>
      </c>
      <c r="F1160" s="10" t="s">
        <v>225</v>
      </c>
      <c r="G1160" s="18"/>
    </row>
    <row r="1161" customFormat="false" ht="15" hidden="false" customHeight="true" outlineLevel="0" collapsed="false">
      <c r="A1161" s="18" t="n">
        <v>1353</v>
      </c>
      <c r="B1161" s="18" t="s">
        <v>268</v>
      </c>
      <c r="C1161" s="115" t="n">
        <v>45621</v>
      </c>
      <c r="D1161" s="10" t="n">
        <v>210</v>
      </c>
      <c r="E1161" s="10" t="n">
        <v>151</v>
      </c>
      <c r="F1161" s="10" t="s">
        <v>225</v>
      </c>
      <c r="G1161" s="18"/>
    </row>
    <row r="1162" customFormat="false" ht="15" hidden="false" customHeight="true" outlineLevel="0" collapsed="false">
      <c r="A1162" s="18" t="n">
        <v>1355</v>
      </c>
      <c r="B1162" s="18" t="s">
        <v>681</v>
      </c>
      <c r="C1162" s="115" t="n">
        <v>45621</v>
      </c>
      <c r="D1162" s="10" t="n">
        <v>210</v>
      </c>
      <c r="E1162" s="10" t="n">
        <v>662</v>
      </c>
      <c r="F1162" s="10" t="s">
        <v>225</v>
      </c>
      <c r="G1162" s="18"/>
    </row>
    <row r="1163" customFormat="false" ht="15" hidden="false" customHeight="true" outlineLevel="0" collapsed="false">
      <c r="A1163" s="18" t="n">
        <v>1345</v>
      </c>
      <c r="B1163" s="18" t="s">
        <v>245</v>
      </c>
      <c r="C1163" s="115" t="n">
        <v>45621</v>
      </c>
      <c r="D1163" s="10" t="n">
        <v>210</v>
      </c>
      <c r="E1163" s="10" t="n">
        <v>1030</v>
      </c>
      <c r="F1163" s="10" t="s">
        <v>225</v>
      </c>
      <c r="G1163" s="18"/>
    </row>
    <row r="1164" customFormat="false" ht="15" hidden="false" customHeight="true" outlineLevel="0" collapsed="false">
      <c r="A1164" s="18" t="n">
        <v>260846</v>
      </c>
      <c r="B1164" s="18" t="s">
        <v>231</v>
      </c>
      <c r="C1164" s="115" t="n">
        <v>45621</v>
      </c>
      <c r="D1164" s="10" t="n">
        <v>250</v>
      </c>
      <c r="E1164" s="10" t="n">
        <v>1049</v>
      </c>
      <c r="F1164" s="10" t="s">
        <v>236</v>
      </c>
      <c r="G1164" s="18"/>
    </row>
    <row r="1165" customFormat="false" ht="15" hidden="false" customHeight="true" outlineLevel="0" collapsed="false">
      <c r="A1165" s="18" t="n">
        <v>1364</v>
      </c>
      <c r="B1165" s="18" t="s">
        <v>682</v>
      </c>
      <c r="C1165" s="115" t="n">
        <v>45623</v>
      </c>
      <c r="D1165" s="10" t="n">
        <v>35</v>
      </c>
      <c r="E1165" s="10" t="n">
        <v>950</v>
      </c>
      <c r="F1165" s="10" t="s">
        <v>225</v>
      </c>
      <c r="G1165" s="18"/>
    </row>
    <row r="1166" customFormat="false" ht="15" hidden="false" customHeight="true" outlineLevel="0" collapsed="false">
      <c r="A1166" s="18" t="n">
        <v>1363</v>
      </c>
      <c r="B1166" s="18" t="s">
        <v>666</v>
      </c>
      <c r="C1166" s="115" t="n">
        <v>45623</v>
      </c>
      <c r="D1166" s="10" t="n">
        <v>60</v>
      </c>
      <c r="E1166" s="10" t="n">
        <v>2480</v>
      </c>
      <c r="F1166" s="10" t="s">
        <v>225</v>
      </c>
      <c r="G1166" s="18"/>
    </row>
    <row r="1167" customFormat="false" ht="15" hidden="false" customHeight="true" outlineLevel="0" collapsed="false">
      <c r="A1167" s="18" t="n">
        <v>260854</v>
      </c>
      <c r="B1167" s="18" t="s">
        <v>683</v>
      </c>
      <c r="C1167" s="115" t="n">
        <v>45623</v>
      </c>
      <c r="D1167" s="10" t="n">
        <v>65</v>
      </c>
      <c r="E1167" s="10" t="n">
        <v>182</v>
      </c>
      <c r="F1167" s="10" t="s">
        <v>225</v>
      </c>
      <c r="G1167" s="18"/>
    </row>
    <row r="1168" customFormat="false" ht="15" hidden="false" customHeight="true" outlineLevel="0" collapsed="false">
      <c r="A1168" s="18" t="n">
        <v>260861</v>
      </c>
      <c r="B1168" s="18" t="s">
        <v>326</v>
      </c>
      <c r="C1168" s="115" t="n">
        <v>45623</v>
      </c>
      <c r="D1168" s="10" t="n">
        <v>90</v>
      </c>
      <c r="E1168" s="10" t="n">
        <v>120</v>
      </c>
      <c r="F1168" s="10" t="s">
        <v>225</v>
      </c>
      <c r="G1168" s="18"/>
    </row>
    <row r="1169" customFormat="false" ht="15" hidden="false" customHeight="true" outlineLevel="0" collapsed="false">
      <c r="A1169" s="18" t="n">
        <v>1362</v>
      </c>
      <c r="B1169" s="18" t="s">
        <v>383</v>
      </c>
      <c r="C1169" s="115" t="n">
        <v>45623</v>
      </c>
      <c r="D1169" s="10" t="n">
        <v>95</v>
      </c>
      <c r="E1169" s="10" t="n">
        <v>330</v>
      </c>
      <c r="F1169" s="10" t="s">
        <v>225</v>
      </c>
      <c r="G1169" s="18"/>
    </row>
    <row r="1170" customFormat="false" ht="15" hidden="false" customHeight="true" outlineLevel="0" collapsed="false">
      <c r="A1170" s="18" t="n">
        <v>1370</v>
      </c>
      <c r="B1170" s="18" t="s">
        <v>282</v>
      </c>
      <c r="C1170" s="115" t="n">
        <v>45623</v>
      </c>
      <c r="D1170" s="10" t="n">
        <v>105</v>
      </c>
      <c r="E1170" s="10" t="n">
        <v>265</v>
      </c>
      <c r="F1170" s="10" t="s">
        <v>225</v>
      </c>
      <c r="G1170" s="18"/>
    </row>
    <row r="1171" customFormat="false" ht="15" hidden="false" customHeight="true" outlineLevel="0" collapsed="false">
      <c r="A1171" s="18" t="n">
        <v>260844</v>
      </c>
      <c r="B1171" s="18" t="s">
        <v>638</v>
      </c>
      <c r="C1171" s="115" t="n">
        <v>45623</v>
      </c>
      <c r="D1171" s="10" t="n">
        <v>105</v>
      </c>
      <c r="E1171" s="10" t="n">
        <v>500</v>
      </c>
      <c r="F1171" s="10" t="s">
        <v>225</v>
      </c>
      <c r="G1171" s="18"/>
    </row>
    <row r="1172" customFormat="false" ht="15" hidden="false" customHeight="true" outlineLevel="0" collapsed="false">
      <c r="A1172" s="18" t="n">
        <v>260857</v>
      </c>
      <c r="B1172" s="18" t="s">
        <v>684</v>
      </c>
      <c r="C1172" s="115" t="n">
        <v>45623</v>
      </c>
      <c r="D1172" s="10" t="n">
        <v>80</v>
      </c>
      <c r="E1172" s="10" t="n">
        <v>340</v>
      </c>
      <c r="F1172" s="10" t="s">
        <v>685</v>
      </c>
      <c r="G1172" s="18"/>
    </row>
    <row r="1173" customFormat="false" ht="15" hidden="false" customHeight="true" outlineLevel="0" collapsed="false">
      <c r="A1173" s="18" t="n">
        <v>1365</v>
      </c>
      <c r="B1173" s="18" t="s">
        <v>295</v>
      </c>
      <c r="C1173" s="115" t="n">
        <v>45623</v>
      </c>
      <c r="D1173" s="10" t="n">
        <v>210</v>
      </c>
      <c r="E1173" s="10" t="n">
        <v>645</v>
      </c>
      <c r="F1173" s="10" t="s">
        <v>229</v>
      </c>
      <c r="G1173" s="18"/>
    </row>
    <row r="1174" customFormat="false" ht="15" hidden="false" customHeight="true" outlineLevel="0" collapsed="false">
      <c r="A1174" s="18" t="n">
        <v>1367</v>
      </c>
      <c r="B1174" s="18" t="s">
        <v>241</v>
      </c>
      <c r="C1174" s="115" t="n">
        <v>45623</v>
      </c>
      <c r="D1174" s="10" t="n">
        <v>70</v>
      </c>
      <c r="E1174" s="10" t="n">
        <v>680</v>
      </c>
      <c r="F1174" s="10" t="s">
        <v>229</v>
      </c>
      <c r="G1174" s="18" t="s">
        <v>686</v>
      </c>
    </row>
    <row r="1175" customFormat="false" ht="15" hidden="false" customHeight="true" outlineLevel="0" collapsed="false">
      <c r="A1175" s="18" t="n">
        <v>1369</v>
      </c>
      <c r="B1175" s="18" t="s">
        <v>397</v>
      </c>
      <c r="C1175" s="115" t="n">
        <v>45623</v>
      </c>
      <c r="D1175" s="10" t="n">
        <v>110</v>
      </c>
      <c r="E1175" s="10" t="n">
        <v>1100</v>
      </c>
      <c r="F1175" s="10" t="s">
        <v>227</v>
      </c>
      <c r="G1175" s="18"/>
    </row>
    <row r="1176" customFormat="false" ht="15" hidden="false" customHeight="true" outlineLevel="0" collapsed="false">
      <c r="A1176" s="18" t="n">
        <v>260860</v>
      </c>
      <c r="B1176" s="18" t="s">
        <v>367</v>
      </c>
      <c r="C1176" s="115" t="n">
        <v>45623</v>
      </c>
      <c r="D1176" s="10" t="n">
        <v>110</v>
      </c>
      <c r="E1176" s="10" t="n">
        <v>250</v>
      </c>
      <c r="F1176" s="10" t="s">
        <v>225</v>
      </c>
      <c r="G1176" s="18"/>
    </row>
    <row r="1177" customFormat="false" ht="15" hidden="false" customHeight="true" outlineLevel="0" collapsed="false">
      <c r="A1177" s="18" t="n">
        <v>1379</v>
      </c>
      <c r="B1177" s="18" t="s">
        <v>247</v>
      </c>
      <c r="C1177" s="115" t="n">
        <v>45623</v>
      </c>
      <c r="D1177" s="10" t="n">
        <v>210</v>
      </c>
      <c r="E1177" s="10" t="n">
        <v>840</v>
      </c>
      <c r="F1177" s="10" t="s">
        <v>225</v>
      </c>
      <c r="G1177" s="18"/>
    </row>
    <row r="1178" customFormat="false" ht="15" hidden="false" customHeight="true" outlineLevel="0" collapsed="false">
      <c r="A1178" s="18" t="n">
        <v>260876</v>
      </c>
      <c r="B1178" s="18" t="s">
        <v>687</v>
      </c>
      <c r="C1178" s="115" t="n">
        <v>45624</v>
      </c>
      <c r="D1178" s="10" t="n">
        <v>80</v>
      </c>
      <c r="E1178" s="10" t="n">
        <v>2000</v>
      </c>
      <c r="F1178" s="10" t="s">
        <v>225</v>
      </c>
      <c r="G1178" s="18"/>
    </row>
    <row r="1179" customFormat="false" ht="15" hidden="false" customHeight="true" outlineLevel="0" collapsed="false">
      <c r="A1179" s="18" t="n">
        <v>1375</v>
      </c>
      <c r="B1179" s="18" t="s">
        <v>302</v>
      </c>
      <c r="C1179" s="115" t="n">
        <v>45624</v>
      </c>
      <c r="D1179" s="10" t="n">
        <v>85</v>
      </c>
      <c r="E1179" s="10" t="n">
        <v>134</v>
      </c>
      <c r="F1179" s="10" t="s">
        <v>225</v>
      </c>
      <c r="G1179" s="18"/>
    </row>
    <row r="1180" customFormat="false" ht="15" hidden="false" customHeight="true" outlineLevel="0" collapsed="false">
      <c r="A1180" s="18" t="n">
        <v>1372</v>
      </c>
      <c r="B1180" s="18" t="s">
        <v>688</v>
      </c>
      <c r="C1180" s="115" t="n">
        <v>45624</v>
      </c>
      <c r="D1180" s="10" t="n">
        <v>100</v>
      </c>
      <c r="E1180" s="10" t="n">
        <v>38</v>
      </c>
      <c r="F1180" s="10" t="s">
        <v>225</v>
      </c>
      <c r="G1180" s="18"/>
    </row>
    <row r="1181" customFormat="false" ht="15" hidden="false" customHeight="true" outlineLevel="0" collapsed="false">
      <c r="A1181" s="18" t="n">
        <v>260863</v>
      </c>
      <c r="B1181" s="18" t="s">
        <v>689</v>
      </c>
      <c r="C1181" s="115" t="n">
        <v>45624</v>
      </c>
      <c r="D1181" s="10" t="n">
        <v>60</v>
      </c>
      <c r="E1181" s="10" t="n">
        <v>50</v>
      </c>
      <c r="F1181" s="10" t="s">
        <v>372</v>
      </c>
      <c r="G1181" s="18"/>
    </row>
    <row r="1182" customFormat="false" ht="15" hidden="false" customHeight="true" outlineLevel="0" collapsed="false">
      <c r="A1182" s="18" t="n">
        <v>1376</v>
      </c>
      <c r="B1182" s="18" t="s">
        <v>224</v>
      </c>
      <c r="C1182" s="115" t="n">
        <v>45624</v>
      </c>
      <c r="D1182" s="10" t="n">
        <v>55</v>
      </c>
      <c r="E1182" s="10" t="n">
        <v>1380</v>
      </c>
      <c r="F1182" s="10" t="s">
        <v>248</v>
      </c>
      <c r="G1182" s="18"/>
    </row>
    <row r="1183" customFormat="false" ht="15" hidden="false" customHeight="true" outlineLevel="0" collapsed="false">
      <c r="A1183" s="18" t="n">
        <v>1371</v>
      </c>
      <c r="B1183" s="18" t="s">
        <v>690</v>
      </c>
      <c r="C1183" s="115" t="n">
        <v>45624</v>
      </c>
      <c r="D1183" s="10" t="n">
        <v>210</v>
      </c>
      <c r="E1183" s="10" t="n">
        <v>130</v>
      </c>
      <c r="F1183" s="10" t="s">
        <v>229</v>
      </c>
      <c r="G1183" s="18"/>
    </row>
    <row r="1184" customFormat="false" ht="15" hidden="false" customHeight="true" outlineLevel="0" collapsed="false">
      <c r="A1184" s="18" t="n">
        <v>1378</v>
      </c>
      <c r="B1184" s="18" t="s">
        <v>382</v>
      </c>
      <c r="C1184" s="115" t="n">
        <v>45624</v>
      </c>
      <c r="D1184" s="10" t="n">
        <v>125</v>
      </c>
      <c r="E1184" s="10" t="n">
        <v>1840</v>
      </c>
      <c r="F1184" s="10" t="s">
        <v>225</v>
      </c>
      <c r="G1184" s="18"/>
    </row>
    <row r="1185" customFormat="false" ht="15" hidden="false" customHeight="true" outlineLevel="0" collapsed="false">
      <c r="A1185" s="18" t="n">
        <v>1368</v>
      </c>
      <c r="B1185" s="18" t="s">
        <v>478</v>
      </c>
      <c r="C1185" s="115" t="n">
        <v>45624</v>
      </c>
      <c r="D1185" s="10" t="n">
        <v>145</v>
      </c>
      <c r="E1185" s="10" t="n">
        <v>480</v>
      </c>
      <c r="F1185" s="10" t="s">
        <v>225</v>
      </c>
      <c r="G1185" s="18"/>
    </row>
    <row r="1186" customFormat="false" ht="15" hidden="false" customHeight="true" outlineLevel="0" collapsed="false">
      <c r="A1186" s="18" t="n">
        <v>1377</v>
      </c>
      <c r="B1186" s="18" t="s">
        <v>440</v>
      </c>
      <c r="C1186" s="115" t="n">
        <v>45624</v>
      </c>
      <c r="D1186" s="10" t="n">
        <v>150</v>
      </c>
      <c r="E1186" s="10" t="n">
        <v>1625</v>
      </c>
      <c r="F1186" s="10" t="s">
        <v>225</v>
      </c>
      <c r="G1186" s="18"/>
    </row>
    <row r="1187" customFormat="false" ht="15" hidden="false" customHeight="true" outlineLevel="0" collapsed="false">
      <c r="A1187" s="18" t="n">
        <v>1376</v>
      </c>
      <c r="B1187" s="18" t="s">
        <v>224</v>
      </c>
      <c r="C1187" s="115" t="n">
        <v>45624</v>
      </c>
      <c r="D1187" s="10" t="n">
        <v>210</v>
      </c>
      <c r="E1187" s="10" t="n">
        <v>4980</v>
      </c>
      <c r="F1187" s="10" t="s">
        <v>225</v>
      </c>
      <c r="G1187" s="18"/>
    </row>
    <row r="1188" customFormat="false" ht="15" hidden="false" customHeight="true" outlineLevel="0" collapsed="false">
      <c r="A1188" s="18" t="n">
        <v>1374</v>
      </c>
      <c r="B1188" s="18" t="s">
        <v>691</v>
      </c>
      <c r="C1188" s="115" t="n">
        <v>45624</v>
      </c>
      <c r="D1188" s="10" t="n">
        <v>220</v>
      </c>
      <c r="E1188" s="10" t="n">
        <v>2520</v>
      </c>
      <c r="F1188" s="10" t="s">
        <v>225</v>
      </c>
      <c r="G1188" s="18"/>
    </row>
    <row r="1189" customFormat="false" ht="15" hidden="false" customHeight="true" outlineLevel="0" collapsed="false">
      <c r="A1189" s="18" t="n">
        <v>1382</v>
      </c>
      <c r="B1189" s="18" t="s">
        <v>540</v>
      </c>
      <c r="C1189" s="115" t="n">
        <v>45624</v>
      </c>
      <c r="D1189" s="10" t="n">
        <v>220</v>
      </c>
      <c r="E1189" s="10" t="n">
        <v>958</v>
      </c>
      <c r="F1189" s="10" t="s">
        <v>225</v>
      </c>
      <c r="G1189" s="18"/>
    </row>
    <row r="1190" customFormat="false" ht="15" hidden="false" customHeight="true" outlineLevel="0" collapsed="false">
      <c r="A1190" s="18" t="n">
        <v>1383</v>
      </c>
      <c r="B1190" s="18" t="s">
        <v>235</v>
      </c>
      <c r="C1190" s="115" t="n">
        <v>45624</v>
      </c>
      <c r="D1190" s="10" t="n">
        <v>250</v>
      </c>
      <c r="E1190" s="10" t="n">
        <v>2225</v>
      </c>
      <c r="F1190" s="10" t="s">
        <v>236</v>
      </c>
      <c r="G1190" s="18"/>
    </row>
    <row r="1191" customFormat="false" ht="15" hidden="false" customHeight="true" outlineLevel="0" collapsed="false">
      <c r="A1191" s="18" t="n">
        <v>1398</v>
      </c>
      <c r="B1191" s="18" t="s">
        <v>334</v>
      </c>
      <c r="C1191" s="115" t="n">
        <v>45629</v>
      </c>
      <c r="D1191" s="10" t="n">
        <v>210</v>
      </c>
      <c r="E1191" s="10" t="n">
        <v>630</v>
      </c>
      <c r="F1191" s="10" t="s">
        <v>229</v>
      </c>
      <c r="G1191" s="18"/>
    </row>
    <row r="1192" customFormat="false" ht="15" hidden="false" customHeight="true" outlineLevel="0" collapsed="false">
      <c r="A1192" s="18" t="n">
        <v>260874</v>
      </c>
      <c r="B1192" s="18" t="s">
        <v>240</v>
      </c>
      <c r="C1192" s="115" t="n">
        <v>45629</v>
      </c>
      <c r="D1192" s="10" t="n">
        <v>110</v>
      </c>
      <c r="E1192" s="10" t="n">
        <v>1500</v>
      </c>
      <c r="F1192" s="10" t="s">
        <v>227</v>
      </c>
      <c r="G1192" s="18"/>
    </row>
    <row r="1193" customFormat="false" ht="15" hidden="false" customHeight="true" outlineLevel="0" collapsed="false">
      <c r="A1193" s="18" t="n">
        <v>1399</v>
      </c>
      <c r="B1193" s="18" t="s">
        <v>571</v>
      </c>
      <c r="C1193" s="115" t="n">
        <v>45629</v>
      </c>
      <c r="D1193" s="10" t="n">
        <v>110</v>
      </c>
      <c r="E1193" s="10" t="n">
        <v>2160</v>
      </c>
      <c r="F1193" s="10" t="s">
        <v>227</v>
      </c>
      <c r="G1193" s="18"/>
    </row>
    <row r="1194" customFormat="false" ht="15" hidden="false" customHeight="true" outlineLevel="0" collapsed="false">
      <c r="A1194" s="18" t="n">
        <v>1373</v>
      </c>
      <c r="B1194" s="18" t="s">
        <v>692</v>
      </c>
      <c r="C1194" s="115" t="n">
        <v>45629</v>
      </c>
      <c r="D1194" s="10" t="n">
        <v>110</v>
      </c>
      <c r="E1194" s="10" t="n">
        <v>3750</v>
      </c>
      <c r="F1194" s="10" t="s">
        <v>229</v>
      </c>
      <c r="G1194" s="18" t="s">
        <v>686</v>
      </c>
    </row>
    <row r="1195" customFormat="false" ht="15" hidden="false" customHeight="true" outlineLevel="0" collapsed="false">
      <c r="A1195" s="18" t="n">
        <v>260875</v>
      </c>
      <c r="B1195" s="18" t="s">
        <v>468</v>
      </c>
      <c r="C1195" s="115" t="n">
        <v>45629</v>
      </c>
      <c r="D1195" s="10" t="n">
        <v>110</v>
      </c>
      <c r="E1195" s="10" t="n">
        <v>1875</v>
      </c>
      <c r="F1195" s="10" t="s">
        <v>225</v>
      </c>
      <c r="G1195" s="18"/>
    </row>
    <row r="1196" customFormat="false" ht="15" hidden="false" customHeight="true" outlineLevel="0" collapsed="false">
      <c r="A1196" s="18" t="n">
        <v>1404</v>
      </c>
      <c r="B1196" s="18" t="s">
        <v>244</v>
      </c>
      <c r="C1196" s="115" t="n">
        <v>45629</v>
      </c>
      <c r="D1196" s="10" t="n">
        <v>110</v>
      </c>
      <c r="E1196" s="10" t="n">
        <v>1050</v>
      </c>
      <c r="F1196" s="10" t="s">
        <v>225</v>
      </c>
      <c r="G1196" s="18"/>
    </row>
    <row r="1197" customFormat="false" ht="15" hidden="false" customHeight="true" outlineLevel="0" collapsed="false">
      <c r="A1197" s="18" t="n">
        <v>1400</v>
      </c>
      <c r="B1197" s="18" t="s">
        <v>547</v>
      </c>
      <c r="C1197" s="115" t="n">
        <v>45629</v>
      </c>
      <c r="D1197" s="10" t="n">
        <v>125</v>
      </c>
      <c r="E1197" s="10" t="n">
        <v>1200</v>
      </c>
      <c r="F1197" s="10" t="s">
        <v>225</v>
      </c>
      <c r="G1197" s="18"/>
    </row>
    <row r="1198" customFormat="false" ht="15" hidden="false" customHeight="true" outlineLevel="0" collapsed="false">
      <c r="A1198" s="18" t="n">
        <v>1403</v>
      </c>
      <c r="B1198" s="18" t="s">
        <v>505</v>
      </c>
      <c r="C1198" s="115" t="n">
        <v>45629</v>
      </c>
      <c r="D1198" s="10" t="n">
        <v>210</v>
      </c>
      <c r="E1198" s="10" t="n">
        <v>318</v>
      </c>
      <c r="F1198" s="10" t="s">
        <v>225</v>
      </c>
      <c r="G1198" s="18"/>
    </row>
    <row r="1199" customFormat="false" ht="15" hidden="false" customHeight="true" outlineLevel="0" collapsed="false">
      <c r="A1199" s="18" t="n">
        <v>1402</v>
      </c>
      <c r="B1199" s="18" t="s">
        <v>327</v>
      </c>
      <c r="C1199" s="115" t="n">
        <v>45632</v>
      </c>
      <c r="D1199" s="10" t="n">
        <v>84</v>
      </c>
      <c r="E1199" s="10" t="n">
        <v>2000</v>
      </c>
      <c r="F1199" s="10" t="s">
        <v>225</v>
      </c>
      <c r="G1199" s="18"/>
    </row>
    <row r="1200" customFormat="false" ht="15" hidden="false" customHeight="true" outlineLevel="0" collapsed="false">
      <c r="A1200" s="18" t="n">
        <v>1402</v>
      </c>
      <c r="B1200" s="18" t="s">
        <v>327</v>
      </c>
      <c r="C1200" s="115" t="n">
        <v>45632</v>
      </c>
      <c r="D1200" s="10" t="n">
        <v>90</v>
      </c>
      <c r="E1200" s="10" t="n">
        <v>600</v>
      </c>
      <c r="F1200" s="10" t="s">
        <v>225</v>
      </c>
      <c r="G1200" s="18"/>
    </row>
    <row r="1201" customFormat="false" ht="15" hidden="false" customHeight="true" outlineLevel="0" collapsed="false">
      <c r="A1201" s="18" t="n">
        <v>260884</v>
      </c>
      <c r="B1201" s="18" t="s">
        <v>693</v>
      </c>
      <c r="C1201" s="115" t="n">
        <v>45632</v>
      </c>
      <c r="D1201" s="10" t="n">
        <v>100</v>
      </c>
      <c r="E1201" s="10" t="n">
        <v>670</v>
      </c>
      <c r="F1201" s="10" t="s">
        <v>225</v>
      </c>
      <c r="G1201" s="18"/>
    </row>
    <row r="1202" customFormat="false" ht="15" hidden="false" customHeight="true" outlineLevel="0" collapsed="false">
      <c r="A1202" s="18" t="n">
        <v>1413</v>
      </c>
      <c r="B1202" s="18" t="s">
        <v>694</v>
      </c>
      <c r="C1202" s="115" t="n">
        <v>45632</v>
      </c>
      <c r="D1202" s="10" t="n">
        <v>102</v>
      </c>
      <c r="E1202" s="10" t="n">
        <v>2250</v>
      </c>
      <c r="F1202" s="10" t="s">
        <v>225</v>
      </c>
      <c r="G1202" s="18"/>
    </row>
    <row r="1203" customFormat="false" ht="15" hidden="false" customHeight="true" outlineLevel="0" collapsed="false">
      <c r="A1203" s="18" t="n">
        <v>260878</v>
      </c>
      <c r="B1203" s="18" t="s">
        <v>249</v>
      </c>
      <c r="C1203" s="115" t="n">
        <v>45632</v>
      </c>
      <c r="D1203" s="10" t="n">
        <v>105</v>
      </c>
      <c r="E1203" s="10" t="n">
        <v>53</v>
      </c>
      <c r="F1203" s="10" t="s">
        <v>227</v>
      </c>
      <c r="G1203" s="18"/>
    </row>
    <row r="1204" customFormat="false" ht="15" hidden="false" customHeight="true" outlineLevel="0" collapsed="false">
      <c r="A1204" s="18" t="n">
        <v>260883</v>
      </c>
      <c r="B1204" s="18" t="s">
        <v>695</v>
      </c>
      <c r="C1204" s="115" t="n">
        <v>45632</v>
      </c>
      <c r="D1204" s="10" t="n">
        <v>35</v>
      </c>
      <c r="E1204" s="10" t="n">
        <v>46</v>
      </c>
      <c r="F1204" s="10" t="s">
        <v>262</v>
      </c>
      <c r="G1204" s="18" t="s">
        <v>686</v>
      </c>
    </row>
    <row r="1205" customFormat="false" ht="15" hidden="false" customHeight="true" outlineLevel="0" collapsed="false">
      <c r="A1205" s="18" t="n">
        <v>1409</v>
      </c>
      <c r="B1205" s="18" t="s">
        <v>91</v>
      </c>
      <c r="C1205" s="115" t="n">
        <v>45632</v>
      </c>
      <c r="D1205" s="10" t="n">
        <v>250</v>
      </c>
      <c r="E1205" s="10" t="n">
        <v>223</v>
      </c>
      <c r="F1205" s="10" t="s">
        <v>229</v>
      </c>
      <c r="G1205" s="18"/>
    </row>
    <row r="1206" customFormat="false" ht="15" hidden="false" customHeight="true" outlineLevel="0" collapsed="false">
      <c r="A1206" s="18" t="n">
        <v>1409</v>
      </c>
      <c r="B1206" s="18" t="s">
        <v>91</v>
      </c>
      <c r="C1206" s="115" t="n">
        <v>45632</v>
      </c>
      <c r="D1206" s="10" t="n">
        <v>250</v>
      </c>
      <c r="E1206" s="10" t="n">
        <v>223</v>
      </c>
      <c r="F1206" s="10" t="s">
        <v>229</v>
      </c>
      <c r="G1206" s="18"/>
    </row>
    <row r="1207" customFormat="false" ht="15" hidden="false" customHeight="true" outlineLevel="0" collapsed="false">
      <c r="A1207" s="18" t="n">
        <v>1411</v>
      </c>
      <c r="B1207" s="18" t="s">
        <v>242</v>
      </c>
      <c r="C1207" s="115" t="n">
        <v>45632</v>
      </c>
      <c r="D1207" s="10" t="n">
        <v>110</v>
      </c>
      <c r="E1207" s="10" t="n">
        <v>224</v>
      </c>
      <c r="F1207" s="10" t="s">
        <v>225</v>
      </c>
      <c r="G1207" s="18"/>
    </row>
    <row r="1208" customFormat="false" ht="15" hidden="false" customHeight="true" outlineLevel="0" collapsed="false">
      <c r="A1208" s="18" t="n">
        <v>260882</v>
      </c>
      <c r="B1208" s="18" t="s">
        <v>259</v>
      </c>
      <c r="C1208" s="115" t="n">
        <v>45632</v>
      </c>
      <c r="D1208" s="10" t="n">
        <v>110</v>
      </c>
      <c r="E1208" s="10" t="n">
        <v>375</v>
      </c>
      <c r="F1208" s="10" t="s">
        <v>225</v>
      </c>
      <c r="G1208" s="18"/>
    </row>
    <row r="1209" customFormat="false" ht="15" hidden="false" customHeight="true" outlineLevel="0" collapsed="false">
      <c r="A1209" s="18" t="n">
        <v>1419</v>
      </c>
      <c r="B1209" s="18" t="s">
        <v>666</v>
      </c>
      <c r="C1209" s="115" t="n">
        <v>45632</v>
      </c>
      <c r="D1209" s="10" t="n">
        <v>110</v>
      </c>
      <c r="E1209" s="10" t="n">
        <v>900</v>
      </c>
      <c r="F1209" s="10" t="s">
        <v>225</v>
      </c>
      <c r="G1209" s="18"/>
    </row>
    <row r="1210" customFormat="false" ht="15" hidden="false" customHeight="true" outlineLevel="0" collapsed="false">
      <c r="A1210" s="18" t="n">
        <v>1406</v>
      </c>
      <c r="B1210" s="18" t="s">
        <v>359</v>
      </c>
      <c r="C1210" s="115" t="n">
        <v>45632</v>
      </c>
      <c r="D1210" s="10" t="n">
        <v>190</v>
      </c>
      <c r="E1210" s="10" t="n">
        <v>3780</v>
      </c>
      <c r="F1210" s="10" t="s">
        <v>225</v>
      </c>
      <c r="G1210" s="18"/>
    </row>
    <row r="1211" customFormat="false" ht="15" hidden="false" customHeight="true" outlineLevel="0" collapsed="false">
      <c r="A1211" s="18" t="n">
        <v>1406</v>
      </c>
      <c r="B1211" s="18" t="s">
        <v>359</v>
      </c>
      <c r="C1211" s="115" t="n">
        <v>45632</v>
      </c>
      <c r="D1211" s="10" t="n">
        <v>190</v>
      </c>
      <c r="E1211" s="10" t="n">
        <v>3780</v>
      </c>
      <c r="F1211" s="10" t="s">
        <v>225</v>
      </c>
      <c r="G1211" s="18"/>
    </row>
    <row r="1212" customFormat="false" ht="15" hidden="false" customHeight="true" outlineLevel="0" collapsed="false">
      <c r="A1212" s="18" t="n">
        <v>1414</v>
      </c>
      <c r="B1212" s="18" t="s">
        <v>696</v>
      </c>
      <c r="C1212" s="115" t="n">
        <v>45632</v>
      </c>
      <c r="D1212" s="10" t="n">
        <v>210</v>
      </c>
      <c r="E1212" s="10" t="n">
        <v>2253</v>
      </c>
      <c r="F1212" s="10" t="s">
        <v>225</v>
      </c>
      <c r="G1212" s="18"/>
    </row>
    <row r="1213" customFormat="false" ht="15" hidden="false" customHeight="true" outlineLevel="0" collapsed="false">
      <c r="A1213" s="18" t="n">
        <v>1417</v>
      </c>
      <c r="B1213" s="18" t="s">
        <v>697</v>
      </c>
      <c r="C1213" s="115" t="n">
        <v>45632</v>
      </c>
      <c r="D1213" s="10" t="n">
        <v>210</v>
      </c>
      <c r="E1213" s="10" t="n">
        <v>630</v>
      </c>
      <c r="F1213" s="10" t="s">
        <v>225</v>
      </c>
      <c r="G1213" s="18"/>
    </row>
    <row r="1214" customFormat="false" ht="15" hidden="false" customHeight="true" outlineLevel="0" collapsed="false">
      <c r="A1214" s="18" t="n">
        <v>1420</v>
      </c>
      <c r="B1214" s="18" t="s">
        <v>698</v>
      </c>
      <c r="C1214" s="115" t="n">
        <v>45632</v>
      </c>
      <c r="D1214" s="10" t="n">
        <v>210</v>
      </c>
      <c r="E1214" s="10" t="n">
        <v>1560</v>
      </c>
      <c r="F1214" s="10" t="s">
        <v>225</v>
      </c>
      <c r="G1214" s="18"/>
    </row>
    <row r="1215" customFormat="false" ht="15" hidden="false" customHeight="true" outlineLevel="0" collapsed="false">
      <c r="A1215" s="18" t="n">
        <v>1427</v>
      </c>
      <c r="B1215" s="18" t="s">
        <v>320</v>
      </c>
      <c r="C1215" s="115" t="n">
        <v>45636</v>
      </c>
      <c r="D1215" s="10" t="n">
        <v>30</v>
      </c>
      <c r="E1215" s="10" t="n">
        <v>500</v>
      </c>
      <c r="F1215" s="10" t="s">
        <v>225</v>
      </c>
      <c r="G1215" s="18"/>
    </row>
    <row r="1216" customFormat="false" ht="15" hidden="false" customHeight="true" outlineLevel="0" collapsed="false">
      <c r="A1216" s="18" t="n">
        <v>260886</v>
      </c>
      <c r="B1216" s="18" t="s">
        <v>317</v>
      </c>
      <c r="C1216" s="115" t="n">
        <v>45636</v>
      </c>
      <c r="D1216" s="10" t="n">
        <v>35</v>
      </c>
      <c r="E1216" s="10" t="n">
        <v>520</v>
      </c>
      <c r="F1216" s="10" t="s">
        <v>225</v>
      </c>
      <c r="G1216" s="18"/>
    </row>
    <row r="1217" customFormat="false" ht="15" hidden="false" customHeight="true" outlineLevel="0" collapsed="false">
      <c r="A1217" s="18" t="n">
        <v>1427</v>
      </c>
      <c r="B1217" s="18" t="s">
        <v>320</v>
      </c>
      <c r="C1217" s="115" t="n">
        <v>45636</v>
      </c>
      <c r="D1217" s="10" t="n">
        <v>60</v>
      </c>
      <c r="E1217" s="10" t="n">
        <v>600</v>
      </c>
      <c r="F1217" s="10" t="s">
        <v>225</v>
      </c>
      <c r="G1217" s="18"/>
    </row>
    <row r="1218" customFormat="false" ht="15" hidden="false" customHeight="true" outlineLevel="0" collapsed="false">
      <c r="A1218" s="18" t="n">
        <v>260887</v>
      </c>
      <c r="B1218" s="18" t="s">
        <v>288</v>
      </c>
      <c r="C1218" s="115" t="n">
        <v>45636</v>
      </c>
      <c r="D1218" s="10" t="n">
        <v>110</v>
      </c>
      <c r="E1218" s="10" t="n">
        <v>500</v>
      </c>
      <c r="F1218" s="10" t="s">
        <v>229</v>
      </c>
      <c r="G1218" s="18"/>
    </row>
    <row r="1219" customFormat="false" ht="15" hidden="false" customHeight="true" outlineLevel="0" collapsed="false">
      <c r="A1219" s="18" t="n">
        <v>1429</v>
      </c>
      <c r="B1219" s="18" t="s">
        <v>506</v>
      </c>
      <c r="C1219" s="115" t="n">
        <v>45636</v>
      </c>
      <c r="D1219" s="10" t="n">
        <v>220</v>
      </c>
      <c r="E1219" s="10" t="n">
        <v>2475</v>
      </c>
      <c r="F1219" s="10" t="s">
        <v>229</v>
      </c>
      <c r="G1219" s="18"/>
    </row>
    <row r="1220" customFormat="false" ht="15" hidden="false" customHeight="true" outlineLevel="0" collapsed="false">
      <c r="A1220" s="18" t="n">
        <v>1434</v>
      </c>
      <c r="B1220" s="18" t="s">
        <v>699</v>
      </c>
      <c r="C1220" s="115" t="n">
        <v>45636</v>
      </c>
      <c r="D1220" s="10" t="n">
        <v>30</v>
      </c>
      <c r="E1220" s="10" t="n">
        <v>400</v>
      </c>
      <c r="F1220" s="10" t="s">
        <v>372</v>
      </c>
      <c r="G1220" s="18"/>
    </row>
    <row r="1221" customFormat="false" ht="15" hidden="false" customHeight="true" outlineLevel="0" collapsed="false">
      <c r="A1221" s="18" t="n">
        <v>1428</v>
      </c>
      <c r="B1221" s="18" t="s">
        <v>556</v>
      </c>
      <c r="C1221" s="115" t="n">
        <v>45636</v>
      </c>
      <c r="D1221" s="10" t="n">
        <v>15</v>
      </c>
      <c r="E1221" s="10" t="n">
        <v>180</v>
      </c>
      <c r="F1221" s="10" t="s">
        <v>372</v>
      </c>
      <c r="G1221" s="18"/>
    </row>
    <row r="1222" customFormat="false" ht="15" hidden="false" customHeight="true" outlineLevel="0" collapsed="false">
      <c r="A1222" s="18" t="n">
        <v>1421</v>
      </c>
      <c r="B1222" s="18" t="s">
        <v>272</v>
      </c>
      <c r="C1222" s="115" t="n">
        <v>45636</v>
      </c>
      <c r="D1222" s="10" t="n">
        <v>110</v>
      </c>
      <c r="E1222" s="10" t="n">
        <v>2200</v>
      </c>
      <c r="F1222" s="10" t="s">
        <v>227</v>
      </c>
      <c r="G1222" s="18"/>
    </row>
    <row r="1223" customFormat="false" ht="15" hidden="false" customHeight="true" outlineLevel="0" collapsed="false">
      <c r="A1223" s="18" t="n">
        <v>1422</v>
      </c>
      <c r="B1223" s="18" t="s">
        <v>366</v>
      </c>
      <c r="C1223" s="115" t="n">
        <v>45636</v>
      </c>
      <c r="D1223" s="10" t="n">
        <v>110</v>
      </c>
      <c r="E1223" s="10" t="n">
        <v>900</v>
      </c>
      <c r="F1223" s="10" t="s">
        <v>225</v>
      </c>
      <c r="G1223" s="18"/>
    </row>
    <row r="1224" customFormat="false" ht="15" hidden="false" customHeight="true" outlineLevel="0" collapsed="false">
      <c r="A1224" s="18" t="n">
        <v>1393</v>
      </c>
      <c r="B1224" s="18" t="s">
        <v>678</v>
      </c>
      <c r="C1224" s="115" t="n">
        <v>45636</v>
      </c>
      <c r="D1224" s="10" t="n">
        <v>130</v>
      </c>
      <c r="E1224" s="10" t="n">
        <v>384</v>
      </c>
      <c r="F1224" s="10" t="s">
        <v>225</v>
      </c>
      <c r="G1224" s="18" t="s">
        <v>232</v>
      </c>
    </row>
    <row r="1225" customFormat="false" ht="15" hidden="false" customHeight="true" outlineLevel="0" collapsed="false">
      <c r="A1225" s="18" t="n">
        <v>1433</v>
      </c>
      <c r="B1225" s="18" t="s">
        <v>483</v>
      </c>
      <c r="C1225" s="115" t="n">
        <v>45636</v>
      </c>
      <c r="D1225" s="10" t="n">
        <v>210</v>
      </c>
      <c r="E1225" s="10" t="n">
        <v>1168</v>
      </c>
      <c r="F1225" s="10" t="s">
        <v>225</v>
      </c>
      <c r="G1225" s="18"/>
    </row>
    <row r="1226" customFormat="false" ht="15" hidden="false" customHeight="true" outlineLevel="0" collapsed="false">
      <c r="A1226" s="18" t="n">
        <v>1430</v>
      </c>
      <c r="B1226" s="18" t="s">
        <v>700</v>
      </c>
      <c r="C1226" s="115" t="n">
        <v>45636</v>
      </c>
      <c r="D1226" s="10" t="n">
        <v>210</v>
      </c>
      <c r="E1226" s="10" t="n">
        <v>210</v>
      </c>
      <c r="F1226" s="10" t="s">
        <v>225</v>
      </c>
      <c r="G1226" s="18"/>
    </row>
    <row r="1227" customFormat="false" ht="15" hidden="false" customHeight="true" outlineLevel="0" collapsed="false">
      <c r="A1227" s="18" t="n">
        <v>1426</v>
      </c>
      <c r="B1227" s="18" t="s">
        <v>441</v>
      </c>
      <c r="C1227" s="115" t="n">
        <v>45636</v>
      </c>
      <c r="D1227" s="10" t="n">
        <v>250</v>
      </c>
      <c r="E1227" s="10" t="n">
        <v>108</v>
      </c>
      <c r="F1227" s="10" t="s">
        <v>225</v>
      </c>
      <c r="G1227" s="18"/>
    </row>
    <row r="1228" customFormat="false" ht="15" hidden="false" customHeight="true" outlineLevel="0" collapsed="false">
      <c r="A1228" s="18" t="n">
        <v>1440</v>
      </c>
      <c r="B1228" s="18" t="s">
        <v>454</v>
      </c>
      <c r="C1228" s="115" t="n">
        <v>45637</v>
      </c>
      <c r="D1228" s="10" t="n">
        <v>210</v>
      </c>
      <c r="E1228" s="10" t="n">
        <v>3150</v>
      </c>
      <c r="F1228" s="10" t="s">
        <v>236</v>
      </c>
      <c r="G1228" s="18"/>
    </row>
    <row r="1229" customFormat="false" ht="15" hidden="false" customHeight="true" outlineLevel="0" collapsed="false">
      <c r="A1229" s="18" t="n">
        <v>1443</v>
      </c>
      <c r="B1229" s="18" t="s">
        <v>383</v>
      </c>
      <c r="C1229" s="115" t="n">
        <v>45637</v>
      </c>
      <c r="D1229" s="10" t="n">
        <v>80</v>
      </c>
      <c r="E1229" s="10" t="n">
        <v>950</v>
      </c>
      <c r="F1229" s="10" t="s">
        <v>225</v>
      </c>
      <c r="G1229" s="18"/>
    </row>
    <row r="1230" customFormat="false" ht="15" hidden="false" customHeight="true" outlineLevel="0" collapsed="false">
      <c r="A1230" s="18" t="n">
        <v>1432</v>
      </c>
      <c r="B1230" s="18" t="s">
        <v>529</v>
      </c>
      <c r="C1230" s="115" t="n">
        <v>45637</v>
      </c>
      <c r="D1230" s="10" t="n">
        <v>100</v>
      </c>
      <c r="E1230" s="10" t="n">
        <v>300</v>
      </c>
      <c r="F1230" s="10" t="s">
        <v>225</v>
      </c>
      <c r="G1230" s="18"/>
    </row>
    <row r="1231" customFormat="false" ht="15" hidden="false" customHeight="true" outlineLevel="0" collapsed="false">
      <c r="A1231" s="18" t="n">
        <v>1438</v>
      </c>
      <c r="B1231" s="18" t="s">
        <v>303</v>
      </c>
      <c r="C1231" s="115" t="n">
        <v>45637</v>
      </c>
      <c r="D1231" s="10" t="n">
        <v>105</v>
      </c>
      <c r="E1231" s="10" t="n">
        <v>1820</v>
      </c>
      <c r="F1231" s="10" t="s">
        <v>225</v>
      </c>
      <c r="G1231" s="18"/>
    </row>
    <row r="1232" customFormat="false" ht="15" hidden="false" customHeight="true" outlineLevel="0" collapsed="false">
      <c r="A1232" s="18" t="n">
        <v>1428</v>
      </c>
      <c r="B1232" s="18" t="s">
        <v>393</v>
      </c>
      <c r="C1232" s="115" t="n">
        <v>45637</v>
      </c>
      <c r="D1232" s="10" t="n">
        <v>220</v>
      </c>
      <c r="E1232" s="10" t="n">
        <v>1114</v>
      </c>
      <c r="F1232" s="10" t="s">
        <v>229</v>
      </c>
      <c r="G1232" s="18"/>
    </row>
    <row r="1233" customFormat="false" ht="15" hidden="false" customHeight="true" outlineLevel="0" collapsed="false">
      <c r="A1233" s="18" t="n">
        <v>280893</v>
      </c>
      <c r="B1233" s="18" t="s">
        <v>378</v>
      </c>
      <c r="C1233" s="115" t="n">
        <v>45637</v>
      </c>
      <c r="D1233" s="10" t="n">
        <v>110</v>
      </c>
      <c r="E1233" s="10" t="n">
        <v>3000</v>
      </c>
      <c r="F1233" s="10" t="s">
        <v>362</v>
      </c>
      <c r="G1233" s="18"/>
    </row>
    <row r="1234" customFormat="false" ht="15" hidden="false" customHeight="true" outlineLevel="0" collapsed="false">
      <c r="A1234" s="18" t="n">
        <v>260889</v>
      </c>
      <c r="B1234" s="18" t="s">
        <v>701</v>
      </c>
      <c r="C1234" s="115" t="n">
        <v>45637</v>
      </c>
      <c r="D1234" s="10" t="n">
        <v>30</v>
      </c>
      <c r="E1234" s="10" t="n">
        <v>1000</v>
      </c>
      <c r="F1234" s="10" t="s">
        <v>372</v>
      </c>
      <c r="G1234" s="18"/>
    </row>
    <row r="1235" customFormat="false" ht="15" hidden="false" customHeight="true" outlineLevel="0" collapsed="false">
      <c r="A1235" s="18" t="n">
        <v>260891</v>
      </c>
      <c r="B1235" s="18" t="s">
        <v>257</v>
      </c>
      <c r="C1235" s="115" t="n">
        <v>45637</v>
      </c>
      <c r="D1235" s="10" t="n">
        <v>130</v>
      </c>
      <c r="E1235" s="10" t="n">
        <v>480</v>
      </c>
      <c r="F1235" s="10" t="s">
        <v>225</v>
      </c>
      <c r="G1235" s="18"/>
    </row>
    <row r="1236" customFormat="false" ht="15" hidden="false" customHeight="true" outlineLevel="0" collapsed="false">
      <c r="A1236" s="18" t="n">
        <v>260931</v>
      </c>
      <c r="B1236" s="18" t="s">
        <v>702</v>
      </c>
      <c r="C1236" s="115" t="n">
        <v>45649</v>
      </c>
      <c r="D1236" s="10" t="n">
        <v>55</v>
      </c>
      <c r="E1236" s="10" t="n">
        <v>56</v>
      </c>
      <c r="F1236" s="10" t="s">
        <v>225</v>
      </c>
      <c r="G1236" s="18"/>
    </row>
    <row r="1237" customFormat="false" ht="15" hidden="false" customHeight="true" outlineLevel="0" collapsed="false">
      <c r="A1237" s="18" t="n">
        <v>1479</v>
      </c>
      <c r="B1237" s="18" t="s">
        <v>340</v>
      </c>
      <c r="C1237" s="115" t="n">
        <v>45649</v>
      </c>
      <c r="D1237" s="10" t="n">
        <v>100</v>
      </c>
      <c r="E1237" s="10" t="n">
        <v>3810</v>
      </c>
      <c r="F1237" s="10" t="s">
        <v>225</v>
      </c>
      <c r="G1237" s="18"/>
    </row>
    <row r="1238" customFormat="false" ht="15" hidden="false" customHeight="true" outlineLevel="0" collapsed="false">
      <c r="A1238" s="18" t="n">
        <v>1492</v>
      </c>
      <c r="B1238" s="18" t="s">
        <v>703</v>
      </c>
      <c r="C1238" s="115" t="n">
        <v>45649</v>
      </c>
      <c r="D1238" s="10" t="n">
        <v>105</v>
      </c>
      <c r="E1238" s="10" t="n">
        <v>784</v>
      </c>
      <c r="F1238" s="10" t="s">
        <v>225</v>
      </c>
      <c r="G1238" s="18"/>
    </row>
    <row r="1239" customFormat="false" ht="15" hidden="false" customHeight="true" outlineLevel="0" collapsed="false">
      <c r="A1239" s="18" t="n">
        <v>260932</v>
      </c>
      <c r="B1239" s="18" t="s">
        <v>329</v>
      </c>
      <c r="C1239" s="115" t="n">
        <v>45649</v>
      </c>
      <c r="D1239" s="10" t="n">
        <v>105</v>
      </c>
      <c r="E1239" s="10" t="n">
        <v>1050</v>
      </c>
      <c r="F1239" s="10" t="s">
        <v>225</v>
      </c>
      <c r="G1239" s="18"/>
    </row>
    <row r="1240" customFormat="false" ht="15" hidden="false" customHeight="true" outlineLevel="0" collapsed="false">
      <c r="A1240" s="18" t="n">
        <v>260930</v>
      </c>
      <c r="B1240" s="18" t="s">
        <v>704</v>
      </c>
      <c r="C1240" s="115" t="n">
        <v>45649</v>
      </c>
      <c r="D1240" s="10" t="n">
        <v>110</v>
      </c>
      <c r="E1240" s="10" t="n">
        <v>3000</v>
      </c>
      <c r="F1240" s="10" t="s">
        <v>227</v>
      </c>
      <c r="G1240" s="18"/>
    </row>
    <row r="1241" customFormat="false" ht="15" hidden="false" customHeight="true" outlineLevel="0" collapsed="false">
      <c r="A1241" s="18" t="n">
        <v>1492</v>
      </c>
      <c r="B1241" s="18" t="s">
        <v>703</v>
      </c>
      <c r="C1241" s="115" t="n">
        <v>45649</v>
      </c>
      <c r="D1241" s="10" t="n">
        <v>220</v>
      </c>
      <c r="E1241" s="10" t="n">
        <v>3192</v>
      </c>
      <c r="F1241" s="10" t="s">
        <v>236</v>
      </c>
      <c r="G1241" s="18"/>
    </row>
    <row r="1242" customFormat="false" ht="15" hidden="false" customHeight="true" outlineLevel="0" collapsed="false">
      <c r="A1242" s="18" t="n">
        <v>1492</v>
      </c>
      <c r="B1242" s="18" t="s">
        <v>703</v>
      </c>
      <c r="C1242" s="115" t="n">
        <v>45649</v>
      </c>
      <c r="D1242" s="10" t="n">
        <v>250</v>
      </c>
      <c r="E1242" s="10" t="n">
        <v>593</v>
      </c>
      <c r="F1242" s="10" t="s">
        <v>236</v>
      </c>
      <c r="G1242" s="18"/>
    </row>
    <row r="1243" customFormat="false" ht="15" hidden="false" customHeight="true" outlineLevel="0" collapsed="false">
      <c r="A1243" s="18" t="n">
        <v>1501</v>
      </c>
      <c r="B1243" s="18" t="s">
        <v>559</v>
      </c>
      <c r="C1243" s="115" t="n">
        <v>45652</v>
      </c>
      <c r="D1243" s="10" t="n">
        <v>70</v>
      </c>
      <c r="E1243" s="10" t="n">
        <v>135</v>
      </c>
      <c r="F1243" s="10" t="s">
        <v>225</v>
      </c>
      <c r="G1243" s="18"/>
    </row>
    <row r="1244" customFormat="false" ht="15" hidden="false" customHeight="true" outlineLevel="0" collapsed="false">
      <c r="A1244" s="18" t="n">
        <v>1504</v>
      </c>
      <c r="B1244" s="18" t="s">
        <v>235</v>
      </c>
      <c r="C1244" s="115" t="n">
        <v>45652</v>
      </c>
      <c r="D1244" s="10" t="n">
        <v>150</v>
      </c>
      <c r="E1244" s="10" t="n">
        <v>9000</v>
      </c>
      <c r="F1244" s="10" t="s">
        <v>705</v>
      </c>
      <c r="G1244" s="18"/>
    </row>
    <row r="1245" customFormat="false" ht="15" hidden="false" customHeight="true" outlineLevel="0" collapsed="false">
      <c r="A1245" s="18" t="n">
        <v>1501</v>
      </c>
      <c r="B1245" s="18" t="s">
        <v>559</v>
      </c>
      <c r="C1245" s="115" t="n">
        <v>45652</v>
      </c>
      <c r="D1245" s="10" t="n">
        <v>110</v>
      </c>
      <c r="E1245" s="10" t="n">
        <v>940</v>
      </c>
      <c r="F1245" s="10" t="s">
        <v>225</v>
      </c>
      <c r="G1245" s="18"/>
    </row>
    <row r="1246" customFormat="false" ht="15" hidden="false" customHeight="true" outlineLevel="0" collapsed="false">
      <c r="A1246" s="18" t="n">
        <v>1491</v>
      </c>
      <c r="B1246" s="18" t="s">
        <v>401</v>
      </c>
      <c r="C1246" s="115" t="n">
        <v>45652</v>
      </c>
      <c r="D1246" s="10" t="n">
        <v>110</v>
      </c>
      <c r="E1246" s="10" t="n">
        <v>5000</v>
      </c>
      <c r="F1246" s="10" t="s">
        <v>225</v>
      </c>
      <c r="G1246" s="18"/>
    </row>
    <row r="1247" customFormat="false" ht="15" hidden="false" customHeight="true" outlineLevel="0" collapsed="false">
      <c r="A1247" s="18" t="n">
        <v>1503</v>
      </c>
      <c r="B1247" s="18" t="s">
        <v>548</v>
      </c>
      <c r="C1247" s="115" t="n">
        <v>45652</v>
      </c>
      <c r="D1247" s="10" t="n">
        <v>210</v>
      </c>
      <c r="E1247" s="10" t="n">
        <v>260</v>
      </c>
      <c r="F1247" s="10" t="s">
        <v>225</v>
      </c>
      <c r="G1247" s="18"/>
    </row>
    <row r="1248" customFormat="false" ht="15" hidden="false" customHeight="true" outlineLevel="0" collapsed="false">
      <c r="A1248" s="18" t="n">
        <v>1510</v>
      </c>
      <c r="B1248" s="18" t="s">
        <v>620</v>
      </c>
      <c r="C1248" s="115" t="n">
        <v>45653</v>
      </c>
      <c r="D1248" s="10" t="n">
        <v>65</v>
      </c>
      <c r="E1248" s="10" t="n">
        <v>1290</v>
      </c>
      <c r="F1248" s="10" t="s">
        <v>225</v>
      </c>
      <c r="G1248" s="18"/>
    </row>
    <row r="1249" customFormat="false" ht="15" hidden="false" customHeight="true" outlineLevel="0" collapsed="false">
      <c r="A1249" s="18" t="n">
        <v>1508</v>
      </c>
      <c r="B1249" s="18" t="s">
        <v>322</v>
      </c>
      <c r="C1249" s="115" t="n">
        <v>45653</v>
      </c>
      <c r="D1249" s="10" t="n">
        <v>70</v>
      </c>
      <c r="E1249" s="10" t="n">
        <v>860</v>
      </c>
      <c r="F1249" s="10" t="s">
        <v>225</v>
      </c>
      <c r="G1249" s="18" t="s">
        <v>232</v>
      </c>
    </row>
    <row r="1250" customFormat="false" ht="15" hidden="false" customHeight="true" outlineLevel="0" collapsed="false">
      <c r="A1250" s="18" t="n">
        <v>260935</v>
      </c>
      <c r="B1250" s="18" t="s">
        <v>513</v>
      </c>
      <c r="C1250" s="115" t="n">
        <v>45653</v>
      </c>
      <c r="D1250" s="10" t="n">
        <v>78</v>
      </c>
      <c r="E1250" s="10" t="n">
        <v>500</v>
      </c>
      <c r="F1250" s="10" t="s">
        <v>225</v>
      </c>
      <c r="G1250" s="18"/>
    </row>
    <row r="1251" customFormat="false" ht="15" hidden="false" customHeight="true" outlineLevel="0" collapsed="false">
      <c r="A1251" s="18" t="n">
        <v>260936</v>
      </c>
      <c r="B1251" s="18" t="s">
        <v>375</v>
      </c>
      <c r="C1251" s="115" t="n">
        <v>45653</v>
      </c>
      <c r="D1251" s="10" t="n">
        <v>78</v>
      </c>
      <c r="E1251" s="10" t="n">
        <v>405</v>
      </c>
      <c r="F1251" s="10" t="s">
        <v>225</v>
      </c>
      <c r="G1251" s="18"/>
    </row>
    <row r="1252" customFormat="false" ht="15" hidden="false" customHeight="true" outlineLevel="0" collapsed="false">
      <c r="A1252" s="18" t="n">
        <v>1510</v>
      </c>
      <c r="B1252" s="18" t="s">
        <v>620</v>
      </c>
      <c r="C1252" s="115" t="n">
        <v>45653</v>
      </c>
      <c r="D1252" s="10" t="n">
        <v>90</v>
      </c>
      <c r="E1252" s="10" t="n">
        <v>4300</v>
      </c>
      <c r="F1252" s="10" t="s">
        <v>225</v>
      </c>
      <c r="G1252" s="18"/>
    </row>
    <row r="1253" customFormat="false" ht="15" hidden="false" customHeight="true" outlineLevel="0" collapsed="false">
      <c r="A1253" s="18" t="n">
        <v>1508</v>
      </c>
      <c r="B1253" s="18" t="s">
        <v>322</v>
      </c>
      <c r="C1253" s="115" t="n">
        <v>45653</v>
      </c>
      <c r="D1253" s="10" t="n">
        <v>100</v>
      </c>
      <c r="E1253" s="10" t="n">
        <v>1000</v>
      </c>
      <c r="F1253" s="10" t="s">
        <v>225</v>
      </c>
      <c r="G1253" s="18" t="s">
        <v>232</v>
      </c>
    </row>
    <row r="1254" customFormat="false" ht="15" hidden="false" customHeight="true" outlineLevel="0" collapsed="false">
      <c r="A1254" s="18" t="n">
        <v>1510</v>
      </c>
      <c r="B1254" s="18" t="s">
        <v>620</v>
      </c>
      <c r="C1254" s="115" t="n">
        <v>45653</v>
      </c>
      <c r="D1254" s="10" t="n">
        <v>105</v>
      </c>
      <c r="E1254" s="10" t="n">
        <v>5167</v>
      </c>
      <c r="F1254" s="10" t="s">
        <v>225</v>
      </c>
      <c r="G1254" s="18"/>
    </row>
    <row r="1255" customFormat="false" ht="15" hidden="false" customHeight="true" outlineLevel="0" collapsed="false">
      <c r="A1255" s="18" t="n">
        <v>1510</v>
      </c>
      <c r="B1255" s="18" t="s">
        <v>620</v>
      </c>
      <c r="C1255" s="115" t="n">
        <v>45653</v>
      </c>
      <c r="D1255" s="10" t="n">
        <v>65</v>
      </c>
      <c r="E1255" s="10" t="n">
        <v>2580</v>
      </c>
      <c r="F1255" s="10" t="s">
        <v>227</v>
      </c>
      <c r="G1255" s="18"/>
    </row>
    <row r="1256" customFormat="false" ht="15" hidden="false" customHeight="true" outlineLevel="0" collapsed="false">
      <c r="A1256" s="18" t="n">
        <v>1510</v>
      </c>
      <c r="B1256" s="18" t="s">
        <v>620</v>
      </c>
      <c r="C1256" s="115" t="n">
        <v>45653</v>
      </c>
      <c r="D1256" s="10" t="n">
        <v>110</v>
      </c>
      <c r="E1256" s="10" t="n">
        <v>950</v>
      </c>
      <c r="F1256" s="10" t="s">
        <v>225</v>
      </c>
      <c r="G1256" s="18"/>
    </row>
    <row r="1257" customFormat="false" ht="15" hidden="false" customHeight="true" outlineLevel="0" collapsed="false">
      <c r="A1257" s="18" t="n">
        <v>1509</v>
      </c>
      <c r="B1257" s="18" t="s">
        <v>406</v>
      </c>
      <c r="C1257" s="115" t="n">
        <v>45653</v>
      </c>
      <c r="D1257" s="10" t="n">
        <v>250</v>
      </c>
      <c r="E1257" s="10" t="n">
        <v>1900</v>
      </c>
      <c r="F1257" s="10" t="s">
        <v>236</v>
      </c>
      <c r="G1257" s="18"/>
    </row>
    <row r="1258" customFormat="false" ht="15" hidden="false" customHeight="true" outlineLevel="0" collapsed="false">
      <c r="A1258" s="18" t="n">
        <v>1495</v>
      </c>
      <c r="B1258" s="18" t="s">
        <v>706</v>
      </c>
      <c r="C1258" s="115" t="n">
        <v>45653</v>
      </c>
      <c r="D1258" s="10" t="n">
        <v>250</v>
      </c>
      <c r="E1258" s="10" t="n">
        <v>742</v>
      </c>
      <c r="F1258" s="10" t="s">
        <v>236</v>
      </c>
      <c r="G1258" s="18"/>
    </row>
    <row r="1259" customFormat="false" ht="15" hidden="false" customHeight="true" outlineLevel="0" collapsed="false">
      <c r="A1259" s="18" t="n">
        <v>1507</v>
      </c>
      <c r="B1259" s="18" t="s">
        <v>707</v>
      </c>
      <c r="C1259" s="115" t="n">
        <v>45656</v>
      </c>
      <c r="D1259" s="10" t="n">
        <v>210</v>
      </c>
      <c r="E1259" s="10" t="n">
        <v>322</v>
      </c>
      <c r="F1259" s="10" t="s">
        <v>236</v>
      </c>
      <c r="G1259" s="18"/>
    </row>
    <row r="1260" customFormat="false" ht="15" hidden="false" customHeight="true" outlineLevel="0" collapsed="false">
      <c r="A1260" s="18" t="n">
        <v>1526</v>
      </c>
      <c r="B1260" s="18" t="s">
        <v>586</v>
      </c>
      <c r="C1260" s="115" t="n">
        <v>45658</v>
      </c>
      <c r="D1260" s="10" t="n">
        <v>210</v>
      </c>
      <c r="E1260" s="10" t="n">
        <v>248</v>
      </c>
      <c r="F1260" s="10" t="s">
        <v>236</v>
      </c>
      <c r="G1260" s="18"/>
    </row>
    <row r="1261" customFormat="false" ht="15" hidden="false" customHeight="true" outlineLevel="0" collapsed="false">
      <c r="A1261" s="18" t="n">
        <v>1522</v>
      </c>
      <c r="B1261" s="18" t="s">
        <v>290</v>
      </c>
      <c r="C1261" s="115" t="n">
        <v>45658</v>
      </c>
      <c r="D1261" s="10" t="n">
        <v>100</v>
      </c>
      <c r="E1261" s="10" t="n">
        <v>150</v>
      </c>
      <c r="F1261" s="10" t="s">
        <v>227</v>
      </c>
      <c r="G1261" s="18"/>
    </row>
    <row r="1262" customFormat="false" ht="15" hidden="false" customHeight="true" outlineLevel="0" collapsed="false">
      <c r="A1262" s="18" t="n">
        <v>260938</v>
      </c>
      <c r="B1262" s="18" t="s">
        <v>263</v>
      </c>
      <c r="C1262" s="115" t="n">
        <v>45658</v>
      </c>
      <c r="D1262" s="10" t="n">
        <v>100</v>
      </c>
      <c r="E1262" s="10" t="n">
        <v>240</v>
      </c>
      <c r="F1262" s="10" t="s">
        <v>227</v>
      </c>
      <c r="G1262" s="18"/>
    </row>
    <row r="1263" customFormat="false" ht="15" hidden="false" customHeight="true" outlineLevel="0" collapsed="false">
      <c r="A1263" s="18" t="n">
        <v>1522</v>
      </c>
      <c r="B1263" s="18" t="s">
        <v>290</v>
      </c>
      <c r="C1263" s="115" t="n">
        <v>45658</v>
      </c>
      <c r="D1263" s="10" t="n">
        <v>120</v>
      </c>
      <c r="E1263" s="10" t="n">
        <v>150</v>
      </c>
      <c r="F1263" s="10" t="s">
        <v>227</v>
      </c>
      <c r="G1263" s="18"/>
    </row>
    <row r="1264" customFormat="false" ht="15" hidden="false" customHeight="true" outlineLevel="0" collapsed="false">
      <c r="A1264" s="18" t="n">
        <v>1510</v>
      </c>
      <c r="B1264" s="18" t="s">
        <v>620</v>
      </c>
      <c r="C1264" s="115" t="n">
        <v>45658</v>
      </c>
      <c r="D1264" s="10" t="n">
        <v>235</v>
      </c>
      <c r="E1264" s="10" t="n">
        <v>2000</v>
      </c>
      <c r="F1264" s="10" t="s">
        <v>229</v>
      </c>
      <c r="G1264" s="18"/>
    </row>
    <row r="1265" customFormat="false" ht="15" hidden="false" customHeight="true" outlineLevel="0" collapsed="false">
      <c r="A1265" s="18" t="n">
        <v>1510</v>
      </c>
      <c r="B1265" s="18" t="s">
        <v>620</v>
      </c>
      <c r="C1265" s="115" t="n">
        <v>45658</v>
      </c>
      <c r="D1265" s="10" t="n">
        <v>80</v>
      </c>
      <c r="E1265" s="10" t="n">
        <v>10000</v>
      </c>
      <c r="F1265" s="10" t="s">
        <v>229</v>
      </c>
      <c r="G1265" s="18"/>
    </row>
    <row r="1266" customFormat="false" ht="15" hidden="false" customHeight="true" outlineLevel="0" collapsed="false">
      <c r="A1266" s="18" t="n">
        <v>260943</v>
      </c>
      <c r="B1266" s="18" t="s">
        <v>367</v>
      </c>
      <c r="C1266" s="115" t="n">
        <v>45658</v>
      </c>
      <c r="D1266" s="10" t="n">
        <v>110</v>
      </c>
      <c r="E1266" s="10" t="n">
        <v>400</v>
      </c>
      <c r="F1266" s="10" t="s">
        <v>225</v>
      </c>
      <c r="G1266" s="18"/>
    </row>
    <row r="1267" customFormat="false" ht="15" hidden="false" customHeight="true" outlineLevel="0" collapsed="false">
      <c r="A1267" s="18" t="n">
        <v>1525</v>
      </c>
      <c r="B1267" s="18" t="s">
        <v>237</v>
      </c>
      <c r="C1267" s="115" t="n">
        <v>45658</v>
      </c>
      <c r="D1267" s="10" t="n">
        <v>210</v>
      </c>
      <c r="E1267" s="10" t="n">
        <v>215</v>
      </c>
      <c r="F1267" s="10" t="s">
        <v>225</v>
      </c>
      <c r="G1267" s="18"/>
    </row>
    <row r="1268" customFormat="false" ht="15" hidden="false" customHeight="true" outlineLevel="0" collapsed="false">
      <c r="A1268" s="18" t="n">
        <v>1496</v>
      </c>
      <c r="B1268" s="18" t="s">
        <v>706</v>
      </c>
      <c r="C1268" s="115" t="n">
        <v>45658</v>
      </c>
      <c r="D1268" s="10" t="n">
        <v>250</v>
      </c>
      <c r="E1268" s="10" t="n">
        <v>742</v>
      </c>
      <c r="F1268" s="10" t="s">
        <v>236</v>
      </c>
      <c r="G1268" s="18"/>
    </row>
    <row r="1269" customFormat="false" ht="15" hidden="false" customHeight="true" outlineLevel="0" collapsed="false">
      <c r="A1269" s="18" t="n">
        <v>270007</v>
      </c>
      <c r="B1269" s="18" t="s">
        <v>235</v>
      </c>
      <c r="C1269" s="115" t="n">
        <v>45660</v>
      </c>
      <c r="D1269" s="10" t="n">
        <v>110</v>
      </c>
      <c r="E1269" s="10" t="n">
        <v>5200</v>
      </c>
      <c r="F1269" s="10" t="s">
        <v>236</v>
      </c>
      <c r="G1269" s="18"/>
    </row>
    <row r="1270" customFormat="false" ht="15" hidden="false" customHeight="true" outlineLevel="0" collapsed="false">
      <c r="A1270" s="18"/>
      <c r="B1270" s="18" t="s">
        <v>298</v>
      </c>
      <c r="C1270" s="115" t="n">
        <v>45660</v>
      </c>
      <c r="D1270" s="10" t="n">
        <v>80</v>
      </c>
      <c r="E1270" s="10" t="n">
        <v>370</v>
      </c>
      <c r="F1270" s="10" t="s">
        <v>227</v>
      </c>
      <c r="G1270" s="18" t="s">
        <v>232</v>
      </c>
    </row>
    <row r="1271" customFormat="false" ht="15" hidden="false" customHeight="true" outlineLevel="0" collapsed="false">
      <c r="A1271" s="18" t="n">
        <v>270001</v>
      </c>
      <c r="B1271" s="18" t="s">
        <v>297</v>
      </c>
      <c r="C1271" s="115" t="n">
        <v>45660</v>
      </c>
      <c r="D1271" s="10" t="n">
        <v>50</v>
      </c>
      <c r="E1271" s="10" t="n">
        <v>450</v>
      </c>
      <c r="F1271" s="10" t="s">
        <v>262</v>
      </c>
      <c r="G1271" s="18"/>
    </row>
    <row r="1272" customFormat="false" ht="15" hidden="false" customHeight="true" outlineLevel="0" collapsed="false">
      <c r="A1272" s="18" t="n">
        <v>270002</v>
      </c>
      <c r="B1272" s="18" t="s">
        <v>660</v>
      </c>
      <c r="C1272" s="115" t="n">
        <v>45660</v>
      </c>
      <c r="D1272" s="10" t="n">
        <v>110</v>
      </c>
      <c r="E1272" s="10" t="n">
        <v>1125</v>
      </c>
      <c r="F1272" s="10" t="s">
        <v>227</v>
      </c>
      <c r="G1272" s="18"/>
    </row>
    <row r="1273" customFormat="false" ht="15" hidden="false" customHeight="true" outlineLevel="0" collapsed="false">
      <c r="A1273" s="18" t="n">
        <v>3</v>
      </c>
      <c r="B1273" s="18" t="s">
        <v>551</v>
      </c>
      <c r="C1273" s="115" t="n">
        <v>45660</v>
      </c>
      <c r="D1273" s="10" t="n">
        <v>210</v>
      </c>
      <c r="E1273" s="10" t="n">
        <v>945</v>
      </c>
      <c r="F1273" s="10" t="s">
        <v>227</v>
      </c>
      <c r="G1273" s="18"/>
    </row>
    <row r="1274" customFormat="false" ht="15" hidden="false" customHeight="true" outlineLevel="0" collapsed="false">
      <c r="A1274" s="18" t="n">
        <v>5</v>
      </c>
      <c r="B1274" s="18" t="s">
        <v>553</v>
      </c>
      <c r="C1274" s="115" t="n">
        <v>45660</v>
      </c>
      <c r="D1274" s="10" t="n">
        <v>110</v>
      </c>
      <c r="E1274" s="10" t="n">
        <v>3300</v>
      </c>
      <c r="F1274" s="10" t="s">
        <v>225</v>
      </c>
      <c r="G1274" s="18"/>
    </row>
    <row r="1275" customFormat="false" ht="15" hidden="false" customHeight="true" outlineLevel="0" collapsed="false">
      <c r="A1275" s="18" t="n">
        <v>4</v>
      </c>
      <c r="B1275" s="18" t="s">
        <v>350</v>
      </c>
      <c r="C1275" s="115" t="n">
        <v>45660</v>
      </c>
      <c r="D1275" s="10" t="n">
        <v>110</v>
      </c>
      <c r="E1275" s="10" t="n">
        <v>1300</v>
      </c>
      <c r="F1275" s="10" t="s">
        <v>225</v>
      </c>
      <c r="G1275" s="18" t="s">
        <v>232</v>
      </c>
    </row>
    <row r="1276" customFormat="false" ht="15" hidden="false" customHeight="true" outlineLevel="0" collapsed="false">
      <c r="A1276" s="18" t="n">
        <v>2</v>
      </c>
      <c r="B1276" s="18" t="s">
        <v>245</v>
      </c>
      <c r="C1276" s="115" t="n">
        <v>45660</v>
      </c>
      <c r="D1276" s="10" t="n">
        <v>210</v>
      </c>
      <c r="E1276" s="10" t="n">
        <v>1030</v>
      </c>
      <c r="F1276" s="10" t="s">
        <v>225</v>
      </c>
      <c r="G1276" s="18"/>
    </row>
    <row r="1277" customFormat="false" ht="15" hidden="false" customHeight="true" outlineLevel="0" collapsed="false">
      <c r="A1277" s="18" t="n">
        <v>33</v>
      </c>
      <c r="B1277" s="18" t="s">
        <v>441</v>
      </c>
      <c r="C1277" s="115" t="n">
        <v>45670</v>
      </c>
      <c r="D1277" s="10" t="n">
        <v>210</v>
      </c>
      <c r="E1277" s="10" t="n">
        <v>473</v>
      </c>
      <c r="F1277" s="10" t="s">
        <v>236</v>
      </c>
      <c r="G1277" s="18"/>
    </row>
    <row r="1278" customFormat="false" ht="15" hidden="false" customHeight="true" outlineLevel="0" collapsed="false">
      <c r="A1278" s="18" t="n">
        <v>27</v>
      </c>
      <c r="B1278" s="18" t="s">
        <v>543</v>
      </c>
      <c r="C1278" s="115" t="n">
        <v>45670</v>
      </c>
      <c r="D1278" s="10" t="n">
        <v>210</v>
      </c>
      <c r="E1278" s="10" t="n">
        <v>1245</v>
      </c>
      <c r="F1278" s="10" t="s">
        <v>236</v>
      </c>
      <c r="G1278" s="18"/>
    </row>
    <row r="1279" customFormat="false" ht="15" hidden="false" customHeight="true" outlineLevel="0" collapsed="false">
      <c r="A1279" s="18" t="n">
        <v>26</v>
      </c>
      <c r="B1279" s="18" t="s">
        <v>708</v>
      </c>
      <c r="C1279" s="115" t="n">
        <v>45670</v>
      </c>
      <c r="D1279" s="10" t="n">
        <v>80</v>
      </c>
      <c r="E1279" s="10" t="n">
        <v>1275</v>
      </c>
      <c r="F1279" s="10" t="s">
        <v>225</v>
      </c>
      <c r="G1279" s="18"/>
    </row>
    <row r="1280" customFormat="false" ht="15" hidden="false" customHeight="true" outlineLevel="0" collapsed="false">
      <c r="A1280" s="18" t="n">
        <v>270023</v>
      </c>
      <c r="B1280" s="18" t="s">
        <v>709</v>
      </c>
      <c r="C1280" s="115" t="n">
        <v>45670</v>
      </c>
      <c r="D1280" s="10" t="n">
        <v>95</v>
      </c>
      <c r="E1280" s="10" t="n">
        <v>54</v>
      </c>
      <c r="F1280" s="10" t="s">
        <v>225</v>
      </c>
      <c r="G1280" s="18"/>
    </row>
    <row r="1281" customFormat="false" ht="15" hidden="false" customHeight="true" outlineLevel="0" collapsed="false">
      <c r="A1281" s="18" t="n">
        <v>31</v>
      </c>
      <c r="B1281" s="18" t="s">
        <v>321</v>
      </c>
      <c r="C1281" s="115" t="n">
        <v>45670</v>
      </c>
      <c r="D1281" s="10" t="n">
        <v>100</v>
      </c>
      <c r="E1281" s="10" t="n">
        <v>380</v>
      </c>
      <c r="F1281" s="10" t="s">
        <v>225</v>
      </c>
      <c r="G1281" s="18"/>
    </row>
    <row r="1282" customFormat="false" ht="15" hidden="false" customHeight="true" outlineLevel="0" collapsed="false">
      <c r="A1282" s="18" t="n">
        <v>29</v>
      </c>
      <c r="B1282" s="18" t="s">
        <v>629</v>
      </c>
      <c r="C1282" s="115" t="n">
        <v>45670</v>
      </c>
      <c r="D1282" s="10" t="n">
        <v>100</v>
      </c>
      <c r="E1282" s="10" t="n">
        <v>380</v>
      </c>
      <c r="F1282" s="10" t="s">
        <v>225</v>
      </c>
      <c r="G1282" s="18"/>
    </row>
    <row r="1283" customFormat="false" ht="15" hidden="false" customHeight="true" outlineLevel="0" collapsed="false">
      <c r="A1283" s="18" t="n">
        <v>40</v>
      </c>
      <c r="B1283" s="18" t="s">
        <v>628</v>
      </c>
      <c r="C1283" s="115" t="n">
        <v>45670</v>
      </c>
      <c r="D1283" s="10" t="n">
        <v>105</v>
      </c>
      <c r="E1283" s="10" t="n">
        <v>2000</v>
      </c>
      <c r="F1283" s="10" t="s">
        <v>225</v>
      </c>
      <c r="G1283" s="18"/>
    </row>
    <row r="1284" customFormat="false" ht="15" hidden="false" customHeight="true" outlineLevel="0" collapsed="false">
      <c r="A1284" s="18" t="n">
        <v>36</v>
      </c>
      <c r="B1284" s="18" t="s">
        <v>320</v>
      </c>
      <c r="C1284" s="115" t="n">
        <v>45670</v>
      </c>
      <c r="D1284" s="10" t="n">
        <v>105</v>
      </c>
      <c r="E1284" s="10" t="n">
        <v>795</v>
      </c>
      <c r="F1284" s="10" t="s">
        <v>225</v>
      </c>
      <c r="G1284" s="18"/>
    </row>
    <row r="1285" customFormat="false" ht="15" hidden="false" customHeight="true" outlineLevel="0" collapsed="false">
      <c r="A1285" s="18" t="n">
        <v>32</v>
      </c>
      <c r="B1285" s="18" t="s">
        <v>224</v>
      </c>
      <c r="C1285" s="115" t="n">
        <v>45670</v>
      </c>
      <c r="D1285" s="10" t="n">
        <v>105</v>
      </c>
      <c r="E1285" s="10" t="n">
        <v>11200</v>
      </c>
      <c r="F1285" s="10" t="s">
        <v>225</v>
      </c>
      <c r="G1285" s="18"/>
    </row>
    <row r="1286" customFormat="false" ht="15" hidden="false" customHeight="true" outlineLevel="0" collapsed="false">
      <c r="A1286" s="18" t="n">
        <v>38</v>
      </c>
      <c r="B1286" s="18" t="s">
        <v>88</v>
      </c>
      <c r="C1286" s="115" t="n">
        <v>45670</v>
      </c>
      <c r="D1286" s="10" t="n">
        <v>80</v>
      </c>
      <c r="E1286" s="10" t="n">
        <v>600</v>
      </c>
      <c r="F1286" s="10" t="s">
        <v>248</v>
      </c>
      <c r="G1286" s="18"/>
    </row>
    <row r="1287" customFormat="false" ht="15" hidden="false" customHeight="true" outlineLevel="0" collapsed="false">
      <c r="A1287" s="18" t="n">
        <v>38</v>
      </c>
      <c r="B1287" s="18" t="s">
        <v>88</v>
      </c>
      <c r="C1287" s="115" t="n">
        <v>45670</v>
      </c>
      <c r="D1287" s="10" t="n">
        <v>65</v>
      </c>
      <c r="E1287" s="10" t="n">
        <v>600</v>
      </c>
      <c r="F1287" s="10" t="s">
        <v>248</v>
      </c>
      <c r="G1287" s="18"/>
    </row>
    <row r="1288" customFormat="false" ht="15" hidden="false" customHeight="true" outlineLevel="0" collapsed="false">
      <c r="A1288" s="18" t="n">
        <v>32</v>
      </c>
      <c r="B1288" s="18" t="s">
        <v>224</v>
      </c>
      <c r="C1288" s="115" t="n">
        <v>45670</v>
      </c>
      <c r="D1288" s="10" t="n">
        <v>55</v>
      </c>
      <c r="E1288" s="10" t="n">
        <v>1380</v>
      </c>
      <c r="F1288" s="10" t="s">
        <v>248</v>
      </c>
      <c r="G1288" s="18"/>
    </row>
    <row r="1289" customFormat="false" ht="15" hidden="false" customHeight="true" outlineLevel="0" collapsed="false">
      <c r="A1289" s="18" t="n">
        <v>25</v>
      </c>
      <c r="B1289" s="18" t="s">
        <v>272</v>
      </c>
      <c r="C1289" s="115" t="n">
        <v>45670</v>
      </c>
      <c r="D1289" s="10" t="n">
        <v>110</v>
      </c>
      <c r="E1289" s="10" t="n">
        <v>3200</v>
      </c>
      <c r="F1289" s="10" t="s">
        <v>227</v>
      </c>
      <c r="G1289" s="18"/>
    </row>
    <row r="1290" customFormat="false" ht="15" hidden="false" customHeight="true" outlineLevel="0" collapsed="false">
      <c r="A1290" s="18" t="n">
        <v>41</v>
      </c>
      <c r="B1290" s="18" t="s">
        <v>294</v>
      </c>
      <c r="C1290" s="115" t="n">
        <v>45670</v>
      </c>
      <c r="D1290" s="10" t="n">
        <v>110</v>
      </c>
      <c r="E1290" s="10" t="n">
        <v>630</v>
      </c>
      <c r="F1290" s="10" t="s">
        <v>225</v>
      </c>
      <c r="G1290" s="18"/>
    </row>
    <row r="1291" customFormat="false" ht="15" hidden="false" customHeight="true" outlineLevel="0" collapsed="false">
      <c r="A1291" s="18" t="n">
        <v>28</v>
      </c>
      <c r="B1291" s="18" t="s">
        <v>383</v>
      </c>
      <c r="C1291" s="115" t="n">
        <v>45670</v>
      </c>
      <c r="D1291" s="10" t="n">
        <v>155</v>
      </c>
      <c r="E1291" s="10" t="n">
        <v>9010</v>
      </c>
      <c r="F1291" s="10" t="s">
        <v>225</v>
      </c>
      <c r="G1291" s="18"/>
    </row>
    <row r="1292" customFormat="false" ht="15" hidden="false" customHeight="true" outlineLevel="0" collapsed="false">
      <c r="A1292" s="18" t="n">
        <v>270026</v>
      </c>
      <c r="B1292" s="18" t="s">
        <v>710</v>
      </c>
      <c r="C1292" s="115" t="n">
        <v>45670</v>
      </c>
      <c r="D1292" s="10" t="n">
        <v>250</v>
      </c>
      <c r="E1292" s="10" t="n">
        <v>4080</v>
      </c>
      <c r="F1292" s="10" t="s">
        <v>236</v>
      </c>
      <c r="G1292" s="18"/>
    </row>
    <row r="1293" customFormat="false" ht="15" hidden="false" customHeight="true" outlineLevel="0" collapsed="false">
      <c r="A1293" s="18" t="n">
        <v>270027</v>
      </c>
      <c r="B1293" s="18" t="s">
        <v>518</v>
      </c>
      <c r="C1293" s="115" t="n">
        <v>45670</v>
      </c>
      <c r="D1293" s="10" t="n">
        <v>250</v>
      </c>
      <c r="E1293" s="10" t="n">
        <v>371</v>
      </c>
      <c r="F1293" s="10" t="s">
        <v>236</v>
      </c>
      <c r="G1293" s="18"/>
    </row>
    <row r="1294" customFormat="false" ht="15" hidden="false" customHeight="true" outlineLevel="0" collapsed="false">
      <c r="A1294" s="18" t="n">
        <v>270030</v>
      </c>
      <c r="B1294" s="18" t="s">
        <v>710</v>
      </c>
      <c r="C1294" s="115" t="n">
        <v>45670</v>
      </c>
      <c r="D1294" s="10" t="n">
        <v>250</v>
      </c>
      <c r="E1294" s="10" t="n">
        <v>3709</v>
      </c>
      <c r="F1294" s="10" t="s">
        <v>236</v>
      </c>
      <c r="G1294" s="18"/>
    </row>
    <row r="1295" customFormat="false" ht="15" hidden="false" customHeight="true" outlineLevel="0" collapsed="false">
      <c r="A1295" s="18" t="n">
        <v>52</v>
      </c>
      <c r="B1295" s="18" t="s">
        <v>620</v>
      </c>
      <c r="C1295" s="115" t="n">
        <v>45674</v>
      </c>
      <c r="D1295" s="10" t="n">
        <v>65</v>
      </c>
      <c r="E1295" s="10" t="n">
        <v>650</v>
      </c>
      <c r="F1295" s="10" t="s">
        <v>225</v>
      </c>
      <c r="G1295" s="18"/>
    </row>
    <row r="1296" customFormat="false" ht="15" hidden="false" customHeight="true" outlineLevel="0" collapsed="false">
      <c r="A1296" s="18" t="n">
        <v>52</v>
      </c>
      <c r="B1296" s="18" t="s">
        <v>620</v>
      </c>
      <c r="C1296" s="115" t="n">
        <v>45674</v>
      </c>
      <c r="D1296" s="10" t="n">
        <v>100</v>
      </c>
      <c r="E1296" s="10" t="n">
        <v>650</v>
      </c>
      <c r="F1296" s="10" t="s">
        <v>225</v>
      </c>
      <c r="G1296" s="18"/>
    </row>
    <row r="1297" customFormat="false" ht="15" hidden="false" customHeight="true" outlineLevel="0" collapsed="false">
      <c r="A1297" s="18" t="n">
        <v>49</v>
      </c>
      <c r="B1297" s="18" t="s">
        <v>342</v>
      </c>
      <c r="C1297" s="115" t="n">
        <v>45674</v>
      </c>
      <c r="D1297" s="10" t="n">
        <v>105</v>
      </c>
      <c r="E1297" s="10" t="n">
        <v>250</v>
      </c>
      <c r="F1297" s="10" t="s">
        <v>225</v>
      </c>
      <c r="G1297" s="18"/>
    </row>
    <row r="1298" customFormat="false" ht="15" hidden="false" customHeight="true" outlineLevel="0" collapsed="false">
      <c r="A1298" s="18" t="n">
        <v>270040</v>
      </c>
      <c r="B1298" s="18" t="s">
        <v>346</v>
      </c>
      <c r="C1298" s="115" t="n">
        <v>45674</v>
      </c>
      <c r="D1298" s="10" t="n">
        <v>105</v>
      </c>
      <c r="E1298" s="10" t="n">
        <v>315</v>
      </c>
      <c r="F1298" s="10" t="s">
        <v>229</v>
      </c>
      <c r="G1298" s="18"/>
    </row>
    <row r="1299" customFormat="false" ht="15" hidden="false" customHeight="true" outlineLevel="0" collapsed="false">
      <c r="A1299" s="18" t="n">
        <v>270043</v>
      </c>
      <c r="B1299" s="18" t="s">
        <v>263</v>
      </c>
      <c r="C1299" s="115" t="n">
        <v>45674</v>
      </c>
      <c r="D1299" s="10" t="n">
        <v>100</v>
      </c>
      <c r="E1299" s="10" t="n">
        <v>850</v>
      </c>
      <c r="F1299" s="10" t="s">
        <v>227</v>
      </c>
      <c r="G1299" s="18"/>
    </row>
    <row r="1300" customFormat="false" ht="15" hidden="false" customHeight="true" outlineLevel="0" collapsed="false">
      <c r="A1300" s="18" t="n">
        <v>58</v>
      </c>
      <c r="B1300" s="18" t="s">
        <v>66</v>
      </c>
      <c r="C1300" s="115" t="n">
        <v>45674</v>
      </c>
      <c r="D1300" s="10" t="n">
        <v>110</v>
      </c>
      <c r="E1300" s="10" t="n">
        <v>1002</v>
      </c>
      <c r="F1300" s="108" t="s">
        <v>711</v>
      </c>
      <c r="G1300" s="18"/>
    </row>
    <row r="1301" customFormat="false" ht="15" hidden="false" customHeight="true" outlineLevel="0" collapsed="false">
      <c r="A1301" s="18" t="n">
        <v>270041</v>
      </c>
      <c r="B1301" s="18" t="s">
        <v>271</v>
      </c>
      <c r="C1301" s="115" t="n">
        <v>45674</v>
      </c>
      <c r="D1301" s="10" t="n">
        <v>70</v>
      </c>
      <c r="E1301" s="10" t="n">
        <v>2000</v>
      </c>
      <c r="F1301" s="10" t="s">
        <v>19</v>
      </c>
      <c r="G1301" s="18"/>
    </row>
    <row r="1302" customFormat="false" ht="15" hidden="false" customHeight="true" outlineLevel="0" collapsed="false">
      <c r="A1302" s="18" t="n">
        <v>57</v>
      </c>
      <c r="B1302" s="18" t="s">
        <v>268</v>
      </c>
      <c r="C1302" s="115" t="n">
        <v>45674</v>
      </c>
      <c r="D1302" s="10" t="n">
        <v>210</v>
      </c>
      <c r="E1302" s="10" t="n">
        <v>2300</v>
      </c>
      <c r="F1302" s="10" t="s">
        <v>225</v>
      </c>
      <c r="G1302" s="18"/>
    </row>
    <row r="1303" customFormat="false" ht="15" hidden="false" customHeight="true" outlineLevel="0" collapsed="false">
      <c r="A1303" s="18" t="n">
        <v>61</v>
      </c>
      <c r="B1303" s="18" t="s">
        <v>258</v>
      </c>
      <c r="C1303" s="115" t="n">
        <v>45677</v>
      </c>
      <c r="D1303" s="10" t="n">
        <v>85</v>
      </c>
      <c r="E1303" s="10" t="n">
        <v>804</v>
      </c>
      <c r="F1303" s="10" t="s">
        <v>225</v>
      </c>
      <c r="G1303" s="18" t="s">
        <v>232</v>
      </c>
    </row>
    <row r="1304" customFormat="false" ht="15" hidden="false" customHeight="true" outlineLevel="0" collapsed="false">
      <c r="A1304" s="18" t="n">
        <v>270049</v>
      </c>
      <c r="B1304" s="18" t="s">
        <v>271</v>
      </c>
      <c r="C1304" s="115" t="n">
        <v>45677</v>
      </c>
      <c r="D1304" s="10" t="n">
        <v>95</v>
      </c>
      <c r="E1304" s="10" t="n">
        <v>270</v>
      </c>
      <c r="F1304" s="10" t="s">
        <v>225</v>
      </c>
      <c r="G1304" s="18"/>
    </row>
    <row r="1305" customFormat="false" ht="15" hidden="false" customHeight="true" outlineLevel="0" collapsed="false">
      <c r="A1305" s="18" t="n">
        <v>270050</v>
      </c>
      <c r="B1305" s="18" t="s">
        <v>308</v>
      </c>
      <c r="C1305" s="115" t="n">
        <v>45677</v>
      </c>
      <c r="D1305" s="10" t="n">
        <v>105</v>
      </c>
      <c r="E1305" s="10" t="n">
        <v>1000</v>
      </c>
      <c r="F1305" s="10" t="s">
        <v>225</v>
      </c>
      <c r="G1305" s="18"/>
    </row>
    <row r="1306" customFormat="false" ht="15" hidden="false" customHeight="true" outlineLevel="0" collapsed="false">
      <c r="A1306" s="18" t="n">
        <v>270051</v>
      </c>
      <c r="B1306" s="18" t="s">
        <v>231</v>
      </c>
      <c r="C1306" s="115" t="n">
        <v>45677</v>
      </c>
      <c r="D1306" s="10" t="n">
        <v>210</v>
      </c>
      <c r="E1306" s="10" t="n">
        <v>4200</v>
      </c>
      <c r="F1306" s="10" t="s">
        <v>225</v>
      </c>
      <c r="G1306" s="18"/>
    </row>
    <row r="1307" customFormat="false" ht="15" hidden="false" customHeight="true" outlineLevel="0" collapsed="false">
      <c r="A1307" s="18" t="n">
        <v>45</v>
      </c>
      <c r="B1307" s="18" t="s">
        <v>666</v>
      </c>
      <c r="C1307" s="115" t="n">
        <v>45677</v>
      </c>
      <c r="D1307" s="10" t="n">
        <v>210</v>
      </c>
      <c r="E1307" s="10" t="n">
        <v>773</v>
      </c>
      <c r="F1307" s="10" t="s">
        <v>225</v>
      </c>
      <c r="G1307" s="18"/>
    </row>
    <row r="1308" customFormat="false" ht="15" hidden="false" customHeight="true" outlineLevel="0" collapsed="false">
      <c r="A1308" s="18" t="n">
        <v>65</v>
      </c>
      <c r="B1308" s="18" t="s">
        <v>620</v>
      </c>
      <c r="C1308" s="115" t="n">
        <v>45678</v>
      </c>
      <c r="D1308" s="10" t="n">
        <v>105</v>
      </c>
      <c r="E1308" s="10" t="n">
        <v>13541</v>
      </c>
      <c r="F1308" s="10" t="s">
        <v>236</v>
      </c>
      <c r="G1308" s="18"/>
    </row>
    <row r="1309" customFormat="false" ht="15" hidden="false" customHeight="true" outlineLevel="0" collapsed="false">
      <c r="A1309" s="18" t="n">
        <v>270053</v>
      </c>
      <c r="B1309" s="18" t="s">
        <v>475</v>
      </c>
      <c r="C1309" s="115" t="n">
        <v>45678</v>
      </c>
      <c r="D1309" s="10" t="n">
        <v>83</v>
      </c>
      <c r="E1309" s="10" t="n">
        <v>810</v>
      </c>
      <c r="F1309" s="10" t="s">
        <v>225</v>
      </c>
      <c r="G1309" s="18"/>
    </row>
    <row r="1310" customFormat="false" ht="15" hidden="false" customHeight="true" outlineLevel="0" collapsed="false">
      <c r="A1310" s="18" t="n">
        <v>270052</v>
      </c>
      <c r="B1310" s="18" t="s">
        <v>259</v>
      </c>
      <c r="C1310" s="115" t="n">
        <v>45678</v>
      </c>
      <c r="D1310" s="10" t="n">
        <v>100</v>
      </c>
      <c r="E1310" s="10" t="n">
        <v>3000</v>
      </c>
      <c r="F1310" s="10" t="s">
        <v>225</v>
      </c>
      <c r="G1310" s="18"/>
    </row>
    <row r="1311" customFormat="false" ht="15" hidden="false" customHeight="true" outlineLevel="0" collapsed="false">
      <c r="A1311" s="18" t="n">
        <v>270054</v>
      </c>
      <c r="B1311" s="18" t="s">
        <v>712</v>
      </c>
      <c r="C1311" s="115" t="n">
        <v>45678</v>
      </c>
      <c r="D1311" s="10" t="n">
        <v>250</v>
      </c>
      <c r="E1311" s="10" t="n">
        <v>32</v>
      </c>
      <c r="F1311" s="10" t="s">
        <v>227</v>
      </c>
      <c r="G1311" s="18"/>
    </row>
    <row r="1312" customFormat="false" ht="15" hidden="false" customHeight="true" outlineLevel="0" collapsed="false">
      <c r="A1312" s="18" t="n">
        <v>62</v>
      </c>
      <c r="B1312" s="18" t="s">
        <v>531</v>
      </c>
      <c r="C1312" s="115" t="n">
        <v>45678</v>
      </c>
      <c r="D1312" s="10" t="n">
        <v>220</v>
      </c>
      <c r="E1312" s="10" t="n">
        <v>491</v>
      </c>
      <c r="F1312" s="10" t="s">
        <v>225</v>
      </c>
      <c r="G1312" s="18"/>
    </row>
    <row r="1313" customFormat="false" ht="15" hidden="false" customHeight="true" outlineLevel="0" collapsed="false">
      <c r="A1313" s="18" t="n">
        <v>66</v>
      </c>
      <c r="B1313" s="18" t="s">
        <v>268</v>
      </c>
      <c r="C1313" s="115" t="n">
        <v>45679</v>
      </c>
      <c r="D1313" s="10" t="n">
        <v>210</v>
      </c>
      <c r="E1313" s="10" t="n">
        <v>212</v>
      </c>
      <c r="F1313" s="10" t="s">
        <v>225</v>
      </c>
      <c r="G1313" s="18"/>
    </row>
    <row r="1314" customFormat="false" ht="15" hidden="false" customHeight="true" outlineLevel="0" collapsed="false">
      <c r="A1314" s="18" t="n">
        <v>120</v>
      </c>
      <c r="B1314" s="18" t="s">
        <v>306</v>
      </c>
      <c r="C1314" s="115" t="n">
        <v>45694</v>
      </c>
      <c r="D1314" s="10" t="n">
        <v>60</v>
      </c>
      <c r="E1314" s="10" t="n">
        <v>6000</v>
      </c>
      <c r="F1314" s="10" t="s">
        <v>236</v>
      </c>
      <c r="G1314" s="18"/>
    </row>
    <row r="1315" customFormat="false" ht="15" hidden="false" customHeight="true" outlineLevel="0" collapsed="false">
      <c r="A1315" s="18" t="n">
        <v>270092</v>
      </c>
      <c r="B1315" s="18" t="s">
        <v>713</v>
      </c>
      <c r="C1315" s="115" t="n">
        <v>45694</v>
      </c>
      <c r="D1315" s="10" t="n">
        <v>30</v>
      </c>
      <c r="E1315" s="10" t="n">
        <v>120</v>
      </c>
      <c r="F1315" s="10" t="s">
        <v>225</v>
      </c>
      <c r="G1315" s="18"/>
    </row>
    <row r="1316" customFormat="false" ht="15" hidden="false" customHeight="true" outlineLevel="0" collapsed="false">
      <c r="A1316" s="18" t="n">
        <v>138</v>
      </c>
      <c r="B1316" s="18" t="s">
        <v>587</v>
      </c>
      <c r="C1316" s="115" t="n">
        <v>45694</v>
      </c>
      <c r="D1316" s="10" t="n">
        <v>140</v>
      </c>
      <c r="E1316" s="10" t="n">
        <v>3400</v>
      </c>
      <c r="F1316" s="10" t="s">
        <v>225</v>
      </c>
      <c r="G1316" s="18"/>
    </row>
    <row r="1317" customFormat="false" ht="15" hidden="false" customHeight="true" outlineLevel="0" collapsed="false">
      <c r="A1317" s="18" t="n">
        <v>153</v>
      </c>
      <c r="B1317" s="18" t="s">
        <v>321</v>
      </c>
      <c r="C1317" s="115" t="n">
        <v>45698</v>
      </c>
      <c r="D1317" s="10" t="n">
        <v>220</v>
      </c>
      <c r="E1317" s="10" t="n">
        <v>1600</v>
      </c>
      <c r="F1317" s="10" t="s">
        <v>236</v>
      </c>
      <c r="G1317" s="18"/>
    </row>
    <row r="1318" customFormat="false" ht="15" hidden="false" customHeight="true" outlineLevel="0" collapsed="false">
      <c r="A1318" s="18" t="n">
        <v>117</v>
      </c>
      <c r="B1318" s="18" t="s">
        <v>708</v>
      </c>
      <c r="C1318" s="115" t="n">
        <v>45698</v>
      </c>
      <c r="D1318" s="10" t="n">
        <v>80</v>
      </c>
      <c r="E1318" s="10" t="n">
        <v>1275</v>
      </c>
      <c r="F1318" s="10" t="s">
        <v>225</v>
      </c>
      <c r="G1318" s="18"/>
    </row>
    <row r="1319" customFormat="false" ht="15" hidden="false" customHeight="true" outlineLevel="0" collapsed="false">
      <c r="A1319" s="18" t="n">
        <v>151</v>
      </c>
      <c r="B1319" s="18" t="s">
        <v>714</v>
      </c>
      <c r="C1319" s="115" t="n">
        <v>45698</v>
      </c>
      <c r="D1319" s="10" t="n">
        <v>105</v>
      </c>
      <c r="E1319" s="10" t="n">
        <v>600</v>
      </c>
      <c r="F1319" s="10" t="s">
        <v>225</v>
      </c>
      <c r="G1319" s="18"/>
    </row>
    <row r="1320" customFormat="false" ht="15" hidden="false" customHeight="true" outlineLevel="0" collapsed="false">
      <c r="A1320" s="18" t="n">
        <v>150</v>
      </c>
      <c r="B1320" s="18" t="s">
        <v>715</v>
      </c>
      <c r="C1320" s="115" t="n">
        <v>45698</v>
      </c>
      <c r="D1320" s="10" t="n">
        <v>105</v>
      </c>
      <c r="E1320" s="10" t="n">
        <v>900</v>
      </c>
      <c r="F1320" s="10" t="s">
        <v>225</v>
      </c>
      <c r="G1320" s="18"/>
    </row>
    <row r="1321" customFormat="false" ht="15" hidden="false" customHeight="true" outlineLevel="0" collapsed="false">
      <c r="A1321" s="18" t="n">
        <v>147</v>
      </c>
      <c r="B1321" s="18" t="s">
        <v>334</v>
      </c>
      <c r="C1321" s="115" t="n">
        <v>45698</v>
      </c>
      <c r="D1321" s="10" t="n">
        <v>155</v>
      </c>
      <c r="E1321" s="10" t="n">
        <v>1930</v>
      </c>
      <c r="F1321" s="10" t="s">
        <v>229</v>
      </c>
      <c r="G1321" s="18"/>
    </row>
    <row r="1322" customFormat="false" ht="15" hidden="false" customHeight="true" outlineLevel="0" collapsed="false">
      <c r="A1322" s="18" t="n">
        <v>148</v>
      </c>
      <c r="B1322" s="18" t="s">
        <v>224</v>
      </c>
      <c r="C1322" s="115" t="n">
        <v>45698</v>
      </c>
      <c r="D1322" s="10" t="n">
        <v>210</v>
      </c>
      <c r="E1322" s="10" t="n">
        <v>300</v>
      </c>
      <c r="F1322" s="10" t="s">
        <v>248</v>
      </c>
      <c r="G1322" s="18"/>
    </row>
    <row r="1323" customFormat="false" ht="15" hidden="false" customHeight="true" outlineLevel="0" collapsed="false">
      <c r="A1323" s="18" t="n">
        <v>148</v>
      </c>
      <c r="B1323" s="18" t="s">
        <v>224</v>
      </c>
      <c r="C1323" s="115" t="n">
        <v>45698</v>
      </c>
      <c r="D1323" s="10" t="n">
        <v>210</v>
      </c>
      <c r="E1323" s="10" t="n">
        <v>2490</v>
      </c>
      <c r="F1323" s="10" t="s">
        <v>225</v>
      </c>
      <c r="G1323" s="18"/>
    </row>
    <row r="1324" customFormat="false" ht="15" hidden="false" customHeight="true" outlineLevel="0" collapsed="false">
      <c r="A1324" s="18" t="n">
        <v>270110</v>
      </c>
      <c r="B1324" s="18" t="s">
        <v>716</v>
      </c>
      <c r="C1324" s="115" t="n">
        <v>45700</v>
      </c>
      <c r="D1324" s="10" t="n">
        <v>65</v>
      </c>
      <c r="E1324" s="10" t="n">
        <v>228</v>
      </c>
      <c r="F1324" s="10" t="s">
        <v>236</v>
      </c>
      <c r="G1324" s="18"/>
    </row>
    <row r="1325" customFormat="false" ht="15" hidden="false" customHeight="true" outlineLevel="0" collapsed="false">
      <c r="A1325" s="18" t="n">
        <v>270114</v>
      </c>
      <c r="B1325" s="18" t="s">
        <v>508</v>
      </c>
      <c r="C1325" s="115" t="n">
        <v>45700</v>
      </c>
      <c r="D1325" s="10" t="n">
        <v>100</v>
      </c>
      <c r="E1325" s="10" t="n">
        <v>1400</v>
      </c>
      <c r="F1325" s="10" t="s">
        <v>225</v>
      </c>
      <c r="G1325" s="18"/>
    </row>
    <row r="1326" customFormat="false" ht="15" hidden="false" customHeight="true" outlineLevel="0" collapsed="false">
      <c r="A1326" s="18" t="n">
        <v>270107</v>
      </c>
      <c r="B1326" s="18" t="s">
        <v>717</v>
      </c>
      <c r="C1326" s="115" t="n">
        <v>45700</v>
      </c>
      <c r="D1326" s="10" t="n">
        <v>40</v>
      </c>
      <c r="E1326" s="10" t="n">
        <v>180</v>
      </c>
      <c r="F1326" s="10" t="s">
        <v>227</v>
      </c>
      <c r="G1326" s="18"/>
    </row>
    <row r="1327" customFormat="false" ht="15" hidden="false" customHeight="true" outlineLevel="0" collapsed="false">
      <c r="A1327" s="18" t="n">
        <v>169</v>
      </c>
      <c r="B1327" s="18" t="s">
        <v>718</v>
      </c>
      <c r="C1327" s="115" t="n">
        <v>45700</v>
      </c>
      <c r="D1327" s="10" t="n">
        <v>210</v>
      </c>
      <c r="E1327" s="10" t="n">
        <v>159</v>
      </c>
      <c r="F1327" s="10" t="s">
        <v>229</v>
      </c>
      <c r="G1327" s="18"/>
    </row>
    <row r="1328" customFormat="false" ht="15" hidden="false" customHeight="true" outlineLevel="0" collapsed="false">
      <c r="A1328" s="18" t="n">
        <v>168</v>
      </c>
      <c r="B1328" s="18" t="s">
        <v>642</v>
      </c>
      <c r="C1328" s="115" t="n">
        <v>45700</v>
      </c>
      <c r="D1328" s="10" t="n">
        <v>210</v>
      </c>
      <c r="E1328" s="10" t="n">
        <v>1030</v>
      </c>
      <c r="F1328" s="10" t="s">
        <v>227</v>
      </c>
      <c r="G1328" s="18"/>
    </row>
    <row r="1329" customFormat="false" ht="15" hidden="false" customHeight="true" outlineLevel="0" collapsed="false">
      <c r="A1329" s="18" t="n">
        <v>172</v>
      </c>
      <c r="B1329" s="18" t="s">
        <v>551</v>
      </c>
      <c r="C1329" s="115" t="n">
        <v>45700</v>
      </c>
      <c r="D1329" s="10" t="n">
        <v>210</v>
      </c>
      <c r="E1329" s="10" t="n">
        <v>945</v>
      </c>
      <c r="F1329" s="10" t="s">
        <v>227</v>
      </c>
      <c r="G1329" s="18"/>
    </row>
    <row r="1330" customFormat="false" ht="15" hidden="false" customHeight="true" outlineLevel="0" collapsed="false">
      <c r="A1330" s="18" t="n">
        <v>165</v>
      </c>
      <c r="B1330" s="18" t="s">
        <v>719</v>
      </c>
      <c r="C1330" s="115" t="n">
        <v>45700</v>
      </c>
      <c r="D1330" s="10" t="n">
        <v>148</v>
      </c>
      <c r="E1330" s="10" t="n">
        <v>1620</v>
      </c>
      <c r="F1330" s="10" t="s">
        <v>225</v>
      </c>
      <c r="G1330" s="18"/>
    </row>
    <row r="1331" customFormat="false" ht="15" hidden="false" customHeight="true" outlineLevel="0" collapsed="false">
      <c r="A1331" s="18" t="n">
        <v>174</v>
      </c>
      <c r="B1331" s="18" t="s">
        <v>242</v>
      </c>
      <c r="C1331" s="115" t="n">
        <v>45701</v>
      </c>
      <c r="D1331" s="10" t="n">
        <v>70</v>
      </c>
      <c r="E1331" s="10" t="n">
        <v>300</v>
      </c>
      <c r="F1331" s="10" t="s">
        <v>225</v>
      </c>
      <c r="G1331" s="18"/>
    </row>
    <row r="1332" customFormat="false" ht="15" hidden="false" customHeight="true" outlineLevel="0" collapsed="false">
      <c r="A1332" s="18" t="n">
        <v>172</v>
      </c>
      <c r="B1332" s="18" t="s">
        <v>539</v>
      </c>
      <c r="C1332" s="115" t="n">
        <v>45701</v>
      </c>
      <c r="D1332" s="10" t="n">
        <v>74</v>
      </c>
      <c r="E1332" s="10" t="n">
        <v>1000</v>
      </c>
      <c r="F1332" s="10" t="s">
        <v>225</v>
      </c>
      <c r="G1332" s="18"/>
    </row>
    <row r="1333" customFormat="false" ht="15" hidden="false" customHeight="true" outlineLevel="0" collapsed="false">
      <c r="A1333" s="18" t="n">
        <v>270117</v>
      </c>
      <c r="B1333" s="18" t="s">
        <v>569</v>
      </c>
      <c r="C1333" s="115" t="n">
        <v>45701</v>
      </c>
      <c r="D1333" s="10" t="n">
        <v>85</v>
      </c>
      <c r="E1333" s="10" t="n">
        <v>215</v>
      </c>
      <c r="F1333" s="10" t="s">
        <v>225</v>
      </c>
      <c r="G1333" s="18"/>
    </row>
    <row r="1334" customFormat="false" ht="15" hidden="false" customHeight="true" outlineLevel="0" collapsed="false">
      <c r="A1334" s="18" t="n">
        <v>176</v>
      </c>
      <c r="B1334" s="18" t="s">
        <v>258</v>
      </c>
      <c r="C1334" s="115" t="n">
        <v>45701</v>
      </c>
      <c r="D1334" s="10" t="n">
        <v>85</v>
      </c>
      <c r="E1334" s="10" t="n">
        <v>804</v>
      </c>
      <c r="F1334" s="10" t="s">
        <v>225</v>
      </c>
      <c r="G1334" s="18" t="s">
        <v>232</v>
      </c>
    </row>
    <row r="1335" customFormat="false" ht="15" hidden="false" customHeight="true" outlineLevel="0" collapsed="false">
      <c r="A1335" s="18" t="n">
        <v>184</v>
      </c>
      <c r="B1335" s="18" t="s">
        <v>291</v>
      </c>
      <c r="C1335" s="115" t="n">
        <v>45701</v>
      </c>
      <c r="D1335" s="10" t="n">
        <v>105</v>
      </c>
      <c r="E1335" s="10" t="n">
        <v>726</v>
      </c>
      <c r="F1335" s="10" t="s">
        <v>225</v>
      </c>
      <c r="G1335" s="18"/>
    </row>
    <row r="1336" customFormat="false" ht="15" hidden="false" customHeight="true" outlineLevel="0" collapsed="false">
      <c r="A1336" s="18" t="n">
        <v>175</v>
      </c>
      <c r="B1336" s="18" t="s">
        <v>91</v>
      </c>
      <c r="C1336" s="115" t="n">
        <v>45701</v>
      </c>
      <c r="D1336" s="10" t="n">
        <v>45</v>
      </c>
      <c r="E1336" s="10" t="n">
        <v>480</v>
      </c>
      <c r="F1336" s="10" t="s">
        <v>229</v>
      </c>
      <c r="G1336" s="18"/>
    </row>
    <row r="1337" customFormat="false" ht="15" hidden="false" customHeight="true" outlineLevel="0" collapsed="false">
      <c r="A1337" s="18" t="n">
        <v>173</v>
      </c>
      <c r="B1337" s="18" t="s">
        <v>91</v>
      </c>
      <c r="C1337" s="115" t="n">
        <v>45701</v>
      </c>
      <c r="D1337" s="10" t="n">
        <v>45</v>
      </c>
      <c r="E1337" s="10" t="n">
        <v>460</v>
      </c>
      <c r="F1337" s="10" t="s">
        <v>229</v>
      </c>
      <c r="G1337" s="18"/>
    </row>
    <row r="1338" customFormat="false" ht="15" hidden="false" customHeight="true" outlineLevel="0" collapsed="false">
      <c r="A1338" s="18" t="n">
        <v>270119</v>
      </c>
      <c r="B1338" s="18" t="s">
        <v>627</v>
      </c>
      <c r="C1338" s="115" t="n">
        <v>45701</v>
      </c>
      <c r="D1338" s="10" t="n">
        <v>48</v>
      </c>
      <c r="E1338" s="10" t="n">
        <v>832</v>
      </c>
      <c r="F1338" s="10" t="s">
        <v>577</v>
      </c>
      <c r="G1338" s="18" t="s">
        <v>686</v>
      </c>
    </row>
    <row r="1339" customFormat="false" ht="15" hidden="false" customHeight="true" outlineLevel="0" collapsed="false">
      <c r="A1339" s="18" t="n">
        <v>177</v>
      </c>
      <c r="B1339" s="18" t="s">
        <v>397</v>
      </c>
      <c r="C1339" s="115" t="n">
        <v>45701</v>
      </c>
      <c r="D1339" s="10" t="n">
        <v>110</v>
      </c>
      <c r="E1339" s="10" t="n">
        <v>680</v>
      </c>
      <c r="F1339" s="10" t="s">
        <v>227</v>
      </c>
      <c r="G1339" s="18"/>
    </row>
    <row r="1340" customFormat="false" ht="15" hidden="false" customHeight="true" outlineLevel="0" collapsed="false">
      <c r="A1340" s="18" t="n">
        <v>179</v>
      </c>
      <c r="B1340" s="18" t="s">
        <v>292</v>
      </c>
      <c r="C1340" s="115" t="n">
        <v>45701</v>
      </c>
      <c r="D1340" s="10" t="n">
        <v>25</v>
      </c>
      <c r="E1340" s="10" t="n">
        <v>100</v>
      </c>
      <c r="F1340" s="10" t="s">
        <v>577</v>
      </c>
      <c r="G1340" s="18"/>
    </row>
    <row r="1341" customFormat="false" ht="15" hidden="false" customHeight="true" outlineLevel="0" collapsed="false">
      <c r="A1341" s="18" t="n">
        <v>184</v>
      </c>
      <c r="B1341" s="18" t="s">
        <v>291</v>
      </c>
      <c r="C1341" s="115" t="n">
        <v>45701</v>
      </c>
      <c r="D1341" s="10" t="n">
        <v>180</v>
      </c>
      <c r="E1341" s="10" t="n">
        <v>920</v>
      </c>
      <c r="F1341" s="10" t="s">
        <v>225</v>
      </c>
      <c r="G1341" s="18"/>
    </row>
    <row r="1342" customFormat="false" ht="15" hidden="false" customHeight="true" outlineLevel="0" collapsed="false">
      <c r="A1342" s="18" t="n">
        <v>178</v>
      </c>
      <c r="B1342" s="18" t="s">
        <v>720</v>
      </c>
      <c r="C1342" s="115" t="n">
        <v>45701</v>
      </c>
      <c r="D1342" s="10" t="n">
        <v>210</v>
      </c>
      <c r="E1342" s="10" t="n">
        <v>2650</v>
      </c>
      <c r="F1342" s="10" t="s">
        <v>225</v>
      </c>
      <c r="G1342" s="18"/>
    </row>
    <row r="1343" customFormat="false" ht="15" hidden="false" customHeight="true" outlineLevel="0" collapsed="false">
      <c r="A1343" s="18" t="n">
        <v>270125</v>
      </c>
      <c r="B1343" s="18" t="s">
        <v>721</v>
      </c>
      <c r="C1343" s="115" t="n">
        <v>45705</v>
      </c>
      <c r="D1343" s="10" t="n">
        <v>45</v>
      </c>
      <c r="E1343" s="10" t="n">
        <v>593</v>
      </c>
      <c r="F1343" s="10" t="s">
        <v>236</v>
      </c>
      <c r="G1343" s="18"/>
    </row>
    <row r="1344" customFormat="false" ht="15" hidden="false" customHeight="true" outlineLevel="0" collapsed="false">
      <c r="A1344" s="18" t="n">
        <v>187</v>
      </c>
      <c r="B1344" s="18" t="s">
        <v>388</v>
      </c>
      <c r="C1344" s="115" t="n">
        <v>45705</v>
      </c>
      <c r="D1344" s="10" t="n">
        <v>78</v>
      </c>
      <c r="E1344" s="10" t="n">
        <v>30</v>
      </c>
      <c r="F1344" s="10" t="s">
        <v>236</v>
      </c>
      <c r="G1344" s="18"/>
    </row>
    <row r="1345" customFormat="false" ht="15" hidden="false" customHeight="true" outlineLevel="0" collapsed="false">
      <c r="A1345" s="18" t="n">
        <v>187</v>
      </c>
      <c r="B1345" s="18" t="s">
        <v>388</v>
      </c>
      <c r="C1345" s="115" t="n">
        <v>45705</v>
      </c>
      <c r="D1345" s="10" t="n">
        <v>78</v>
      </c>
      <c r="E1345" s="10" t="n">
        <v>30</v>
      </c>
      <c r="F1345" s="10" t="s">
        <v>236</v>
      </c>
      <c r="G1345" s="18"/>
    </row>
    <row r="1346" customFormat="false" ht="15" hidden="false" customHeight="true" outlineLevel="0" collapsed="false">
      <c r="A1346" s="18" t="n">
        <v>185</v>
      </c>
      <c r="B1346" s="18" t="s">
        <v>446</v>
      </c>
      <c r="C1346" s="115" t="n">
        <v>45705</v>
      </c>
      <c r="D1346" s="10" t="n">
        <v>30</v>
      </c>
      <c r="E1346" s="10" t="n">
        <v>1120</v>
      </c>
      <c r="F1346" s="10" t="s">
        <v>225</v>
      </c>
      <c r="G1346" s="18"/>
    </row>
    <row r="1347" customFormat="false" ht="15" hidden="false" customHeight="true" outlineLevel="0" collapsed="false">
      <c r="A1347" s="18" t="n">
        <v>270126</v>
      </c>
      <c r="B1347" s="18" t="s">
        <v>467</v>
      </c>
      <c r="C1347" s="115" t="n">
        <v>45705</v>
      </c>
      <c r="D1347" s="10" t="n">
        <v>80</v>
      </c>
      <c r="E1347" s="10" t="n">
        <v>1490</v>
      </c>
      <c r="F1347" s="10" t="s">
        <v>225</v>
      </c>
      <c r="G1347" s="18"/>
    </row>
    <row r="1348" customFormat="false" ht="15" hidden="false" customHeight="true" outlineLevel="0" collapsed="false">
      <c r="A1348" s="18" t="n">
        <v>191</v>
      </c>
      <c r="B1348" s="18" t="s">
        <v>628</v>
      </c>
      <c r="C1348" s="115" t="n">
        <v>45705</v>
      </c>
      <c r="D1348" s="10" t="n">
        <v>105</v>
      </c>
      <c r="E1348" s="10" t="n">
        <v>210</v>
      </c>
      <c r="F1348" s="10" t="s">
        <v>225</v>
      </c>
      <c r="G1348" s="18"/>
    </row>
    <row r="1349" customFormat="false" ht="15" hidden="false" customHeight="true" outlineLevel="0" collapsed="false">
      <c r="A1349" s="18" t="n">
        <v>270127</v>
      </c>
      <c r="B1349" s="18" t="s">
        <v>317</v>
      </c>
      <c r="C1349" s="115" t="n">
        <v>45705</v>
      </c>
      <c r="D1349" s="10" t="n">
        <v>105</v>
      </c>
      <c r="E1349" s="10" t="n">
        <v>170</v>
      </c>
      <c r="F1349" s="10" t="s">
        <v>225</v>
      </c>
      <c r="G1349" s="18"/>
    </row>
    <row r="1350" customFormat="false" ht="15" hidden="false" customHeight="true" outlineLevel="0" collapsed="false">
      <c r="A1350" s="18" t="n">
        <v>192</v>
      </c>
      <c r="B1350" s="18" t="s">
        <v>290</v>
      </c>
      <c r="C1350" s="115" t="n">
        <v>45705</v>
      </c>
      <c r="D1350" s="10" t="n">
        <v>100</v>
      </c>
      <c r="E1350" s="10" t="n">
        <v>225</v>
      </c>
      <c r="F1350" s="10" t="s">
        <v>227</v>
      </c>
      <c r="G1350" s="18"/>
    </row>
    <row r="1351" customFormat="false" ht="15" hidden="false" customHeight="true" outlineLevel="0" collapsed="false">
      <c r="A1351" s="18" t="n">
        <v>194</v>
      </c>
      <c r="B1351" s="18" t="s">
        <v>664</v>
      </c>
      <c r="C1351" s="115" t="n">
        <v>45705</v>
      </c>
      <c r="D1351" s="10" t="n">
        <v>120</v>
      </c>
      <c r="E1351" s="10" t="n">
        <v>375</v>
      </c>
      <c r="F1351" s="10" t="s">
        <v>227</v>
      </c>
      <c r="G1351" s="18"/>
    </row>
    <row r="1352" customFormat="false" ht="15" hidden="false" customHeight="true" outlineLevel="0" collapsed="false">
      <c r="A1352" s="18" t="n">
        <v>192</v>
      </c>
      <c r="B1352" s="18" t="s">
        <v>290</v>
      </c>
      <c r="C1352" s="115" t="n">
        <v>45705</v>
      </c>
      <c r="D1352" s="10" t="n">
        <v>120</v>
      </c>
      <c r="E1352" s="10" t="n">
        <v>225</v>
      </c>
      <c r="F1352" s="10" t="s">
        <v>227</v>
      </c>
      <c r="G1352" s="18"/>
    </row>
    <row r="1353" customFormat="false" ht="15" hidden="false" customHeight="true" outlineLevel="0" collapsed="false">
      <c r="A1353" s="18" t="n">
        <v>188</v>
      </c>
      <c r="B1353" s="18" t="s">
        <v>324</v>
      </c>
      <c r="C1353" s="115" t="n">
        <v>45705</v>
      </c>
      <c r="D1353" s="10" t="n">
        <v>220</v>
      </c>
      <c r="E1353" s="10" t="n">
        <v>3040</v>
      </c>
      <c r="F1353" s="10" t="s">
        <v>227</v>
      </c>
      <c r="G1353" s="18"/>
    </row>
    <row r="1354" customFormat="false" ht="15" hidden="false" customHeight="true" outlineLevel="0" collapsed="false">
      <c r="A1354" s="18" t="n">
        <v>190</v>
      </c>
      <c r="B1354" s="18" t="s">
        <v>722</v>
      </c>
      <c r="C1354" s="115" t="n">
        <v>45705</v>
      </c>
      <c r="D1354" s="10" t="n">
        <v>210</v>
      </c>
      <c r="E1354" s="10" t="n">
        <v>215</v>
      </c>
      <c r="F1354" s="10" t="s">
        <v>225</v>
      </c>
      <c r="G1354" s="18"/>
    </row>
    <row r="1355" customFormat="false" ht="15" hidden="false" customHeight="true" outlineLevel="0" collapsed="false">
      <c r="A1355" s="18" t="n">
        <v>270123</v>
      </c>
      <c r="B1355" s="18" t="s">
        <v>723</v>
      </c>
      <c r="C1355" s="115" t="n">
        <v>45705</v>
      </c>
      <c r="D1355" s="10" t="n">
        <v>250</v>
      </c>
      <c r="E1355" s="10" t="n">
        <v>371</v>
      </c>
      <c r="F1355" s="10" t="s">
        <v>236</v>
      </c>
      <c r="G1355" s="18"/>
    </row>
    <row r="1356" customFormat="false" ht="15" hidden="false" customHeight="true" outlineLevel="0" collapsed="false">
      <c r="A1356" s="18" t="n">
        <v>270120</v>
      </c>
      <c r="B1356" s="18" t="s">
        <v>712</v>
      </c>
      <c r="C1356" s="115" t="n">
        <v>45707</v>
      </c>
      <c r="D1356" s="10" t="n">
        <v>35</v>
      </c>
      <c r="E1356" s="10" t="n">
        <v>74</v>
      </c>
      <c r="F1356" s="10" t="s">
        <v>225</v>
      </c>
      <c r="G1356" s="18"/>
    </row>
    <row r="1357" customFormat="false" ht="15" hidden="false" customHeight="true" outlineLevel="0" collapsed="false">
      <c r="A1357" s="18" t="n">
        <v>196</v>
      </c>
      <c r="B1357" s="18" t="s">
        <v>313</v>
      </c>
      <c r="C1357" s="115" t="n">
        <v>45707</v>
      </c>
      <c r="D1357" s="10" t="n">
        <v>65</v>
      </c>
      <c r="E1357" s="10" t="n">
        <v>2000</v>
      </c>
      <c r="F1357" s="10" t="s">
        <v>225</v>
      </c>
      <c r="G1357" s="18"/>
    </row>
    <row r="1358" customFormat="false" ht="15" hidden="false" customHeight="true" outlineLevel="0" collapsed="false">
      <c r="A1358" s="18" t="n">
        <v>196</v>
      </c>
      <c r="B1358" s="18" t="s">
        <v>313</v>
      </c>
      <c r="C1358" s="115" t="n">
        <v>45707</v>
      </c>
      <c r="D1358" s="10" t="n">
        <v>90</v>
      </c>
      <c r="E1358" s="10" t="n">
        <v>323</v>
      </c>
      <c r="F1358" s="10" t="s">
        <v>225</v>
      </c>
      <c r="G1358" s="18"/>
    </row>
    <row r="1359" customFormat="false" ht="15" hidden="false" customHeight="true" outlineLevel="0" collapsed="false">
      <c r="A1359" s="18" t="n">
        <v>270132</v>
      </c>
      <c r="B1359" s="18" t="s">
        <v>617</v>
      </c>
      <c r="C1359" s="115" t="n">
        <v>45707</v>
      </c>
      <c r="D1359" s="10" t="n">
        <v>105</v>
      </c>
      <c r="E1359" s="10" t="n">
        <v>330</v>
      </c>
      <c r="F1359" s="10" t="s">
        <v>225</v>
      </c>
      <c r="G1359" s="18"/>
    </row>
    <row r="1360" customFormat="false" ht="15" hidden="false" customHeight="true" outlineLevel="0" collapsed="false">
      <c r="A1360" s="18" t="n">
        <v>196</v>
      </c>
      <c r="B1360" s="18" t="s">
        <v>313</v>
      </c>
      <c r="C1360" s="115" t="n">
        <v>45707</v>
      </c>
      <c r="D1360" s="10" t="n">
        <v>105</v>
      </c>
      <c r="E1360" s="10" t="n">
        <v>5167</v>
      </c>
      <c r="F1360" s="10" t="s">
        <v>225</v>
      </c>
      <c r="G1360" s="18"/>
    </row>
    <row r="1361" customFormat="false" ht="15" hidden="false" customHeight="true" outlineLevel="0" collapsed="false">
      <c r="A1361" s="18" t="n">
        <v>195</v>
      </c>
      <c r="B1361" s="18" t="s">
        <v>724</v>
      </c>
      <c r="C1361" s="115" t="n">
        <v>45707</v>
      </c>
      <c r="D1361" s="10" t="n">
        <v>84</v>
      </c>
      <c r="E1361" s="10" t="n">
        <v>200</v>
      </c>
      <c r="F1361" s="10" t="s">
        <v>227</v>
      </c>
      <c r="G1361" s="18"/>
    </row>
    <row r="1362" customFormat="false" ht="15" hidden="false" customHeight="true" outlineLevel="0" collapsed="false">
      <c r="A1362" s="18" t="n">
        <v>183</v>
      </c>
      <c r="B1362" s="18" t="s">
        <v>470</v>
      </c>
      <c r="C1362" s="115" t="n">
        <v>45707</v>
      </c>
      <c r="D1362" s="10" t="n">
        <v>220</v>
      </c>
      <c r="E1362" s="10" t="n">
        <v>1238</v>
      </c>
      <c r="F1362" s="10" t="s">
        <v>229</v>
      </c>
      <c r="G1362" s="18"/>
    </row>
    <row r="1363" customFormat="false" ht="15" hidden="false" customHeight="true" outlineLevel="0" collapsed="false">
      <c r="A1363" s="18" t="n">
        <v>193</v>
      </c>
      <c r="B1363" s="18" t="s">
        <v>88</v>
      </c>
      <c r="C1363" s="115" t="n">
        <v>45707</v>
      </c>
      <c r="D1363" s="10" t="n">
        <v>180</v>
      </c>
      <c r="E1363" s="10" t="n">
        <v>5600</v>
      </c>
      <c r="F1363" s="10" t="s">
        <v>248</v>
      </c>
      <c r="G1363" s="18"/>
    </row>
    <row r="1364" customFormat="false" ht="15" hidden="false" customHeight="true" outlineLevel="0" collapsed="false">
      <c r="A1364" s="18" t="n">
        <v>270128</v>
      </c>
      <c r="B1364" s="18" t="s">
        <v>392</v>
      </c>
      <c r="C1364" s="115" t="n">
        <v>45707</v>
      </c>
      <c r="D1364" s="10" t="n">
        <v>120</v>
      </c>
      <c r="E1364" s="10" t="n">
        <v>750</v>
      </c>
      <c r="F1364" s="10" t="s">
        <v>19</v>
      </c>
      <c r="G1364" s="18"/>
    </row>
    <row r="1365" customFormat="false" ht="15" hidden="false" customHeight="true" outlineLevel="0" collapsed="false">
      <c r="A1365" s="18" t="n">
        <v>193</v>
      </c>
      <c r="B1365" s="18" t="s">
        <v>88</v>
      </c>
      <c r="C1365" s="115" t="n">
        <v>45707</v>
      </c>
      <c r="D1365" s="10" t="n">
        <v>65</v>
      </c>
      <c r="E1365" s="10" t="n">
        <v>1350</v>
      </c>
      <c r="F1365" s="10" t="s">
        <v>248</v>
      </c>
      <c r="G1365" s="18"/>
    </row>
    <row r="1366" customFormat="false" ht="15" hidden="false" customHeight="true" outlineLevel="0" collapsed="false">
      <c r="A1366" s="18" t="n">
        <v>270130</v>
      </c>
      <c r="B1366" s="18" t="s">
        <v>725</v>
      </c>
      <c r="C1366" s="115" t="n">
        <v>45707</v>
      </c>
      <c r="D1366" s="10" t="n">
        <v>25</v>
      </c>
      <c r="E1366" s="10" t="n">
        <v>800</v>
      </c>
      <c r="F1366" s="10" t="s">
        <v>632</v>
      </c>
      <c r="G1366" s="18"/>
    </row>
    <row r="1367" customFormat="false" ht="15" hidden="false" customHeight="true" outlineLevel="0" collapsed="false">
      <c r="A1367" s="18" t="n">
        <v>270133</v>
      </c>
      <c r="B1367" s="18" t="s">
        <v>726</v>
      </c>
      <c r="C1367" s="115" t="n">
        <v>45707</v>
      </c>
      <c r="D1367" s="10" t="n">
        <v>110</v>
      </c>
      <c r="E1367" s="10" t="n">
        <v>131</v>
      </c>
      <c r="F1367" s="10" t="s">
        <v>227</v>
      </c>
      <c r="G1367" s="18"/>
    </row>
    <row r="1368" customFormat="false" ht="15" hidden="false" customHeight="true" outlineLevel="0" collapsed="false">
      <c r="A1368" s="18" t="n">
        <v>199</v>
      </c>
      <c r="B1368" s="18" t="s">
        <v>251</v>
      </c>
      <c r="C1368" s="115" t="n">
        <v>45707</v>
      </c>
      <c r="D1368" s="10" t="n">
        <v>220</v>
      </c>
      <c r="E1368" s="10" t="n">
        <v>1500</v>
      </c>
      <c r="F1368" s="10" t="s">
        <v>229</v>
      </c>
      <c r="G1368" s="18"/>
    </row>
    <row r="1369" customFormat="false" ht="15" hidden="false" customHeight="true" outlineLevel="0" collapsed="false">
      <c r="A1369" s="18" t="n">
        <v>204</v>
      </c>
      <c r="B1369" s="18" t="s">
        <v>663</v>
      </c>
      <c r="C1369" s="115" t="n">
        <v>45707</v>
      </c>
      <c r="D1369" s="10" t="n">
        <v>110</v>
      </c>
      <c r="E1369" s="10" t="n">
        <v>365</v>
      </c>
      <c r="F1369" s="10" t="s">
        <v>225</v>
      </c>
      <c r="G1369" s="18"/>
    </row>
    <row r="1370" customFormat="false" ht="15" hidden="false" customHeight="true" outlineLevel="0" collapsed="false">
      <c r="A1370" s="18" t="n">
        <v>203</v>
      </c>
      <c r="B1370" s="18" t="s">
        <v>351</v>
      </c>
      <c r="C1370" s="115" t="n">
        <v>45707</v>
      </c>
      <c r="D1370" s="10" t="n">
        <v>125</v>
      </c>
      <c r="E1370" s="10" t="n">
        <v>670</v>
      </c>
      <c r="F1370" s="10" t="s">
        <v>225</v>
      </c>
      <c r="G1370" s="18"/>
    </row>
    <row r="1371" customFormat="false" ht="15" hidden="false" customHeight="true" outlineLevel="0" collapsed="false">
      <c r="A1371" s="18" t="n">
        <v>109</v>
      </c>
      <c r="B1371" s="18" t="s">
        <v>389</v>
      </c>
      <c r="C1371" s="115" t="n">
        <v>45707</v>
      </c>
      <c r="D1371" s="10" t="n">
        <v>155</v>
      </c>
      <c r="E1371" s="10" t="n">
        <v>90</v>
      </c>
      <c r="F1371" s="10" t="s">
        <v>225</v>
      </c>
      <c r="G1371" s="18"/>
    </row>
    <row r="1372" customFormat="false" ht="15" hidden="false" customHeight="true" outlineLevel="0" collapsed="false">
      <c r="A1372" s="18" t="n">
        <v>202</v>
      </c>
      <c r="B1372" s="18" t="s">
        <v>411</v>
      </c>
      <c r="C1372" s="115" t="n">
        <v>45707</v>
      </c>
      <c r="D1372" s="10" t="n">
        <v>158</v>
      </c>
      <c r="E1372" s="10" t="n">
        <v>750</v>
      </c>
      <c r="F1372" s="10" t="s">
        <v>225</v>
      </c>
      <c r="G1372" s="18"/>
    </row>
    <row r="1373" customFormat="false" ht="15" hidden="false" customHeight="true" outlineLevel="0" collapsed="false">
      <c r="A1373" s="18" t="n">
        <v>208</v>
      </c>
      <c r="B1373" s="18" t="s">
        <v>727</v>
      </c>
      <c r="C1373" s="115" t="n">
        <v>45712</v>
      </c>
      <c r="D1373" s="10" t="n">
        <v>210</v>
      </c>
      <c r="E1373" s="10" t="n">
        <v>1855</v>
      </c>
      <c r="F1373" s="10" t="s">
        <v>236</v>
      </c>
      <c r="G1373" s="18"/>
    </row>
    <row r="1374" customFormat="false" ht="15" hidden="false" customHeight="true" outlineLevel="0" collapsed="false">
      <c r="A1374" s="18" t="n">
        <v>270137</v>
      </c>
      <c r="B1374" s="18" t="s">
        <v>728</v>
      </c>
      <c r="C1374" s="115" t="n">
        <v>45712</v>
      </c>
      <c r="D1374" s="10" t="n">
        <v>48</v>
      </c>
      <c r="E1374" s="10" t="n">
        <v>230</v>
      </c>
      <c r="F1374" s="10" t="s">
        <v>225</v>
      </c>
      <c r="G1374" s="18"/>
    </row>
    <row r="1375" customFormat="false" ht="15" hidden="false" customHeight="true" outlineLevel="0" collapsed="false">
      <c r="A1375" s="18" t="n">
        <v>221</v>
      </c>
      <c r="B1375" s="18" t="s">
        <v>514</v>
      </c>
      <c r="C1375" s="115" t="n">
        <v>45712</v>
      </c>
      <c r="D1375" s="10" t="n">
        <v>53</v>
      </c>
      <c r="E1375" s="10" t="n">
        <v>255</v>
      </c>
      <c r="F1375" s="10" t="s">
        <v>225</v>
      </c>
      <c r="G1375" s="18"/>
    </row>
    <row r="1376" customFormat="false" ht="15" hidden="false" customHeight="true" outlineLevel="0" collapsed="false">
      <c r="A1376" s="18" t="n">
        <v>270139</v>
      </c>
      <c r="B1376" s="18" t="s">
        <v>231</v>
      </c>
      <c r="C1376" s="115" t="n">
        <v>45712</v>
      </c>
      <c r="D1376" s="10" t="n">
        <v>100</v>
      </c>
      <c r="E1376" s="10" t="n">
        <v>340</v>
      </c>
      <c r="F1376" s="10" t="s">
        <v>225</v>
      </c>
      <c r="G1376" s="18"/>
    </row>
    <row r="1377" customFormat="false" ht="15" hidden="false" customHeight="true" outlineLevel="0" collapsed="false">
      <c r="A1377" s="18" t="n">
        <v>223</v>
      </c>
      <c r="B1377" s="18" t="s">
        <v>729</v>
      </c>
      <c r="C1377" s="115" t="n">
        <v>45712</v>
      </c>
      <c r="D1377" s="10" t="n">
        <v>42</v>
      </c>
      <c r="E1377" s="10" t="n">
        <v>400</v>
      </c>
      <c r="F1377" s="10" t="s">
        <v>227</v>
      </c>
      <c r="G1377" s="18"/>
    </row>
    <row r="1378" customFormat="false" ht="15" hidden="false" customHeight="true" outlineLevel="0" collapsed="false">
      <c r="A1378" s="18" t="n">
        <v>215</v>
      </c>
      <c r="B1378" s="19" t="s">
        <v>730</v>
      </c>
      <c r="C1378" s="115" t="n">
        <v>45712</v>
      </c>
      <c r="D1378" s="10" t="n">
        <v>220</v>
      </c>
      <c r="E1378" s="10" t="n">
        <v>5000</v>
      </c>
      <c r="F1378" s="10" t="s">
        <v>229</v>
      </c>
      <c r="G1378" s="18"/>
    </row>
    <row r="1379" customFormat="false" ht="15" hidden="false" customHeight="true" outlineLevel="0" collapsed="false">
      <c r="A1379" s="18" t="n">
        <v>206</v>
      </c>
      <c r="B1379" s="18" t="s">
        <v>590</v>
      </c>
      <c r="C1379" s="115" t="n">
        <v>45712</v>
      </c>
      <c r="D1379" s="10" t="n">
        <v>130</v>
      </c>
      <c r="E1379" s="10" t="n">
        <v>100</v>
      </c>
      <c r="F1379" s="10" t="s">
        <v>19</v>
      </c>
      <c r="G1379" s="18"/>
    </row>
    <row r="1380" customFormat="false" ht="15" hidden="false" customHeight="true" outlineLevel="0" collapsed="false">
      <c r="A1380" s="18" t="n">
        <v>210</v>
      </c>
      <c r="B1380" s="18" t="s">
        <v>602</v>
      </c>
      <c r="C1380" s="115" t="n">
        <v>45712</v>
      </c>
      <c r="D1380" s="10" t="n">
        <v>100</v>
      </c>
      <c r="E1380" s="10" t="n">
        <v>380</v>
      </c>
      <c r="F1380" s="10" t="s">
        <v>248</v>
      </c>
      <c r="G1380" s="18"/>
    </row>
    <row r="1381" customFormat="false" ht="15" hidden="false" customHeight="true" outlineLevel="0" collapsed="false">
      <c r="A1381" s="18" t="n">
        <v>220</v>
      </c>
      <c r="B1381" s="18" t="s">
        <v>731</v>
      </c>
      <c r="C1381" s="115" t="n">
        <v>45712</v>
      </c>
      <c r="D1381" s="10" t="n">
        <v>110</v>
      </c>
      <c r="E1381" s="10" t="n">
        <v>680</v>
      </c>
      <c r="F1381" s="10" t="s">
        <v>227</v>
      </c>
      <c r="G1381" s="18"/>
    </row>
    <row r="1382" customFormat="false" ht="15" hidden="false" customHeight="true" outlineLevel="0" collapsed="false">
      <c r="A1382" s="18" t="n">
        <v>270141</v>
      </c>
      <c r="B1382" s="18" t="s">
        <v>732</v>
      </c>
      <c r="C1382" s="115" t="n">
        <v>45712</v>
      </c>
      <c r="D1382" s="10" t="n">
        <v>110</v>
      </c>
      <c r="E1382" s="10" t="n">
        <v>375</v>
      </c>
      <c r="F1382" s="10" t="s">
        <v>227</v>
      </c>
      <c r="G1382" s="18"/>
    </row>
    <row r="1383" customFormat="false" ht="15" hidden="false" customHeight="true" outlineLevel="0" collapsed="false">
      <c r="A1383" s="18" t="n">
        <v>270142</v>
      </c>
      <c r="B1383" s="18" t="s">
        <v>417</v>
      </c>
      <c r="C1383" s="115" t="n">
        <v>45712</v>
      </c>
      <c r="D1383" s="10" t="n">
        <v>110</v>
      </c>
      <c r="E1383" s="10" t="n">
        <v>410</v>
      </c>
      <c r="F1383" s="10" t="s">
        <v>225</v>
      </c>
      <c r="G1383" s="18" t="s">
        <v>232</v>
      </c>
    </row>
    <row r="1384" customFormat="false" ht="15" hidden="false" customHeight="true" outlineLevel="0" collapsed="false">
      <c r="A1384" s="18" t="n">
        <v>270136</v>
      </c>
      <c r="B1384" s="18" t="s">
        <v>468</v>
      </c>
      <c r="C1384" s="115" t="n">
        <v>45712</v>
      </c>
      <c r="D1384" s="10" t="n">
        <v>110</v>
      </c>
      <c r="E1384" s="10" t="n">
        <v>1875</v>
      </c>
      <c r="F1384" s="10" t="s">
        <v>225</v>
      </c>
      <c r="G1384" s="18"/>
    </row>
    <row r="1385" customFormat="false" ht="15" hidden="false" customHeight="true" outlineLevel="0" collapsed="false">
      <c r="A1385" s="18" t="n">
        <v>197</v>
      </c>
      <c r="B1385" s="18" t="s">
        <v>733</v>
      </c>
      <c r="C1385" s="115" t="n">
        <v>45712</v>
      </c>
      <c r="D1385" s="10" t="n">
        <v>120</v>
      </c>
      <c r="E1385" s="10" t="n">
        <v>4500</v>
      </c>
      <c r="F1385" s="10" t="s">
        <v>225</v>
      </c>
      <c r="G1385" s="18"/>
    </row>
    <row r="1386" customFormat="false" ht="15" hidden="false" customHeight="true" outlineLevel="0" collapsed="false">
      <c r="A1386" s="18" t="n">
        <v>218</v>
      </c>
      <c r="B1386" s="18" t="s">
        <v>734</v>
      </c>
      <c r="C1386" s="115" t="n">
        <v>45712</v>
      </c>
      <c r="D1386" s="10" t="n">
        <v>210</v>
      </c>
      <c r="E1386" s="10" t="n">
        <v>420</v>
      </c>
      <c r="F1386" s="10" t="s">
        <v>225</v>
      </c>
      <c r="G1386" s="18"/>
    </row>
    <row r="1387" customFormat="false" ht="15" hidden="false" customHeight="true" outlineLevel="0" collapsed="false">
      <c r="A1387" s="18" t="n">
        <v>212</v>
      </c>
      <c r="B1387" s="18" t="s">
        <v>735</v>
      </c>
      <c r="C1387" s="115" t="n">
        <v>45712</v>
      </c>
      <c r="D1387" s="10" t="n">
        <v>220</v>
      </c>
      <c r="E1387" s="10" t="n">
        <v>74</v>
      </c>
      <c r="F1387" s="10" t="s">
        <v>225</v>
      </c>
      <c r="G1387" s="18"/>
    </row>
    <row r="1388" customFormat="false" ht="15" hidden="false" customHeight="true" outlineLevel="0" collapsed="false">
      <c r="A1388" s="18" t="n">
        <v>207</v>
      </c>
      <c r="B1388" s="18" t="s">
        <v>559</v>
      </c>
      <c r="C1388" s="115" t="n">
        <v>45712</v>
      </c>
      <c r="D1388" s="10" t="n">
        <v>250</v>
      </c>
      <c r="E1388" s="10" t="n">
        <v>780</v>
      </c>
      <c r="F1388" s="10" t="s">
        <v>225</v>
      </c>
      <c r="G1388" s="18"/>
    </row>
    <row r="1389" customFormat="false" ht="15" hidden="false" customHeight="true" outlineLevel="0" collapsed="false">
      <c r="A1389" s="18" t="n">
        <v>217</v>
      </c>
      <c r="B1389" s="18" t="s">
        <v>246</v>
      </c>
      <c r="C1389" s="115" t="n">
        <v>45712</v>
      </c>
      <c r="D1389" s="10" t="n">
        <v>250</v>
      </c>
      <c r="E1389" s="10" t="n">
        <v>9000</v>
      </c>
      <c r="F1389" s="10" t="s">
        <v>236</v>
      </c>
      <c r="G1389" s="18"/>
    </row>
    <row r="1390" customFormat="false" ht="15" hidden="false" customHeight="true" outlineLevel="0" collapsed="false">
      <c r="A1390" s="18" t="n">
        <v>225</v>
      </c>
      <c r="B1390" s="18" t="s">
        <v>610</v>
      </c>
      <c r="C1390" s="115" t="n">
        <v>45714</v>
      </c>
      <c r="D1390" s="10" t="n">
        <v>40</v>
      </c>
      <c r="E1390" s="10" t="n">
        <v>360</v>
      </c>
      <c r="F1390" s="10" t="s">
        <v>227</v>
      </c>
      <c r="G1390" s="18"/>
    </row>
    <row r="1391" customFormat="false" ht="15" hidden="false" customHeight="true" outlineLevel="0" collapsed="false">
      <c r="A1391" s="18" t="n">
        <v>270149</v>
      </c>
      <c r="B1391" s="18" t="s">
        <v>643</v>
      </c>
      <c r="C1391" s="115" t="n">
        <v>45714</v>
      </c>
      <c r="D1391" s="10" t="n">
        <v>40</v>
      </c>
      <c r="E1391" s="10" t="n">
        <v>75</v>
      </c>
      <c r="F1391" s="10" t="s">
        <v>227</v>
      </c>
      <c r="G1391" s="18"/>
    </row>
    <row r="1392" customFormat="false" ht="15" hidden="false" customHeight="true" outlineLevel="0" collapsed="false">
      <c r="A1392" s="18" t="n">
        <v>270147</v>
      </c>
      <c r="B1392" s="18" t="s">
        <v>288</v>
      </c>
      <c r="C1392" s="115" t="n">
        <v>45714</v>
      </c>
      <c r="D1392" s="10" t="n">
        <v>110</v>
      </c>
      <c r="E1392" s="10" t="n">
        <v>500</v>
      </c>
      <c r="F1392" s="10" t="s">
        <v>229</v>
      </c>
      <c r="G1392" s="18"/>
    </row>
    <row r="1393" customFormat="false" ht="15" hidden="false" customHeight="true" outlineLevel="0" collapsed="false">
      <c r="A1393" s="18" t="n">
        <v>270151</v>
      </c>
      <c r="B1393" s="18" t="s">
        <v>288</v>
      </c>
      <c r="C1393" s="115" t="n">
        <v>45714</v>
      </c>
      <c r="D1393" s="10" t="n">
        <v>110</v>
      </c>
      <c r="E1393" s="10" t="n">
        <v>500</v>
      </c>
      <c r="F1393" s="10" t="s">
        <v>229</v>
      </c>
      <c r="G1393" s="18"/>
    </row>
    <row r="1394" customFormat="false" ht="15" hidden="false" customHeight="true" outlineLevel="0" collapsed="false">
      <c r="A1394" s="18" t="n">
        <v>144</v>
      </c>
      <c r="B1394" s="18" t="s">
        <v>270</v>
      </c>
      <c r="C1394" s="115" t="n">
        <v>45714</v>
      </c>
      <c r="D1394" s="10" t="n">
        <v>130</v>
      </c>
      <c r="E1394" s="10" t="n">
        <v>625</v>
      </c>
      <c r="F1394" s="10" t="s">
        <v>262</v>
      </c>
      <c r="G1394" s="18"/>
    </row>
    <row r="1395" customFormat="false" ht="15" hidden="false" customHeight="true" outlineLevel="0" collapsed="false">
      <c r="A1395" s="18" t="n">
        <v>270146</v>
      </c>
      <c r="B1395" s="18" t="s">
        <v>513</v>
      </c>
      <c r="C1395" s="115" t="n">
        <v>45714</v>
      </c>
      <c r="D1395" s="10" t="n">
        <v>100</v>
      </c>
      <c r="E1395" s="10" t="n">
        <v>2750</v>
      </c>
      <c r="F1395" s="10" t="s">
        <v>296</v>
      </c>
      <c r="G1395" s="18"/>
    </row>
    <row r="1396" customFormat="false" ht="15" hidden="false" customHeight="true" outlineLevel="0" collapsed="false">
      <c r="A1396" s="18" t="n">
        <v>224</v>
      </c>
      <c r="B1396" s="18" t="s">
        <v>571</v>
      </c>
      <c r="C1396" s="115" t="n">
        <v>45714</v>
      </c>
      <c r="D1396" s="10" t="n">
        <v>110</v>
      </c>
      <c r="E1396" s="10" t="n">
        <v>2280</v>
      </c>
      <c r="F1396" s="10" t="s">
        <v>227</v>
      </c>
      <c r="G1396" s="18"/>
    </row>
    <row r="1397" customFormat="false" ht="15" hidden="false" customHeight="true" outlineLevel="0" collapsed="false">
      <c r="A1397" s="18" t="n">
        <v>270145</v>
      </c>
      <c r="B1397" s="18" t="s">
        <v>439</v>
      </c>
      <c r="C1397" s="115" t="n">
        <v>45714</v>
      </c>
      <c r="D1397" s="10" t="n">
        <v>210</v>
      </c>
      <c r="E1397" s="10" t="n">
        <v>104</v>
      </c>
      <c r="F1397" s="10" t="s">
        <v>225</v>
      </c>
      <c r="G1397" s="18"/>
    </row>
    <row r="1398" customFormat="false" ht="15" hidden="false" customHeight="true" outlineLevel="0" collapsed="false">
      <c r="A1398" s="18" t="n">
        <v>241</v>
      </c>
      <c r="B1398" s="18" t="s">
        <v>242</v>
      </c>
      <c r="C1398" s="115" t="n">
        <v>45715</v>
      </c>
      <c r="D1398" s="10" t="n">
        <v>60</v>
      </c>
      <c r="E1398" s="10" t="n">
        <v>400</v>
      </c>
      <c r="F1398" s="10" t="s">
        <v>225</v>
      </c>
      <c r="G1398" s="18"/>
    </row>
    <row r="1399" customFormat="false" ht="15" hidden="false" customHeight="true" outlineLevel="0" collapsed="false">
      <c r="A1399" s="18" t="n">
        <v>244</v>
      </c>
      <c r="B1399" s="18" t="s">
        <v>242</v>
      </c>
      <c r="C1399" s="115" t="n">
        <v>45715</v>
      </c>
      <c r="D1399" s="10" t="n">
        <v>60</v>
      </c>
      <c r="E1399" s="10" t="n">
        <v>480</v>
      </c>
      <c r="F1399" s="10" t="s">
        <v>225</v>
      </c>
      <c r="G1399" s="18"/>
    </row>
    <row r="1400" customFormat="false" ht="15" hidden="false" customHeight="true" outlineLevel="0" collapsed="false">
      <c r="A1400" s="18" t="n">
        <v>232</v>
      </c>
      <c r="B1400" s="18" t="s">
        <v>479</v>
      </c>
      <c r="C1400" s="115" t="n">
        <v>45715</v>
      </c>
      <c r="D1400" s="10" t="n">
        <v>70</v>
      </c>
      <c r="E1400" s="10" t="n">
        <v>1000</v>
      </c>
      <c r="F1400" s="10" t="s">
        <v>225</v>
      </c>
      <c r="G1400" s="18" t="s">
        <v>232</v>
      </c>
    </row>
    <row r="1401" customFormat="false" ht="15" hidden="false" customHeight="true" outlineLevel="0" collapsed="false">
      <c r="A1401" s="18" t="n">
        <v>233</v>
      </c>
      <c r="B1401" s="18" t="s">
        <v>238</v>
      </c>
      <c r="C1401" s="115" t="n">
        <v>45715</v>
      </c>
      <c r="D1401" s="10" t="n">
        <v>78</v>
      </c>
      <c r="E1401" s="10" t="n">
        <v>324</v>
      </c>
      <c r="F1401" s="10" t="s">
        <v>225</v>
      </c>
      <c r="G1401" s="18"/>
    </row>
    <row r="1402" customFormat="false" ht="15" hidden="false" customHeight="true" outlineLevel="0" collapsed="false">
      <c r="A1402" s="18" t="n">
        <v>228</v>
      </c>
      <c r="B1402" s="18" t="s">
        <v>472</v>
      </c>
      <c r="C1402" s="115" t="n">
        <v>45715</v>
      </c>
      <c r="D1402" s="10" t="n">
        <v>100</v>
      </c>
      <c r="E1402" s="10" t="n">
        <v>230</v>
      </c>
      <c r="F1402" s="10" t="s">
        <v>262</v>
      </c>
      <c r="G1402" s="18"/>
    </row>
    <row r="1403" customFormat="false" ht="15" hidden="false" customHeight="true" outlineLevel="0" collapsed="false">
      <c r="A1403" s="18" t="n">
        <v>690</v>
      </c>
      <c r="B1403" s="18" t="s">
        <v>472</v>
      </c>
      <c r="C1403" s="115" t="n">
        <v>45715</v>
      </c>
      <c r="D1403" s="10" t="n">
        <v>55</v>
      </c>
      <c r="E1403" s="10" t="n">
        <v>690</v>
      </c>
      <c r="F1403" s="10" t="s">
        <v>262</v>
      </c>
      <c r="G1403" s="18"/>
    </row>
    <row r="1404" customFormat="false" ht="15" hidden="false" customHeight="true" outlineLevel="0" collapsed="false">
      <c r="A1404" s="18" t="n">
        <v>243</v>
      </c>
      <c r="B1404" s="18" t="s">
        <v>242</v>
      </c>
      <c r="C1404" s="115" t="n">
        <v>45715</v>
      </c>
      <c r="D1404" s="10" t="n">
        <v>40</v>
      </c>
      <c r="E1404" s="10" t="n">
        <v>1000</v>
      </c>
      <c r="F1404" s="10" t="s">
        <v>248</v>
      </c>
      <c r="G1404" s="18"/>
    </row>
    <row r="1405" customFormat="false" ht="15" hidden="false" customHeight="true" outlineLevel="0" collapsed="false">
      <c r="A1405" s="18" t="n">
        <v>245</v>
      </c>
      <c r="B1405" s="18" t="s">
        <v>731</v>
      </c>
      <c r="C1405" s="115" t="n">
        <v>45715</v>
      </c>
      <c r="D1405" s="10" t="n">
        <v>110</v>
      </c>
      <c r="E1405" s="10" t="n">
        <v>550</v>
      </c>
      <c r="F1405" s="10" t="s">
        <v>227</v>
      </c>
      <c r="G1405" s="18"/>
    </row>
    <row r="1406" customFormat="false" ht="15" hidden="false" customHeight="true" outlineLevel="0" collapsed="false">
      <c r="A1406" s="18" t="n">
        <v>242</v>
      </c>
      <c r="B1406" s="18" t="s">
        <v>242</v>
      </c>
      <c r="C1406" s="115" t="n">
        <v>45715</v>
      </c>
      <c r="D1406" s="10" t="n">
        <v>110</v>
      </c>
      <c r="E1406" s="10" t="n">
        <v>300</v>
      </c>
      <c r="F1406" s="10" t="s">
        <v>225</v>
      </c>
      <c r="G1406" s="18"/>
    </row>
    <row r="1407" customFormat="false" ht="15" hidden="false" customHeight="true" outlineLevel="0" collapsed="false">
      <c r="A1407" s="18" t="n">
        <v>246</v>
      </c>
      <c r="B1407" s="18" t="s">
        <v>294</v>
      </c>
      <c r="C1407" s="115" t="n">
        <v>45715</v>
      </c>
      <c r="D1407" s="10" t="n">
        <v>130</v>
      </c>
      <c r="E1407" s="10" t="n">
        <v>2560</v>
      </c>
      <c r="F1407" s="10" t="s">
        <v>225</v>
      </c>
      <c r="G1407" s="18" t="s">
        <v>232</v>
      </c>
    </row>
    <row r="1408" customFormat="false" ht="15" hidden="false" customHeight="true" outlineLevel="0" collapsed="false">
      <c r="A1408" s="18" t="n">
        <v>240</v>
      </c>
      <c r="B1408" s="18" t="s">
        <v>736</v>
      </c>
      <c r="C1408" s="115" t="n">
        <v>45715</v>
      </c>
      <c r="D1408" s="10" t="n">
        <v>135</v>
      </c>
      <c r="E1408" s="10" t="n">
        <v>3000</v>
      </c>
      <c r="F1408" s="10" t="s">
        <v>225</v>
      </c>
      <c r="G1408" s="18"/>
    </row>
    <row r="1409" customFormat="false" ht="15" hidden="false" customHeight="true" outlineLevel="0" collapsed="false">
      <c r="A1409" s="18" t="n">
        <v>236</v>
      </c>
      <c r="B1409" s="18" t="s">
        <v>353</v>
      </c>
      <c r="C1409" s="115" t="n">
        <v>45715</v>
      </c>
      <c r="D1409" s="10" t="n">
        <v>210</v>
      </c>
      <c r="E1409" s="10" t="n">
        <v>4700</v>
      </c>
      <c r="F1409" s="10" t="s">
        <v>225</v>
      </c>
      <c r="G1409" s="18"/>
    </row>
    <row r="1410" customFormat="false" ht="15" hidden="false" customHeight="true" outlineLevel="0" collapsed="false">
      <c r="A1410" s="18" t="n">
        <v>331</v>
      </c>
      <c r="B1410" s="18" t="s">
        <v>470</v>
      </c>
      <c r="C1410" s="115" t="n">
        <v>45740</v>
      </c>
      <c r="D1410" s="10" t="n">
        <v>65</v>
      </c>
      <c r="E1410" s="10" t="n">
        <v>66</v>
      </c>
      <c r="F1410" s="10" t="s">
        <v>225</v>
      </c>
      <c r="G1410" s="18"/>
    </row>
    <row r="1411" customFormat="false" ht="15" hidden="false" customHeight="true" outlineLevel="0" collapsed="false">
      <c r="A1411" s="18" t="n">
        <v>270201</v>
      </c>
      <c r="B1411" s="18" t="s">
        <v>737</v>
      </c>
      <c r="C1411" s="115" t="n">
        <v>45740</v>
      </c>
      <c r="D1411" s="10" t="n">
        <v>90</v>
      </c>
      <c r="E1411" s="10" t="n">
        <v>1000</v>
      </c>
      <c r="F1411" s="10" t="s">
        <v>225</v>
      </c>
      <c r="G1411" s="18"/>
    </row>
    <row r="1412" customFormat="false" ht="15" hidden="false" customHeight="true" outlineLevel="0" collapsed="false">
      <c r="A1412" s="18" t="n">
        <v>310</v>
      </c>
      <c r="B1412" s="18" t="s">
        <v>389</v>
      </c>
      <c r="C1412" s="115" t="n">
        <v>45740</v>
      </c>
      <c r="D1412" s="10" t="n">
        <v>95</v>
      </c>
      <c r="E1412" s="10" t="n">
        <v>1490</v>
      </c>
      <c r="F1412" s="10" t="s">
        <v>225</v>
      </c>
      <c r="G1412" s="18" t="s">
        <v>232</v>
      </c>
    </row>
    <row r="1413" customFormat="false" ht="15" hidden="false" customHeight="true" outlineLevel="0" collapsed="false">
      <c r="A1413" s="18" t="n">
        <v>270191</v>
      </c>
      <c r="B1413" s="18" t="s">
        <v>338</v>
      </c>
      <c r="C1413" s="115" t="n">
        <v>45740</v>
      </c>
      <c r="D1413" s="10" t="n">
        <v>97</v>
      </c>
      <c r="E1413" s="10" t="n">
        <v>1900</v>
      </c>
      <c r="F1413" s="10" t="s">
        <v>225</v>
      </c>
      <c r="G1413" s="18" t="s">
        <v>232</v>
      </c>
    </row>
    <row r="1414" customFormat="false" ht="15" hidden="false" customHeight="true" outlineLevel="0" collapsed="false">
      <c r="A1414" s="18" t="n">
        <v>270200</v>
      </c>
      <c r="B1414" s="18" t="s">
        <v>538</v>
      </c>
      <c r="C1414" s="115" t="n">
        <v>45740</v>
      </c>
      <c r="D1414" s="10" t="n">
        <v>100</v>
      </c>
      <c r="E1414" s="10" t="n">
        <v>300</v>
      </c>
      <c r="F1414" s="10" t="s">
        <v>225</v>
      </c>
      <c r="G1414" s="18"/>
    </row>
    <row r="1415" customFormat="false" ht="15" hidden="false" customHeight="true" outlineLevel="0" collapsed="false">
      <c r="A1415" s="18" t="n">
        <v>322</v>
      </c>
      <c r="B1415" s="18" t="s">
        <v>730</v>
      </c>
      <c r="C1415" s="115" t="n">
        <v>45740</v>
      </c>
      <c r="D1415" s="10" t="n">
        <v>220</v>
      </c>
      <c r="E1415" s="10" t="n">
        <v>1485</v>
      </c>
      <c r="F1415" s="10" t="s">
        <v>229</v>
      </c>
      <c r="G1415" s="18"/>
    </row>
    <row r="1416" customFormat="false" ht="15" hidden="false" customHeight="true" outlineLevel="0" collapsed="false">
      <c r="A1416" s="18" t="n">
        <v>312</v>
      </c>
      <c r="B1416" s="18" t="s">
        <v>738</v>
      </c>
      <c r="C1416" s="115" t="n">
        <v>45740</v>
      </c>
      <c r="D1416" s="10" t="n">
        <v>83</v>
      </c>
      <c r="E1416" s="10" t="n">
        <v>5200</v>
      </c>
      <c r="F1416" s="10" t="s">
        <v>229</v>
      </c>
      <c r="G1416" s="18"/>
    </row>
    <row r="1417" customFormat="false" ht="15" hidden="false" customHeight="true" outlineLevel="0" collapsed="false">
      <c r="A1417" s="18" t="n">
        <v>327</v>
      </c>
      <c r="B1417" s="18" t="s">
        <v>739</v>
      </c>
      <c r="C1417" s="115" t="n">
        <v>45740</v>
      </c>
      <c r="D1417" s="10" t="n">
        <v>45</v>
      </c>
      <c r="E1417" s="10" t="n">
        <v>240</v>
      </c>
      <c r="F1417" s="10" t="s">
        <v>577</v>
      </c>
      <c r="G1417" s="18"/>
    </row>
    <row r="1418" customFormat="false" ht="15" hidden="false" customHeight="true" outlineLevel="0" collapsed="false">
      <c r="A1418" s="18" t="n">
        <v>270181</v>
      </c>
      <c r="B1418" s="18" t="s">
        <v>261</v>
      </c>
      <c r="C1418" s="115" t="n">
        <v>45740</v>
      </c>
      <c r="D1418" s="10" t="n">
        <v>135</v>
      </c>
      <c r="E1418" s="10" t="n">
        <v>225</v>
      </c>
      <c r="F1418" s="10" t="s">
        <v>262</v>
      </c>
      <c r="G1418" s="18"/>
    </row>
    <row r="1419" customFormat="false" ht="15" hidden="false" customHeight="true" outlineLevel="0" collapsed="false">
      <c r="A1419" s="18" t="n">
        <v>305</v>
      </c>
      <c r="B1419" s="18" t="s">
        <v>740</v>
      </c>
      <c r="C1419" s="115" t="n">
        <v>45740</v>
      </c>
      <c r="D1419" s="10" t="n">
        <v>110</v>
      </c>
      <c r="E1419" s="10" t="n">
        <v>1400</v>
      </c>
      <c r="F1419" s="10" t="s">
        <v>227</v>
      </c>
      <c r="G1419" s="18"/>
    </row>
    <row r="1420" customFormat="false" ht="15" hidden="false" customHeight="true" outlineLevel="0" collapsed="false">
      <c r="A1420" s="18" t="n">
        <v>329</v>
      </c>
      <c r="B1420" s="18" t="s">
        <v>224</v>
      </c>
      <c r="C1420" s="115" t="n">
        <v>45740</v>
      </c>
      <c r="D1420" s="10" t="n">
        <v>105</v>
      </c>
      <c r="E1420" s="10" t="n">
        <v>663</v>
      </c>
      <c r="F1420" s="10" t="s">
        <v>229</v>
      </c>
      <c r="G1420" s="18"/>
    </row>
    <row r="1421" customFormat="false" ht="15" hidden="false" customHeight="true" outlineLevel="0" collapsed="false">
      <c r="A1421" s="18" t="n">
        <v>317</v>
      </c>
      <c r="B1421" s="18" t="s">
        <v>285</v>
      </c>
      <c r="C1421" s="115" t="n">
        <v>45740</v>
      </c>
      <c r="D1421" s="10" t="n">
        <v>125</v>
      </c>
      <c r="E1421" s="10" t="n">
        <v>4000</v>
      </c>
      <c r="F1421" s="10" t="s">
        <v>225</v>
      </c>
      <c r="G1421" s="18"/>
    </row>
    <row r="1422" customFormat="false" ht="15" hidden="false" customHeight="true" outlineLevel="0" collapsed="false">
      <c r="A1422" s="18" t="n">
        <v>270140</v>
      </c>
      <c r="B1422" s="18" t="s">
        <v>741</v>
      </c>
      <c r="C1422" s="115" t="n">
        <v>45740</v>
      </c>
      <c r="D1422" s="10" t="n">
        <v>185</v>
      </c>
      <c r="E1422" s="10" t="n">
        <v>4900</v>
      </c>
      <c r="F1422" s="10" t="s">
        <v>225</v>
      </c>
      <c r="G1422" s="18"/>
    </row>
    <row r="1423" customFormat="false" ht="15" hidden="false" customHeight="true" outlineLevel="0" collapsed="false">
      <c r="A1423" s="18" t="n">
        <v>309</v>
      </c>
      <c r="B1423" s="18" t="s">
        <v>245</v>
      </c>
      <c r="C1423" s="115" t="n">
        <v>45740</v>
      </c>
      <c r="D1423" s="10" t="n">
        <v>210</v>
      </c>
      <c r="E1423" s="10" t="n">
        <v>2600</v>
      </c>
      <c r="F1423" s="10" t="s">
        <v>225</v>
      </c>
      <c r="G1423" s="18"/>
    </row>
    <row r="1424" customFormat="false" ht="15" hidden="false" customHeight="true" outlineLevel="0" collapsed="false">
      <c r="A1424" s="18" t="n">
        <v>325</v>
      </c>
      <c r="B1424" s="18" t="s">
        <v>742</v>
      </c>
      <c r="C1424" s="115" t="n">
        <v>45740</v>
      </c>
      <c r="D1424" s="10" t="n">
        <v>250</v>
      </c>
      <c r="E1424" s="10" t="n">
        <v>13541</v>
      </c>
      <c r="F1424" s="10" t="s">
        <v>236</v>
      </c>
      <c r="G1424" s="18"/>
    </row>
    <row r="1425" customFormat="false" ht="15" hidden="false" customHeight="true" outlineLevel="0" collapsed="false">
      <c r="A1425" s="18" t="n">
        <v>333</v>
      </c>
      <c r="B1425" s="18" t="s">
        <v>303</v>
      </c>
      <c r="C1425" s="115" t="n">
        <v>45743</v>
      </c>
      <c r="D1425" s="10" t="n">
        <v>100</v>
      </c>
      <c r="E1425" s="10" t="n">
        <v>750</v>
      </c>
      <c r="F1425" s="10" t="s">
        <v>225</v>
      </c>
      <c r="G1425" s="18"/>
    </row>
    <row r="1426" customFormat="false" ht="15" hidden="false" customHeight="true" outlineLevel="0" collapsed="false">
      <c r="A1426" s="18" t="n">
        <v>333</v>
      </c>
      <c r="B1426" s="18" t="s">
        <v>303</v>
      </c>
      <c r="C1426" s="115" t="n">
        <v>45743</v>
      </c>
      <c r="D1426" s="10" t="n">
        <v>105</v>
      </c>
      <c r="E1426" s="10" t="n">
        <v>1820</v>
      </c>
      <c r="F1426" s="10" t="s">
        <v>225</v>
      </c>
      <c r="G1426" s="18"/>
    </row>
    <row r="1427" customFormat="false" ht="15" hidden="false" customHeight="true" outlineLevel="0" collapsed="false">
      <c r="A1427" s="18" t="n">
        <v>341</v>
      </c>
      <c r="B1427" s="18" t="s">
        <v>242</v>
      </c>
      <c r="C1427" s="115" t="n">
        <v>45743</v>
      </c>
      <c r="D1427" s="10" t="n">
        <v>110</v>
      </c>
      <c r="E1427" s="10" t="n">
        <v>224</v>
      </c>
      <c r="F1427" s="10" t="s">
        <v>225</v>
      </c>
      <c r="G1427" s="18"/>
    </row>
    <row r="1428" customFormat="false" ht="15" hidden="false" customHeight="true" outlineLevel="0" collapsed="false">
      <c r="A1428" s="18" t="n">
        <v>332</v>
      </c>
      <c r="B1428" s="18" t="s">
        <v>743</v>
      </c>
      <c r="C1428" s="115" t="n">
        <v>45743</v>
      </c>
      <c r="D1428" s="10" t="n">
        <v>110</v>
      </c>
      <c r="E1428" s="10" t="n">
        <v>630</v>
      </c>
      <c r="F1428" s="10" t="s">
        <v>225</v>
      </c>
      <c r="G1428" s="18"/>
    </row>
    <row r="1429" customFormat="false" ht="15" hidden="false" customHeight="true" outlineLevel="0" collapsed="false">
      <c r="A1429" s="18" t="n">
        <v>332</v>
      </c>
      <c r="B1429" s="18" t="s">
        <v>743</v>
      </c>
      <c r="C1429" s="115" t="n">
        <v>45743</v>
      </c>
      <c r="D1429" s="10" t="n">
        <v>137</v>
      </c>
      <c r="E1429" s="10" t="n">
        <v>56</v>
      </c>
      <c r="F1429" s="10" t="s">
        <v>225</v>
      </c>
      <c r="G1429" s="18"/>
    </row>
    <row r="1430" customFormat="false" ht="15" hidden="false" customHeight="true" outlineLevel="0" collapsed="false">
      <c r="A1430" s="18" t="n">
        <v>270210</v>
      </c>
      <c r="B1430" s="18" t="s">
        <v>475</v>
      </c>
      <c r="C1430" s="115" t="n">
        <v>45743</v>
      </c>
      <c r="D1430" s="10" t="n">
        <v>138</v>
      </c>
      <c r="E1430" s="10" t="n">
        <v>1400</v>
      </c>
      <c r="F1430" s="10" t="s">
        <v>225</v>
      </c>
      <c r="G1430" s="18"/>
    </row>
    <row r="1431" customFormat="false" ht="15" hidden="false" customHeight="true" outlineLevel="0" collapsed="false">
      <c r="A1431" s="18" t="n">
        <v>337</v>
      </c>
      <c r="B1431" s="18" t="s">
        <v>727</v>
      </c>
      <c r="C1431" s="115" t="n">
        <v>45743</v>
      </c>
      <c r="D1431" s="10" t="n">
        <v>250</v>
      </c>
      <c r="E1431" s="10" t="n">
        <v>6400</v>
      </c>
      <c r="F1431" s="10" t="s">
        <v>236</v>
      </c>
      <c r="G1431" s="18"/>
    </row>
    <row r="1432" customFormat="false" ht="15" hidden="false" customHeight="true" outlineLevel="0" collapsed="false">
      <c r="A1432" s="18" t="n">
        <v>356</v>
      </c>
      <c r="B1432" s="18" t="s">
        <v>586</v>
      </c>
      <c r="C1432" s="115" t="n">
        <v>45744</v>
      </c>
      <c r="D1432" s="10" t="n">
        <v>95</v>
      </c>
      <c r="E1432" s="10" t="n">
        <v>243</v>
      </c>
      <c r="F1432" s="10" t="s">
        <v>236</v>
      </c>
      <c r="G1432" s="18"/>
    </row>
    <row r="1433" customFormat="false" ht="15" hidden="false" customHeight="true" outlineLevel="0" collapsed="false">
      <c r="A1433" s="18" t="n">
        <v>343</v>
      </c>
      <c r="B1433" s="18" t="s">
        <v>321</v>
      </c>
      <c r="C1433" s="115" t="n">
        <v>45744</v>
      </c>
      <c r="D1433" s="10" t="n">
        <v>210</v>
      </c>
      <c r="E1433" s="10" t="n">
        <v>1082</v>
      </c>
      <c r="F1433" s="10" t="s">
        <v>236</v>
      </c>
      <c r="G1433" s="18"/>
    </row>
    <row r="1434" customFormat="false" ht="15" hidden="false" customHeight="true" outlineLevel="0" collapsed="false">
      <c r="A1434" s="18" t="n">
        <v>270211</v>
      </c>
      <c r="B1434" s="18" t="s">
        <v>744</v>
      </c>
      <c r="C1434" s="115" t="n">
        <v>45744</v>
      </c>
      <c r="D1434" s="10" t="n">
        <v>65</v>
      </c>
      <c r="E1434" s="10" t="n">
        <v>430</v>
      </c>
      <c r="F1434" s="10" t="s">
        <v>225</v>
      </c>
      <c r="G1434" s="18"/>
    </row>
    <row r="1435" customFormat="false" ht="15" hidden="false" customHeight="true" outlineLevel="0" collapsed="false">
      <c r="A1435" s="18" t="n">
        <v>351</v>
      </c>
      <c r="B1435" s="18" t="s">
        <v>389</v>
      </c>
      <c r="C1435" s="115" t="n">
        <v>45744</v>
      </c>
      <c r="D1435" s="10" t="n">
        <v>95</v>
      </c>
      <c r="E1435" s="10" t="n">
        <v>745</v>
      </c>
      <c r="F1435" s="10" t="s">
        <v>225</v>
      </c>
      <c r="G1435" s="18" t="s">
        <v>232</v>
      </c>
    </row>
    <row r="1436" customFormat="false" ht="15" hidden="false" customHeight="true" outlineLevel="0" collapsed="false">
      <c r="A1436" s="18" t="n">
        <v>348</v>
      </c>
      <c r="B1436" s="18" t="s">
        <v>389</v>
      </c>
      <c r="C1436" s="115" t="n">
        <v>45744</v>
      </c>
      <c r="D1436" s="10" t="n">
        <v>95</v>
      </c>
      <c r="E1436" s="10" t="n">
        <v>4000</v>
      </c>
      <c r="F1436" s="10" t="s">
        <v>225</v>
      </c>
      <c r="G1436" s="18" t="s">
        <v>232</v>
      </c>
    </row>
    <row r="1437" customFormat="false" ht="15" hidden="false" customHeight="true" outlineLevel="0" collapsed="false">
      <c r="A1437" s="18" t="n">
        <v>270213</v>
      </c>
      <c r="B1437" s="18" t="s">
        <v>745</v>
      </c>
      <c r="C1437" s="115" t="n">
        <v>45744</v>
      </c>
      <c r="D1437" s="10" t="n">
        <v>100</v>
      </c>
      <c r="E1437" s="10" t="n">
        <v>240</v>
      </c>
      <c r="F1437" s="10" t="s">
        <v>225</v>
      </c>
      <c r="G1437" s="18"/>
    </row>
    <row r="1438" customFormat="false" ht="15" hidden="false" customHeight="true" outlineLevel="0" collapsed="false">
      <c r="A1438" s="18" t="n">
        <v>344</v>
      </c>
      <c r="B1438" s="18" t="s">
        <v>363</v>
      </c>
      <c r="C1438" s="115" t="n">
        <v>45744</v>
      </c>
      <c r="D1438" s="10" t="n">
        <v>75</v>
      </c>
      <c r="E1438" s="10" t="n">
        <v>690</v>
      </c>
      <c r="F1438" s="10" t="s">
        <v>227</v>
      </c>
      <c r="G1438" s="18"/>
    </row>
    <row r="1439" customFormat="false" ht="15" hidden="false" customHeight="true" outlineLevel="0" collapsed="false">
      <c r="A1439" s="18" t="n">
        <v>350</v>
      </c>
      <c r="B1439" s="18" t="s">
        <v>746</v>
      </c>
      <c r="C1439" s="115" t="n">
        <v>45744</v>
      </c>
      <c r="D1439" s="10" t="n">
        <v>210</v>
      </c>
      <c r="E1439" s="10" t="n">
        <v>2475</v>
      </c>
      <c r="F1439" s="10" t="s">
        <v>229</v>
      </c>
      <c r="G1439" s="18"/>
    </row>
    <row r="1440" customFormat="false" ht="15" hidden="false" customHeight="true" outlineLevel="0" collapsed="false">
      <c r="A1440" s="18" t="n">
        <v>350</v>
      </c>
      <c r="B1440" s="18" t="s">
        <v>746</v>
      </c>
      <c r="C1440" s="115" t="n">
        <v>45744</v>
      </c>
      <c r="D1440" s="10" t="n">
        <v>210</v>
      </c>
      <c r="E1440" s="10" t="n">
        <v>2475</v>
      </c>
      <c r="F1440" s="10" t="s">
        <v>229</v>
      </c>
      <c r="G1440" s="18"/>
    </row>
    <row r="1441" customFormat="false" ht="15" hidden="false" customHeight="true" outlineLevel="0" collapsed="false">
      <c r="A1441" s="18" t="n">
        <v>327</v>
      </c>
      <c r="B1441" s="18" t="s">
        <v>739</v>
      </c>
      <c r="C1441" s="115" t="n">
        <v>45744</v>
      </c>
      <c r="D1441" s="10" t="n">
        <v>45</v>
      </c>
      <c r="E1441" s="10" t="n">
        <v>240</v>
      </c>
      <c r="F1441" s="10" t="s">
        <v>577</v>
      </c>
      <c r="G1441" s="18"/>
    </row>
    <row r="1442" customFormat="false" ht="15" hidden="false" customHeight="true" outlineLevel="0" collapsed="false">
      <c r="A1442" s="18" t="n">
        <v>353</v>
      </c>
      <c r="B1442" s="18" t="s">
        <v>224</v>
      </c>
      <c r="C1442" s="115" t="n">
        <v>45744</v>
      </c>
      <c r="D1442" s="10" t="n">
        <v>55</v>
      </c>
      <c r="E1442" s="10" t="n">
        <v>1380</v>
      </c>
      <c r="F1442" s="10" t="s">
        <v>248</v>
      </c>
      <c r="G1442" s="18"/>
    </row>
    <row r="1443" customFormat="false" ht="15" hidden="false" customHeight="true" outlineLevel="0" collapsed="false">
      <c r="A1443" s="18" t="n">
        <v>27021</v>
      </c>
      <c r="B1443" s="18" t="s">
        <v>264</v>
      </c>
      <c r="C1443" s="115" t="n">
        <v>45744</v>
      </c>
      <c r="D1443" s="10" t="n">
        <v>145</v>
      </c>
      <c r="E1443" s="10" t="n">
        <v>500</v>
      </c>
      <c r="F1443" s="10" t="s">
        <v>227</v>
      </c>
      <c r="G1443" s="18"/>
    </row>
    <row r="1444" customFormat="false" ht="15" hidden="false" customHeight="true" outlineLevel="0" collapsed="false">
      <c r="A1444" s="18" t="n">
        <v>349</v>
      </c>
      <c r="B1444" s="18" t="s">
        <v>342</v>
      </c>
      <c r="C1444" s="115" t="n">
        <v>45744</v>
      </c>
      <c r="D1444" s="10" t="n">
        <v>110</v>
      </c>
      <c r="E1444" s="10" t="n">
        <v>1500</v>
      </c>
      <c r="F1444" s="10" t="s">
        <v>225</v>
      </c>
      <c r="G1444" s="18"/>
    </row>
    <row r="1445" customFormat="false" ht="15" hidden="false" customHeight="true" outlineLevel="0" collapsed="false">
      <c r="A1445" s="18" t="n">
        <v>352</v>
      </c>
      <c r="B1445" s="18" t="s">
        <v>389</v>
      </c>
      <c r="C1445" s="115" t="n">
        <v>45744</v>
      </c>
      <c r="D1445" s="10" t="n">
        <v>148</v>
      </c>
      <c r="E1445" s="10" t="n">
        <v>2430</v>
      </c>
      <c r="F1445" s="10" t="s">
        <v>225</v>
      </c>
      <c r="G1445" s="18" t="s">
        <v>232</v>
      </c>
    </row>
    <row r="1446" customFormat="false" ht="15" hidden="false" customHeight="true" outlineLevel="0" collapsed="false">
      <c r="A1446" s="18" t="n">
        <v>353</v>
      </c>
      <c r="B1446" s="18" t="s">
        <v>224</v>
      </c>
      <c r="C1446" s="115" t="n">
        <v>45744</v>
      </c>
      <c r="D1446" s="10" t="n">
        <v>210</v>
      </c>
      <c r="E1446" s="10" t="n">
        <v>2988</v>
      </c>
      <c r="F1446" s="10" t="s">
        <v>225</v>
      </c>
      <c r="G1446" s="18"/>
    </row>
    <row r="1447" customFormat="false" ht="15" hidden="false" customHeight="true" outlineLevel="0" collapsed="false">
      <c r="A1447" s="18" t="n">
        <v>357</v>
      </c>
      <c r="B1447" s="18" t="s">
        <v>747</v>
      </c>
      <c r="C1447" s="115" t="n">
        <v>45744</v>
      </c>
      <c r="D1447" s="10" t="n">
        <v>210</v>
      </c>
      <c r="E1447" s="10" t="n">
        <v>773</v>
      </c>
      <c r="F1447" s="10" t="s">
        <v>225</v>
      </c>
      <c r="G1447" s="18"/>
    </row>
    <row r="1448" customFormat="false" ht="15" hidden="false" customHeight="true" outlineLevel="0" collapsed="false">
      <c r="A1448" s="18" t="n">
        <v>359</v>
      </c>
      <c r="B1448" s="18" t="s">
        <v>506</v>
      </c>
      <c r="C1448" s="115" t="n">
        <v>45748</v>
      </c>
      <c r="D1448" s="10" t="n">
        <v>220</v>
      </c>
      <c r="E1448" s="10" t="n">
        <v>2475</v>
      </c>
      <c r="F1448" s="10" t="s">
        <v>229</v>
      </c>
      <c r="G1448" s="18"/>
    </row>
    <row r="1449" customFormat="false" ht="15" hidden="false" customHeight="true" outlineLevel="0" collapsed="false">
      <c r="A1449" s="18" t="n">
        <v>361</v>
      </c>
      <c r="B1449" s="18" t="s">
        <v>272</v>
      </c>
      <c r="C1449" s="115" t="n">
        <v>45748</v>
      </c>
      <c r="D1449" s="10" t="n">
        <v>110</v>
      </c>
      <c r="E1449" s="10" t="n">
        <v>3000</v>
      </c>
      <c r="F1449" s="10" t="s">
        <v>227</v>
      </c>
      <c r="G1449" s="18"/>
    </row>
    <row r="1450" customFormat="false" ht="15" hidden="false" customHeight="true" outlineLevel="0" collapsed="false">
      <c r="A1450" s="18" t="n">
        <v>385</v>
      </c>
      <c r="B1450" s="18" t="s">
        <v>748</v>
      </c>
      <c r="C1450" s="115" t="n">
        <v>45754</v>
      </c>
      <c r="D1450" s="10" t="n">
        <v>220</v>
      </c>
      <c r="E1450" s="10" t="n">
        <v>124</v>
      </c>
      <c r="F1450" s="10" t="s">
        <v>236</v>
      </c>
      <c r="G1450" s="18"/>
    </row>
    <row r="1451" customFormat="false" ht="15" hidden="false" customHeight="true" outlineLevel="0" collapsed="false">
      <c r="A1451" s="18" t="n">
        <v>210230</v>
      </c>
      <c r="B1451" s="18" t="s">
        <v>749</v>
      </c>
      <c r="C1451" s="115" t="n">
        <v>45754</v>
      </c>
      <c r="D1451" s="10" t="n">
        <v>70</v>
      </c>
      <c r="E1451" s="10" t="n">
        <v>150</v>
      </c>
      <c r="F1451" s="10" t="s">
        <v>225</v>
      </c>
      <c r="G1451" s="18"/>
    </row>
    <row r="1452" customFormat="false" ht="15" hidden="false" customHeight="true" outlineLevel="0" collapsed="false">
      <c r="A1452" s="18" t="n">
        <v>370</v>
      </c>
      <c r="B1452" s="18" t="s">
        <v>461</v>
      </c>
      <c r="C1452" s="115" t="n">
        <v>45754</v>
      </c>
      <c r="D1452" s="10" t="n">
        <v>70</v>
      </c>
      <c r="E1452" s="10" t="n">
        <v>272</v>
      </c>
      <c r="F1452" s="10" t="s">
        <v>225</v>
      </c>
      <c r="G1452" s="18" t="s">
        <v>232</v>
      </c>
    </row>
    <row r="1453" customFormat="false" ht="15" hidden="false" customHeight="true" outlineLevel="0" collapsed="false">
      <c r="A1453" s="18" t="n">
        <v>210230</v>
      </c>
      <c r="B1453" s="18" t="s">
        <v>749</v>
      </c>
      <c r="C1453" s="115" t="n">
        <v>45754</v>
      </c>
      <c r="D1453" s="10" t="n">
        <v>80</v>
      </c>
      <c r="E1453" s="10" t="n">
        <v>150</v>
      </c>
      <c r="F1453" s="10" t="s">
        <v>225</v>
      </c>
      <c r="G1453" s="18"/>
    </row>
    <row r="1454" customFormat="false" ht="15" hidden="false" customHeight="true" outlineLevel="0" collapsed="false">
      <c r="A1454" s="18" t="n">
        <v>270235</v>
      </c>
      <c r="B1454" s="18" t="s">
        <v>750</v>
      </c>
      <c r="C1454" s="115" t="n">
        <v>45754</v>
      </c>
      <c r="D1454" s="10" t="n">
        <v>80</v>
      </c>
      <c r="E1454" s="10" t="n">
        <v>340</v>
      </c>
      <c r="F1454" s="10" t="s">
        <v>225</v>
      </c>
      <c r="G1454" s="18"/>
    </row>
    <row r="1455" customFormat="false" ht="15" hidden="false" customHeight="true" outlineLevel="0" collapsed="false">
      <c r="A1455" s="18" t="n">
        <v>270238</v>
      </c>
      <c r="B1455" s="18" t="s">
        <v>751</v>
      </c>
      <c r="C1455" s="115" t="n">
        <v>45754</v>
      </c>
      <c r="D1455" s="10" t="n">
        <v>80</v>
      </c>
      <c r="E1455" s="10" t="n">
        <v>960</v>
      </c>
      <c r="F1455" s="10" t="s">
        <v>225</v>
      </c>
      <c r="G1455" s="18"/>
    </row>
    <row r="1456" customFormat="false" ht="15" hidden="false" customHeight="true" outlineLevel="0" collapsed="false">
      <c r="A1456" s="18" t="n">
        <v>270223</v>
      </c>
      <c r="B1456" s="18" t="s">
        <v>752</v>
      </c>
      <c r="C1456" s="115" t="n">
        <v>45754</v>
      </c>
      <c r="D1456" s="10" t="n">
        <v>83</v>
      </c>
      <c r="E1456" s="10" t="n">
        <v>2850</v>
      </c>
      <c r="F1456" s="10" t="s">
        <v>225</v>
      </c>
      <c r="G1456" s="18"/>
    </row>
    <row r="1457" customFormat="false" ht="15" hidden="false" customHeight="true" outlineLevel="0" collapsed="false">
      <c r="A1457" s="18" t="n">
        <v>368</v>
      </c>
      <c r="B1457" s="18" t="s">
        <v>309</v>
      </c>
      <c r="C1457" s="115" t="n">
        <v>45754</v>
      </c>
      <c r="D1457" s="10" t="n">
        <v>97</v>
      </c>
      <c r="E1457" s="10" t="n">
        <v>380</v>
      </c>
      <c r="F1457" s="10" t="s">
        <v>225</v>
      </c>
      <c r="G1457" s="18"/>
    </row>
    <row r="1458" customFormat="false" ht="15" hidden="false" customHeight="true" outlineLevel="0" collapsed="false">
      <c r="A1458" s="18" t="n">
        <v>210230</v>
      </c>
      <c r="B1458" s="18" t="s">
        <v>749</v>
      </c>
      <c r="C1458" s="115" t="n">
        <v>45754</v>
      </c>
      <c r="D1458" s="10" t="n">
        <v>100</v>
      </c>
      <c r="E1458" s="10" t="n">
        <v>150</v>
      </c>
      <c r="F1458" s="10" t="s">
        <v>225</v>
      </c>
      <c r="G1458" s="18"/>
    </row>
    <row r="1459" customFormat="false" ht="15" hidden="false" customHeight="true" outlineLevel="0" collapsed="false">
      <c r="A1459" s="18" t="n">
        <v>364</v>
      </c>
      <c r="B1459" s="18" t="s">
        <v>340</v>
      </c>
      <c r="C1459" s="115" t="n">
        <v>45754</v>
      </c>
      <c r="D1459" s="10" t="n">
        <v>100</v>
      </c>
      <c r="E1459" s="10" t="n">
        <v>3810</v>
      </c>
      <c r="F1459" s="10" t="s">
        <v>225</v>
      </c>
      <c r="G1459" s="18"/>
    </row>
    <row r="1460" customFormat="false" ht="15" hidden="false" customHeight="true" outlineLevel="0" collapsed="false">
      <c r="A1460" s="18" t="n">
        <v>371</v>
      </c>
      <c r="B1460" s="18" t="s">
        <v>291</v>
      </c>
      <c r="C1460" s="115" t="n">
        <v>45754</v>
      </c>
      <c r="D1460" s="10" t="n">
        <v>105</v>
      </c>
      <c r="E1460" s="10" t="n">
        <v>726</v>
      </c>
      <c r="F1460" s="10" t="s">
        <v>225</v>
      </c>
      <c r="G1460" s="18"/>
    </row>
    <row r="1461" customFormat="false" ht="15" hidden="false" customHeight="true" outlineLevel="0" collapsed="false">
      <c r="A1461" s="18" t="n">
        <v>365</v>
      </c>
      <c r="B1461" s="18" t="s">
        <v>753</v>
      </c>
      <c r="C1461" s="115" t="n">
        <v>45754</v>
      </c>
      <c r="D1461" s="10" t="n">
        <v>110</v>
      </c>
      <c r="E1461" s="10" t="n">
        <v>1248</v>
      </c>
      <c r="F1461" s="10" t="s">
        <v>225</v>
      </c>
      <c r="G1461" s="18"/>
    </row>
    <row r="1462" customFormat="false" ht="15" hidden="false" customHeight="true" outlineLevel="0" collapsed="false">
      <c r="A1462" s="18" t="n">
        <v>374</v>
      </c>
      <c r="B1462" s="18" t="s">
        <v>270</v>
      </c>
      <c r="C1462" s="115" t="n">
        <v>45754</v>
      </c>
      <c r="D1462" s="10" t="n">
        <v>65</v>
      </c>
      <c r="E1462" s="10" t="n">
        <v>1875</v>
      </c>
      <c r="F1462" s="10" t="s">
        <v>229</v>
      </c>
      <c r="G1462" s="18"/>
    </row>
    <row r="1463" customFormat="false" ht="15" hidden="false" customHeight="true" outlineLevel="0" collapsed="false">
      <c r="A1463" s="18" t="n">
        <v>380</v>
      </c>
      <c r="B1463" s="18" t="s">
        <v>432</v>
      </c>
      <c r="C1463" s="115" t="n">
        <v>45754</v>
      </c>
      <c r="D1463" s="10" t="n">
        <v>210</v>
      </c>
      <c r="E1463" s="10" t="n">
        <v>65</v>
      </c>
      <c r="F1463" s="10"/>
      <c r="G1463" s="18"/>
    </row>
    <row r="1464" customFormat="false" ht="15" hidden="false" customHeight="true" outlineLevel="0" collapsed="false">
      <c r="A1464" s="18" t="n">
        <v>369</v>
      </c>
      <c r="B1464" s="18" t="s">
        <v>377</v>
      </c>
      <c r="C1464" s="115" t="n">
        <v>45754</v>
      </c>
      <c r="D1464" s="10" t="n">
        <v>110</v>
      </c>
      <c r="E1464" s="10" t="n">
        <v>300</v>
      </c>
      <c r="F1464" s="10" t="s">
        <v>754</v>
      </c>
      <c r="G1464" s="18"/>
    </row>
    <row r="1465" customFormat="false" ht="15" hidden="false" customHeight="true" outlineLevel="0" collapsed="false">
      <c r="A1465" s="18" t="n">
        <v>270236</v>
      </c>
      <c r="B1465" s="18" t="s">
        <v>450</v>
      </c>
      <c r="C1465" s="115" t="n">
        <v>45754</v>
      </c>
      <c r="D1465" s="10" t="n">
        <v>48</v>
      </c>
      <c r="E1465" s="10" t="n">
        <v>260</v>
      </c>
      <c r="F1465" s="10" t="s">
        <v>262</v>
      </c>
      <c r="G1465" s="18"/>
    </row>
    <row r="1466" customFormat="false" ht="15" hidden="false" customHeight="true" outlineLevel="0" collapsed="false">
      <c r="A1466" s="18" t="n">
        <v>270229</v>
      </c>
      <c r="B1466" s="18" t="s">
        <v>252</v>
      </c>
      <c r="C1466" s="115" t="n">
        <v>45754</v>
      </c>
      <c r="D1466" s="10" t="n">
        <v>35</v>
      </c>
      <c r="E1466" s="10" t="n">
        <v>900</v>
      </c>
      <c r="F1466" s="10" t="s">
        <v>262</v>
      </c>
      <c r="G1466" s="18"/>
    </row>
    <row r="1467" customFormat="false" ht="15" hidden="false" customHeight="true" outlineLevel="0" collapsed="false">
      <c r="A1467" s="18" t="n">
        <v>373</v>
      </c>
      <c r="B1467" s="18" t="s">
        <v>699</v>
      </c>
      <c r="C1467" s="115" t="n">
        <v>45754</v>
      </c>
      <c r="D1467" s="10" t="n">
        <v>30</v>
      </c>
      <c r="E1467" s="10" t="n">
        <v>600</v>
      </c>
      <c r="F1467" s="10" t="s">
        <v>372</v>
      </c>
      <c r="G1467" s="18"/>
    </row>
    <row r="1468" customFormat="false" ht="15" hidden="false" customHeight="true" outlineLevel="0" collapsed="false">
      <c r="A1468" s="18" t="n">
        <v>379</v>
      </c>
      <c r="B1468" s="18" t="s">
        <v>551</v>
      </c>
      <c r="C1468" s="115" t="n">
        <v>45754</v>
      </c>
      <c r="D1468" s="10" t="n">
        <v>210</v>
      </c>
      <c r="E1468" s="10" t="n">
        <v>945</v>
      </c>
      <c r="F1468" s="10" t="s">
        <v>227</v>
      </c>
      <c r="G1468" s="18"/>
    </row>
    <row r="1469" customFormat="false" ht="15" hidden="false" customHeight="true" outlineLevel="0" collapsed="false">
      <c r="A1469" s="18" t="n">
        <v>270224</v>
      </c>
      <c r="B1469" s="18" t="s">
        <v>235</v>
      </c>
      <c r="C1469" s="115" t="n">
        <v>45754</v>
      </c>
      <c r="D1469" s="10" t="n">
        <v>120</v>
      </c>
      <c r="E1469" s="10" t="n">
        <v>5167</v>
      </c>
      <c r="F1469" s="10" t="s">
        <v>225</v>
      </c>
      <c r="G1469" s="18"/>
    </row>
    <row r="1470" customFormat="false" ht="15" hidden="false" customHeight="true" outlineLevel="0" collapsed="false">
      <c r="A1470" s="18" t="n">
        <v>270224</v>
      </c>
      <c r="B1470" s="18" t="s">
        <v>235</v>
      </c>
      <c r="C1470" s="115" t="n">
        <v>45754</v>
      </c>
      <c r="D1470" s="10" t="n">
        <v>130</v>
      </c>
      <c r="E1470" s="10" t="n">
        <v>7750</v>
      </c>
      <c r="F1470" s="10" t="s">
        <v>225</v>
      </c>
      <c r="G1470" s="18"/>
    </row>
    <row r="1471" customFormat="false" ht="15" hidden="false" customHeight="true" outlineLevel="0" collapsed="false">
      <c r="A1471" s="18" t="n">
        <v>363</v>
      </c>
      <c r="B1471" s="18" t="s">
        <v>383</v>
      </c>
      <c r="C1471" s="115" t="n">
        <v>45754</v>
      </c>
      <c r="D1471" s="10" t="n">
        <v>158</v>
      </c>
      <c r="E1471" s="10" t="n">
        <v>10011</v>
      </c>
      <c r="F1471" s="10" t="s">
        <v>225</v>
      </c>
      <c r="G1471" s="18"/>
    </row>
    <row r="1472" customFormat="false" ht="15" hidden="false" customHeight="true" outlineLevel="0" collapsed="false">
      <c r="A1472" s="18" t="n">
        <v>371</v>
      </c>
      <c r="B1472" s="18" t="s">
        <v>291</v>
      </c>
      <c r="C1472" s="115" t="n">
        <v>45754</v>
      </c>
      <c r="D1472" s="10" t="n">
        <v>180</v>
      </c>
      <c r="E1472" s="10" t="n">
        <v>690</v>
      </c>
      <c r="F1472" s="10" t="s">
        <v>225</v>
      </c>
      <c r="G1472" s="18"/>
    </row>
    <row r="1473" customFormat="false" ht="15" hidden="false" customHeight="true" outlineLevel="0" collapsed="false">
      <c r="A1473" s="18" t="n">
        <v>378</v>
      </c>
      <c r="B1473" s="18" t="s">
        <v>521</v>
      </c>
      <c r="C1473" s="115" t="n">
        <v>45754</v>
      </c>
      <c r="D1473" s="10" t="n">
        <v>210</v>
      </c>
      <c r="E1473" s="10" t="n">
        <v>530</v>
      </c>
      <c r="F1473" s="10" t="s">
        <v>225</v>
      </c>
      <c r="G1473" s="18"/>
    </row>
    <row r="1474" customFormat="false" ht="15" hidden="false" customHeight="true" outlineLevel="0" collapsed="false">
      <c r="A1474" s="18" t="n">
        <v>381</v>
      </c>
      <c r="B1474" s="18" t="s">
        <v>755</v>
      </c>
      <c r="C1474" s="115" t="n">
        <v>45754</v>
      </c>
      <c r="D1474" s="10" t="n">
        <v>220</v>
      </c>
      <c r="E1474" s="10" t="n">
        <v>545</v>
      </c>
      <c r="F1474" s="10" t="s">
        <v>225</v>
      </c>
      <c r="G1474" s="18"/>
    </row>
    <row r="1475" customFormat="false" ht="15" hidden="false" customHeight="true" outlineLevel="0" collapsed="false">
      <c r="A1475" s="18" t="n">
        <v>270232</v>
      </c>
      <c r="B1475" s="18" t="s">
        <v>756</v>
      </c>
      <c r="C1475" s="115" t="n">
        <v>45754</v>
      </c>
      <c r="D1475" s="10" t="n">
        <v>250</v>
      </c>
      <c r="E1475" s="10" t="n">
        <v>446</v>
      </c>
      <c r="F1475" s="10" t="s">
        <v>236</v>
      </c>
      <c r="G1475" s="18"/>
    </row>
    <row r="1476" customFormat="false" ht="15" hidden="false" customHeight="true" outlineLevel="0" collapsed="false">
      <c r="A1476" s="18" t="n">
        <v>404</v>
      </c>
      <c r="B1476" s="18" t="s">
        <v>461</v>
      </c>
      <c r="C1476" s="115" t="n">
        <v>45758</v>
      </c>
      <c r="D1476" s="10" t="n">
        <v>70</v>
      </c>
      <c r="E1476" s="10" t="n">
        <v>136</v>
      </c>
      <c r="F1476" s="10" t="s">
        <v>225</v>
      </c>
      <c r="G1476" s="18" t="s">
        <v>232</v>
      </c>
    </row>
    <row r="1477" customFormat="false" ht="15" hidden="false" customHeight="true" outlineLevel="0" collapsed="false">
      <c r="A1477" s="18" t="n">
        <v>270247</v>
      </c>
      <c r="B1477" s="18" t="s">
        <v>594</v>
      </c>
      <c r="C1477" s="115" t="n">
        <v>45758</v>
      </c>
      <c r="D1477" s="10" t="n">
        <v>80</v>
      </c>
      <c r="E1477" s="10" t="n">
        <v>4080</v>
      </c>
      <c r="F1477" s="10" t="s">
        <v>225</v>
      </c>
      <c r="G1477" s="18"/>
    </row>
    <row r="1478" customFormat="false" ht="15" hidden="false" customHeight="true" outlineLevel="0" collapsed="false">
      <c r="A1478" s="18" t="n">
        <v>400</v>
      </c>
      <c r="B1478" s="18" t="s">
        <v>347</v>
      </c>
      <c r="C1478" s="115" t="n">
        <v>45758</v>
      </c>
      <c r="D1478" s="10" t="n">
        <v>110</v>
      </c>
      <c r="E1478" s="10" t="n">
        <v>620</v>
      </c>
      <c r="F1478" s="10" t="s">
        <v>225</v>
      </c>
      <c r="G1478" s="18"/>
    </row>
    <row r="1479" customFormat="false" ht="15" hidden="false" customHeight="true" outlineLevel="0" collapsed="false">
      <c r="A1479" s="18" t="n">
        <v>399</v>
      </c>
      <c r="B1479" s="18" t="s">
        <v>666</v>
      </c>
      <c r="C1479" s="115" t="n">
        <v>45758</v>
      </c>
      <c r="D1479" s="10" t="n">
        <v>110</v>
      </c>
      <c r="E1479" s="10" t="n">
        <v>600</v>
      </c>
      <c r="F1479" s="10" t="s">
        <v>225</v>
      </c>
      <c r="G1479" s="18"/>
    </row>
    <row r="1480" customFormat="false" ht="15" hidden="false" customHeight="true" outlineLevel="0" collapsed="false">
      <c r="A1480" s="18" t="n">
        <v>397</v>
      </c>
      <c r="B1480" s="18" t="s">
        <v>334</v>
      </c>
      <c r="C1480" s="115" t="n">
        <v>45758</v>
      </c>
      <c r="D1480" s="10" t="n">
        <v>210</v>
      </c>
      <c r="E1480" s="10" t="n">
        <v>630</v>
      </c>
      <c r="F1480" s="10" t="s">
        <v>229</v>
      </c>
      <c r="G1480" s="18"/>
    </row>
    <row r="1481" customFormat="false" ht="15" hidden="false" customHeight="true" outlineLevel="0" collapsed="false">
      <c r="A1481" s="18" t="n">
        <v>401</v>
      </c>
      <c r="B1481" s="18" t="s">
        <v>397</v>
      </c>
      <c r="C1481" s="115" t="n">
        <v>45758</v>
      </c>
      <c r="D1481" s="10" t="n">
        <v>110</v>
      </c>
      <c r="E1481" s="10" t="n">
        <v>340</v>
      </c>
      <c r="F1481" s="10" t="s">
        <v>227</v>
      </c>
      <c r="G1481" s="18"/>
    </row>
    <row r="1482" customFormat="false" ht="15" hidden="false" customHeight="true" outlineLevel="0" collapsed="false">
      <c r="A1482" s="18" t="n">
        <v>270248</v>
      </c>
      <c r="B1482" s="18" t="s">
        <v>418</v>
      </c>
      <c r="C1482" s="115" t="n">
        <v>45758</v>
      </c>
      <c r="D1482" s="10" t="n">
        <v>130</v>
      </c>
      <c r="E1482" s="10" t="n">
        <v>450</v>
      </c>
      <c r="F1482" s="10" t="s">
        <v>225</v>
      </c>
      <c r="G1482" s="18" t="s">
        <v>232</v>
      </c>
    </row>
    <row r="1483" customFormat="false" ht="15" hidden="false" customHeight="true" outlineLevel="0" collapsed="false">
      <c r="A1483" s="18" t="n">
        <v>398</v>
      </c>
      <c r="B1483" s="18" t="s">
        <v>691</v>
      </c>
      <c r="C1483" s="115" t="n">
        <v>45758</v>
      </c>
      <c r="D1483" s="10" t="n">
        <v>220</v>
      </c>
      <c r="E1483" s="10" t="n">
        <v>383</v>
      </c>
      <c r="F1483" s="10" t="s">
        <v>225</v>
      </c>
      <c r="G1483" s="18"/>
    </row>
    <row r="1484" customFormat="false" ht="15" hidden="false" customHeight="true" outlineLevel="0" collapsed="false">
      <c r="A1484" s="18" t="n">
        <v>270250</v>
      </c>
      <c r="B1484" s="18" t="s">
        <v>364</v>
      </c>
      <c r="C1484" s="115" t="n">
        <v>45761</v>
      </c>
      <c r="D1484" s="10" t="n">
        <v>85</v>
      </c>
      <c r="E1484" s="10" t="n">
        <v>1200</v>
      </c>
      <c r="F1484" s="10" t="s">
        <v>225</v>
      </c>
      <c r="G1484" s="18"/>
    </row>
    <row r="1485" customFormat="false" ht="15" hidden="false" customHeight="true" outlineLevel="0" collapsed="false">
      <c r="A1485" s="19" t="n">
        <v>389</v>
      </c>
      <c r="B1485" s="19" t="s">
        <v>757</v>
      </c>
      <c r="C1485" s="109" t="n">
        <v>45763</v>
      </c>
      <c r="D1485" s="108" t="n">
        <v>210</v>
      </c>
      <c r="E1485" s="108" t="n">
        <v>1245</v>
      </c>
      <c r="F1485" s="10" t="s">
        <v>236</v>
      </c>
      <c r="G1485" s="19"/>
    </row>
    <row r="1486" customFormat="false" ht="15" hidden="false" customHeight="true" outlineLevel="0" collapsed="false">
      <c r="A1486" s="19" t="n">
        <v>424</v>
      </c>
      <c r="B1486" s="19" t="s">
        <v>758</v>
      </c>
      <c r="C1486" s="109" t="n">
        <v>45763</v>
      </c>
      <c r="D1486" s="108" t="n">
        <v>45</v>
      </c>
      <c r="E1486" s="108" t="n">
        <v>2400</v>
      </c>
      <c r="F1486" s="10" t="s">
        <v>225</v>
      </c>
      <c r="G1486" s="19"/>
    </row>
    <row r="1487" customFormat="false" ht="15" hidden="false" customHeight="true" outlineLevel="0" collapsed="false">
      <c r="A1487" s="19" t="n">
        <v>410</v>
      </c>
      <c r="B1487" s="19" t="s">
        <v>242</v>
      </c>
      <c r="C1487" s="109" t="n">
        <v>45763</v>
      </c>
      <c r="D1487" s="108" t="n">
        <v>60</v>
      </c>
      <c r="E1487" s="108" t="n">
        <v>360</v>
      </c>
      <c r="F1487" s="10" t="s">
        <v>225</v>
      </c>
      <c r="G1487" s="19"/>
    </row>
    <row r="1488" customFormat="false" ht="15" hidden="false" customHeight="true" outlineLevel="0" collapsed="false">
      <c r="A1488" s="19" t="n">
        <v>270259</v>
      </c>
      <c r="B1488" s="19" t="s">
        <v>759</v>
      </c>
      <c r="C1488" s="109" t="n">
        <v>45763</v>
      </c>
      <c r="D1488" s="108" t="n">
        <v>65</v>
      </c>
      <c r="E1488" s="108" t="n">
        <v>615</v>
      </c>
      <c r="F1488" s="10" t="s">
        <v>225</v>
      </c>
      <c r="G1488" s="19"/>
    </row>
    <row r="1489" customFormat="false" ht="15" hidden="false" customHeight="true" outlineLevel="0" collapsed="false">
      <c r="A1489" s="19" t="n">
        <v>431</v>
      </c>
      <c r="B1489" s="19" t="s">
        <v>298</v>
      </c>
      <c r="C1489" s="109" t="n">
        <v>45763</v>
      </c>
      <c r="D1489" s="108" t="n">
        <v>80</v>
      </c>
      <c r="E1489" s="108" t="n">
        <v>3000</v>
      </c>
      <c r="F1489" s="10" t="s">
        <v>225</v>
      </c>
      <c r="G1489" s="19"/>
    </row>
    <row r="1490" customFormat="false" ht="15" hidden="false" customHeight="true" outlineLevel="0" collapsed="false">
      <c r="A1490" s="19" t="n">
        <v>430</v>
      </c>
      <c r="B1490" s="19" t="s">
        <v>340</v>
      </c>
      <c r="C1490" s="109" t="n">
        <v>45763</v>
      </c>
      <c r="D1490" s="108" t="n">
        <v>80</v>
      </c>
      <c r="E1490" s="108" t="n">
        <v>150</v>
      </c>
      <c r="F1490" s="10" t="s">
        <v>225</v>
      </c>
      <c r="G1490" s="19"/>
    </row>
    <row r="1491" customFormat="false" ht="15" hidden="false" customHeight="true" outlineLevel="0" collapsed="false">
      <c r="A1491" s="19" t="n">
        <v>426</v>
      </c>
      <c r="B1491" s="19" t="s">
        <v>443</v>
      </c>
      <c r="C1491" s="109" t="n">
        <v>45763</v>
      </c>
      <c r="D1491" s="108" t="n">
        <v>85</v>
      </c>
      <c r="E1491" s="108" t="n">
        <v>640</v>
      </c>
      <c r="F1491" s="10" t="s">
        <v>225</v>
      </c>
      <c r="G1491" s="19"/>
    </row>
    <row r="1492" customFormat="false" ht="15" hidden="false" customHeight="true" outlineLevel="0" collapsed="false">
      <c r="A1492" s="19" t="n">
        <v>423</v>
      </c>
      <c r="B1492" s="19" t="s">
        <v>327</v>
      </c>
      <c r="C1492" s="109" t="n">
        <v>45763</v>
      </c>
      <c r="D1492" s="108" t="n">
        <v>90</v>
      </c>
      <c r="E1492" s="108" t="n">
        <v>600</v>
      </c>
      <c r="F1492" s="10" t="s">
        <v>225</v>
      </c>
      <c r="G1492" s="19"/>
    </row>
    <row r="1493" customFormat="false" ht="15" hidden="false" customHeight="true" outlineLevel="0" collapsed="false">
      <c r="A1493" s="19" t="n">
        <v>270255</v>
      </c>
      <c r="B1493" s="19" t="s">
        <v>538</v>
      </c>
      <c r="C1493" s="109" t="n">
        <v>45763</v>
      </c>
      <c r="D1493" s="108" t="n">
        <v>100</v>
      </c>
      <c r="E1493" s="108" t="n">
        <v>225</v>
      </c>
      <c r="F1493" s="10" t="s">
        <v>225</v>
      </c>
      <c r="G1493" s="19"/>
    </row>
    <row r="1494" customFormat="false" ht="15" hidden="false" customHeight="true" outlineLevel="0" collapsed="false">
      <c r="A1494" s="19" t="n">
        <v>270252</v>
      </c>
      <c r="B1494" s="19" t="s">
        <v>760</v>
      </c>
      <c r="C1494" s="109" t="n">
        <v>45763</v>
      </c>
      <c r="D1494" s="108" t="n">
        <v>105</v>
      </c>
      <c r="E1494" s="108" t="n">
        <v>52</v>
      </c>
      <c r="F1494" s="10" t="s">
        <v>225</v>
      </c>
      <c r="G1494" s="19"/>
    </row>
    <row r="1495" customFormat="false" ht="15" hidden="false" customHeight="true" outlineLevel="0" collapsed="false">
      <c r="A1495" s="19" t="n">
        <v>411</v>
      </c>
      <c r="B1495" s="19" t="s">
        <v>242</v>
      </c>
      <c r="C1495" s="109" t="n">
        <v>45763</v>
      </c>
      <c r="D1495" s="108" t="n">
        <v>110</v>
      </c>
      <c r="E1495" s="108" t="n">
        <v>300</v>
      </c>
      <c r="F1495" s="10" t="s">
        <v>225</v>
      </c>
      <c r="G1495" s="19"/>
    </row>
    <row r="1496" customFormat="false" ht="15" hidden="false" customHeight="true" outlineLevel="0" collapsed="false">
      <c r="A1496" s="19" t="n">
        <v>424</v>
      </c>
      <c r="B1496" s="19" t="s">
        <v>758</v>
      </c>
      <c r="C1496" s="109" t="n">
        <v>45763</v>
      </c>
      <c r="D1496" s="108" t="n">
        <v>100</v>
      </c>
      <c r="E1496" s="108" t="n">
        <v>3840</v>
      </c>
      <c r="F1496" s="10" t="s">
        <v>229</v>
      </c>
      <c r="G1496" s="19"/>
    </row>
    <row r="1497" customFormat="false" ht="15" hidden="false" customHeight="true" outlineLevel="0" collapsed="false">
      <c r="A1497" s="19" t="n">
        <v>421</v>
      </c>
      <c r="B1497" s="19" t="s">
        <v>730</v>
      </c>
      <c r="C1497" s="109" t="n">
        <v>45763</v>
      </c>
      <c r="D1497" s="108" t="n">
        <v>220</v>
      </c>
      <c r="E1497" s="108" t="n">
        <v>990</v>
      </c>
      <c r="F1497" s="10" t="s">
        <v>229</v>
      </c>
      <c r="G1497" s="19"/>
    </row>
    <row r="1498" customFormat="false" ht="15" hidden="false" customHeight="true" outlineLevel="0" collapsed="false">
      <c r="A1498" s="19" t="n">
        <v>415</v>
      </c>
      <c r="B1498" s="19" t="s">
        <v>305</v>
      </c>
      <c r="C1498" s="109" t="n">
        <v>45763</v>
      </c>
      <c r="D1498" s="108" t="n">
        <v>45</v>
      </c>
      <c r="E1498" s="108" t="n">
        <v>690</v>
      </c>
      <c r="F1498" s="10" t="s">
        <v>229</v>
      </c>
      <c r="G1498" s="19"/>
    </row>
    <row r="1499" customFormat="false" ht="15" hidden="false" customHeight="true" outlineLevel="0" collapsed="false">
      <c r="A1499" s="19" t="n">
        <v>425</v>
      </c>
      <c r="B1499" s="19" t="s">
        <v>761</v>
      </c>
      <c r="C1499" s="109" t="n">
        <v>45763</v>
      </c>
      <c r="D1499" s="108" t="n">
        <v>210</v>
      </c>
      <c r="E1499" s="108" t="n">
        <v>1053</v>
      </c>
      <c r="F1499" s="10" t="s">
        <v>229</v>
      </c>
      <c r="G1499" s="19"/>
    </row>
    <row r="1500" customFormat="false" ht="15" hidden="false" customHeight="true" outlineLevel="0" collapsed="false">
      <c r="A1500" s="19" t="n">
        <v>409</v>
      </c>
      <c r="B1500" s="19" t="s">
        <v>242</v>
      </c>
      <c r="C1500" s="109" t="n">
        <v>45763</v>
      </c>
      <c r="D1500" s="108" t="n">
        <v>40</v>
      </c>
      <c r="E1500" s="108" t="n">
        <v>1300</v>
      </c>
      <c r="F1500" s="10" t="s">
        <v>248</v>
      </c>
      <c r="G1500" s="19"/>
    </row>
    <row r="1501" customFormat="false" ht="15" hidden="false" customHeight="true" outlineLevel="0" collapsed="false">
      <c r="A1501" s="19" t="n">
        <v>412</v>
      </c>
      <c r="B1501" s="19" t="s">
        <v>371</v>
      </c>
      <c r="C1501" s="109" t="n">
        <v>45763</v>
      </c>
      <c r="D1501" s="108" t="n">
        <v>25</v>
      </c>
      <c r="E1501" s="108" t="n">
        <v>800</v>
      </c>
      <c r="F1501" s="108" t="s">
        <v>372</v>
      </c>
      <c r="G1501" s="19"/>
    </row>
    <row r="1502" customFormat="false" ht="15" hidden="false" customHeight="true" outlineLevel="0" collapsed="false">
      <c r="A1502" s="19" t="n">
        <v>420</v>
      </c>
      <c r="B1502" s="19" t="s">
        <v>272</v>
      </c>
      <c r="C1502" s="109" t="n">
        <v>45763</v>
      </c>
      <c r="D1502" s="108" t="n">
        <v>110</v>
      </c>
      <c r="E1502" s="108" t="n">
        <v>3208</v>
      </c>
      <c r="F1502" s="10" t="s">
        <v>227</v>
      </c>
      <c r="G1502" s="19"/>
    </row>
    <row r="1503" customFormat="false" ht="15" hidden="false" customHeight="true" outlineLevel="0" collapsed="false">
      <c r="A1503" s="19" t="n">
        <v>270251</v>
      </c>
      <c r="B1503" s="19" t="s">
        <v>231</v>
      </c>
      <c r="C1503" s="109" t="n">
        <v>45763</v>
      </c>
      <c r="D1503" s="108" t="n">
        <v>138</v>
      </c>
      <c r="E1503" s="108" t="n">
        <v>850</v>
      </c>
      <c r="F1503" s="10" t="s">
        <v>227</v>
      </c>
      <c r="G1503" s="19"/>
    </row>
    <row r="1504" customFormat="false" ht="15" hidden="false" customHeight="true" outlineLevel="0" collapsed="false">
      <c r="A1504" s="19" t="n">
        <v>429</v>
      </c>
      <c r="B1504" s="19" t="s">
        <v>475</v>
      </c>
      <c r="C1504" s="109" t="n">
        <v>45763</v>
      </c>
      <c r="D1504" s="108" t="n">
        <v>140</v>
      </c>
      <c r="E1504" s="108" t="n">
        <v>5000</v>
      </c>
      <c r="F1504" s="10" t="s">
        <v>225</v>
      </c>
      <c r="G1504" s="19"/>
    </row>
    <row r="1505" customFormat="false" ht="15" hidden="false" customHeight="true" outlineLevel="0" collapsed="false">
      <c r="A1505" s="19" t="n">
        <v>270257</v>
      </c>
      <c r="B1505" s="19" t="s">
        <v>429</v>
      </c>
      <c r="C1505" s="109" t="n">
        <v>45763</v>
      </c>
      <c r="D1505" s="108" t="n">
        <v>140</v>
      </c>
      <c r="E1505" s="108" t="n">
        <v>1500</v>
      </c>
      <c r="F1505" s="10" t="s">
        <v>225</v>
      </c>
      <c r="G1505" s="19"/>
    </row>
    <row r="1506" customFormat="false" ht="15" hidden="false" customHeight="true" outlineLevel="0" collapsed="false">
      <c r="A1506" s="19" t="n">
        <v>413</v>
      </c>
      <c r="B1506" s="19" t="s">
        <v>762</v>
      </c>
      <c r="C1506" s="109" t="n">
        <v>45763</v>
      </c>
      <c r="D1506" s="108" t="n">
        <v>160</v>
      </c>
      <c r="E1506" s="108" t="n">
        <v>1500</v>
      </c>
      <c r="F1506" s="10" t="s">
        <v>225</v>
      </c>
      <c r="G1506" s="19" t="s">
        <v>232</v>
      </c>
    </row>
    <row r="1507" customFormat="false" ht="15" hidden="false" customHeight="true" outlineLevel="0" collapsed="false">
      <c r="A1507" s="19" t="n">
        <v>270258</v>
      </c>
      <c r="B1507" s="19" t="s">
        <v>231</v>
      </c>
      <c r="C1507" s="109" t="n">
        <v>45763</v>
      </c>
      <c r="D1507" s="108" t="n">
        <v>210</v>
      </c>
      <c r="E1507" s="108" t="n">
        <v>795</v>
      </c>
      <c r="F1507" s="10" t="s">
        <v>225</v>
      </c>
      <c r="G1507" s="19"/>
    </row>
    <row r="1508" customFormat="false" ht="15" hidden="false" customHeight="true" outlineLevel="0" collapsed="false">
      <c r="A1508" s="19" t="n">
        <v>419</v>
      </c>
      <c r="B1508" s="19" t="s">
        <v>763</v>
      </c>
      <c r="C1508" s="109" t="n">
        <v>45763</v>
      </c>
      <c r="D1508" s="108" t="n">
        <v>220</v>
      </c>
      <c r="E1508" s="108" t="n">
        <v>421</v>
      </c>
      <c r="F1508" s="10" t="s">
        <v>225</v>
      </c>
      <c r="G1508" s="19"/>
    </row>
    <row r="1509" customFormat="false" ht="15" hidden="false" customHeight="true" outlineLevel="0" collapsed="false">
      <c r="A1509" s="19" t="n">
        <v>435</v>
      </c>
      <c r="B1509" s="19" t="s">
        <v>250</v>
      </c>
      <c r="C1509" s="109" t="n">
        <v>45764</v>
      </c>
      <c r="D1509" s="108" t="n">
        <v>110</v>
      </c>
      <c r="E1509" s="108" t="n">
        <v>2220</v>
      </c>
      <c r="F1509" s="10" t="s">
        <v>227</v>
      </c>
      <c r="G1509" s="19"/>
    </row>
    <row r="1510" customFormat="false" ht="15" hidden="false" customHeight="true" outlineLevel="0" collapsed="false">
      <c r="A1510" s="19" t="n">
        <v>440</v>
      </c>
      <c r="B1510" s="18" t="s">
        <v>306</v>
      </c>
      <c r="C1510" s="109" t="n">
        <v>45770</v>
      </c>
      <c r="D1510" s="108" t="n">
        <v>60</v>
      </c>
      <c r="E1510" s="108" t="n">
        <v>5934</v>
      </c>
      <c r="F1510" s="10" t="s">
        <v>236</v>
      </c>
      <c r="G1510" s="19"/>
    </row>
    <row r="1511" customFormat="false" ht="15" hidden="false" customHeight="true" outlineLevel="0" collapsed="false">
      <c r="A1511" s="19" t="n">
        <v>443</v>
      </c>
      <c r="B1511" s="19" t="s">
        <v>278</v>
      </c>
      <c r="C1511" s="109" t="n">
        <v>45770</v>
      </c>
      <c r="D1511" s="108" t="n">
        <v>45</v>
      </c>
      <c r="E1511" s="108" t="n">
        <v>120</v>
      </c>
      <c r="F1511" s="10" t="s">
        <v>225</v>
      </c>
      <c r="G1511" s="19"/>
    </row>
    <row r="1512" customFormat="false" ht="15" hidden="false" customHeight="true" outlineLevel="0" collapsed="false">
      <c r="A1512" s="19" t="n">
        <v>443</v>
      </c>
      <c r="B1512" s="19" t="s">
        <v>278</v>
      </c>
      <c r="C1512" s="109" t="n">
        <v>45770</v>
      </c>
      <c r="D1512" s="108" t="n">
        <v>55</v>
      </c>
      <c r="E1512" s="108" t="n">
        <v>153</v>
      </c>
      <c r="F1512" s="10" t="s">
        <v>225</v>
      </c>
      <c r="G1512" s="19"/>
    </row>
    <row r="1513" customFormat="false" ht="15" hidden="false" customHeight="true" outlineLevel="0" collapsed="false">
      <c r="A1513" s="19" t="n">
        <v>437</v>
      </c>
      <c r="B1513" s="19" t="s">
        <v>258</v>
      </c>
      <c r="C1513" s="109" t="n">
        <v>45770</v>
      </c>
      <c r="D1513" s="108" t="n">
        <v>65</v>
      </c>
      <c r="E1513" s="108" t="n">
        <v>1000</v>
      </c>
      <c r="F1513" s="10" t="s">
        <v>225</v>
      </c>
      <c r="G1513" s="19"/>
    </row>
    <row r="1514" customFormat="false" ht="15" hidden="false" customHeight="true" outlineLevel="0" collapsed="false">
      <c r="A1514" s="19" t="n">
        <v>443</v>
      </c>
      <c r="B1514" s="19" t="s">
        <v>278</v>
      </c>
      <c r="C1514" s="109" t="n">
        <v>45770</v>
      </c>
      <c r="D1514" s="108" t="n">
        <v>70</v>
      </c>
      <c r="E1514" s="108" t="n">
        <v>400</v>
      </c>
      <c r="F1514" s="10" t="s">
        <v>225</v>
      </c>
      <c r="G1514" s="19"/>
    </row>
    <row r="1515" customFormat="false" ht="15" hidden="false" customHeight="true" outlineLevel="0" collapsed="false">
      <c r="A1515" s="19" t="n">
        <v>403</v>
      </c>
      <c r="B1515" s="19" t="s">
        <v>311</v>
      </c>
      <c r="C1515" s="109" t="n">
        <v>45770</v>
      </c>
      <c r="D1515" s="108" t="n">
        <v>70</v>
      </c>
      <c r="E1515" s="108" t="n">
        <v>680</v>
      </c>
      <c r="F1515" s="10" t="s">
        <v>225</v>
      </c>
      <c r="G1515" s="19"/>
    </row>
    <row r="1516" customFormat="false" ht="15" hidden="false" customHeight="true" outlineLevel="0" collapsed="false">
      <c r="A1516" s="19" t="n">
        <v>270269</v>
      </c>
      <c r="B1516" s="19" t="s">
        <v>497</v>
      </c>
      <c r="C1516" s="109" t="n">
        <v>45770</v>
      </c>
      <c r="D1516" s="108" t="n">
        <v>85</v>
      </c>
      <c r="E1516" s="108" t="n">
        <v>810</v>
      </c>
      <c r="F1516" s="10" t="s">
        <v>225</v>
      </c>
      <c r="G1516" s="19" t="s">
        <v>232</v>
      </c>
    </row>
    <row r="1517" customFormat="false" ht="15" hidden="false" customHeight="true" outlineLevel="0" collapsed="false">
      <c r="A1517" s="19" t="n">
        <v>403</v>
      </c>
      <c r="B1517" s="19" t="s">
        <v>311</v>
      </c>
      <c r="C1517" s="109" t="n">
        <v>45770</v>
      </c>
      <c r="D1517" s="108" t="n">
        <v>85</v>
      </c>
      <c r="E1517" s="108" t="n">
        <v>375</v>
      </c>
      <c r="F1517" s="10" t="s">
        <v>225</v>
      </c>
      <c r="G1517" s="19"/>
    </row>
    <row r="1518" customFormat="false" ht="15" hidden="false" customHeight="true" outlineLevel="0" collapsed="false">
      <c r="A1518" s="19" t="n">
        <v>407</v>
      </c>
      <c r="B1518" s="19" t="s">
        <v>620</v>
      </c>
      <c r="C1518" s="109" t="n">
        <v>45770</v>
      </c>
      <c r="D1518" s="108" t="n">
        <v>90</v>
      </c>
      <c r="E1518" s="108" t="n">
        <v>538</v>
      </c>
      <c r="F1518" s="10" t="s">
        <v>225</v>
      </c>
      <c r="G1518" s="19"/>
    </row>
    <row r="1519" customFormat="false" ht="15" hidden="false" customHeight="true" outlineLevel="0" collapsed="false">
      <c r="A1519" s="19" t="n">
        <v>270268</v>
      </c>
      <c r="B1519" s="19" t="s">
        <v>266</v>
      </c>
      <c r="C1519" s="109" t="n">
        <v>45770</v>
      </c>
      <c r="D1519" s="108" t="n">
        <v>100</v>
      </c>
      <c r="E1519" s="108" t="n">
        <v>670</v>
      </c>
      <c r="F1519" s="10" t="s">
        <v>225</v>
      </c>
      <c r="G1519" s="19"/>
    </row>
    <row r="1520" customFormat="false" ht="15" hidden="false" customHeight="true" outlineLevel="0" collapsed="false">
      <c r="A1520" s="19" t="n">
        <v>403</v>
      </c>
      <c r="B1520" s="19" t="s">
        <v>311</v>
      </c>
      <c r="C1520" s="109" t="n">
        <v>45770</v>
      </c>
      <c r="D1520" s="108" t="n">
        <v>105</v>
      </c>
      <c r="E1520" s="108" t="n">
        <v>60</v>
      </c>
      <c r="F1520" s="10" t="s">
        <v>225</v>
      </c>
      <c r="G1520" s="19"/>
    </row>
    <row r="1521" customFormat="false" ht="15" hidden="false" customHeight="true" outlineLevel="0" collapsed="false">
      <c r="A1521" s="19" t="n">
        <v>407</v>
      </c>
      <c r="B1521" s="19" t="s">
        <v>620</v>
      </c>
      <c r="C1521" s="109" t="n">
        <v>45770</v>
      </c>
      <c r="D1521" s="108" t="n">
        <v>105</v>
      </c>
      <c r="E1521" s="108" t="n">
        <v>7200</v>
      </c>
      <c r="F1521" s="10" t="s">
        <v>225</v>
      </c>
      <c r="G1521" s="19"/>
    </row>
    <row r="1522" customFormat="false" ht="15" hidden="false" customHeight="true" outlineLevel="0" collapsed="false">
      <c r="A1522" s="19" t="n">
        <v>436</v>
      </c>
      <c r="B1522" s="19" t="s">
        <v>553</v>
      </c>
      <c r="C1522" s="109" t="n">
        <v>45770</v>
      </c>
      <c r="D1522" s="108" t="n">
        <v>110</v>
      </c>
      <c r="E1522" s="108" t="n">
        <v>2400</v>
      </c>
      <c r="F1522" s="10" t="s">
        <v>225</v>
      </c>
      <c r="G1522" s="19"/>
    </row>
    <row r="1523" customFormat="false" ht="15" hidden="false" customHeight="true" outlineLevel="0" collapsed="false">
      <c r="A1523" s="19" t="n">
        <v>270270</v>
      </c>
      <c r="B1523" s="19" t="s">
        <v>288</v>
      </c>
      <c r="C1523" s="109" t="n">
        <v>45770</v>
      </c>
      <c r="D1523" s="108" t="n">
        <v>110</v>
      </c>
      <c r="E1523" s="108" t="n">
        <v>500</v>
      </c>
      <c r="F1523" s="10" t="s">
        <v>229</v>
      </c>
      <c r="G1523" s="19"/>
    </row>
    <row r="1524" customFormat="false" ht="15" hidden="false" customHeight="true" outlineLevel="0" collapsed="false">
      <c r="A1524" s="19" t="n">
        <v>438</v>
      </c>
      <c r="B1524" s="19" t="s">
        <v>290</v>
      </c>
      <c r="C1524" s="109" t="n">
        <v>45770</v>
      </c>
      <c r="D1524" s="108" t="n">
        <v>100</v>
      </c>
      <c r="E1524" s="108" t="n">
        <v>525</v>
      </c>
      <c r="F1524" s="10" t="s">
        <v>227</v>
      </c>
      <c r="G1524" s="19"/>
    </row>
    <row r="1525" customFormat="false" ht="15" hidden="false" customHeight="true" outlineLevel="0" collapsed="false">
      <c r="A1525" s="19" t="n">
        <v>407</v>
      </c>
      <c r="B1525" s="19" t="s">
        <v>620</v>
      </c>
      <c r="C1525" s="109" t="n">
        <v>45770</v>
      </c>
      <c r="D1525" s="108" t="n">
        <v>100</v>
      </c>
      <c r="E1525" s="108" t="n">
        <v>920</v>
      </c>
      <c r="F1525" s="10" t="s">
        <v>248</v>
      </c>
      <c r="G1525" s="19"/>
    </row>
    <row r="1526" customFormat="false" ht="15" hidden="false" customHeight="true" outlineLevel="0" collapsed="false">
      <c r="A1526" s="19"/>
      <c r="B1526" s="19"/>
      <c r="C1526" s="109" t="n">
        <v>45770</v>
      </c>
      <c r="D1526" s="108"/>
      <c r="E1526" s="108"/>
      <c r="F1526" s="108"/>
      <c r="G1526" s="19"/>
    </row>
    <row r="1527" customFormat="false" ht="15" hidden="false" customHeight="true" outlineLevel="0" collapsed="false">
      <c r="A1527" s="19"/>
      <c r="B1527" s="19"/>
      <c r="C1527" s="109" t="n">
        <v>45770</v>
      </c>
      <c r="D1527" s="108"/>
      <c r="E1527" s="108"/>
      <c r="F1527" s="108"/>
      <c r="G1527" s="19"/>
    </row>
    <row r="1528" customFormat="false" ht="15" hidden="false" customHeight="true" outlineLevel="0" collapsed="false">
      <c r="A1528" s="19" t="n">
        <v>270264</v>
      </c>
      <c r="B1528" s="19" t="s">
        <v>323</v>
      </c>
      <c r="C1528" s="109" t="n">
        <v>45770</v>
      </c>
      <c r="D1528" s="108" t="n">
        <v>110</v>
      </c>
      <c r="E1528" s="108" t="n">
        <v>1125</v>
      </c>
      <c r="F1528" s="10" t="s">
        <v>227</v>
      </c>
      <c r="G1528" s="19"/>
    </row>
    <row r="1529" customFormat="false" ht="15" hidden="false" customHeight="true" outlineLevel="0" collapsed="false">
      <c r="A1529" s="19" t="n">
        <v>438</v>
      </c>
      <c r="B1529" s="19" t="s">
        <v>290</v>
      </c>
      <c r="C1529" s="109" t="n">
        <v>45770</v>
      </c>
      <c r="D1529" s="108" t="n">
        <v>120</v>
      </c>
      <c r="E1529" s="108" t="n">
        <v>225</v>
      </c>
      <c r="F1529" s="10" t="s">
        <v>227</v>
      </c>
      <c r="G1529" s="19"/>
    </row>
    <row r="1530" customFormat="false" ht="15" hidden="false" customHeight="true" outlineLevel="0" collapsed="false">
      <c r="A1530" s="19" t="n">
        <v>441</v>
      </c>
      <c r="B1530" s="19" t="s">
        <v>382</v>
      </c>
      <c r="C1530" s="109" t="n">
        <v>45770</v>
      </c>
      <c r="D1530" s="108" t="n">
        <v>125</v>
      </c>
      <c r="E1530" s="108" t="n">
        <v>980</v>
      </c>
      <c r="F1530" s="10" t="s">
        <v>225</v>
      </c>
      <c r="G1530" s="19"/>
    </row>
    <row r="1531" customFormat="false" ht="15" hidden="false" customHeight="true" outlineLevel="0" collapsed="false">
      <c r="A1531" s="19" t="n">
        <v>270267</v>
      </c>
      <c r="B1531" s="19" t="s">
        <v>418</v>
      </c>
      <c r="C1531" s="109" t="n">
        <v>45770</v>
      </c>
      <c r="D1531" s="108" t="n">
        <v>160</v>
      </c>
      <c r="E1531" s="108" t="n">
        <v>150</v>
      </c>
      <c r="F1531" s="10" t="s">
        <v>225</v>
      </c>
      <c r="G1531" s="19" t="s">
        <v>232</v>
      </c>
    </row>
    <row r="1532" customFormat="false" ht="15" hidden="false" customHeight="true" outlineLevel="0" collapsed="false">
      <c r="A1532" s="19" t="n">
        <v>444</v>
      </c>
      <c r="B1532" s="19" t="s">
        <v>764</v>
      </c>
      <c r="C1532" s="109" t="n">
        <v>45770</v>
      </c>
      <c r="D1532" s="108" t="n">
        <v>220</v>
      </c>
      <c r="E1532" s="108" t="n">
        <v>128</v>
      </c>
      <c r="F1532" s="10" t="s">
        <v>225</v>
      </c>
      <c r="G1532" s="19"/>
    </row>
    <row r="1533" customFormat="false" ht="15" hidden="false" customHeight="true" outlineLevel="0" collapsed="false">
      <c r="A1533" s="19" t="n">
        <v>445</v>
      </c>
      <c r="B1533" s="19" t="s">
        <v>735</v>
      </c>
      <c r="C1533" s="109" t="n">
        <v>45770</v>
      </c>
      <c r="D1533" s="108" t="n">
        <v>220</v>
      </c>
      <c r="E1533" s="108" t="n">
        <v>74</v>
      </c>
      <c r="F1533" s="10" t="s">
        <v>225</v>
      </c>
      <c r="G1533" s="19"/>
    </row>
    <row r="1534" customFormat="false" ht="15" hidden="false" customHeight="true" outlineLevel="0" collapsed="false">
      <c r="A1534" s="19" t="n">
        <v>270266</v>
      </c>
      <c r="B1534" s="19" t="s">
        <v>518</v>
      </c>
      <c r="C1534" s="109" t="n">
        <v>45770</v>
      </c>
      <c r="D1534" s="108" t="n">
        <v>250</v>
      </c>
      <c r="E1534" s="108" t="n">
        <v>371</v>
      </c>
      <c r="F1534" s="10" t="s">
        <v>236</v>
      </c>
      <c r="G1534" s="19"/>
    </row>
    <row r="1535" customFormat="false" ht="15" hidden="false" customHeight="true" outlineLevel="0" collapsed="false">
      <c r="A1535" s="19" t="n">
        <v>439</v>
      </c>
      <c r="B1535" s="19" t="s">
        <v>518</v>
      </c>
      <c r="C1535" s="109" t="n">
        <v>45770</v>
      </c>
      <c r="D1535" s="108" t="n">
        <v>250</v>
      </c>
      <c r="E1535" s="108" t="n">
        <v>371</v>
      </c>
      <c r="F1535" s="10" t="s">
        <v>236</v>
      </c>
      <c r="G1535" s="19"/>
    </row>
    <row r="1536" customFormat="false" ht="15" hidden="false" customHeight="true" outlineLevel="0" collapsed="false">
      <c r="A1536" s="19" t="n">
        <v>407</v>
      </c>
      <c r="B1536" s="19" t="s">
        <v>620</v>
      </c>
      <c r="C1536" s="109" t="n">
        <v>45770</v>
      </c>
      <c r="D1536" s="108" t="n">
        <v>250</v>
      </c>
      <c r="E1536" s="108" t="n">
        <v>27000</v>
      </c>
      <c r="F1536" s="10" t="s">
        <v>236</v>
      </c>
      <c r="G1536" s="19"/>
    </row>
    <row r="1537" customFormat="false" ht="15" hidden="false" customHeight="true" outlineLevel="0" collapsed="false">
      <c r="A1537" s="19" t="n">
        <v>270279</v>
      </c>
      <c r="B1537" s="19" t="s">
        <v>765</v>
      </c>
      <c r="C1537" s="109" t="n">
        <v>45771</v>
      </c>
      <c r="D1537" s="108" t="n">
        <v>110</v>
      </c>
      <c r="E1537" s="108" t="n">
        <v>126</v>
      </c>
      <c r="F1537" s="10" t="s">
        <v>236</v>
      </c>
      <c r="G1537" s="19"/>
    </row>
    <row r="1538" customFormat="false" ht="15" hidden="false" customHeight="true" outlineLevel="0" collapsed="false">
      <c r="A1538" s="19" t="n">
        <v>270272</v>
      </c>
      <c r="B1538" s="19" t="s">
        <v>420</v>
      </c>
      <c r="C1538" s="109" t="n">
        <v>45771</v>
      </c>
      <c r="D1538" s="108" t="n">
        <v>25</v>
      </c>
      <c r="E1538" s="108" t="n">
        <v>920</v>
      </c>
      <c r="F1538" s="10" t="s">
        <v>225</v>
      </c>
      <c r="G1538" s="19"/>
    </row>
    <row r="1539" customFormat="false" ht="15" hidden="false" customHeight="true" outlineLevel="0" collapsed="false">
      <c r="A1539" s="19" t="n">
        <v>270280</v>
      </c>
      <c r="B1539" s="19" t="s">
        <v>766</v>
      </c>
      <c r="C1539" s="109" t="n">
        <v>45771</v>
      </c>
      <c r="D1539" s="108" t="n">
        <v>50</v>
      </c>
      <c r="E1539" s="108" t="n">
        <v>135</v>
      </c>
      <c r="F1539" s="10" t="s">
        <v>225</v>
      </c>
      <c r="G1539" s="19"/>
    </row>
    <row r="1540" customFormat="false" ht="15" hidden="false" customHeight="true" outlineLevel="0" collapsed="false">
      <c r="A1540" s="19" t="n">
        <v>270281</v>
      </c>
      <c r="B1540" s="19" t="s">
        <v>767</v>
      </c>
      <c r="C1540" s="109" t="n">
        <v>45771</v>
      </c>
      <c r="D1540" s="108" t="n">
        <v>55</v>
      </c>
      <c r="E1540" s="108" t="n">
        <v>115</v>
      </c>
      <c r="F1540" s="10" t="s">
        <v>225</v>
      </c>
      <c r="G1540" s="19"/>
    </row>
    <row r="1541" customFormat="false" ht="15" hidden="false" customHeight="true" outlineLevel="0" collapsed="false">
      <c r="A1541" s="19" t="n">
        <v>450</v>
      </c>
      <c r="B1541" s="19" t="s">
        <v>279</v>
      </c>
      <c r="C1541" s="109" t="n">
        <v>45771</v>
      </c>
      <c r="D1541" s="108" t="n">
        <v>70</v>
      </c>
      <c r="E1541" s="108" t="n">
        <v>2040</v>
      </c>
      <c r="F1541" s="10" t="s">
        <v>225</v>
      </c>
      <c r="G1541" s="19"/>
    </row>
    <row r="1542" customFormat="false" ht="15" hidden="false" customHeight="true" outlineLevel="0" collapsed="false">
      <c r="A1542" s="19" t="n">
        <v>270278</v>
      </c>
      <c r="B1542" s="19" t="s">
        <v>768</v>
      </c>
      <c r="C1542" s="109" t="n">
        <v>45771</v>
      </c>
      <c r="D1542" s="108" t="n">
        <v>70</v>
      </c>
      <c r="E1542" s="108" t="n">
        <v>750</v>
      </c>
      <c r="F1542" s="10" t="s">
        <v>225</v>
      </c>
      <c r="G1542" s="19"/>
    </row>
    <row r="1543" customFormat="false" ht="15" hidden="false" customHeight="true" outlineLevel="0" collapsed="false">
      <c r="A1543" s="19" t="n">
        <v>270265</v>
      </c>
      <c r="B1543" s="19" t="s">
        <v>769</v>
      </c>
      <c r="C1543" s="109" t="n">
        <v>45771</v>
      </c>
      <c r="D1543" s="108" t="n">
        <v>75</v>
      </c>
      <c r="E1543" s="108" t="n">
        <v>36</v>
      </c>
      <c r="F1543" s="10" t="s">
        <v>225</v>
      </c>
      <c r="G1543" s="19"/>
    </row>
    <row r="1544" customFormat="false" ht="15" hidden="false" customHeight="true" outlineLevel="0" collapsed="false">
      <c r="A1544" s="19" t="n">
        <v>446</v>
      </c>
      <c r="B1544" s="19" t="s">
        <v>708</v>
      </c>
      <c r="C1544" s="109" t="n">
        <v>45771</v>
      </c>
      <c r="D1544" s="108" t="n">
        <v>80</v>
      </c>
      <c r="E1544" s="108" t="n">
        <v>1530</v>
      </c>
      <c r="F1544" s="10" t="s">
        <v>225</v>
      </c>
      <c r="G1544" s="19"/>
    </row>
    <row r="1545" customFormat="false" ht="15" hidden="false" customHeight="true" outlineLevel="0" collapsed="false">
      <c r="A1545" s="19" t="n">
        <v>270277</v>
      </c>
      <c r="B1545" s="19" t="s">
        <v>508</v>
      </c>
      <c r="C1545" s="109" t="n">
        <v>45771</v>
      </c>
      <c r="D1545" s="108" t="n">
        <v>100</v>
      </c>
      <c r="E1545" s="108" t="n">
        <v>2040</v>
      </c>
      <c r="F1545" s="10" t="s">
        <v>225</v>
      </c>
      <c r="G1545" s="19"/>
    </row>
    <row r="1546" customFormat="false" ht="15" hidden="false" customHeight="true" outlineLevel="0" collapsed="false">
      <c r="A1546" s="19" t="n">
        <v>453</v>
      </c>
      <c r="B1546" s="19" t="s">
        <v>770</v>
      </c>
      <c r="C1546" s="109" t="n">
        <v>45771</v>
      </c>
      <c r="D1546" s="108" t="n">
        <v>25</v>
      </c>
      <c r="E1546" s="108" t="n">
        <v>17</v>
      </c>
      <c r="F1546" s="10" t="s">
        <v>229</v>
      </c>
      <c r="G1546" s="19"/>
    </row>
    <row r="1547" customFormat="false" ht="15" hidden="false" customHeight="true" outlineLevel="0" collapsed="false">
      <c r="A1547" s="19" t="n">
        <v>451</v>
      </c>
      <c r="B1547" s="19" t="s">
        <v>242</v>
      </c>
      <c r="C1547" s="109" t="n">
        <v>45771</v>
      </c>
      <c r="D1547" s="108" t="n">
        <v>40</v>
      </c>
      <c r="E1547" s="108" t="n">
        <v>950</v>
      </c>
      <c r="F1547" s="10" t="s">
        <v>248</v>
      </c>
      <c r="G1547" s="19"/>
    </row>
    <row r="1548" customFormat="false" ht="15" hidden="false" customHeight="true" outlineLevel="0" collapsed="false">
      <c r="A1548" s="19" t="n">
        <v>270276</v>
      </c>
      <c r="B1548" s="19" t="s">
        <v>263</v>
      </c>
      <c r="C1548" s="109" t="n">
        <v>45771</v>
      </c>
      <c r="D1548" s="108" t="n">
        <v>120</v>
      </c>
      <c r="E1548" s="108" t="n">
        <v>2000</v>
      </c>
      <c r="F1548" s="10" t="s">
        <v>227</v>
      </c>
      <c r="G1548" s="19"/>
    </row>
    <row r="1549" customFormat="false" ht="15" hidden="false" customHeight="true" outlineLevel="0" collapsed="false">
      <c r="A1549" s="19" t="n">
        <v>448</v>
      </c>
      <c r="B1549" s="19" t="s">
        <v>270</v>
      </c>
      <c r="C1549" s="109" t="n">
        <v>45771</v>
      </c>
      <c r="D1549" s="108" t="n">
        <v>140</v>
      </c>
      <c r="E1549" s="108" t="n">
        <v>368</v>
      </c>
      <c r="F1549" s="10" t="s">
        <v>225</v>
      </c>
      <c r="G1549" s="19"/>
    </row>
    <row r="1550" customFormat="false" ht="15" hidden="false" customHeight="true" outlineLevel="0" collapsed="false">
      <c r="A1550" s="19" t="n">
        <v>454</v>
      </c>
      <c r="B1550" s="19" t="s">
        <v>771</v>
      </c>
      <c r="C1550" s="109" t="n">
        <v>45771</v>
      </c>
      <c r="D1550" s="108" t="n">
        <v>210</v>
      </c>
      <c r="E1550" s="108" t="n">
        <v>663</v>
      </c>
      <c r="F1550" s="10" t="s">
        <v>225</v>
      </c>
      <c r="G1550" s="19"/>
    </row>
    <row r="1551" customFormat="false" ht="15" hidden="false" customHeight="true" outlineLevel="0" collapsed="false">
      <c r="A1551" s="19" t="n">
        <v>270284</v>
      </c>
      <c r="B1551" s="19" t="s">
        <v>231</v>
      </c>
      <c r="C1551" s="109" t="n">
        <v>45775</v>
      </c>
      <c r="D1551" s="108" t="n">
        <v>110</v>
      </c>
      <c r="E1551" s="108" t="n">
        <v>225</v>
      </c>
      <c r="F1551" s="10" t="s">
        <v>229</v>
      </c>
      <c r="G1551" s="19"/>
    </row>
    <row r="1552" customFormat="false" ht="15" hidden="false" customHeight="true" outlineLevel="0" collapsed="false">
      <c r="A1552" s="19" t="n">
        <v>452</v>
      </c>
      <c r="B1552" s="19" t="s">
        <v>226</v>
      </c>
      <c r="C1552" s="109" t="n">
        <v>45775</v>
      </c>
      <c r="D1552" s="108" t="n">
        <v>84</v>
      </c>
      <c r="E1552" s="108" t="n">
        <v>200</v>
      </c>
      <c r="F1552" s="10" t="s">
        <v>227</v>
      </c>
      <c r="G1552" s="19"/>
    </row>
    <row r="1553" customFormat="false" ht="15" hidden="false" customHeight="true" outlineLevel="0" collapsed="false">
      <c r="A1553" s="19" t="n">
        <v>427</v>
      </c>
      <c r="B1553" s="19" t="s">
        <v>393</v>
      </c>
      <c r="C1553" s="109" t="n">
        <v>45775</v>
      </c>
      <c r="D1553" s="108" t="n">
        <v>250</v>
      </c>
      <c r="E1553" s="108" t="n">
        <v>1183</v>
      </c>
      <c r="F1553" s="10" t="s">
        <v>229</v>
      </c>
      <c r="G1553" s="19"/>
    </row>
    <row r="1554" customFormat="false" ht="15" hidden="false" customHeight="true" outlineLevel="0" collapsed="false">
      <c r="A1554" s="19" t="n">
        <v>455</v>
      </c>
      <c r="B1554" s="19" t="s">
        <v>414</v>
      </c>
      <c r="C1554" s="109" t="n">
        <v>45775</v>
      </c>
      <c r="D1554" s="108" t="n">
        <v>48</v>
      </c>
      <c r="E1554" s="108" t="n">
        <v>1200</v>
      </c>
      <c r="F1554" s="10" t="s">
        <v>223</v>
      </c>
      <c r="G1554" s="19"/>
    </row>
    <row r="1555" customFormat="false" ht="15" hidden="false" customHeight="true" outlineLevel="0" collapsed="false">
      <c r="A1555" s="19" t="n">
        <v>447</v>
      </c>
      <c r="B1555" s="19" t="s">
        <v>285</v>
      </c>
      <c r="C1555" s="109" t="n">
        <v>45775</v>
      </c>
      <c r="D1555" s="108" t="n">
        <v>125</v>
      </c>
      <c r="E1555" s="108" t="n">
        <v>3200</v>
      </c>
      <c r="F1555" s="10" t="s">
        <v>225</v>
      </c>
      <c r="G1555" s="19"/>
    </row>
    <row r="1556" customFormat="false" ht="15" hidden="false" customHeight="true" outlineLevel="0" collapsed="false">
      <c r="A1556" s="19" t="n">
        <v>270285</v>
      </c>
      <c r="B1556" s="19" t="s">
        <v>772</v>
      </c>
      <c r="C1556" s="109" t="n">
        <v>45775</v>
      </c>
      <c r="D1556" s="108" t="n">
        <v>140</v>
      </c>
      <c r="E1556" s="108" t="n">
        <v>113</v>
      </c>
      <c r="F1556" s="10" t="s">
        <v>225</v>
      </c>
      <c r="G1556" s="19"/>
    </row>
    <row r="1557" customFormat="false" ht="15" hidden="false" customHeight="true" outlineLevel="0" collapsed="false">
      <c r="A1557" s="19" t="n">
        <v>456</v>
      </c>
      <c r="B1557" s="19" t="s">
        <v>411</v>
      </c>
      <c r="C1557" s="109" t="n">
        <v>45775</v>
      </c>
      <c r="D1557" s="108" t="n">
        <v>158</v>
      </c>
      <c r="E1557" s="108" t="n">
        <v>750</v>
      </c>
      <c r="F1557" s="10" t="s">
        <v>225</v>
      </c>
      <c r="G1557" s="19"/>
    </row>
    <row r="1558" customFormat="false" ht="15" hidden="false" customHeight="true" outlineLevel="0" collapsed="false">
      <c r="A1558" s="19" t="n">
        <v>270289</v>
      </c>
      <c r="B1558" s="19" t="s">
        <v>326</v>
      </c>
      <c r="C1558" s="109" t="n">
        <v>45776</v>
      </c>
      <c r="D1558" s="108" t="n">
        <v>90</v>
      </c>
      <c r="E1558" s="108" t="n">
        <v>300</v>
      </c>
      <c r="F1558" s="10" t="s">
        <v>225</v>
      </c>
      <c r="G1558" s="19"/>
    </row>
    <row r="1559" customFormat="false" ht="15" hidden="false" customHeight="true" outlineLevel="0" collapsed="false">
      <c r="A1559" s="19" t="n">
        <v>270290</v>
      </c>
      <c r="B1559" s="19" t="s">
        <v>508</v>
      </c>
      <c r="C1559" s="109" t="n">
        <v>45776</v>
      </c>
      <c r="D1559" s="108" t="n">
        <v>100</v>
      </c>
      <c r="E1559" s="108" t="n">
        <v>680</v>
      </c>
      <c r="F1559" s="10" t="s">
        <v>225</v>
      </c>
      <c r="G1559" s="19"/>
    </row>
    <row r="1560" customFormat="false" ht="15" hidden="false" customHeight="true" outlineLevel="0" collapsed="false">
      <c r="A1560" s="19" t="n">
        <v>458</v>
      </c>
      <c r="B1560" s="19" t="s">
        <v>773</v>
      </c>
      <c r="C1560" s="109" t="n">
        <v>45776</v>
      </c>
      <c r="D1560" s="108" t="n">
        <v>105</v>
      </c>
      <c r="E1560" s="108" t="n">
        <v>373</v>
      </c>
      <c r="F1560" s="10" t="s">
        <v>227</v>
      </c>
      <c r="G1560" s="19"/>
    </row>
    <row r="1561" customFormat="false" ht="15" hidden="false" customHeight="true" outlineLevel="0" collapsed="false">
      <c r="A1561" s="19" t="n">
        <v>461</v>
      </c>
      <c r="B1561" s="19" t="s">
        <v>397</v>
      </c>
      <c r="C1561" s="109" t="n">
        <v>45776</v>
      </c>
      <c r="D1561" s="108" t="n">
        <v>110</v>
      </c>
      <c r="E1561" s="108" t="n">
        <v>272</v>
      </c>
      <c r="F1561" s="10" t="s">
        <v>227</v>
      </c>
      <c r="G1561" s="19"/>
    </row>
    <row r="1562" customFormat="false" ht="15" hidden="false" customHeight="true" outlineLevel="0" collapsed="false">
      <c r="A1562" s="19" t="n">
        <v>412</v>
      </c>
      <c r="B1562" s="19" t="s">
        <v>371</v>
      </c>
      <c r="C1562" s="109" t="n">
        <v>45776</v>
      </c>
      <c r="D1562" s="108" t="n">
        <v>25</v>
      </c>
      <c r="E1562" s="108" t="n">
        <v>800</v>
      </c>
      <c r="F1562" s="10" t="s">
        <v>372</v>
      </c>
      <c r="G1562" s="19"/>
    </row>
    <row r="1563" customFormat="false" ht="15" hidden="false" customHeight="true" outlineLevel="0" collapsed="false">
      <c r="A1563" s="19" t="n">
        <v>462</v>
      </c>
      <c r="B1563" s="19" t="s">
        <v>475</v>
      </c>
      <c r="C1563" s="109" t="n">
        <v>45776</v>
      </c>
      <c r="D1563" s="108" t="n">
        <v>140</v>
      </c>
      <c r="E1563" s="108" t="n">
        <v>500</v>
      </c>
      <c r="F1563" s="10" t="s">
        <v>225</v>
      </c>
      <c r="G1563" s="19"/>
    </row>
    <row r="1564" customFormat="false" ht="15" hidden="false" customHeight="true" outlineLevel="0" collapsed="false">
      <c r="A1564" s="19" t="n">
        <v>464</v>
      </c>
      <c r="B1564" s="19" t="s">
        <v>359</v>
      </c>
      <c r="C1564" s="109" t="n">
        <v>45776</v>
      </c>
      <c r="D1564" s="108" t="n">
        <v>190</v>
      </c>
      <c r="E1564" s="108" t="n">
        <v>3780</v>
      </c>
      <c r="F1564" s="10" t="s">
        <v>225</v>
      </c>
      <c r="G1564" s="19"/>
    </row>
    <row r="1565" customFormat="false" ht="15" hidden="false" customHeight="true" outlineLevel="0" collapsed="false">
      <c r="A1565" s="19" t="n">
        <v>465</v>
      </c>
      <c r="B1565" s="19" t="s">
        <v>774</v>
      </c>
      <c r="C1565" s="109" t="n">
        <v>45777</v>
      </c>
      <c r="D1565" s="108" t="n">
        <v>210</v>
      </c>
      <c r="E1565" s="108" t="n">
        <v>260</v>
      </c>
      <c r="F1565" s="10" t="s">
        <v>236</v>
      </c>
      <c r="G1565" s="19"/>
    </row>
    <row r="1566" customFormat="false" ht="15" hidden="false" customHeight="true" outlineLevel="0" collapsed="false">
      <c r="A1566" s="19" t="n">
        <v>463</v>
      </c>
      <c r="B1566" s="19" t="s">
        <v>775</v>
      </c>
      <c r="C1566" s="109" t="n">
        <v>45777</v>
      </c>
      <c r="D1566" s="108" t="n">
        <v>30</v>
      </c>
      <c r="E1566" s="108" t="n">
        <v>560</v>
      </c>
      <c r="F1566" s="10" t="s">
        <v>225</v>
      </c>
      <c r="G1566" s="19"/>
    </row>
    <row r="1567" customFormat="false" ht="15" hidden="false" customHeight="true" outlineLevel="0" collapsed="false">
      <c r="A1567" s="19" t="n">
        <v>270292</v>
      </c>
      <c r="B1567" s="19" t="s">
        <v>615</v>
      </c>
      <c r="C1567" s="109" t="n">
        <v>45777</v>
      </c>
      <c r="D1567" s="108" t="n">
        <v>110</v>
      </c>
      <c r="E1567" s="108" t="n">
        <v>1500</v>
      </c>
      <c r="F1567" s="10" t="s">
        <v>225</v>
      </c>
      <c r="G1567" s="19"/>
    </row>
    <row r="1568" customFormat="false" ht="15" hidden="false" customHeight="true" outlineLevel="0" collapsed="false">
      <c r="A1568" s="19" t="n">
        <v>467</v>
      </c>
      <c r="B1568" s="19" t="s">
        <v>620</v>
      </c>
      <c r="C1568" s="109" t="n">
        <v>45777</v>
      </c>
      <c r="D1568" s="108" t="n">
        <v>250</v>
      </c>
      <c r="E1568" s="108" t="n">
        <v>27081</v>
      </c>
      <c r="F1568" s="10" t="s">
        <v>236</v>
      </c>
      <c r="G1568" s="19"/>
    </row>
    <row r="1569" customFormat="false" ht="15" hidden="false" customHeight="true" outlineLevel="0" collapsed="false">
      <c r="A1569" s="19" t="n">
        <v>492</v>
      </c>
      <c r="B1569" s="19" t="s">
        <v>224</v>
      </c>
      <c r="C1569" s="109" t="n">
        <v>45784</v>
      </c>
      <c r="D1569" s="108" t="n">
        <v>55</v>
      </c>
      <c r="E1569" s="108" t="n">
        <v>1380</v>
      </c>
      <c r="F1569" s="10" t="s">
        <v>225</v>
      </c>
      <c r="G1569" s="19"/>
    </row>
    <row r="1570" customFormat="false" ht="15" hidden="false" customHeight="true" outlineLevel="0" collapsed="false">
      <c r="A1570" s="19" t="n">
        <v>270305</v>
      </c>
      <c r="B1570" s="19" t="s">
        <v>398</v>
      </c>
      <c r="C1570" s="109" t="n">
        <v>45784</v>
      </c>
      <c r="D1570" s="108" t="n">
        <v>83</v>
      </c>
      <c r="E1570" s="108" t="n">
        <v>405</v>
      </c>
      <c r="F1570" s="10" t="s">
        <v>225</v>
      </c>
      <c r="G1570" s="19"/>
    </row>
    <row r="1571" customFormat="false" ht="15" hidden="false" customHeight="true" outlineLevel="0" collapsed="false">
      <c r="A1571" s="19" t="n">
        <v>488</v>
      </c>
      <c r="B1571" s="19" t="s">
        <v>383</v>
      </c>
      <c r="C1571" s="109" t="n">
        <v>45784</v>
      </c>
      <c r="D1571" s="108" t="n">
        <v>88</v>
      </c>
      <c r="E1571" s="108" t="n">
        <v>440</v>
      </c>
      <c r="F1571" s="10" t="s">
        <v>225</v>
      </c>
      <c r="G1571" s="19"/>
    </row>
    <row r="1572" customFormat="false" ht="15" hidden="false" customHeight="true" outlineLevel="0" collapsed="false">
      <c r="A1572" s="19" t="n">
        <v>270299</v>
      </c>
      <c r="B1572" s="19" t="s">
        <v>357</v>
      </c>
      <c r="C1572" s="109" t="n">
        <v>45784</v>
      </c>
      <c r="D1572" s="108" t="n">
        <v>97</v>
      </c>
      <c r="E1572" s="108" t="n">
        <v>100</v>
      </c>
      <c r="F1572" s="10" t="s">
        <v>225</v>
      </c>
      <c r="G1572" s="19" t="s">
        <v>232</v>
      </c>
    </row>
    <row r="1573" customFormat="false" ht="15" hidden="false" customHeight="true" outlineLevel="0" collapsed="false">
      <c r="A1573" s="19" t="n">
        <v>270298</v>
      </c>
      <c r="B1573" s="19" t="s">
        <v>693</v>
      </c>
      <c r="C1573" s="109" t="n">
        <v>45784</v>
      </c>
      <c r="D1573" s="108" t="n">
        <v>100</v>
      </c>
      <c r="E1573" s="108" t="n">
        <v>670</v>
      </c>
      <c r="F1573" s="10" t="s">
        <v>225</v>
      </c>
      <c r="G1573" s="19"/>
    </row>
    <row r="1574" customFormat="false" ht="15" hidden="false" customHeight="true" outlineLevel="0" collapsed="false">
      <c r="A1574" s="19" t="n">
        <v>492</v>
      </c>
      <c r="B1574" s="19" t="s">
        <v>224</v>
      </c>
      <c r="C1574" s="109" t="n">
        <v>45784</v>
      </c>
      <c r="D1574" s="108" t="n">
        <v>105</v>
      </c>
      <c r="E1574" s="108" t="n">
        <v>8400</v>
      </c>
      <c r="F1574" s="10" t="s">
        <v>225</v>
      </c>
      <c r="G1574" s="19"/>
    </row>
    <row r="1575" customFormat="false" ht="15" hidden="false" customHeight="true" outlineLevel="0" collapsed="false">
      <c r="A1575" s="19" t="n">
        <v>489</v>
      </c>
      <c r="B1575" s="19" t="s">
        <v>242</v>
      </c>
      <c r="C1575" s="109" t="n">
        <v>45784</v>
      </c>
      <c r="D1575" s="108" t="n">
        <v>110</v>
      </c>
      <c r="E1575" s="108" t="n">
        <v>130</v>
      </c>
      <c r="F1575" s="10" t="s">
        <v>225</v>
      </c>
      <c r="G1575" s="19"/>
    </row>
    <row r="1576" customFormat="false" ht="15" hidden="false" customHeight="true" outlineLevel="0" collapsed="false">
      <c r="A1576" s="19" t="n">
        <v>486</v>
      </c>
      <c r="B1576" s="19" t="s">
        <v>730</v>
      </c>
      <c r="C1576" s="109" t="n">
        <v>45784</v>
      </c>
      <c r="D1576" s="108" t="n">
        <v>220</v>
      </c>
      <c r="E1576" s="108" t="n">
        <v>1980</v>
      </c>
      <c r="F1576" s="10" t="s">
        <v>229</v>
      </c>
      <c r="G1576" s="19"/>
    </row>
    <row r="1577" customFormat="false" ht="15" hidden="false" customHeight="true" outlineLevel="0" collapsed="false">
      <c r="A1577" s="19" t="n">
        <v>494</v>
      </c>
      <c r="B1577" s="19" t="s">
        <v>776</v>
      </c>
      <c r="C1577" s="109" t="n">
        <v>45784</v>
      </c>
      <c r="D1577" s="108" t="n">
        <v>110</v>
      </c>
      <c r="E1577" s="108" t="n">
        <v>13600</v>
      </c>
      <c r="F1577" s="10" t="s">
        <v>227</v>
      </c>
      <c r="G1577" s="19"/>
    </row>
    <row r="1578" customFormat="false" ht="15" hidden="false" customHeight="true" outlineLevel="0" collapsed="false">
      <c r="A1578" s="19" t="n">
        <v>466</v>
      </c>
      <c r="B1578" s="19" t="s">
        <v>397</v>
      </c>
      <c r="C1578" s="109" t="n">
        <v>45784</v>
      </c>
      <c r="D1578" s="108" t="n">
        <v>138</v>
      </c>
      <c r="E1578" s="108" t="n">
        <v>136</v>
      </c>
      <c r="F1578" s="10" t="s">
        <v>227</v>
      </c>
      <c r="G1578" s="19"/>
    </row>
    <row r="1579" customFormat="false" ht="15" hidden="false" customHeight="true" outlineLevel="0" collapsed="false">
      <c r="A1579" s="19" t="n">
        <v>483</v>
      </c>
      <c r="B1579" s="19" t="s">
        <v>777</v>
      </c>
      <c r="C1579" s="109" t="n">
        <v>45784</v>
      </c>
      <c r="D1579" s="108" t="n">
        <v>125</v>
      </c>
      <c r="E1579" s="108" t="n">
        <v>300</v>
      </c>
      <c r="F1579" s="10" t="s">
        <v>225</v>
      </c>
      <c r="G1579" s="19"/>
    </row>
    <row r="1580" customFormat="false" ht="15" hidden="false" customHeight="true" outlineLevel="0" collapsed="false">
      <c r="A1580" s="19" t="n">
        <v>459</v>
      </c>
      <c r="B1580" s="19" t="s">
        <v>778</v>
      </c>
      <c r="C1580" s="109" t="n">
        <v>45784</v>
      </c>
      <c r="D1580" s="108" t="n">
        <v>125</v>
      </c>
      <c r="E1580" s="108" t="n">
        <v>1440</v>
      </c>
      <c r="F1580" s="10" t="s">
        <v>225</v>
      </c>
      <c r="G1580" s="19"/>
    </row>
    <row r="1581" customFormat="false" ht="15" hidden="false" customHeight="true" outlineLevel="0" collapsed="false">
      <c r="A1581" s="19" t="n">
        <v>270297</v>
      </c>
      <c r="B1581" s="19" t="s">
        <v>259</v>
      </c>
      <c r="C1581" s="109" t="n">
        <v>45784</v>
      </c>
      <c r="D1581" s="108" t="n">
        <v>130</v>
      </c>
      <c r="E1581" s="108" t="n">
        <v>4500</v>
      </c>
      <c r="F1581" s="10" t="s">
        <v>225</v>
      </c>
      <c r="G1581" s="19"/>
    </row>
    <row r="1582" customFormat="false" ht="15" hidden="false" customHeight="true" outlineLevel="0" collapsed="false">
      <c r="A1582" s="19" t="n">
        <v>270300</v>
      </c>
      <c r="B1582" s="19" t="s">
        <v>502</v>
      </c>
      <c r="C1582" s="109" t="n">
        <v>45784</v>
      </c>
      <c r="D1582" s="108" t="n">
        <v>133</v>
      </c>
      <c r="E1582" s="108" t="n">
        <v>1400</v>
      </c>
      <c r="F1582" s="10" t="s">
        <v>225</v>
      </c>
      <c r="G1582" s="19" t="s">
        <v>232</v>
      </c>
    </row>
    <row r="1583" customFormat="false" ht="15" hidden="false" customHeight="true" outlineLevel="0" collapsed="false">
      <c r="A1583" s="19" t="n">
        <v>485</v>
      </c>
      <c r="B1583" s="19" t="s">
        <v>407</v>
      </c>
      <c r="C1583" s="109" t="n">
        <v>45784</v>
      </c>
      <c r="D1583" s="108" t="n">
        <v>210</v>
      </c>
      <c r="E1583" s="108" t="n">
        <v>559</v>
      </c>
      <c r="F1583" s="10" t="s">
        <v>225</v>
      </c>
      <c r="G1583" s="19"/>
    </row>
    <row r="1584" customFormat="false" ht="15" hidden="false" customHeight="true" outlineLevel="0" collapsed="false">
      <c r="A1584" s="19" t="n">
        <v>493</v>
      </c>
      <c r="B1584" s="19" t="s">
        <v>697</v>
      </c>
      <c r="C1584" s="109" t="n">
        <v>45784</v>
      </c>
      <c r="D1584" s="108" t="n">
        <v>210</v>
      </c>
      <c r="E1584" s="108" t="n">
        <v>945</v>
      </c>
      <c r="F1584" s="10" t="s">
        <v>225</v>
      </c>
      <c r="G1584" s="19"/>
    </row>
    <row r="1585" customFormat="false" ht="15" hidden="false" customHeight="true" outlineLevel="0" collapsed="false">
      <c r="A1585" s="19" t="n">
        <v>492</v>
      </c>
      <c r="B1585" s="19" t="s">
        <v>224</v>
      </c>
      <c r="C1585" s="109" t="n">
        <v>45784</v>
      </c>
      <c r="D1585" s="108" t="n">
        <v>210</v>
      </c>
      <c r="E1585" s="108" t="n">
        <v>3000</v>
      </c>
      <c r="F1585" s="10" t="s">
        <v>225</v>
      </c>
      <c r="G1585" s="19"/>
    </row>
    <row r="1586" customFormat="false" ht="15" hidden="false" customHeight="true" outlineLevel="0" collapsed="false">
      <c r="A1586" s="19" t="n">
        <v>488</v>
      </c>
      <c r="B1586" s="19" t="s">
        <v>383</v>
      </c>
      <c r="C1586" s="109" t="n">
        <v>45784</v>
      </c>
      <c r="D1586" s="108" t="n">
        <v>210</v>
      </c>
      <c r="E1586" s="108" t="n">
        <v>3870</v>
      </c>
      <c r="F1586" s="10" t="s">
        <v>225</v>
      </c>
      <c r="G1586" s="19"/>
    </row>
    <row r="1587" customFormat="false" ht="15" hidden="false" customHeight="true" outlineLevel="0" collapsed="false">
      <c r="A1587" s="19" t="n">
        <v>498</v>
      </c>
      <c r="B1587" s="19" t="s">
        <v>779</v>
      </c>
      <c r="C1587" s="109" t="n">
        <v>45786</v>
      </c>
      <c r="D1587" s="108" t="n">
        <v>210</v>
      </c>
      <c r="E1587" s="108" t="n">
        <v>945</v>
      </c>
      <c r="F1587" s="10" t="s">
        <v>236</v>
      </c>
      <c r="G1587" s="19"/>
    </row>
    <row r="1588" customFormat="false" ht="15" hidden="false" customHeight="true" outlineLevel="0" collapsed="false">
      <c r="A1588" s="19" t="n">
        <v>270303</v>
      </c>
      <c r="B1588" s="19" t="s">
        <v>569</v>
      </c>
      <c r="C1588" s="109" t="n">
        <v>45786</v>
      </c>
      <c r="D1588" s="108" t="n">
        <v>85</v>
      </c>
      <c r="E1588" s="108" t="n">
        <v>215</v>
      </c>
      <c r="F1588" s="10" t="s">
        <v>225</v>
      </c>
      <c r="G1588" s="19"/>
    </row>
    <row r="1589" customFormat="false" ht="15" hidden="false" customHeight="true" outlineLevel="0" collapsed="false">
      <c r="A1589" s="19" t="n">
        <v>499</v>
      </c>
      <c r="B1589" s="19" t="s">
        <v>478</v>
      </c>
      <c r="C1589" s="109" t="n">
        <v>45786</v>
      </c>
      <c r="D1589" s="108" t="n">
        <v>85</v>
      </c>
      <c r="E1589" s="108" t="n">
        <v>536</v>
      </c>
      <c r="F1589" s="10" t="s">
        <v>227</v>
      </c>
      <c r="G1589" s="19"/>
    </row>
    <row r="1590" customFormat="false" ht="15" hidden="false" customHeight="true" outlineLevel="0" collapsed="false">
      <c r="A1590" s="19" t="n">
        <v>504</v>
      </c>
      <c r="B1590" s="19" t="s">
        <v>731</v>
      </c>
      <c r="C1590" s="109" t="n">
        <v>45786</v>
      </c>
      <c r="D1590" s="108" t="n">
        <v>110</v>
      </c>
      <c r="E1590" s="108" t="n">
        <v>680</v>
      </c>
      <c r="F1590" s="10" t="s">
        <v>227</v>
      </c>
      <c r="G1590" s="19"/>
    </row>
    <row r="1591" customFormat="false" ht="15" hidden="false" customHeight="true" outlineLevel="0" collapsed="false">
      <c r="A1591" s="19" t="n">
        <v>490</v>
      </c>
      <c r="B1591" s="19" t="s">
        <v>242</v>
      </c>
      <c r="C1591" s="109" t="n">
        <v>45786</v>
      </c>
      <c r="D1591" s="108" t="n">
        <v>40</v>
      </c>
      <c r="E1591" s="108" t="n">
        <v>525</v>
      </c>
      <c r="F1591" s="10" t="s">
        <v>248</v>
      </c>
      <c r="G1591" s="19"/>
    </row>
    <row r="1592" customFormat="false" ht="15" hidden="false" customHeight="true" outlineLevel="0" collapsed="false">
      <c r="A1592" s="19" t="n">
        <v>510</v>
      </c>
      <c r="B1592" s="19" t="s">
        <v>242</v>
      </c>
      <c r="C1592" s="109" t="n">
        <v>45786</v>
      </c>
      <c r="D1592" s="108" t="n">
        <v>40</v>
      </c>
      <c r="E1592" s="108" t="n">
        <v>375</v>
      </c>
      <c r="F1592" s="10" t="s">
        <v>248</v>
      </c>
      <c r="G1592" s="19"/>
    </row>
    <row r="1593" customFormat="false" ht="15" hidden="false" customHeight="true" outlineLevel="0" collapsed="false">
      <c r="A1593" s="19" t="n">
        <v>270308</v>
      </c>
      <c r="B1593" s="19" t="s">
        <v>404</v>
      </c>
      <c r="C1593" s="109" t="n">
        <v>45786</v>
      </c>
      <c r="D1593" s="108" t="n">
        <v>25</v>
      </c>
      <c r="E1593" s="108" t="n">
        <v>500</v>
      </c>
      <c r="F1593" s="10" t="s">
        <v>632</v>
      </c>
      <c r="G1593" s="19"/>
    </row>
    <row r="1594" customFormat="false" ht="15" hidden="false" customHeight="true" outlineLevel="0" collapsed="false">
      <c r="A1594" s="19" t="n">
        <v>507</v>
      </c>
      <c r="B1594" s="19" t="s">
        <v>347</v>
      </c>
      <c r="C1594" s="109" t="n">
        <v>45786</v>
      </c>
      <c r="D1594" s="108" t="n">
        <v>210</v>
      </c>
      <c r="E1594" s="108" t="n">
        <v>315</v>
      </c>
      <c r="F1594" s="10" t="s">
        <v>225</v>
      </c>
      <c r="G1594" s="19"/>
    </row>
    <row r="1595" customFormat="false" ht="15" hidden="false" customHeight="true" outlineLevel="0" collapsed="false">
      <c r="A1595" s="19" t="n">
        <v>506</v>
      </c>
      <c r="B1595" s="19" t="s">
        <v>247</v>
      </c>
      <c r="C1595" s="109" t="n">
        <v>45786</v>
      </c>
      <c r="D1595" s="108" t="n">
        <v>210</v>
      </c>
      <c r="E1595" s="108" t="n">
        <v>840</v>
      </c>
      <c r="F1595" s="10" t="s">
        <v>225</v>
      </c>
      <c r="G1595" s="19"/>
    </row>
    <row r="1596" customFormat="false" ht="15" hidden="false" customHeight="true" outlineLevel="0" collapsed="false">
      <c r="A1596" s="19" t="n">
        <v>500</v>
      </c>
      <c r="B1596" s="19" t="s">
        <v>780</v>
      </c>
      <c r="C1596" s="109" t="n">
        <v>45786</v>
      </c>
      <c r="D1596" s="108" t="n">
        <v>210</v>
      </c>
      <c r="E1596" s="108" t="n">
        <v>525</v>
      </c>
      <c r="F1596" s="10" t="s">
        <v>225</v>
      </c>
      <c r="G1596" s="19"/>
    </row>
    <row r="1597" customFormat="false" ht="15" hidden="false" customHeight="true" outlineLevel="0" collapsed="false">
      <c r="A1597" s="19" t="n">
        <v>507</v>
      </c>
      <c r="B1597" s="19" t="s">
        <v>347</v>
      </c>
      <c r="C1597" s="109" t="n">
        <v>45786</v>
      </c>
      <c r="D1597" s="108" t="n">
        <v>220</v>
      </c>
      <c r="E1597" s="108" t="n">
        <v>1206</v>
      </c>
      <c r="F1597" s="10" t="s">
        <v>225</v>
      </c>
      <c r="G1597" s="19"/>
    </row>
    <row r="1598" customFormat="false" ht="15" hidden="false" customHeight="true" outlineLevel="0" collapsed="false">
      <c r="A1598" s="19" t="n">
        <v>270307</v>
      </c>
      <c r="B1598" s="19" t="s">
        <v>231</v>
      </c>
      <c r="C1598" s="109" t="n">
        <v>45786</v>
      </c>
      <c r="D1598" s="108" t="n">
        <v>250</v>
      </c>
      <c r="E1598" s="108" t="n">
        <v>124</v>
      </c>
      <c r="F1598" s="10" t="s">
        <v>225</v>
      </c>
      <c r="G1598" s="19"/>
    </row>
    <row r="1599" customFormat="false" ht="15" hidden="false" customHeight="true" outlineLevel="0" collapsed="false">
      <c r="A1599" s="19" t="n">
        <v>270313</v>
      </c>
      <c r="B1599" s="19" t="s">
        <v>356</v>
      </c>
      <c r="C1599" s="109" t="n">
        <v>45789</v>
      </c>
      <c r="D1599" s="108" t="n">
        <v>48</v>
      </c>
      <c r="E1599" s="108" t="n">
        <v>150</v>
      </c>
      <c r="F1599" s="10" t="s">
        <v>225</v>
      </c>
      <c r="G1599" s="19"/>
    </row>
    <row r="1600" customFormat="false" ht="15" hidden="false" customHeight="true" outlineLevel="0" collapsed="false">
      <c r="A1600" s="19" t="n">
        <v>520</v>
      </c>
      <c r="B1600" s="19" t="s">
        <v>628</v>
      </c>
      <c r="C1600" s="109" t="n">
        <v>45789</v>
      </c>
      <c r="D1600" s="108" t="n">
        <v>105</v>
      </c>
      <c r="E1600" s="108" t="n">
        <v>1100</v>
      </c>
      <c r="F1600" s="10" t="s">
        <v>225</v>
      </c>
      <c r="G1600" s="19"/>
    </row>
    <row r="1601" customFormat="false" ht="15" hidden="false" customHeight="true" outlineLevel="0" collapsed="false">
      <c r="A1601" s="19" t="n">
        <v>521</v>
      </c>
      <c r="B1601" s="19" t="s">
        <v>350</v>
      </c>
      <c r="C1601" s="109" t="n">
        <v>45789</v>
      </c>
      <c r="D1601" s="108" t="n">
        <v>110</v>
      </c>
      <c r="E1601" s="108" t="n">
        <v>816</v>
      </c>
      <c r="F1601" s="10" t="s">
        <v>225</v>
      </c>
      <c r="G1601" s="19" t="s">
        <v>232</v>
      </c>
    </row>
    <row r="1602" customFormat="false" ht="15" hidden="false" customHeight="true" outlineLevel="0" collapsed="false">
      <c r="A1602" s="19" t="n">
        <v>521</v>
      </c>
      <c r="B1602" s="19" t="s">
        <v>350</v>
      </c>
      <c r="C1602" s="109" t="n">
        <v>45789</v>
      </c>
      <c r="D1602" s="108" t="n">
        <v>120</v>
      </c>
      <c r="E1602" s="108" t="n">
        <v>150</v>
      </c>
      <c r="F1602" s="10" t="s">
        <v>225</v>
      </c>
      <c r="G1602" s="19"/>
    </row>
    <row r="1603" customFormat="false" ht="15" hidden="false" customHeight="true" outlineLevel="0" collapsed="false">
      <c r="A1603" s="19" t="n">
        <v>517</v>
      </c>
      <c r="B1603" s="19" t="s">
        <v>514</v>
      </c>
      <c r="C1603" s="109" t="n">
        <v>45789</v>
      </c>
      <c r="D1603" s="108"/>
      <c r="E1603" s="108"/>
      <c r="F1603" s="10"/>
      <c r="G1603" s="19"/>
    </row>
    <row r="1604" customFormat="false" ht="15" hidden="false" customHeight="true" outlineLevel="0" collapsed="false">
      <c r="A1604" s="19" t="n">
        <v>270311</v>
      </c>
      <c r="B1604" s="19" t="s">
        <v>418</v>
      </c>
      <c r="C1604" s="109" t="n">
        <v>45789</v>
      </c>
      <c r="D1604" s="108" t="n">
        <v>130</v>
      </c>
      <c r="E1604" s="108" t="n">
        <v>180</v>
      </c>
      <c r="F1604" s="10" t="s">
        <v>225</v>
      </c>
      <c r="G1604" s="19" t="s">
        <v>232</v>
      </c>
    </row>
    <row r="1605" customFormat="false" ht="15" hidden="false" customHeight="true" outlineLevel="0" collapsed="false">
      <c r="A1605" s="19" t="n">
        <v>270311</v>
      </c>
      <c r="B1605" s="19" t="s">
        <v>418</v>
      </c>
      <c r="C1605" s="109" t="n">
        <v>45789</v>
      </c>
      <c r="D1605" s="108" t="n">
        <v>145</v>
      </c>
      <c r="E1605" s="108" t="n">
        <v>1000</v>
      </c>
      <c r="F1605" s="10" t="s">
        <v>225</v>
      </c>
      <c r="G1605" s="19" t="s">
        <v>232</v>
      </c>
    </row>
    <row r="1606" customFormat="false" ht="15" hidden="false" customHeight="true" outlineLevel="0" collapsed="false">
      <c r="A1606" s="19" t="n">
        <v>519</v>
      </c>
      <c r="B1606" s="19" t="s">
        <v>441</v>
      </c>
      <c r="C1606" s="109" t="n">
        <v>45789</v>
      </c>
      <c r="D1606" s="108" t="n">
        <v>250</v>
      </c>
      <c r="E1606" s="108" t="n">
        <v>108</v>
      </c>
      <c r="F1606" s="10" t="s">
        <v>225</v>
      </c>
      <c r="G1606" s="19"/>
    </row>
    <row r="1607" customFormat="false" ht="15" hidden="false" customHeight="true" outlineLevel="0" collapsed="false">
      <c r="A1607" s="19" t="n">
        <v>270310</v>
      </c>
      <c r="B1607" s="18" t="s">
        <v>550</v>
      </c>
      <c r="C1607" s="109" t="n">
        <v>45790</v>
      </c>
      <c r="D1607" s="108" t="n">
        <v>30</v>
      </c>
      <c r="E1607" s="108" t="n">
        <v>340</v>
      </c>
      <c r="F1607" s="10" t="s">
        <v>225</v>
      </c>
      <c r="G1607" s="19"/>
    </row>
    <row r="1608" customFormat="false" ht="15" hidden="false" customHeight="true" outlineLevel="0" collapsed="false">
      <c r="A1608" s="19" t="n">
        <v>505</v>
      </c>
      <c r="B1608" s="18" t="s">
        <v>353</v>
      </c>
      <c r="C1608" s="109" t="n">
        <v>45790</v>
      </c>
      <c r="D1608" s="108" t="n">
        <v>55</v>
      </c>
      <c r="E1608" s="108" t="n">
        <v>53</v>
      </c>
      <c r="F1608" s="10" t="s">
        <v>225</v>
      </c>
      <c r="G1608" s="19"/>
    </row>
    <row r="1609" customFormat="false" ht="15" hidden="false" customHeight="true" outlineLevel="0" collapsed="false">
      <c r="A1609" s="19" t="n">
        <v>524</v>
      </c>
      <c r="B1609" s="18" t="s">
        <v>495</v>
      </c>
      <c r="C1609" s="109" t="n">
        <v>45790</v>
      </c>
      <c r="D1609" s="108" t="n">
        <v>210</v>
      </c>
      <c r="E1609" s="108" t="n">
        <v>315</v>
      </c>
      <c r="F1609" s="10" t="s">
        <v>229</v>
      </c>
      <c r="G1609" s="19"/>
    </row>
    <row r="1610" customFormat="false" ht="15" hidden="false" customHeight="true" outlineLevel="0" collapsed="false">
      <c r="A1610" s="19" t="n">
        <v>523</v>
      </c>
      <c r="B1610" s="18" t="s">
        <v>224</v>
      </c>
      <c r="C1610" s="109" t="n">
        <v>45790</v>
      </c>
      <c r="D1610" s="108" t="n">
        <v>210</v>
      </c>
      <c r="E1610" s="108" t="n">
        <v>345</v>
      </c>
      <c r="F1610" s="10" t="s">
        <v>248</v>
      </c>
      <c r="G1610" s="19"/>
    </row>
    <row r="1611" customFormat="false" ht="15" hidden="false" customHeight="true" outlineLevel="0" collapsed="false">
      <c r="A1611" s="19" t="n">
        <v>527</v>
      </c>
      <c r="B1611" s="18" t="s">
        <v>664</v>
      </c>
      <c r="C1611" s="109" t="n">
        <v>45790</v>
      </c>
      <c r="D1611" s="108" t="n">
        <v>120</v>
      </c>
      <c r="E1611" s="108" t="n">
        <v>75</v>
      </c>
      <c r="F1611" s="10" t="s">
        <v>229</v>
      </c>
      <c r="G1611" s="19"/>
    </row>
    <row r="1612" customFormat="false" ht="15" hidden="false" customHeight="true" outlineLevel="0" collapsed="false">
      <c r="A1612" s="19" t="n">
        <v>529</v>
      </c>
      <c r="B1612" s="18" t="s">
        <v>664</v>
      </c>
      <c r="C1612" s="109" t="n">
        <v>45790</v>
      </c>
      <c r="D1612" s="108" t="n">
        <v>120</v>
      </c>
      <c r="E1612" s="108" t="n">
        <v>375</v>
      </c>
      <c r="F1612" s="10" t="s">
        <v>227</v>
      </c>
      <c r="G1612" s="19"/>
    </row>
    <row r="1613" customFormat="false" ht="15" hidden="false" customHeight="true" outlineLevel="0" collapsed="false">
      <c r="A1613" s="19" t="n">
        <v>522</v>
      </c>
      <c r="B1613" s="18" t="s">
        <v>258</v>
      </c>
      <c r="C1613" s="109" t="n">
        <v>45790</v>
      </c>
      <c r="D1613" s="108" t="n">
        <v>130</v>
      </c>
      <c r="E1613" s="108" t="n">
        <v>2000</v>
      </c>
      <c r="F1613" s="10" t="s">
        <v>225</v>
      </c>
      <c r="G1613" s="19"/>
    </row>
    <row r="1614" customFormat="false" ht="15" hidden="false" customHeight="true" outlineLevel="0" collapsed="false">
      <c r="A1614" s="19" t="n">
        <v>528</v>
      </c>
      <c r="B1614" s="18" t="s">
        <v>319</v>
      </c>
      <c r="C1614" s="109" t="n">
        <v>45790</v>
      </c>
      <c r="D1614" s="108" t="n">
        <v>140</v>
      </c>
      <c r="E1614" s="108" t="n">
        <v>5200</v>
      </c>
      <c r="F1614" s="10" t="s">
        <v>225</v>
      </c>
      <c r="G1614" s="19"/>
    </row>
    <row r="1615" customFormat="false" ht="15" hidden="false" customHeight="true" outlineLevel="0" collapsed="false">
      <c r="A1615" s="19" t="n">
        <v>511</v>
      </c>
      <c r="B1615" s="18" t="s">
        <v>430</v>
      </c>
      <c r="C1615" s="109" t="n">
        <v>45790</v>
      </c>
      <c r="D1615" s="108" t="n">
        <v>155</v>
      </c>
      <c r="E1615" s="108" t="n">
        <v>150</v>
      </c>
      <c r="F1615" s="10" t="s">
        <v>225</v>
      </c>
      <c r="G1615" s="19"/>
    </row>
    <row r="1616" customFormat="false" ht="15" hidden="false" customHeight="true" outlineLevel="0" collapsed="false">
      <c r="A1616" s="19" t="n">
        <v>526</v>
      </c>
      <c r="B1616" s="18" t="s">
        <v>419</v>
      </c>
      <c r="C1616" s="109" t="n">
        <v>45790</v>
      </c>
      <c r="D1616" s="108" t="n">
        <v>210</v>
      </c>
      <c r="E1616" s="108" t="n">
        <v>4000</v>
      </c>
      <c r="F1616" s="10" t="s">
        <v>225</v>
      </c>
      <c r="G1616" s="19"/>
    </row>
    <row r="1617" customFormat="false" ht="15" hidden="false" customHeight="true" outlineLevel="0" collapsed="false">
      <c r="A1617" s="19" t="n">
        <v>270319</v>
      </c>
      <c r="B1617" s="19" t="s">
        <v>231</v>
      </c>
      <c r="C1617" s="109" t="n">
        <v>45791</v>
      </c>
      <c r="D1617" s="108" t="n">
        <v>50</v>
      </c>
      <c r="E1617" s="108" t="n">
        <v>6300</v>
      </c>
      <c r="F1617" s="10" t="s">
        <v>225</v>
      </c>
      <c r="G1617" s="19" t="s">
        <v>232</v>
      </c>
    </row>
    <row r="1618" customFormat="false" ht="15" hidden="false" customHeight="true" outlineLevel="0" collapsed="false">
      <c r="A1618" s="19" t="n">
        <v>541</v>
      </c>
      <c r="B1618" s="19" t="s">
        <v>454</v>
      </c>
      <c r="C1618" s="109" t="n">
        <v>45792</v>
      </c>
      <c r="D1618" s="108" t="n">
        <v>210</v>
      </c>
      <c r="E1618" s="108" t="n">
        <v>3150</v>
      </c>
      <c r="F1618" s="10" t="s">
        <v>236</v>
      </c>
      <c r="G1618" s="19"/>
    </row>
    <row r="1619" customFormat="false" ht="15" hidden="false" customHeight="true" outlineLevel="0" collapsed="false">
      <c r="A1619" s="19" t="n">
        <v>270319</v>
      </c>
      <c r="B1619" s="19" t="s">
        <v>231</v>
      </c>
      <c r="C1619" s="109" t="n">
        <v>45792</v>
      </c>
      <c r="D1619" s="108" t="n">
        <v>50</v>
      </c>
      <c r="E1619" s="108" t="n">
        <v>6300</v>
      </c>
      <c r="F1619" s="10" t="s">
        <v>225</v>
      </c>
      <c r="G1619" s="19" t="s">
        <v>232</v>
      </c>
    </row>
    <row r="1620" customFormat="false" ht="15" hidden="false" customHeight="true" outlineLevel="0" collapsed="false">
      <c r="A1620" s="19" t="n">
        <v>534</v>
      </c>
      <c r="B1620" s="19" t="s">
        <v>242</v>
      </c>
      <c r="C1620" s="109" t="n">
        <v>45792</v>
      </c>
      <c r="D1620" s="108" t="n">
        <v>60</v>
      </c>
      <c r="E1620" s="108" t="n">
        <v>240</v>
      </c>
      <c r="F1620" s="10" t="s">
        <v>225</v>
      </c>
      <c r="G1620" s="19"/>
    </row>
    <row r="1621" customFormat="false" ht="15" hidden="false" customHeight="true" outlineLevel="0" collapsed="false">
      <c r="A1621" s="19" t="n">
        <v>270322</v>
      </c>
      <c r="B1621" s="19" t="s">
        <v>564</v>
      </c>
      <c r="C1621" s="109" t="n">
        <v>45792</v>
      </c>
      <c r="D1621" s="108" t="n">
        <v>80</v>
      </c>
      <c r="E1621" s="108" t="n">
        <v>200</v>
      </c>
      <c r="F1621" s="10" t="s">
        <v>225</v>
      </c>
      <c r="G1621" s="19"/>
    </row>
    <row r="1622" customFormat="false" ht="15" hidden="false" customHeight="true" outlineLevel="0" collapsed="false">
      <c r="A1622" s="19" t="n">
        <v>539</v>
      </c>
      <c r="B1622" s="19" t="s">
        <v>781</v>
      </c>
      <c r="C1622" s="109" t="n">
        <v>45792</v>
      </c>
      <c r="D1622" s="108" t="n">
        <v>100</v>
      </c>
      <c r="E1622" s="108" t="n">
        <v>50</v>
      </c>
      <c r="F1622" s="10" t="s">
        <v>225</v>
      </c>
      <c r="G1622" s="19"/>
    </row>
    <row r="1623" customFormat="false" ht="15" hidden="false" customHeight="true" outlineLevel="0" collapsed="false">
      <c r="A1623" s="19" t="n">
        <v>531</v>
      </c>
      <c r="B1623" s="19" t="s">
        <v>255</v>
      </c>
      <c r="C1623" s="109" t="n">
        <v>45792</v>
      </c>
      <c r="D1623" s="108" t="n">
        <v>100</v>
      </c>
      <c r="E1623" s="108" t="n">
        <v>882</v>
      </c>
      <c r="F1623" s="10" t="s">
        <v>225</v>
      </c>
      <c r="G1623" s="19"/>
    </row>
    <row r="1624" customFormat="false" ht="15" hidden="false" customHeight="true" outlineLevel="0" collapsed="false">
      <c r="A1624" s="19" t="n">
        <v>270325</v>
      </c>
      <c r="B1624" s="19" t="s">
        <v>378</v>
      </c>
      <c r="C1624" s="109" t="n">
        <v>45792</v>
      </c>
      <c r="D1624" s="108" t="n">
        <v>110</v>
      </c>
      <c r="E1624" s="108" t="n">
        <v>3000</v>
      </c>
      <c r="F1624" s="10" t="s">
        <v>362</v>
      </c>
      <c r="G1624" s="19"/>
    </row>
    <row r="1625" customFormat="false" ht="15" hidden="false" customHeight="true" outlineLevel="0" collapsed="false">
      <c r="A1625" s="19" t="n">
        <v>270321</v>
      </c>
      <c r="B1625" s="19" t="s">
        <v>264</v>
      </c>
      <c r="C1625" s="109" t="n">
        <v>45792</v>
      </c>
      <c r="D1625" s="108" t="n">
        <v>145</v>
      </c>
      <c r="E1625" s="108" t="n">
        <v>550</v>
      </c>
      <c r="F1625" s="10" t="s">
        <v>227</v>
      </c>
      <c r="G1625" s="19"/>
    </row>
    <row r="1626" customFormat="false" ht="15" hidden="false" customHeight="true" outlineLevel="0" collapsed="false">
      <c r="A1626" s="19" t="n">
        <v>540</v>
      </c>
      <c r="B1626" s="19" t="s">
        <v>551</v>
      </c>
      <c r="C1626" s="109" t="n">
        <v>45792</v>
      </c>
      <c r="D1626" s="108" t="n">
        <v>210</v>
      </c>
      <c r="E1626" s="108" t="n">
        <v>945</v>
      </c>
      <c r="F1626" s="10" t="s">
        <v>227</v>
      </c>
      <c r="G1626" s="19"/>
    </row>
    <row r="1627" customFormat="false" ht="15" hidden="false" customHeight="true" outlineLevel="0" collapsed="false">
      <c r="A1627" s="19" t="n">
        <v>544</v>
      </c>
      <c r="B1627" s="19" t="s">
        <v>629</v>
      </c>
      <c r="C1627" s="109" t="n">
        <v>45792</v>
      </c>
      <c r="D1627" s="108" t="n">
        <v>250</v>
      </c>
      <c r="E1627" s="108" t="n">
        <v>2967</v>
      </c>
      <c r="F1627" s="10" t="s">
        <v>236</v>
      </c>
      <c r="G1627" s="19"/>
    </row>
    <row r="1628" customFormat="false" ht="15" hidden="false" customHeight="true" outlineLevel="0" collapsed="false">
      <c r="A1628" s="19" t="n">
        <v>548</v>
      </c>
      <c r="B1628" s="19" t="s">
        <v>782</v>
      </c>
      <c r="C1628" s="109" t="n">
        <v>45796</v>
      </c>
      <c r="D1628" s="108" t="n">
        <v>40</v>
      </c>
      <c r="E1628" s="108" t="n">
        <v>525</v>
      </c>
      <c r="F1628" s="10" t="s">
        <v>225</v>
      </c>
      <c r="G1628" s="19"/>
    </row>
    <row r="1629" customFormat="false" ht="15" hidden="false" customHeight="true" outlineLevel="0" collapsed="false">
      <c r="A1629" s="19" t="n">
        <v>554</v>
      </c>
      <c r="B1629" s="19" t="s">
        <v>320</v>
      </c>
      <c r="C1629" s="109" t="n">
        <v>45796</v>
      </c>
      <c r="D1629" s="108" t="n">
        <v>50</v>
      </c>
      <c r="E1629" s="108" t="n">
        <v>500</v>
      </c>
      <c r="F1629" s="10" t="s">
        <v>225</v>
      </c>
      <c r="G1629" s="19"/>
    </row>
    <row r="1630" customFormat="false" ht="15" hidden="false" customHeight="true" outlineLevel="0" collapsed="false">
      <c r="A1630" s="19" t="n">
        <v>270332</v>
      </c>
      <c r="B1630" s="19" t="s">
        <v>280</v>
      </c>
      <c r="C1630" s="109" t="n">
        <v>45796</v>
      </c>
      <c r="D1630" s="108" t="n">
        <v>80</v>
      </c>
      <c r="E1630" s="108" t="n">
        <v>255</v>
      </c>
      <c r="F1630" s="10" t="s">
        <v>225</v>
      </c>
      <c r="G1630" s="19"/>
    </row>
    <row r="1631" customFormat="false" ht="15" hidden="false" customHeight="true" outlineLevel="0" collapsed="false">
      <c r="A1631" s="19" t="n">
        <v>552</v>
      </c>
      <c r="B1631" s="19" t="s">
        <v>628</v>
      </c>
      <c r="C1631" s="109" t="n">
        <v>45796</v>
      </c>
      <c r="D1631" s="108" t="n">
        <v>105</v>
      </c>
      <c r="E1631" s="108" t="n">
        <v>1680</v>
      </c>
      <c r="F1631" s="10" t="s">
        <v>225</v>
      </c>
      <c r="G1631" s="19"/>
    </row>
    <row r="1632" customFormat="false" ht="15" hidden="false" customHeight="true" outlineLevel="0" collapsed="false">
      <c r="A1632" s="19" t="n">
        <v>270324</v>
      </c>
      <c r="B1632" s="19" t="s">
        <v>783</v>
      </c>
      <c r="C1632" s="109" t="n">
        <v>45796</v>
      </c>
      <c r="D1632" s="108" t="n">
        <v>105</v>
      </c>
      <c r="E1632" s="108" t="n">
        <v>210</v>
      </c>
      <c r="F1632" s="10" t="s">
        <v>225</v>
      </c>
      <c r="G1632" s="19"/>
    </row>
    <row r="1633" customFormat="false" ht="15" hidden="false" customHeight="true" outlineLevel="0" collapsed="false">
      <c r="A1633" s="19" t="n">
        <v>556</v>
      </c>
      <c r="B1633" s="19" t="s">
        <v>666</v>
      </c>
      <c r="C1633" s="109" t="n">
        <v>45796</v>
      </c>
      <c r="D1633" s="108" t="n">
        <v>110</v>
      </c>
      <c r="E1633" s="108" t="n">
        <v>1200</v>
      </c>
      <c r="F1633" s="10" t="s">
        <v>225</v>
      </c>
      <c r="G1633" s="19"/>
    </row>
    <row r="1634" customFormat="false" ht="15" hidden="false" customHeight="true" outlineLevel="0" collapsed="false">
      <c r="A1634" s="19" t="n">
        <v>549</v>
      </c>
      <c r="B1634" s="19" t="s">
        <v>244</v>
      </c>
      <c r="C1634" s="109" t="n">
        <v>45796</v>
      </c>
      <c r="D1634" s="108" t="n">
        <v>110</v>
      </c>
      <c r="E1634" s="108" t="n">
        <v>1050</v>
      </c>
      <c r="F1634" s="10" t="s">
        <v>225</v>
      </c>
      <c r="G1634" s="19"/>
    </row>
    <row r="1635" customFormat="false" ht="15" hidden="false" customHeight="true" outlineLevel="0" collapsed="false">
      <c r="A1635" s="19" t="n">
        <v>270331</v>
      </c>
      <c r="B1635" s="19" t="s">
        <v>288</v>
      </c>
      <c r="C1635" s="109" t="n">
        <v>45796</v>
      </c>
      <c r="D1635" s="108" t="n">
        <v>110</v>
      </c>
      <c r="E1635" s="108" t="n">
        <v>550</v>
      </c>
      <c r="F1635" s="10" t="s">
        <v>229</v>
      </c>
      <c r="G1635" s="19"/>
    </row>
    <row r="1636" customFormat="false" ht="15" hidden="false" customHeight="true" outlineLevel="0" collapsed="false">
      <c r="A1636" s="19" t="n">
        <v>546</v>
      </c>
      <c r="B1636" s="19" t="s">
        <v>740</v>
      </c>
      <c r="C1636" s="109" t="n">
        <v>45796</v>
      </c>
      <c r="D1636" s="108" t="n">
        <v>110</v>
      </c>
      <c r="E1636" s="108" t="n">
        <v>544</v>
      </c>
      <c r="F1636" s="10" t="s">
        <v>227</v>
      </c>
      <c r="G1636" s="19"/>
    </row>
    <row r="1637" customFormat="false" ht="15" hidden="false" customHeight="true" outlineLevel="0" collapsed="false">
      <c r="A1637" s="19" t="n">
        <v>557</v>
      </c>
      <c r="B1637" s="19" t="s">
        <v>743</v>
      </c>
      <c r="C1637" s="109" t="n">
        <v>45796</v>
      </c>
      <c r="D1637" s="108" t="n">
        <v>130</v>
      </c>
      <c r="E1637" s="108" t="n">
        <v>680</v>
      </c>
      <c r="F1637" s="10" t="s">
        <v>225</v>
      </c>
      <c r="G1637" s="19"/>
    </row>
    <row r="1638" customFormat="false" ht="15" hidden="false" customHeight="true" outlineLevel="0" collapsed="false">
      <c r="A1638" s="19" t="n">
        <v>270330</v>
      </c>
      <c r="B1638" s="19" t="s">
        <v>418</v>
      </c>
      <c r="C1638" s="109" t="n">
        <v>45796</v>
      </c>
      <c r="D1638" s="108" t="n">
        <v>130</v>
      </c>
      <c r="E1638" s="108" t="n">
        <v>900</v>
      </c>
      <c r="F1638" s="10" t="s">
        <v>225</v>
      </c>
      <c r="G1638" s="19"/>
    </row>
    <row r="1639" customFormat="false" ht="15" hidden="false" customHeight="true" outlineLevel="0" collapsed="false">
      <c r="A1639" s="19" t="n">
        <v>550</v>
      </c>
      <c r="B1639" s="19" t="s">
        <v>320</v>
      </c>
      <c r="C1639" s="109" t="n">
        <v>45796</v>
      </c>
      <c r="D1639" s="108" t="n">
        <v>210</v>
      </c>
      <c r="E1639" s="108" t="n">
        <v>347</v>
      </c>
      <c r="F1639" s="10" t="s">
        <v>225</v>
      </c>
      <c r="G1639" s="19"/>
    </row>
    <row r="1640" customFormat="false" ht="15" hidden="false" customHeight="true" outlineLevel="0" collapsed="false">
      <c r="A1640" s="19" t="n">
        <v>544</v>
      </c>
      <c r="B1640" s="19" t="s">
        <v>629</v>
      </c>
      <c r="C1640" s="109" t="n">
        <v>45796</v>
      </c>
      <c r="D1640" s="108" t="n">
        <v>250</v>
      </c>
      <c r="E1640" s="108" t="n">
        <v>2967</v>
      </c>
      <c r="F1640" s="10" t="s">
        <v>236</v>
      </c>
      <c r="G1640" s="19"/>
    </row>
    <row r="1641" customFormat="false" ht="15" hidden="false" customHeight="true" outlineLevel="0" collapsed="false">
      <c r="A1641" s="19" t="n">
        <v>573</v>
      </c>
      <c r="B1641" s="19" t="s">
        <v>546</v>
      </c>
      <c r="C1641" s="109" t="n">
        <v>45798</v>
      </c>
      <c r="D1641" s="108" t="n">
        <v>158</v>
      </c>
      <c r="E1641" s="108" t="n">
        <v>1075</v>
      </c>
      <c r="F1641" s="10" t="s">
        <v>236</v>
      </c>
      <c r="G1641" s="19"/>
    </row>
    <row r="1642" customFormat="false" ht="15" hidden="false" customHeight="true" outlineLevel="0" collapsed="false">
      <c r="A1642" s="19" t="n">
        <v>571</v>
      </c>
      <c r="B1642" s="19" t="s">
        <v>784</v>
      </c>
      <c r="C1642" s="109" t="n">
        <v>45798</v>
      </c>
      <c r="D1642" s="108" t="n">
        <v>50</v>
      </c>
      <c r="E1642" s="108" t="n">
        <v>2500</v>
      </c>
      <c r="F1642" s="10" t="s">
        <v>225</v>
      </c>
      <c r="G1642" s="19"/>
    </row>
    <row r="1643" customFormat="false" ht="15" hidden="false" customHeight="true" outlineLevel="0" collapsed="false">
      <c r="A1643" s="19" t="n">
        <v>572</v>
      </c>
      <c r="B1643" s="19" t="s">
        <v>785</v>
      </c>
      <c r="C1643" s="109" t="n">
        <v>45798</v>
      </c>
      <c r="D1643" s="108" t="n">
        <v>60</v>
      </c>
      <c r="E1643" s="108" t="n">
        <v>1240</v>
      </c>
      <c r="F1643" s="10" t="s">
        <v>225</v>
      </c>
      <c r="G1643" s="19" t="s">
        <v>232</v>
      </c>
    </row>
    <row r="1644" customFormat="false" ht="15" hidden="false" customHeight="true" outlineLevel="0" collapsed="false">
      <c r="A1644" s="19" t="n">
        <v>570</v>
      </c>
      <c r="B1644" s="19" t="s">
        <v>322</v>
      </c>
      <c r="C1644" s="109" t="n">
        <v>45798</v>
      </c>
      <c r="D1644" s="108" t="n">
        <v>70</v>
      </c>
      <c r="E1644" s="108" t="n">
        <v>1088</v>
      </c>
      <c r="F1644" s="10" t="s">
        <v>225</v>
      </c>
      <c r="G1644" s="19" t="s">
        <v>232</v>
      </c>
    </row>
    <row r="1645" customFormat="false" ht="15" hidden="false" customHeight="true" outlineLevel="0" collapsed="false">
      <c r="A1645" s="19" t="n">
        <v>570</v>
      </c>
      <c r="B1645" s="19" t="s">
        <v>322</v>
      </c>
      <c r="C1645" s="109" t="n">
        <v>45798</v>
      </c>
      <c r="D1645" s="108" t="n">
        <v>80</v>
      </c>
      <c r="E1645" s="108" t="n">
        <v>576</v>
      </c>
      <c r="F1645" s="10" t="s">
        <v>225</v>
      </c>
      <c r="G1645" s="19" t="s">
        <v>232</v>
      </c>
    </row>
    <row r="1646" customFormat="false" ht="15" hidden="false" customHeight="true" outlineLevel="0" collapsed="false">
      <c r="A1646" s="19" t="n">
        <v>570</v>
      </c>
      <c r="B1646" s="19" t="s">
        <v>322</v>
      </c>
      <c r="C1646" s="109" t="n">
        <v>45798</v>
      </c>
      <c r="D1646" s="108" t="n">
        <v>100</v>
      </c>
      <c r="E1646" s="108" t="n">
        <v>750</v>
      </c>
      <c r="F1646" s="10" t="s">
        <v>225</v>
      </c>
      <c r="G1646" s="19" t="s">
        <v>232</v>
      </c>
    </row>
    <row r="1647" customFormat="false" ht="15" hidden="false" customHeight="true" outlineLevel="0" collapsed="false">
      <c r="A1647" s="19" t="n">
        <v>574</v>
      </c>
      <c r="B1647" s="19" t="s">
        <v>786</v>
      </c>
      <c r="C1647" s="109" t="n">
        <v>45798</v>
      </c>
      <c r="D1647" s="108" t="n">
        <v>105</v>
      </c>
      <c r="E1647" s="108" t="n">
        <v>530</v>
      </c>
      <c r="F1647" s="10" t="s">
        <v>225</v>
      </c>
      <c r="G1647" s="19"/>
    </row>
    <row r="1648" customFormat="false" ht="15" hidden="false" customHeight="true" outlineLevel="0" collapsed="false">
      <c r="A1648" s="19" t="n">
        <v>563</v>
      </c>
      <c r="B1648" s="19" t="s">
        <v>787</v>
      </c>
      <c r="C1648" s="109" t="n">
        <v>45798</v>
      </c>
      <c r="D1648" s="108" t="n">
        <v>105</v>
      </c>
      <c r="E1648" s="108" t="n">
        <v>1060</v>
      </c>
      <c r="F1648" s="10" t="s">
        <v>225</v>
      </c>
      <c r="G1648" s="19"/>
    </row>
    <row r="1649" customFormat="false" ht="15" hidden="false" customHeight="true" outlineLevel="0" collapsed="false">
      <c r="A1649" s="19" t="n">
        <v>568</v>
      </c>
      <c r="B1649" s="19" t="s">
        <v>285</v>
      </c>
      <c r="C1649" s="109" t="n">
        <v>45798</v>
      </c>
      <c r="D1649" s="108" t="n">
        <v>125</v>
      </c>
      <c r="E1649" s="108" t="n">
        <v>3000</v>
      </c>
      <c r="F1649" s="10" t="s">
        <v>225</v>
      </c>
      <c r="G1649" s="19"/>
    </row>
    <row r="1650" customFormat="false" ht="15" hidden="false" customHeight="true" outlineLevel="0" collapsed="false">
      <c r="A1650" s="19" t="n">
        <v>270338</v>
      </c>
      <c r="B1650" s="19" t="s">
        <v>249</v>
      </c>
      <c r="C1650" s="109" t="n">
        <v>45798</v>
      </c>
      <c r="D1650" s="108" t="n">
        <v>53</v>
      </c>
      <c r="E1650" s="108" t="n">
        <v>510</v>
      </c>
      <c r="F1650" s="10" t="s">
        <v>227</v>
      </c>
      <c r="G1650" s="19"/>
    </row>
    <row r="1651" customFormat="false" ht="15" hidden="false" customHeight="true" outlineLevel="0" collapsed="false">
      <c r="A1651" s="19" t="n">
        <v>566</v>
      </c>
      <c r="B1651" s="19" t="s">
        <v>724</v>
      </c>
      <c r="C1651" s="109" t="n">
        <v>45798</v>
      </c>
      <c r="D1651" s="108" t="n">
        <v>120</v>
      </c>
      <c r="E1651" s="108" t="n">
        <v>300</v>
      </c>
      <c r="F1651" s="10" t="s">
        <v>227</v>
      </c>
      <c r="G1651" s="19"/>
    </row>
    <row r="1652" customFormat="false" ht="15" hidden="false" customHeight="true" outlineLevel="0" collapsed="false">
      <c r="A1652" s="19" t="n">
        <v>270336</v>
      </c>
      <c r="B1652" s="19" t="s">
        <v>788</v>
      </c>
      <c r="C1652" s="109" t="n">
        <v>45798</v>
      </c>
      <c r="D1652" s="108" t="n">
        <v>130</v>
      </c>
      <c r="E1652" s="108" t="n">
        <v>800</v>
      </c>
      <c r="F1652" s="10" t="s">
        <v>225</v>
      </c>
      <c r="G1652" s="19"/>
    </row>
    <row r="1653" customFormat="false" ht="15" hidden="false" customHeight="true" outlineLevel="0" collapsed="false">
      <c r="A1653" s="19" t="n">
        <v>270339</v>
      </c>
      <c r="B1653" s="19" t="s">
        <v>789</v>
      </c>
      <c r="C1653" s="109" t="n">
        <v>45799</v>
      </c>
      <c r="D1653" s="108" t="n">
        <v>30</v>
      </c>
      <c r="E1653" s="108" t="n">
        <v>250</v>
      </c>
      <c r="F1653" s="10" t="s">
        <v>225</v>
      </c>
      <c r="G1653" s="19"/>
    </row>
    <row r="1654" customFormat="false" ht="15" hidden="false" customHeight="true" outlineLevel="0" collapsed="false">
      <c r="A1654" s="19" t="n">
        <v>270335</v>
      </c>
      <c r="B1654" s="19" t="s">
        <v>790</v>
      </c>
      <c r="C1654" s="109" t="n">
        <v>45799</v>
      </c>
      <c r="D1654" s="108" t="n">
        <v>55</v>
      </c>
      <c r="E1654" s="108" t="n">
        <v>140</v>
      </c>
      <c r="F1654" s="10" t="s">
        <v>225</v>
      </c>
      <c r="G1654" s="19" t="s">
        <v>232</v>
      </c>
    </row>
    <row r="1655" customFormat="false" ht="15" hidden="false" customHeight="true" outlineLevel="0" collapsed="false">
      <c r="A1655" s="19" t="n">
        <v>579</v>
      </c>
      <c r="B1655" s="19" t="s">
        <v>465</v>
      </c>
      <c r="C1655" s="109" t="n">
        <v>45799</v>
      </c>
      <c r="D1655" s="108" t="n">
        <v>93</v>
      </c>
      <c r="E1655" s="108" t="n">
        <v>910</v>
      </c>
      <c r="F1655" s="10" t="s">
        <v>225</v>
      </c>
      <c r="G1655" s="19"/>
    </row>
    <row r="1656" customFormat="false" ht="15" hidden="false" customHeight="true" outlineLevel="0" collapsed="false">
      <c r="A1656" s="19" t="n">
        <v>585</v>
      </c>
      <c r="B1656" s="19" t="s">
        <v>791</v>
      </c>
      <c r="C1656" s="109" t="n">
        <v>45799</v>
      </c>
      <c r="D1656" s="108" t="n">
        <v>100</v>
      </c>
      <c r="E1656" s="108" t="n">
        <v>240</v>
      </c>
      <c r="F1656" s="10" t="s">
        <v>225</v>
      </c>
      <c r="G1656" s="19"/>
    </row>
    <row r="1657" customFormat="false" ht="15" hidden="false" customHeight="true" outlineLevel="0" collapsed="false">
      <c r="A1657" s="19" t="n">
        <v>579</v>
      </c>
      <c r="B1657" s="19" t="s">
        <v>465</v>
      </c>
      <c r="C1657" s="109" t="n">
        <v>45799</v>
      </c>
      <c r="D1657" s="108" t="n">
        <v>100</v>
      </c>
      <c r="E1657" s="108" t="n">
        <v>1500</v>
      </c>
      <c r="F1657" s="10" t="s">
        <v>225</v>
      </c>
      <c r="G1657" s="19"/>
    </row>
    <row r="1658" customFormat="false" ht="15" hidden="false" customHeight="true" outlineLevel="0" collapsed="false">
      <c r="A1658" s="19" t="n">
        <v>579</v>
      </c>
      <c r="B1658" s="19" t="s">
        <v>465</v>
      </c>
      <c r="C1658" s="109" t="n">
        <v>45799</v>
      </c>
      <c r="D1658" s="108" t="n">
        <v>105</v>
      </c>
      <c r="E1658" s="108" t="n">
        <v>745</v>
      </c>
      <c r="F1658" s="10" t="s">
        <v>225</v>
      </c>
      <c r="G1658" s="19"/>
    </row>
    <row r="1659" customFormat="false" ht="15" hidden="false" customHeight="true" outlineLevel="0" collapsed="false">
      <c r="A1659" s="19" t="n">
        <v>565</v>
      </c>
      <c r="B1659" s="19" t="s">
        <v>291</v>
      </c>
      <c r="C1659" s="109" t="n">
        <v>45799</v>
      </c>
      <c r="D1659" s="108" t="n">
        <v>105</v>
      </c>
      <c r="E1659" s="108" t="n">
        <v>728</v>
      </c>
      <c r="F1659" s="10" t="s">
        <v>225</v>
      </c>
      <c r="G1659" s="19"/>
    </row>
    <row r="1660" customFormat="false" ht="15" hidden="false" customHeight="true" outlineLevel="0" collapsed="false">
      <c r="A1660" s="19" t="n">
        <v>583</v>
      </c>
      <c r="B1660" s="19" t="s">
        <v>792</v>
      </c>
      <c r="C1660" s="109" t="n">
        <v>45799</v>
      </c>
      <c r="D1660" s="108" t="n">
        <v>105</v>
      </c>
      <c r="E1660" s="108" t="n">
        <v>297</v>
      </c>
      <c r="F1660" s="10" t="s">
        <v>229</v>
      </c>
      <c r="G1660" s="19"/>
    </row>
    <row r="1661" customFormat="false" ht="15" hidden="false" customHeight="true" outlineLevel="0" collapsed="false">
      <c r="A1661" s="19" t="n">
        <v>562</v>
      </c>
      <c r="B1661" s="19" t="s">
        <v>66</v>
      </c>
      <c r="C1661" s="109" t="n">
        <v>45799</v>
      </c>
      <c r="D1661" s="108" t="n">
        <v>95</v>
      </c>
      <c r="E1661" s="108" t="n">
        <v>730</v>
      </c>
      <c r="F1661" s="10" t="s">
        <v>248</v>
      </c>
      <c r="G1661" s="19"/>
    </row>
    <row r="1662" customFormat="false" ht="15" hidden="false" customHeight="true" outlineLevel="0" collapsed="false">
      <c r="A1662" s="19" t="n">
        <v>579</v>
      </c>
      <c r="B1662" s="19" t="s">
        <v>465</v>
      </c>
      <c r="C1662" s="109" t="n">
        <v>45799</v>
      </c>
      <c r="D1662" s="108" t="n">
        <v>140</v>
      </c>
      <c r="E1662" s="108" t="n">
        <v>450</v>
      </c>
      <c r="F1662" s="10" t="s">
        <v>225</v>
      </c>
      <c r="G1662" s="19"/>
    </row>
    <row r="1663" customFormat="false" ht="15" hidden="false" customHeight="true" outlineLevel="0" collapsed="false">
      <c r="A1663" s="19" t="n">
        <v>565</v>
      </c>
      <c r="B1663" s="19" t="s">
        <v>291</v>
      </c>
      <c r="C1663" s="109" t="n">
        <v>45799</v>
      </c>
      <c r="D1663" s="108" t="n">
        <v>180</v>
      </c>
      <c r="E1663" s="108" t="n">
        <v>690</v>
      </c>
      <c r="F1663" s="10" t="s">
        <v>225</v>
      </c>
      <c r="G1663" s="19"/>
    </row>
    <row r="1664" customFormat="false" ht="15" hidden="false" customHeight="true" outlineLevel="0" collapsed="false">
      <c r="A1664" s="19" t="n">
        <v>598</v>
      </c>
      <c r="B1664" s="19" t="s">
        <v>793</v>
      </c>
      <c r="C1664" s="109" t="n">
        <v>45805</v>
      </c>
      <c r="D1664" s="108" t="n">
        <v>40</v>
      </c>
      <c r="E1664" s="108" t="n">
        <v>800</v>
      </c>
      <c r="F1664" s="10" t="s">
        <v>225</v>
      </c>
      <c r="G1664" s="19"/>
    </row>
    <row r="1665" customFormat="false" ht="15" hidden="false" customHeight="true" outlineLevel="0" collapsed="false">
      <c r="A1665" s="19" t="n">
        <v>593</v>
      </c>
      <c r="B1665" s="19" t="s">
        <v>465</v>
      </c>
      <c r="C1665" s="109" t="n">
        <v>45805</v>
      </c>
      <c r="D1665" s="108" t="n">
        <v>42</v>
      </c>
      <c r="E1665" s="108" t="n">
        <v>400</v>
      </c>
      <c r="F1665" s="10" t="s">
        <v>225</v>
      </c>
      <c r="G1665" s="19"/>
    </row>
    <row r="1666" customFormat="false" ht="15" hidden="false" customHeight="true" outlineLevel="0" collapsed="false">
      <c r="A1666" s="19" t="n">
        <v>603</v>
      </c>
      <c r="B1666" s="19" t="s">
        <v>514</v>
      </c>
      <c r="C1666" s="109" t="n">
        <v>45805</v>
      </c>
      <c r="D1666" s="108" t="n">
        <v>53</v>
      </c>
      <c r="E1666" s="108" t="n">
        <v>255</v>
      </c>
      <c r="F1666" s="10" t="s">
        <v>225</v>
      </c>
      <c r="G1666" s="19"/>
    </row>
    <row r="1667" customFormat="false" ht="15" hidden="false" customHeight="true" outlineLevel="0" collapsed="false">
      <c r="A1667" s="19" t="n">
        <v>270352</v>
      </c>
      <c r="B1667" s="19" t="s">
        <v>512</v>
      </c>
      <c r="C1667" s="109" t="n">
        <v>45805</v>
      </c>
      <c r="D1667" s="108" t="n">
        <v>70</v>
      </c>
      <c r="E1667" s="108" t="n">
        <v>340</v>
      </c>
      <c r="F1667" s="10" t="s">
        <v>225</v>
      </c>
      <c r="G1667" s="19"/>
    </row>
    <row r="1668" customFormat="false" ht="15" hidden="false" customHeight="true" outlineLevel="0" collapsed="false">
      <c r="A1668" s="19" t="n">
        <v>607</v>
      </c>
      <c r="B1668" s="19" t="s">
        <v>298</v>
      </c>
      <c r="C1668" s="109" t="n">
        <v>45805</v>
      </c>
      <c r="D1668" s="108" t="n">
        <v>73</v>
      </c>
      <c r="E1668" s="108" t="n">
        <v>255</v>
      </c>
      <c r="F1668" s="10" t="s">
        <v>225</v>
      </c>
      <c r="G1668" s="19"/>
    </row>
    <row r="1669" customFormat="false" ht="15" hidden="false" customHeight="true" outlineLevel="0" collapsed="false">
      <c r="A1669" s="19" t="n">
        <v>270343</v>
      </c>
      <c r="B1669" s="19" t="s">
        <v>375</v>
      </c>
      <c r="C1669" s="109" t="n">
        <v>45805</v>
      </c>
      <c r="D1669" s="108" t="n">
        <v>83</v>
      </c>
      <c r="E1669" s="108" t="n">
        <v>405</v>
      </c>
      <c r="F1669" s="10" t="s">
        <v>225</v>
      </c>
      <c r="G1669" s="19" t="s">
        <v>232</v>
      </c>
    </row>
    <row r="1670" customFormat="false" ht="15" hidden="false" customHeight="true" outlineLevel="0" collapsed="false">
      <c r="A1670" s="19" t="n">
        <v>270356</v>
      </c>
      <c r="B1670" s="19" t="s">
        <v>304</v>
      </c>
      <c r="C1670" s="109" t="n">
        <v>45805</v>
      </c>
      <c r="D1670" s="108" t="n">
        <v>100</v>
      </c>
      <c r="E1670" s="108" t="n">
        <v>380</v>
      </c>
      <c r="F1670" s="10" t="s">
        <v>225</v>
      </c>
      <c r="G1670" s="19"/>
    </row>
    <row r="1671" customFormat="false" ht="15" hidden="false" customHeight="true" outlineLevel="0" collapsed="false">
      <c r="A1671" s="19" t="n">
        <v>605</v>
      </c>
      <c r="B1671" s="19" t="s">
        <v>678</v>
      </c>
      <c r="C1671" s="109" t="n">
        <v>45805</v>
      </c>
      <c r="D1671" s="108" t="n">
        <v>100</v>
      </c>
      <c r="E1671" s="108" t="n">
        <v>300</v>
      </c>
      <c r="F1671" s="10" t="s">
        <v>225</v>
      </c>
      <c r="G1671" s="19" t="s">
        <v>232</v>
      </c>
    </row>
    <row r="1672" customFormat="false" ht="15" hidden="false" customHeight="true" outlineLevel="0" collapsed="false">
      <c r="A1672" s="19" t="n">
        <v>270353</v>
      </c>
      <c r="B1672" s="19" t="s">
        <v>329</v>
      </c>
      <c r="C1672" s="109" t="n">
        <v>45805</v>
      </c>
      <c r="D1672" s="108" t="n">
        <v>105</v>
      </c>
      <c r="E1672" s="108" t="n">
        <v>1050</v>
      </c>
      <c r="F1672" s="10" t="s">
        <v>225</v>
      </c>
      <c r="G1672" s="19"/>
    </row>
    <row r="1673" customFormat="false" ht="15" hidden="false" customHeight="true" outlineLevel="0" collapsed="false">
      <c r="A1673" s="19" t="n">
        <v>270349</v>
      </c>
      <c r="B1673" s="19" t="s">
        <v>794</v>
      </c>
      <c r="C1673" s="109" t="n">
        <v>45805</v>
      </c>
      <c r="D1673" s="108" t="n">
        <v>105</v>
      </c>
      <c r="E1673" s="108" t="n">
        <v>750</v>
      </c>
      <c r="F1673" s="10" t="s">
        <v>225</v>
      </c>
      <c r="G1673" s="19"/>
    </row>
    <row r="1674" customFormat="false" ht="15" hidden="false" customHeight="true" outlineLevel="0" collapsed="false">
      <c r="A1674" s="19" t="n">
        <v>270355</v>
      </c>
      <c r="B1674" s="19" t="s">
        <v>795</v>
      </c>
      <c r="C1674" s="109" t="n">
        <v>45805</v>
      </c>
      <c r="D1674" s="108" t="n">
        <v>110</v>
      </c>
      <c r="E1674" s="108" t="n">
        <v>375</v>
      </c>
      <c r="F1674" s="10" t="s">
        <v>225</v>
      </c>
      <c r="G1674" s="19"/>
    </row>
    <row r="1675" customFormat="false" ht="15" hidden="false" customHeight="true" outlineLevel="0" collapsed="false">
      <c r="A1675" s="19" t="n">
        <v>596</v>
      </c>
      <c r="B1675" s="19" t="s">
        <v>796</v>
      </c>
      <c r="C1675" s="109" t="n">
        <v>45805</v>
      </c>
      <c r="D1675" s="108" t="n">
        <v>110</v>
      </c>
      <c r="E1675" s="108" t="n">
        <v>189</v>
      </c>
      <c r="F1675" s="10" t="s">
        <v>225</v>
      </c>
      <c r="G1675" s="19"/>
    </row>
    <row r="1676" customFormat="false" ht="15" hidden="false" customHeight="true" outlineLevel="0" collapsed="false">
      <c r="A1676" s="19" t="n">
        <v>604</v>
      </c>
      <c r="B1676" s="19" t="s">
        <v>382</v>
      </c>
      <c r="C1676" s="109" t="n">
        <v>45805</v>
      </c>
      <c r="D1676" s="108" t="n">
        <v>125</v>
      </c>
      <c r="E1676" s="108" t="n">
        <v>800</v>
      </c>
      <c r="F1676" s="10" t="s">
        <v>225</v>
      </c>
      <c r="G1676" s="19"/>
    </row>
    <row r="1677" customFormat="false" ht="15" hidden="false" customHeight="true" outlineLevel="0" collapsed="false">
      <c r="A1677" s="19" t="n">
        <v>478</v>
      </c>
      <c r="B1677" s="19" t="s">
        <v>729</v>
      </c>
      <c r="C1677" s="109" t="n">
        <v>45805</v>
      </c>
      <c r="D1677" s="108" t="n">
        <v>40</v>
      </c>
      <c r="E1677" s="108" t="n">
        <v>324</v>
      </c>
      <c r="F1677" s="10" t="s">
        <v>227</v>
      </c>
      <c r="G1677" s="19"/>
    </row>
    <row r="1678" customFormat="false" ht="15" hidden="false" customHeight="true" outlineLevel="0" collapsed="false">
      <c r="A1678" s="19" t="n">
        <v>270348</v>
      </c>
      <c r="B1678" s="19" t="s">
        <v>288</v>
      </c>
      <c r="C1678" s="109" t="n">
        <v>45805</v>
      </c>
      <c r="D1678" s="108" t="n">
        <v>110</v>
      </c>
      <c r="E1678" s="108" t="n">
        <v>500</v>
      </c>
      <c r="F1678" s="10" t="s">
        <v>229</v>
      </c>
      <c r="G1678" s="19"/>
    </row>
    <row r="1679" customFormat="false" ht="15" hidden="false" customHeight="true" outlineLevel="0" collapsed="false">
      <c r="A1679" s="19" t="n">
        <v>586</v>
      </c>
      <c r="B1679" s="19" t="s">
        <v>730</v>
      </c>
      <c r="C1679" s="109" t="n">
        <v>45805</v>
      </c>
      <c r="D1679" s="108" t="n">
        <v>220</v>
      </c>
      <c r="E1679" s="108" t="n">
        <v>2970</v>
      </c>
      <c r="F1679" s="10" t="s">
        <v>229</v>
      </c>
      <c r="G1679" s="19"/>
    </row>
    <row r="1680" customFormat="false" ht="15" hidden="false" customHeight="true" outlineLevel="0" collapsed="false">
      <c r="A1680" s="19" t="n">
        <v>606</v>
      </c>
      <c r="B1680" s="19" t="s">
        <v>668</v>
      </c>
      <c r="C1680" s="109" t="n">
        <v>45805</v>
      </c>
      <c r="D1680" s="108" t="n">
        <v>100</v>
      </c>
      <c r="E1680" s="108" t="n">
        <v>366</v>
      </c>
      <c r="F1680" s="10" t="s">
        <v>229</v>
      </c>
      <c r="G1680" s="19"/>
    </row>
    <row r="1681" customFormat="false" ht="15" hidden="false" customHeight="true" outlineLevel="0" collapsed="false">
      <c r="A1681" s="19" t="n">
        <v>270360</v>
      </c>
      <c r="B1681" s="19" t="s">
        <v>676</v>
      </c>
      <c r="C1681" s="109" t="n">
        <v>45805</v>
      </c>
      <c r="D1681" s="108" t="n">
        <v>48</v>
      </c>
      <c r="E1681" s="108" t="n">
        <v>780</v>
      </c>
      <c r="F1681" s="10" t="s">
        <v>577</v>
      </c>
      <c r="G1681" s="19"/>
    </row>
    <row r="1682" customFormat="false" ht="15" hidden="false" customHeight="true" outlineLevel="0" collapsed="false">
      <c r="A1682" s="19" t="n">
        <v>591</v>
      </c>
      <c r="B1682" s="19" t="s">
        <v>528</v>
      </c>
      <c r="C1682" s="109" t="n">
        <v>45805</v>
      </c>
      <c r="D1682" s="108" t="n">
        <v>110</v>
      </c>
      <c r="E1682" s="108" t="n">
        <v>3750</v>
      </c>
      <c r="F1682" s="10" t="s">
        <v>227</v>
      </c>
      <c r="G1682" s="19"/>
    </row>
    <row r="1683" customFormat="false" ht="15" hidden="false" customHeight="true" outlineLevel="0" collapsed="false">
      <c r="A1683" s="19" t="n">
        <v>270345</v>
      </c>
      <c r="B1683" s="19" t="s">
        <v>797</v>
      </c>
      <c r="C1683" s="109" t="n">
        <v>45805</v>
      </c>
      <c r="D1683" s="108" t="n">
        <v>30</v>
      </c>
      <c r="E1683" s="108" t="n">
        <v>200</v>
      </c>
      <c r="F1683" s="10" t="s">
        <v>464</v>
      </c>
      <c r="G1683" s="19"/>
    </row>
    <row r="1684" customFormat="false" ht="15" hidden="false" customHeight="true" outlineLevel="0" collapsed="false">
      <c r="A1684" s="19" t="n">
        <v>592</v>
      </c>
      <c r="B1684" s="19" t="s">
        <v>472</v>
      </c>
      <c r="C1684" s="109" t="n">
        <v>45805</v>
      </c>
      <c r="D1684" s="108" t="n">
        <v>55</v>
      </c>
      <c r="E1684" s="108" t="n">
        <v>1300</v>
      </c>
      <c r="F1684" s="10" t="s">
        <v>262</v>
      </c>
      <c r="G1684" s="19"/>
    </row>
    <row r="1685" customFormat="false" ht="15" hidden="false" customHeight="true" outlineLevel="0" collapsed="false">
      <c r="A1685" s="19" t="n">
        <v>270354</v>
      </c>
      <c r="B1685" s="19" t="s">
        <v>274</v>
      </c>
      <c r="C1685" s="109" t="n">
        <v>45805</v>
      </c>
      <c r="D1685" s="108" t="n">
        <v>130</v>
      </c>
      <c r="E1685" s="108" t="n">
        <v>900</v>
      </c>
      <c r="F1685" s="10" t="s">
        <v>227</v>
      </c>
      <c r="G1685" s="19"/>
    </row>
    <row r="1686" customFormat="false" ht="15" hidden="false" customHeight="true" outlineLevel="0" collapsed="false">
      <c r="A1686" s="19" t="n">
        <v>270352</v>
      </c>
      <c r="B1686" s="19" t="s">
        <v>512</v>
      </c>
      <c r="C1686" s="109" t="n">
        <v>45805</v>
      </c>
      <c r="D1686" s="108" t="n">
        <v>130</v>
      </c>
      <c r="E1686" s="108" t="n">
        <v>180</v>
      </c>
      <c r="F1686" s="10" t="s">
        <v>225</v>
      </c>
      <c r="G1686" s="19"/>
    </row>
    <row r="1687" customFormat="false" ht="15" hidden="false" customHeight="true" outlineLevel="0" collapsed="false">
      <c r="A1687" s="19" t="n">
        <v>589</v>
      </c>
      <c r="B1687" s="19" t="s">
        <v>430</v>
      </c>
      <c r="C1687" s="109" t="n">
        <v>45805</v>
      </c>
      <c r="D1687" s="108" t="n">
        <v>155</v>
      </c>
      <c r="E1687" s="108" t="n">
        <v>150</v>
      </c>
      <c r="F1687" s="10" t="s">
        <v>225</v>
      </c>
      <c r="G1687" s="19"/>
    </row>
    <row r="1688" customFormat="false" ht="15" hidden="false" customHeight="true" outlineLevel="0" collapsed="false">
      <c r="A1688" s="19" t="n">
        <v>600</v>
      </c>
      <c r="B1688" s="19" t="s">
        <v>268</v>
      </c>
      <c r="C1688" s="109" t="n">
        <v>45805</v>
      </c>
      <c r="D1688" s="108" t="n">
        <v>210</v>
      </c>
      <c r="E1688" s="108" t="n">
        <v>4505</v>
      </c>
      <c r="F1688" s="10" t="s">
        <v>225</v>
      </c>
      <c r="G1688" s="19"/>
    </row>
    <row r="1689" customFormat="false" ht="15" hidden="false" customHeight="true" outlineLevel="0" collapsed="false">
      <c r="A1689" s="19" t="n">
        <v>595</v>
      </c>
      <c r="B1689" s="19" t="s">
        <v>268</v>
      </c>
      <c r="C1689" s="109" t="n">
        <v>45805</v>
      </c>
      <c r="D1689" s="108" t="n">
        <v>210</v>
      </c>
      <c r="E1689" s="108" t="n">
        <v>2000</v>
      </c>
      <c r="F1689" s="10" t="s">
        <v>225</v>
      </c>
      <c r="G1689" s="19"/>
    </row>
    <row r="1690" customFormat="false" ht="15" hidden="false" customHeight="true" outlineLevel="0" collapsed="false">
      <c r="A1690" s="19" t="n">
        <v>270359</v>
      </c>
      <c r="B1690" s="19" t="s">
        <v>231</v>
      </c>
      <c r="C1690" s="109" t="n">
        <v>45805</v>
      </c>
      <c r="D1690" s="108" t="n">
        <v>210</v>
      </c>
      <c r="E1690" s="108" t="n">
        <v>180</v>
      </c>
      <c r="F1690" s="10" t="s">
        <v>225</v>
      </c>
      <c r="G1690" s="19"/>
    </row>
    <row r="1691" customFormat="false" ht="15" hidden="false" customHeight="true" outlineLevel="0" collapsed="false">
      <c r="A1691" s="19" t="n">
        <v>609</v>
      </c>
      <c r="B1691" s="19" t="s">
        <v>505</v>
      </c>
      <c r="C1691" s="109" t="n">
        <v>45805</v>
      </c>
      <c r="D1691" s="108" t="n">
        <v>210</v>
      </c>
      <c r="E1691" s="108" t="n">
        <v>375</v>
      </c>
      <c r="F1691" s="10" t="s">
        <v>225</v>
      </c>
      <c r="G1691" s="19"/>
    </row>
    <row r="1692" customFormat="false" ht="15" hidden="false" customHeight="true" outlineLevel="0" collapsed="false">
      <c r="A1692" s="19" t="n">
        <v>608</v>
      </c>
      <c r="B1692" s="19" t="s">
        <v>505</v>
      </c>
      <c r="C1692" s="109" t="n">
        <v>45805</v>
      </c>
      <c r="D1692" s="108" t="n">
        <v>210</v>
      </c>
      <c r="E1692" s="108" t="n">
        <v>374</v>
      </c>
      <c r="F1692" s="10" t="s">
        <v>225</v>
      </c>
      <c r="G1692" s="19"/>
    </row>
    <row r="1693" customFormat="false" ht="15" hidden="false" customHeight="true" outlineLevel="0" collapsed="false">
      <c r="A1693" s="19" t="n">
        <v>601</v>
      </c>
      <c r="B1693" s="19" t="s">
        <v>798</v>
      </c>
      <c r="C1693" s="109" t="n">
        <v>45805</v>
      </c>
      <c r="D1693" s="108" t="n">
        <v>210</v>
      </c>
      <c r="E1693" s="108" t="n">
        <v>450</v>
      </c>
      <c r="F1693" s="10" t="s">
        <v>225</v>
      </c>
      <c r="G1693" s="19"/>
    </row>
    <row r="1694" customFormat="false" ht="15" hidden="false" customHeight="true" outlineLevel="0" collapsed="false">
      <c r="A1694" s="19" t="n">
        <v>582</v>
      </c>
      <c r="B1694" s="19" t="s">
        <v>661</v>
      </c>
      <c r="C1694" s="109" t="n">
        <v>45805</v>
      </c>
      <c r="D1694" s="108" t="n">
        <v>250</v>
      </c>
      <c r="E1694" s="108" t="n">
        <v>148</v>
      </c>
      <c r="F1694" s="10" t="s">
        <v>236</v>
      </c>
      <c r="G1694" s="19"/>
    </row>
    <row r="1695" customFormat="false" ht="15" hidden="false" customHeight="true" outlineLevel="0" collapsed="false">
      <c r="A1695" s="19" t="n">
        <v>612</v>
      </c>
      <c r="B1695" s="19" t="s">
        <v>757</v>
      </c>
      <c r="C1695" s="109" t="n">
        <v>45810</v>
      </c>
      <c r="D1695" s="108" t="n">
        <v>210</v>
      </c>
      <c r="E1695" s="108" t="n">
        <v>1245</v>
      </c>
      <c r="F1695" s="10" t="s">
        <v>236</v>
      </c>
      <c r="G1695" s="19"/>
    </row>
    <row r="1696" customFormat="false" ht="15" hidden="false" customHeight="true" outlineLevel="0" collapsed="false">
      <c r="A1696" s="19" t="n">
        <v>270363</v>
      </c>
      <c r="B1696" s="19" t="s">
        <v>799</v>
      </c>
      <c r="C1696" s="109" t="n">
        <v>45810</v>
      </c>
      <c r="D1696" s="108" t="n">
        <v>80</v>
      </c>
      <c r="E1696" s="108" t="n">
        <v>220</v>
      </c>
      <c r="F1696" s="10" t="s">
        <v>225</v>
      </c>
      <c r="G1696" s="19"/>
    </row>
    <row r="1697" customFormat="false" ht="15" hidden="false" customHeight="true" outlineLevel="0" collapsed="false">
      <c r="A1697" s="19" t="n">
        <v>270358</v>
      </c>
      <c r="B1697" s="19" t="s">
        <v>231</v>
      </c>
      <c r="C1697" s="109" t="n">
        <v>45810</v>
      </c>
      <c r="D1697" s="108" t="n">
        <v>80</v>
      </c>
      <c r="E1697" s="108" t="n">
        <v>1000</v>
      </c>
      <c r="F1697" s="10" t="s">
        <v>225</v>
      </c>
      <c r="G1697" s="19"/>
    </row>
    <row r="1698" customFormat="false" ht="15" hidden="false" customHeight="true" outlineLevel="0" collapsed="false">
      <c r="A1698" s="19" t="n">
        <v>270366</v>
      </c>
      <c r="B1698" s="19" t="s">
        <v>259</v>
      </c>
      <c r="C1698" s="109" t="n">
        <v>45810</v>
      </c>
      <c r="D1698" s="108" t="n">
        <v>100</v>
      </c>
      <c r="E1698" s="108" t="n">
        <v>3750</v>
      </c>
      <c r="F1698" s="10" t="s">
        <v>225</v>
      </c>
      <c r="G1698" s="19"/>
    </row>
    <row r="1699" customFormat="false" ht="15" hidden="false" customHeight="true" outlineLevel="0" collapsed="false">
      <c r="A1699" s="19" t="n">
        <v>629</v>
      </c>
      <c r="B1699" s="19" t="s">
        <v>742</v>
      </c>
      <c r="C1699" s="109" t="n">
        <v>45810</v>
      </c>
      <c r="D1699" s="108" t="n">
        <v>105</v>
      </c>
      <c r="E1699" s="108" t="n">
        <v>5167</v>
      </c>
      <c r="F1699" s="10" t="s">
        <v>225</v>
      </c>
      <c r="G1699" s="19"/>
    </row>
    <row r="1700" customFormat="false" ht="15" hidden="false" customHeight="true" outlineLevel="0" collapsed="false">
      <c r="A1700" s="19" t="n">
        <v>618</v>
      </c>
      <c r="B1700" s="19" t="s">
        <v>383</v>
      </c>
      <c r="C1700" s="109" t="n">
        <v>45810</v>
      </c>
      <c r="D1700" s="108" t="n">
        <v>115</v>
      </c>
      <c r="E1700" s="108" t="n">
        <v>460</v>
      </c>
      <c r="F1700" s="10" t="s">
        <v>225</v>
      </c>
      <c r="G1700" s="19"/>
    </row>
    <row r="1701" customFormat="false" ht="15" hidden="false" customHeight="true" outlineLevel="0" collapsed="false">
      <c r="A1701" s="19" t="n">
        <v>270367</v>
      </c>
      <c r="B1701" s="19" t="s">
        <v>304</v>
      </c>
      <c r="C1701" s="109" t="n">
        <v>45810</v>
      </c>
      <c r="D1701" s="108" t="n">
        <v>118</v>
      </c>
      <c r="E1701" s="108" t="n">
        <v>1600</v>
      </c>
      <c r="F1701" s="10" t="s">
        <v>225</v>
      </c>
      <c r="G1701" s="19"/>
    </row>
    <row r="1702" customFormat="false" ht="15" hidden="false" customHeight="true" outlineLevel="0" collapsed="false">
      <c r="A1702" s="19" t="n">
        <v>270362</v>
      </c>
      <c r="B1702" s="19" t="s">
        <v>231</v>
      </c>
      <c r="C1702" s="109" t="n">
        <v>45810</v>
      </c>
      <c r="D1702" s="108" t="n">
        <v>105</v>
      </c>
      <c r="E1702" s="108" t="n">
        <v>994</v>
      </c>
      <c r="F1702" s="10" t="s">
        <v>227</v>
      </c>
      <c r="G1702" s="19"/>
    </row>
    <row r="1703" customFormat="false" ht="15" hidden="false" customHeight="true" outlineLevel="0" collapsed="false">
      <c r="A1703" s="19" t="n">
        <v>611</v>
      </c>
      <c r="B1703" s="19" t="s">
        <v>272</v>
      </c>
      <c r="C1703" s="109" t="n">
        <v>45810</v>
      </c>
      <c r="D1703" s="108" t="n">
        <v>110</v>
      </c>
      <c r="E1703" s="108" t="n">
        <v>3200</v>
      </c>
      <c r="F1703" s="10" t="s">
        <v>227</v>
      </c>
      <c r="G1703" s="19"/>
    </row>
    <row r="1704" customFormat="false" ht="15" hidden="false" customHeight="true" outlineLevel="0" collapsed="false">
      <c r="A1704" s="19" t="n">
        <v>619</v>
      </c>
      <c r="B1704" s="19" t="s">
        <v>664</v>
      </c>
      <c r="C1704" s="109" t="n">
        <v>45810</v>
      </c>
      <c r="D1704" s="108" t="n">
        <v>110</v>
      </c>
      <c r="E1704" s="108" t="n">
        <v>650</v>
      </c>
      <c r="F1704" s="10" t="s">
        <v>227</v>
      </c>
      <c r="G1704" s="19"/>
    </row>
    <row r="1705" customFormat="false" ht="15" hidden="false" customHeight="true" outlineLevel="0" collapsed="false">
      <c r="A1705" s="19" t="n">
        <v>270364</v>
      </c>
      <c r="B1705" s="19" t="s">
        <v>513</v>
      </c>
      <c r="C1705" s="109" t="n">
        <v>45810</v>
      </c>
      <c r="D1705" s="108" t="n">
        <v>100</v>
      </c>
      <c r="E1705" s="108" t="n">
        <v>750</v>
      </c>
      <c r="F1705" s="10" t="s">
        <v>19</v>
      </c>
      <c r="G1705" s="19"/>
    </row>
    <row r="1706" customFormat="false" ht="15" hidden="false" customHeight="true" outlineLevel="0" collapsed="false">
      <c r="A1706" s="19" t="n">
        <v>625</v>
      </c>
      <c r="B1706" s="19" t="s">
        <v>800</v>
      </c>
      <c r="C1706" s="109" t="n">
        <v>45810</v>
      </c>
      <c r="D1706" s="108" t="n">
        <v>240</v>
      </c>
      <c r="E1706" s="108" t="n">
        <v>4223</v>
      </c>
      <c r="F1706" s="10" t="s">
        <v>262</v>
      </c>
      <c r="G1706" s="19"/>
    </row>
    <row r="1707" customFormat="false" ht="15" hidden="false" customHeight="true" outlineLevel="0" collapsed="false">
      <c r="A1707" s="19" t="n">
        <v>621</v>
      </c>
      <c r="B1707" s="19" t="s">
        <v>455</v>
      </c>
      <c r="C1707" s="109" t="n">
        <v>45810</v>
      </c>
      <c r="D1707" s="108" t="n">
        <v>102</v>
      </c>
      <c r="E1707" s="108" t="n">
        <v>1000</v>
      </c>
      <c r="F1707" s="10" t="s">
        <v>229</v>
      </c>
      <c r="G1707" s="19"/>
    </row>
    <row r="1708" customFormat="false" ht="15" hidden="false" customHeight="true" outlineLevel="0" collapsed="false">
      <c r="A1708" s="19" t="n">
        <v>270361</v>
      </c>
      <c r="B1708" s="19" t="s">
        <v>476</v>
      </c>
      <c r="C1708" s="109" t="n">
        <v>45810</v>
      </c>
      <c r="D1708" s="108" t="n">
        <v>138</v>
      </c>
      <c r="E1708" s="108" t="n">
        <v>408</v>
      </c>
      <c r="F1708" s="10" t="s">
        <v>225</v>
      </c>
      <c r="G1708" s="19" t="s">
        <v>232</v>
      </c>
    </row>
    <row r="1709" customFormat="false" ht="15" hidden="false" customHeight="true" outlineLevel="0" collapsed="false">
      <c r="A1709" s="19" t="n">
        <v>270365</v>
      </c>
      <c r="B1709" s="19" t="s">
        <v>439</v>
      </c>
      <c r="C1709" s="109" t="n">
        <v>45810</v>
      </c>
      <c r="D1709" s="108" t="n">
        <v>210</v>
      </c>
      <c r="E1709" s="108" t="n">
        <v>104</v>
      </c>
      <c r="F1709" s="10" t="s">
        <v>225</v>
      </c>
      <c r="G1709" s="19"/>
    </row>
    <row r="1710" customFormat="false" ht="15" hidden="false" customHeight="true" outlineLevel="0" collapsed="false">
      <c r="A1710" s="19" t="n">
        <v>615</v>
      </c>
      <c r="B1710" s="19" t="s">
        <v>691</v>
      </c>
      <c r="C1710" s="109" t="n">
        <v>45810</v>
      </c>
      <c r="D1710" s="108" t="n">
        <v>220</v>
      </c>
      <c r="E1710" s="108" t="n">
        <v>383</v>
      </c>
      <c r="F1710" s="10" t="s">
        <v>225</v>
      </c>
      <c r="G1710" s="19"/>
    </row>
    <row r="1711" customFormat="false" ht="15" hidden="false" customHeight="true" outlineLevel="0" collapsed="false">
      <c r="A1711" s="19" t="n">
        <v>597</v>
      </c>
      <c r="B1711" s="19" t="s">
        <v>706</v>
      </c>
      <c r="C1711" s="109" t="n">
        <v>45810</v>
      </c>
      <c r="D1711" s="108" t="n">
        <v>250</v>
      </c>
      <c r="E1711" s="108" t="n">
        <v>742</v>
      </c>
      <c r="F1711" s="10" t="s">
        <v>236</v>
      </c>
      <c r="G1711" s="19"/>
    </row>
    <row r="1712" customFormat="false" ht="15" hidden="false" customHeight="true" outlineLevel="0" collapsed="false">
      <c r="A1712" s="19" t="n">
        <v>629</v>
      </c>
      <c r="B1712" s="19" t="s">
        <v>742</v>
      </c>
      <c r="C1712" s="109" t="n">
        <v>45810</v>
      </c>
      <c r="D1712" s="108" t="n">
        <v>250</v>
      </c>
      <c r="E1712" s="108" t="n">
        <v>13541</v>
      </c>
      <c r="F1712" s="10" t="s">
        <v>236</v>
      </c>
      <c r="G1712" s="19"/>
    </row>
    <row r="1713" customFormat="false" ht="15" hidden="false" customHeight="true" outlineLevel="0" collapsed="false">
      <c r="A1713" s="19" t="n">
        <v>629</v>
      </c>
      <c r="B1713" s="19" t="s">
        <v>742</v>
      </c>
      <c r="C1713" s="109" t="n">
        <v>45811</v>
      </c>
      <c r="D1713" s="108" t="n">
        <v>105</v>
      </c>
      <c r="E1713" s="108" t="n">
        <v>2700</v>
      </c>
      <c r="F1713" s="10" t="s">
        <v>225</v>
      </c>
      <c r="G1713" s="19"/>
    </row>
    <row r="1714" customFormat="false" ht="15" hidden="false" customHeight="true" outlineLevel="0" collapsed="false">
      <c r="A1714" s="19" t="n">
        <v>270369</v>
      </c>
      <c r="B1714" s="19" t="s">
        <v>801</v>
      </c>
      <c r="C1714" s="109" t="n">
        <v>45813</v>
      </c>
      <c r="D1714" s="108" t="n">
        <v>73</v>
      </c>
      <c r="E1714" s="108" t="n">
        <v>510</v>
      </c>
      <c r="F1714" s="10" t="s">
        <v>225</v>
      </c>
      <c r="G1714" s="19"/>
    </row>
    <row r="1715" customFormat="false" ht="15" hidden="false" customHeight="true" outlineLevel="0" collapsed="false">
      <c r="A1715" s="19" t="n">
        <v>639</v>
      </c>
      <c r="B1715" s="19" t="s">
        <v>327</v>
      </c>
      <c r="C1715" s="109" t="n">
        <v>45813</v>
      </c>
      <c r="D1715" s="108" t="n">
        <v>75</v>
      </c>
      <c r="E1715" s="108" t="n">
        <v>3300</v>
      </c>
      <c r="F1715" s="10" t="s">
        <v>225</v>
      </c>
      <c r="G1715" s="19"/>
    </row>
    <row r="1716" customFormat="false" ht="15" hidden="false" customHeight="true" outlineLevel="0" collapsed="false">
      <c r="A1716" s="19" t="n">
        <v>639</v>
      </c>
      <c r="B1716" s="19" t="s">
        <v>327</v>
      </c>
      <c r="C1716" s="109" t="n">
        <v>45813</v>
      </c>
      <c r="D1716" s="108" t="n">
        <v>75</v>
      </c>
      <c r="E1716" s="108" t="n">
        <v>3300</v>
      </c>
      <c r="F1716" s="10" t="s">
        <v>225</v>
      </c>
      <c r="G1716" s="19"/>
    </row>
    <row r="1717" customFormat="false" ht="15" hidden="false" customHeight="true" outlineLevel="0" collapsed="false">
      <c r="A1717" s="19" t="n">
        <v>635</v>
      </c>
      <c r="B1717" s="19" t="s">
        <v>389</v>
      </c>
      <c r="C1717" s="109" t="n">
        <v>45813</v>
      </c>
      <c r="D1717" s="108" t="n">
        <v>95</v>
      </c>
      <c r="E1717" s="108" t="n">
        <v>373</v>
      </c>
      <c r="F1717" s="10" t="s">
        <v>225</v>
      </c>
      <c r="G1717" s="19" t="s">
        <v>232</v>
      </c>
    </row>
    <row r="1718" customFormat="false" ht="15" hidden="false" customHeight="true" outlineLevel="0" collapsed="false">
      <c r="A1718" s="19" t="n">
        <v>628</v>
      </c>
      <c r="B1718" s="19" t="s">
        <v>309</v>
      </c>
      <c r="C1718" s="109" t="n">
        <v>45813</v>
      </c>
      <c r="D1718" s="108" t="n">
        <v>97</v>
      </c>
      <c r="E1718" s="108" t="n">
        <v>380</v>
      </c>
      <c r="F1718" s="10" t="s">
        <v>225</v>
      </c>
      <c r="G1718" s="19"/>
    </row>
    <row r="1719" customFormat="false" ht="15" hidden="false" customHeight="true" outlineLevel="0" collapsed="false">
      <c r="A1719" s="19" t="n">
        <v>270372</v>
      </c>
      <c r="B1719" s="19" t="s">
        <v>415</v>
      </c>
      <c r="C1719" s="109" t="n">
        <v>45813</v>
      </c>
      <c r="D1719" s="108" t="n">
        <v>100</v>
      </c>
      <c r="E1719" s="108" t="n">
        <v>4000</v>
      </c>
      <c r="F1719" s="10" t="s">
        <v>577</v>
      </c>
      <c r="G1719" s="19"/>
    </row>
    <row r="1720" customFormat="false" ht="15" hidden="false" customHeight="true" outlineLevel="0" collapsed="false">
      <c r="A1720" s="19" t="n">
        <v>633</v>
      </c>
      <c r="B1720" s="19" t="s">
        <v>699</v>
      </c>
      <c r="C1720" s="109" t="n">
        <v>45813</v>
      </c>
      <c r="D1720" s="108" t="n">
        <v>30</v>
      </c>
      <c r="E1720" s="108" t="n">
        <v>400</v>
      </c>
      <c r="F1720" s="10" t="s">
        <v>372</v>
      </c>
      <c r="G1720" s="19"/>
    </row>
    <row r="1721" customFormat="false" ht="15" hidden="false" customHeight="true" outlineLevel="0" collapsed="false">
      <c r="A1721" s="19" t="n">
        <v>270368</v>
      </c>
      <c r="B1721" s="19" t="s">
        <v>802</v>
      </c>
      <c r="C1721" s="109" t="n">
        <v>45813</v>
      </c>
      <c r="D1721" s="108" t="n">
        <v>80</v>
      </c>
      <c r="E1721" s="108" t="n">
        <v>500</v>
      </c>
      <c r="F1721" s="10" t="s">
        <v>19</v>
      </c>
      <c r="G1721" s="19"/>
    </row>
    <row r="1722" customFormat="false" ht="15" hidden="false" customHeight="true" outlineLevel="0" collapsed="false">
      <c r="A1722" s="19"/>
      <c r="B1722" s="19"/>
      <c r="C1722" s="109" t="n">
        <v>45813</v>
      </c>
      <c r="D1722" s="108"/>
      <c r="E1722" s="108"/>
      <c r="F1722" s="10"/>
      <c r="G1722" s="19"/>
    </row>
    <row r="1723" customFormat="false" ht="15" hidden="false" customHeight="true" outlineLevel="0" collapsed="false">
      <c r="A1723" s="19"/>
      <c r="B1723" s="19"/>
      <c r="C1723" s="109" t="n">
        <v>45813</v>
      </c>
      <c r="D1723" s="108"/>
      <c r="E1723" s="108"/>
      <c r="F1723" s="10"/>
      <c r="G1723" s="19"/>
    </row>
    <row r="1724" customFormat="false" ht="15" hidden="false" customHeight="true" outlineLevel="0" collapsed="false">
      <c r="A1724" s="19"/>
      <c r="B1724" s="19"/>
      <c r="C1724" s="109" t="n">
        <v>45813</v>
      </c>
      <c r="D1724" s="108"/>
      <c r="E1724" s="108"/>
      <c r="F1724" s="10"/>
      <c r="G1724" s="19"/>
    </row>
    <row r="1725" customFormat="false" ht="15" hidden="false" customHeight="true" outlineLevel="0" collapsed="false">
      <c r="A1725" s="19"/>
      <c r="B1725" s="19"/>
      <c r="C1725" s="109" t="n">
        <v>45813</v>
      </c>
      <c r="D1725" s="108"/>
      <c r="E1725" s="108"/>
      <c r="F1725" s="10"/>
      <c r="G1725" s="19"/>
    </row>
    <row r="1726" customFormat="false" ht="15" hidden="false" customHeight="true" outlineLevel="0" collapsed="false">
      <c r="A1726" s="19"/>
      <c r="B1726" s="19"/>
      <c r="C1726" s="109" t="n">
        <v>45813</v>
      </c>
      <c r="D1726" s="108"/>
      <c r="E1726" s="108"/>
      <c r="F1726" s="10"/>
      <c r="G1726" s="19"/>
    </row>
    <row r="1727" customFormat="false" ht="15" hidden="false" customHeight="true" outlineLevel="0" collapsed="false">
      <c r="A1727" s="19"/>
      <c r="B1727" s="19"/>
      <c r="C1727" s="109" t="n">
        <v>45813</v>
      </c>
      <c r="D1727" s="108"/>
      <c r="E1727" s="108"/>
      <c r="F1727" s="10"/>
      <c r="G1727" s="19"/>
    </row>
    <row r="1728" customFormat="false" ht="15" hidden="false" customHeight="true" outlineLevel="0" collapsed="false">
      <c r="A1728" s="19"/>
      <c r="B1728" s="19"/>
      <c r="C1728" s="109" t="n">
        <v>45813</v>
      </c>
      <c r="D1728" s="108"/>
      <c r="E1728" s="108"/>
      <c r="F1728" s="10"/>
      <c r="G1728" s="19"/>
    </row>
    <row r="1729" customFormat="false" ht="15" hidden="false" customHeight="true" outlineLevel="0" collapsed="false">
      <c r="A1729" s="175" t="n">
        <v>270370</v>
      </c>
      <c r="B1729" s="175" t="s">
        <v>418</v>
      </c>
      <c r="C1729" s="176" t="n">
        <v>45813</v>
      </c>
      <c r="D1729" s="177" t="n">
        <v>158</v>
      </c>
      <c r="E1729" s="177" t="n">
        <v>225</v>
      </c>
      <c r="F1729" s="178" t="s">
        <v>225</v>
      </c>
      <c r="G1729" s="175" t="s">
        <v>232</v>
      </c>
    </row>
    <row r="1730" customFormat="false" ht="15" hidden="false" customHeight="true" outlineLevel="0" collapsed="false">
      <c r="A1730" s="19" t="n">
        <v>641</v>
      </c>
      <c r="B1730" s="19" t="s">
        <v>803</v>
      </c>
      <c r="C1730" s="109" t="n">
        <v>45817</v>
      </c>
      <c r="D1730" s="108" t="n">
        <v>30</v>
      </c>
      <c r="E1730" s="108" t="n">
        <v>840</v>
      </c>
      <c r="F1730" s="10" t="s">
        <v>225</v>
      </c>
      <c r="G1730" s="19"/>
    </row>
    <row r="1731" customFormat="false" ht="15" hidden="false" customHeight="true" outlineLevel="0" collapsed="false">
      <c r="A1731" s="19" t="n">
        <v>646</v>
      </c>
      <c r="B1731" s="19" t="s">
        <v>461</v>
      </c>
      <c r="C1731" s="109" t="n">
        <v>45817</v>
      </c>
      <c r="D1731" s="108" t="n">
        <v>70</v>
      </c>
      <c r="E1731" s="108" t="n">
        <v>540</v>
      </c>
      <c r="F1731" s="10" t="s">
        <v>225</v>
      </c>
      <c r="G1731" s="19" t="s">
        <v>232</v>
      </c>
    </row>
    <row r="1732" customFormat="false" ht="15" hidden="false" customHeight="true" outlineLevel="0" collapsed="false">
      <c r="A1732" s="19" t="n">
        <v>270376</v>
      </c>
      <c r="B1732" s="19" t="s">
        <v>588</v>
      </c>
      <c r="C1732" s="109" t="n">
        <v>45817</v>
      </c>
      <c r="D1732" s="108" t="n">
        <v>100</v>
      </c>
      <c r="E1732" s="108" t="n">
        <v>1200</v>
      </c>
      <c r="F1732" s="10" t="s">
        <v>225</v>
      </c>
      <c r="G1732" s="19"/>
    </row>
    <row r="1733" customFormat="false" ht="15" hidden="false" customHeight="true" outlineLevel="0" collapsed="false">
      <c r="A1733" s="19" t="n">
        <v>650</v>
      </c>
      <c r="B1733" s="19" t="s">
        <v>804</v>
      </c>
      <c r="C1733" s="109" t="n">
        <v>45817</v>
      </c>
      <c r="D1733" s="108" t="n">
        <v>105</v>
      </c>
      <c r="E1733" s="108" t="n">
        <v>495</v>
      </c>
      <c r="F1733" s="10" t="s">
        <v>225</v>
      </c>
      <c r="G1733" s="19"/>
    </row>
    <row r="1734" customFormat="false" ht="15" hidden="false" customHeight="true" outlineLevel="0" collapsed="false">
      <c r="A1734" s="19" t="n">
        <v>270379</v>
      </c>
      <c r="B1734" s="19" t="s">
        <v>288</v>
      </c>
      <c r="C1734" s="109" t="n">
        <v>45817</v>
      </c>
      <c r="D1734" s="108" t="n">
        <v>110</v>
      </c>
      <c r="E1734" s="108" t="n">
        <v>500</v>
      </c>
      <c r="F1734" s="10" t="s">
        <v>229</v>
      </c>
      <c r="G1734" s="19"/>
    </row>
    <row r="1735" customFormat="false" ht="15" hidden="false" customHeight="true" outlineLevel="0" collapsed="false">
      <c r="A1735" s="19" t="n">
        <v>645</v>
      </c>
      <c r="B1735" s="19" t="s">
        <v>290</v>
      </c>
      <c r="C1735" s="109" t="n">
        <v>45817</v>
      </c>
      <c r="D1735" s="108" t="n">
        <v>100</v>
      </c>
      <c r="E1735" s="108" t="n">
        <v>300</v>
      </c>
      <c r="F1735" s="10" t="s">
        <v>227</v>
      </c>
      <c r="G1735" s="19"/>
    </row>
    <row r="1736" customFormat="false" ht="15" hidden="false" customHeight="true" outlineLevel="0" collapsed="false">
      <c r="A1736" s="19" t="n">
        <v>270377</v>
      </c>
      <c r="B1736" s="19" t="s">
        <v>805</v>
      </c>
      <c r="C1736" s="109" t="n">
        <v>45817</v>
      </c>
      <c r="D1736" s="108" t="n">
        <v>130</v>
      </c>
      <c r="E1736" s="108" t="n">
        <v>410</v>
      </c>
      <c r="F1736" s="10" t="s">
        <v>225</v>
      </c>
      <c r="G1736" s="19"/>
    </row>
    <row r="1737" customFormat="false" ht="15" hidden="false" customHeight="true" outlineLevel="0" collapsed="false">
      <c r="A1737" s="19" t="n">
        <v>648</v>
      </c>
      <c r="B1737" s="19" t="s">
        <v>237</v>
      </c>
      <c r="C1737" s="109" t="n">
        <v>45817</v>
      </c>
      <c r="D1737" s="108" t="n">
        <v>210</v>
      </c>
      <c r="E1737" s="108" t="n">
        <v>260</v>
      </c>
      <c r="F1737" s="10" t="s">
        <v>225</v>
      </c>
      <c r="G1737" s="19"/>
    </row>
    <row r="1738" customFormat="false" ht="15" hidden="false" customHeight="true" outlineLevel="0" collapsed="false">
      <c r="A1738" s="19" t="n">
        <v>644</v>
      </c>
      <c r="B1738" s="19" t="s">
        <v>278</v>
      </c>
      <c r="C1738" s="109" t="n">
        <v>45817</v>
      </c>
      <c r="D1738" s="108" t="n">
        <v>250</v>
      </c>
      <c r="E1738" s="108" t="n">
        <v>223</v>
      </c>
      <c r="F1738" s="10" t="s">
        <v>236</v>
      </c>
      <c r="G1738" s="19"/>
    </row>
    <row r="1739" customFormat="false" ht="15" hidden="false" customHeight="true" outlineLevel="0" collapsed="false">
      <c r="A1739" s="19" t="n">
        <v>672</v>
      </c>
      <c r="B1739" s="19" t="s">
        <v>529</v>
      </c>
      <c r="C1739" s="109" t="n">
        <v>45818</v>
      </c>
      <c r="D1739" s="108" t="n">
        <v>100</v>
      </c>
      <c r="E1739" s="108" t="n">
        <v>375</v>
      </c>
      <c r="F1739" s="10" t="s">
        <v>225</v>
      </c>
      <c r="G1739" s="19"/>
    </row>
    <row r="1740" customFormat="false" ht="15" hidden="false" customHeight="true" outlineLevel="0" collapsed="false">
      <c r="A1740" s="19" t="n">
        <v>659</v>
      </c>
      <c r="B1740" s="19" t="s">
        <v>806</v>
      </c>
      <c r="C1740" s="109" t="n">
        <v>45818</v>
      </c>
      <c r="D1740" s="108" t="n">
        <v>105</v>
      </c>
      <c r="E1740" s="108" t="n">
        <v>396</v>
      </c>
      <c r="F1740" s="10" t="s">
        <v>225</v>
      </c>
      <c r="G1740" s="19"/>
    </row>
    <row r="1741" customFormat="false" ht="15" hidden="false" customHeight="true" outlineLevel="0" collapsed="false">
      <c r="A1741" s="19" t="n">
        <v>626</v>
      </c>
      <c r="B1741" s="19" t="s">
        <v>521</v>
      </c>
      <c r="C1741" s="109" t="n">
        <v>45818</v>
      </c>
      <c r="D1741" s="108" t="n">
        <v>105</v>
      </c>
      <c r="E1741" s="108" t="n">
        <v>1800</v>
      </c>
      <c r="F1741" s="10" t="s">
        <v>225</v>
      </c>
      <c r="G1741" s="19"/>
    </row>
    <row r="1742" customFormat="false" ht="15" hidden="false" customHeight="true" outlineLevel="0" collapsed="false">
      <c r="A1742" s="19" t="n">
        <v>659</v>
      </c>
      <c r="B1742" s="19" t="s">
        <v>807</v>
      </c>
      <c r="C1742" s="109" t="n">
        <v>45818</v>
      </c>
      <c r="D1742" s="108" t="n">
        <v>105</v>
      </c>
      <c r="E1742" s="108" t="n">
        <v>396</v>
      </c>
      <c r="F1742" s="10" t="s">
        <v>225</v>
      </c>
      <c r="G1742" s="19"/>
    </row>
    <row r="1743" customFormat="false" ht="15" hidden="false" customHeight="true" outlineLevel="0" collapsed="false">
      <c r="A1743" s="19" t="n">
        <v>658</v>
      </c>
      <c r="B1743" s="19" t="s">
        <v>808</v>
      </c>
      <c r="C1743" s="109" t="n">
        <v>45818</v>
      </c>
      <c r="D1743" s="108" t="n">
        <v>105</v>
      </c>
      <c r="E1743" s="108" t="n">
        <v>297</v>
      </c>
      <c r="F1743" s="10" t="s">
        <v>225</v>
      </c>
      <c r="G1743" s="19"/>
    </row>
    <row r="1744" customFormat="false" ht="15" hidden="false" customHeight="true" outlineLevel="0" collapsed="false">
      <c r="A1744" s="19" t="n">
        <v>657</v>
      </c>
      <c r="B1744" s="19" t="s">
        <v>806</v>
      </c>
      <c r="C1744" s="109" t="n">
        <v>45818</v>
      </c>
      <c r="D1744" s="108" t="n">
        <v>105</v>
      </c>
      <c r="E1744" s="108" t="n">
        <v>400</v>
      </c>
      <c r="F1744" s="10" t="s">
        <v>225</v>
      </c>
      <c r="G1744" s="19"/>
    </row>
    <row r="1745" customFormat="false" ht="15" hidden="false" customHeight="true" outlineLevel="0" collapsed="false">
      <c r="A1745" s="19" t="n">
        <v>656</v>
      </c>
      <c r="B1745" s="19" t="s">
        <v>809</v>
      </c>
      <c r="C1745" s="109" t="n">
        <v>45818</v>
      </c>
      <c r="D1745" s="108" t="n">
        <v>105</v>
      </c>
      <c r="E1745" s="108" t="n">
        <v>200</v>
      </c>
      <c r="F1745" s="10" t="s">
        <v>225</v>
      </c>
      <c r="G1745" s="19"/>
    </row>
    <row r="1746" customFormat="false" ht="15" hidden="false" customHeight="true" outlineLevel="0" collapsed="false">
      <c r="A1746" s="19" t="n">
        <v>655</v>
      </c>
      <c r="B1746" s="19" t="s">
        <v>810</v>
      </c>
      <c r="C1746" s="109" t="n">
        <v>45818</v>
      </c>
      <c r="D1746" s="108" t="n">
        <v>105</v>
      </c>
      <c r="E1746" s="108" t="n">
        <v>396</v>
      </c>
      <c r="F1746" s="10" t="s">
        <v>225</v>
      </c>
      <c r="G1746" s="19"/>
    </row>
    <row r="1747" customFormat="false" ht="15" hidden="false" customHeight="true" outlineLevel="0" collapsed="false">
      <c r="A1747" s="19" t="n">
        <v>654</v>
      </c>
      <c r="B1747" s="19" t="s">
        <v>809</v>
      </c>
      <c r="C1747" s="109" t="n">
        <v>45818</v>
      </c>
      <c r="D1747" s="108" t="n">
        <v>105</v>
      </c>
      <c r="E1747" s="108" t="n">
        <v>396</v>
      </c>
      <c r="F1747" s="10" t="s">
        <v>225</v>
      </c>
      <c r="G1747" s="19"/>
    </row>
    <row r="1748" customFormat="false" ht="15" hidden="false" customHeight="true" outlineLevel="0" collapsed="false">
      <c r="A1748" s="19" t="n">
        <v>653</v>
      </c>
      <c r="B1748" s="19" t="s">
        <v>809</v>
      </c>
      <c r="C1748" s="109" t="n">
        <v>45818</v>
      </c>
      <c r="D1748" s="108" t="n">
        <v>105</v>
      </c>
      <c r="E1748" s="108" t="n">
        <v>245</v>
      </c>
      <c r="F1748" s="10" t="s">
        <v>225</v>
      </c>
      <c r="G1748" s="19"/>
    </row>
    <row r="1749" customFormat="false" ht="15" hidden="false" customHeight="true" outlineLevel="0" collapsed="false">
      <c r="A1749" s="19" t="n">
        <v>270381</v>
      </c>
      <c r="B1749" s="19" t="s">
        <v>231</v>
      </c>
      <c r="C1749" s="109" t="n">
        <v>45818</v>
      </c>
      <c r="D1749" s="108" t="n">
        <v>110</v>
      </c>
      <c r="E1749" s="108" t="n">
        <v>400</v>
      </c>
      <c r="F1749" s="10" t="s">
        <v>225</v>
      </c>
      <c r="G1749" s="19" t="s">
        <v>232</v>
      </c>
    </row>
    <row r="1750" customFormat="false" ht="15" hidden="false" customHeight="true" outlineLevel="0" collapsed="false">
      <c r="A1750" s="19" t="n">
        <v>270382</v>
      </c>
      <c r="B1750" s="19" t="s">
        <v>811</v>
      </c>
      <c r="C1750" s="109" t="n">
        <v>45818</v>
      </c>
      <c r="D1750" s="108" t="n">
        <v>25</v>
      </c>
      <c r="E1750" s="108" t="n">
        <v>300</v>
      </c>
      <c r="F1750" s="108" t="s">
        <v>372</v>
      </c>
      <c r="G1750" s="19"/>
    </row>
    <row r="1751" customFormat="false" ht="15" hidden="false" customHeight="true" outlineLevel="0" collapsed="false">
      <c r="A1751" s="19" t="n">
        <v>673</v>
      </c>
      <c r="B1751" s="19" t="s">
        <v>66</v>
      </c>
      <c r="C1751" s="109" t="n">
        <v>45818</v>
      </c>
      <c r="D1751" s="108" t="n">
        <v>210</v>
      </c>
      <c r="E1751" s="108" t="n">
        <v>430</v>
      </c>
      <c r="F1751" s="10" t="s">
        <v>248</v>
      </c>
      <c r="G1751" s="19"/>
    </row>
    <row r="1752" customFormat="false" ht="15" hidden="false" customHeight="true" outlineLevel="0" collapsed="false">
      <c r="A1752" s="19" t="n">
        <v>665</v>
      </c>
      <c r="B1752" s="19" t="s">
        <v>336</v>
      </c>
      <c r="C1752" s="109" t="n">
        <v>45818</v>
      </c>
      <c r="D1752" s="108" t="n">
        <v>210</v>
      </c>
      <c r="E1752" s="108" t="n">
        <v>265</v>
      </c>
      <c r="F1752" s="10" t="s">
        <v>229</v>
      </c>
      <c r="G1752" s="19"/>
    </row>
    <row r="1753" customFormat="false" ht="15" hidden="false" customHeight="true" outlineLevel="0" collapsed="false">
      <c r="A1753" s="19" t="n">
        <v>666</v>
      </c>
      <c r="B1753" s="19" t="s">
        <v>478</v>
      </c>
      <c r="C1753" s="109" t="n">
        <v>45818</v>
      </c>
      <c r="D1753" s="108" t="n">
        <v>145</v>
      </c>
      <c r="E1753" s="108" t="n">
        <v>480</v>
      </c>
      <c r="F1753" s="10" t="s">
        <v>225</v>
      </c>
      <c r="G1753" s="19"/>
    </row>
    <row r="1754" customFormat="false" ht="15" hidden="false" customHeight="true" outlineLevel="0" collapsed="false">
      <c r="A1754" s="19" t="n">
        <v>671</v>
      </c>
      <c r="B1754" s="19" t="s">
        <v>812</v>
      </c>
      <c r="C1754" s="109" t="n">
        <v>45819</v>
      </c>
      <c r="D1754" s="108" t="n">
        <v>45</v>
      </c>
      <c r="E1754" s="108" t="n">
        <v>240</v>
      </c>
      <c r="F1754" s="10" t="s">
        <v>225</v>
      </c>
      <c r="G1754" s="19"/>
    </row>
    <row r="1755" customFormat="false" ht="15" hidden="false" customHeight="true" outlineLevel="0" collapsed="false">
      <c r="A1755" s="19" t="n">
        <v>668</v>
      </c>
      <c r="B1755" s="19" t="s">
        <v>733</v>
      </c>
      <c r="C1755" s="109" t="n">
        <v>45819</v>
      </c>
      <c r="D1755" s="108" t="n">
        <v>120</v>
      </c>
      <c r="E1755" s="108" t="n">
        <v>6000</v>
      </c>
      <c r="F1755" s="10" t="s">
        <v>225</v>
      </c>
      <c r="G1755" s="19"/>
    </row>
    <row r="1756" customFormat="false" ht="15" hidden="false" customHeight="true" outlineLevel="0" collapsed="false">
      <c r="A1756" s="19" t="n">
        <v>683</v>
      </c>
      <c r="B1756" s="18" t="s">
        <v>306</v>
      </c>
      <c r="C1756" s="109" t="n">
        <v>45820</v>
      </c>
      <c r="D1756" s="108" t="n">
        <v>60</v>
      </c>
      <c r="E1756" s="108" t="n">
        <v>6000</v>
      </c>
      <c r="F1756" s="10" t="s">
        <v>236</v>
      </c>
      <c r="G1756" s="19"/>
    </row>
    <row r="1757" customFormat="false" ht="15" hidden="false" customHeight="true" outlineLevel="0" collapsed="false">
      <c r="A1757" s="19" t="n">
        <v>679</v>
      </c>
      <c r="B1757" s="19" t="s">
        <v>242</v>
      </c>
      <c r="C1757" s="109" t="n">
        <v>45820</v>
      </c>
      <c r="D1757" s="108" t="n">
        <v>20</v>
      </c>
      <c r="E1757" s="108" t="n">
        <v>1300</v>
      </c>
      <c r="F1757" s="10" t="s">
        <v>225</v>
      </c>
      <c r="G1757" s="19"/>
    </row>
    <row r="1758" customFormat="false" ht="15" hidden="false" customHeight="true" outlineLevel="0" collapsed="false">
      <c r="A1758" s="19" t="n">
        <v>680</v>
      </c>
      <c r="B1758" s="19" t="s">
        <v>242</v>
      </c>
      <c r="C1758" s="109" t="n">
        <v>45820</v>
      </c>
      <c r="D1758" s="108" t="n">
        <v>70</v>
      </c>
      <c r="E1758" s="108" t="n">
        <v>340</v>
      </c>
      <c r="F1758" s="10" t="s">
        <v>225</v>
      </c>
      <c r="G1758" s="19"/>
    </row>
    <row r="1759" customFormat="false" ht="15" hidden="false" customHeight="true" outlineLevel="0" collapsed="false">
      <c r="A1759" s="19" t="n">
        <v>690</v>
      </c>
      <c r="B1759" s="19" t="s">
        <v>242</v>
      </c>
      <c r="C1759" s="109" t="n">
        <v>45820</v>
      </c>
      <c r="D1759" s="108" t="n">
        <v>70</v>
      </c>
      <c r="E1759" s="108" t="n">
        <v>90</v>
      </c>
      <c r="F1759" s="10" t="s">
        <v>225</v>
      </c>
      <c r="G1759" s="19"/>
    </row>
    <row r="1760" customFormat="false" ht="15" hidden="false" customHeight="true" outlineLevel="0" collapsed="false">
      <c r="A1760" s="19" t="n">
        <v>678</v>
      </c>
      <c r="B1760" s="19" t="s">
        <v>242</v>
      </c>
      <c r="C1760" s="109" t="n">
        <v>45820</v>
      </c>
      <c r="D1760" s="108" t="n">
        <v>70</v>
      </c>
      <c r="E1760" s="108" t="n">
        <v>204</v>
      </c>
      <c r="F1760" s="10" t="s">
        <v>225</v>
      </c>
      <c r="G1760" s="19"/>
    </row>
    <row r="1761" customFormat="false" ht="15" hidden="false" customHeight="true" outlineLevel="0" collapsed="false">
      <c r="A1761" s="19" t="n">
        <v>684</v>
      </c>
      <c r="B1761" s="19" t="s">
        <v>291</v>
      </c>
      <c r="C1761" s="109" t="n">
        <v>45820</v>
      </c>
      <c r="D1761" s="108" t="n">
        <v>105</v>
      </c>
      <c r="E1761" s="108" t="n">
        <v>799</v>
      </c>
      <c r="F1761" s="10" t="s">
        <v>225</v>
      </c>
      <c r="G1761" s="19"/>
    </row>
    <row r="1762" customFormat="false" ht="15" hidden="false" customHeight="true" outlineLevel="0" collapsed="false">
      <c r="A1762" s="19" t="n">
        <v>674</v>
      </c>
      <c r="B1762" s="19" t="s">
        <v>258</v>
      </c>
      <c r="C1762" s="109" t="n">
        <v>45820</v>
      </c>
      <c r="D1762" s="108" t="n">
        <v>105</v>
      </c>
      <c r="E1762" s="108" t="n">
        <v>2000</v>
      </c>
      <c r="F1762" s="10" t="s">
        <v>225</v>
      </c>
      <c r="G1762" s="19"/>
    </row>
    <row r="1763" customFormat="false" ht="15" hidden="false" customHeight="true" outlineLevel="0" collapsed="false">
      <c r="A1763" s="19" t="n">
        <v>689</v>
      </c>
      <c r="B1763" s="19" t="s">
        <v>242</v>
      </c>
      <c r="C1763" s="109" t="n">
        <v>45820</v>
      </c>
      <c r="D1763" s="108" t="n">
        <v>110</v>
      </c>
      <c r="E1763" s="108" t="n">
        <v>200</v>
      </c>
      <c r="F1763" s="10" t="s">
        <v>225</v>
      </c>
      <c r="G1763" s="19"/>
    </row>
    <row r="1764" customFormat="false" ht="15" hidden="false" customHeight="true" outlineLevel="0" collapsed="false">
      <c r="A1764" s="19" t="n">
        <v>688</v>
      </c>
      <c r="B1764" s="19" t="s">
        <v>242</v>
      </c>
      <c r="C1764" s="109" t="n">
        <v>45820</v>
      </c>
      <c r="D1764" s="108" t="n">
        <v>110</v>
      </c>
      <c r="E1764" s="108" t="n">
        <v>84</v>
      </c>
      <c r="F1764" s="10" t="s">
        <v>225</v>
      </c>
      <c r="G1764" s="19"/>
    </row>
    <row r="1765" customFormat="false" ht="15" hidden="false" customHeight="true" outlineLevel="0" collapsed="false">
      <c r="A1765" s="19" t="n">
        <v>681</v>
      </c>
      <c r="B1765" s="19" t="s">
        <v>242</v>
      </c>
      <c r="C1765" s="109" t="n">
        <v>45820</v>
      </c>
      <c r="D1765" s="108" t="n">
        <v>110</v>
      </c>
      <c r="E1765" s="108" t="n">
        <v>112</v>
      </c>
      <c r="F1765" s="10" t="s">
        <v>225</v>
      </c>
      <c r="G1765" s="19"/>
    </row>
    <row r="1766" customFormat="false" ht="15" hidden="false" customHeight="true" outlineLevel="0" collapsed="false">
      <c r="A1766" s="19" t="n">
        <v>675</v>
      </c>
      <c r="B1766" s="19" t="s">
        <v>258</v>
      </c>
      <c r="C1766" s="109" t="n">
        <v>45820</v>
      </c>
      <c r="D1766" s="108" t="n">
        <v>120</v>
      </c>
      <c r="E1766" s="108" t="n">
        <v>1900</v>
      </c>
      <c r="F1766" s="10" t="s">
        <v>225</v>
      </c>
      <c r="G1766" s="19"/>
    </row>
    <row r="1767" customFormat="false" ht="15" hidden="false" customHeight="true" outlineLevel="0" collapsed="false">
      <c r="A1767" s="19" t="n">
        <v>686</v>
      </c>
      <c r="B1767" s="18" t="s">
        <v>334</v>
      </c>
      <c r="C1767" s="109" t="n">
        <v>45820</v>
      </c>
      <c r="D1767" s="108" t="n">
        <v>155</v>
      </c>
      <c r="E1767" s="108" t="n">
        <v>1930</v>
      </c>
      <c r="F1767" s="10" t="s">
        <v>229</v>
      </c>
      <c r="G1767" s="19"/>
    </row>
    <row r="1768" customFormat="false" ht="15" hidden="false" customHeight="true" outlineLevel="0" collapsed="false">
      <c r="A1768" s="19" t="n">
        <v>691</v>
      </c>
      <c r="B1768" s="19" t="s">
        <v>363</v>
      </c>
      <c r="C1768" s="109" t="n">
        <v>45820</v>
      </c>
      <c r="D1768" s="108" t="n">
        <v>75</v>
      </c>
      <c r="E1768" s="108" t="n">
        <v>900</v>
      </c>
      <c r="F1768" s="10" t="s">
        <v>227</v>
      </c>
      <c r="G1768" s="19"/>
    </row>
    <row r="1769" customFormat="false" ht="15" hidden="false" customHeight="true" outlineLevel="0" collapsed="false">
      <c r="A1769" s="19" t="n">
        <v>693</v>
      </c>
      <c r="B1769" s="19" t="s">
        <v>251</v>
      </c>
      <c r="C1769" s="109" t="n">
        <v>45820</v>
      </c>
      <c r="D1769" s="108" t="n">
        <v>220</v>
      </c>
      <c r="E1769" s="108" t="n">
        <v>1238</v>
      </c>
      <c r="F1769" s="10" t="s">
        <v>229</v>
      </c>
      <c r="G1769" s="19"/>
    </row>
    <row r="1770" customFormat="false" ht="15" hidden="false" customHeight="true" outlineLevel="0" collapsed="false">
      <c r="A1770" s="19" t="n">
        <v>682</v>
      </c>
      <c r="B1770" s="19" t="s">
        <v>601</v>
      </c>
      <c r="C1770" s="109" t="n">
        <v>45820</v>
      </c>
      <c r="D1770" s="108" t="n">
        <v>210</v>
      </c>
      <c r="E1770" s="108" t="n">
        <v>1314</v>
      </c>
      <c r="F1770" s="10" t="s">
        <v>248</v>
      </c>
      <c r="G1770" s="19"/>
    </row>
    <row r="1771" customFormat="false" ht="15" hidden="false" customHeight="true" outlineLevel="0" collapsed="false">
      <c r="A1771" s="19" t="n">
        <v>687</v>
      </c>
      <c r="B1771" s="19" t="s">
        <v>242</v>
      </c>
      <c r="C1771" s="109" t="n">
        <v>45820</v>
      </c>
      <c r="D1771" s="108" t="n">
        <v>40</v>
      </c>
      <c r="E1771" s="108" t="n">
        <v>740</v>
      </c>
      <c r="F1771" s="10" t="s">
        <v>248</v>
      </c>
      <c r="G1771" s="19"/>
    </row>
    <row r="1772" customFormat="false" ht="15" hidden="false" customHeight="true" outlineLevel="0" collapsed="false">
      <c r="A1772" s="19" t="n">
        <v>684</v>
      </c>
      <c r="B1772" s="19" t="s">
        <v>291</v>
      </c>
      <c r="C1772" s="109" t="n">
        <v>45820</v>
      </c>
      <c r="D1772" s="108" t="n">
        <v>180</v>
      </c>
      <c r="E1772" s="108" t="n">
        <v>460</v>
      </c>
      <c r="F1772" s="10" t="s">
        <v>225</v>
      </c>
      <c r="G1772" s="19"/>
    </row>
    <row r="1773" customFormat="false" ht="15" hidden="false" customHeight="true" outlineLevel="0" collapsed="false">
      <c r="A1773" s="19" t="n">
        <v>685</v>
      </c>
      <c r="B1773" s="19" t="s">
        <v>291</v>
      </c>
      <c r="C1773" s="109" t="n">
        <v>45820</v>
      </c>
      <c r="D1773" s="108" t="n">
        <v>220</v>
      </c>
      <c r="E1773" s="108" t="n">
        <v>1277</v>
      </c>
      <c r="F1773" s="10" t="s">
        <v>225</v>
      </c>
      <c r="G1773" s="19"/>
    </row>
    <row r="1774" customFormat="false" ht="15" hidden="false" customHeight="true" outlineLevel="0" collapsed="false">
      <c r="A1774" s="19" t="n">
        <v>697</v>
      </c>
      <c r="B1774" s="19" t="s">
        <v>813</v>
      </c>
      <c r="C1774" s="109" t="n">
        <v>45821</v>
      </c>
      <c r="D1774" s="108" t="n">
        <v>210</v>
      </c>
      <c r="E1774" s="108" t="n">
        <v>1277</v>
      </c>
      <c r="F1774" s="10" t="s">
        <v>236</v>
      </c>
      <c r="G1774" s="19"/>
    </row>
    <row r="1775" customFormat="false" ht="15" hidden="false" customHeight="true" outlineLevel="0" collapsed="false">
      <c r="A1775" s="19" t="n">
        <v>270387</v>
      </c>
      <c r="B1775" s="19" t="s">
        <v>231</v>
      </c>
      <c r="C1775" s="109" t="n">
        <v>45821</v>
      </c>
      <c r="D1775" s="108" t="n">
        <v>60</v>
      </c>
      <c r="E1775" s="108" t="n">
        <v>3150</v>
      </c>
      <c r="F1775" s="10" t="s">
        <v>225</v>
      </c>
      <c r="G1775" s="19"/>
    </row>
    <row r="1776" customFormat="false" ht="15" hidden="false" customHeight="true" outlineLevel="0" collapsed="false">
      <c r="A1776" s="19" t="n">
        <v>695</v>
      </c>
      <c r="B1776" s="19" t="s">
        <v>428</v>
      </c>
      <c r="C1776" s="109" t="n">
        <v>45821</v>
      </c>
      <c r="D1776" s="108" t="n">
        <v>65</v>
      </c>
      <c r="E1776" s="108" t="n">
        <v>615</v>
      </c>
      <c r="F1776" s="10" t="s">
        <v>225</v>
      </c>
      <c r="G1776" s="19"/>
    </row>
    <row r="1777" customFormat="false" ht="15" hidden="false" customHeight="true" outlineLevel="0" collapsed="false">
      <c r="A1777" s="19" t="n">
        <v>694</v>
      </c>
      <c r="B1777" s="19" t="s">
        <v>258</v>
      </c>
      <c r="C1777" s="109" t="n">
        <v>45821</v>
      </c>
      <c r="D1777" s="108" t="n">
        <v>65</v>
      </c>
      <c r="E1777" s="108" t="n">
        <v>615</v>
      </c>
      <c r="F1777" s="10" t="s">
        <v>225</v>
      </c>
      <c r="G1777" s="19"/>
    </row>
    <row r="1778" customFormat="false" ht="15" hidden="false" customHeight="true" outlineLevel="0" collapsed="false">
      <c r="A1778" s="19" t="n">
        <v>270371</v>
      </c>
      <c r="B1778" s="19" t="s">
        <v>814</v>
      </c>
      <c r="C1778" s="109" t="n">
        <v>45821</v>
      </c>
      <c r="D1778" s="108" t="n">
        <v>80</v>
      </c>
      <c r="E1778" s="108" t="n">
        <v>500</v>
      </c>
      <c r="F1778" s="10" t="s">
        <v>225</v>
      </c>
      <c r="G1778" s="19"/>
    </row>
    <row r="1779" customFormat="false" ht="15" hidden="false" customHeight="true" outlineLevel="0" collapsed="false">
      <c r="A1779" s="19" t="n">
        <v>676</v>
      </c>
      <c r="B1779" s="19" t="s">
        <v>258</v>
      </c>
      <c r="C1779" s="109" t="n">
        <v>45821</v>
      </c>
      <c r="D1779" s="108" t="n">
        <v>85</v>
      </c>
      <c r="E1779" s="108" t="n">
        <v>1000</v>
      </c>
      <c r="F1779" s="10" t="s">
        <v>225</v>
      </c>
      <c r="G1779" s="19"/>
    </row>
    <row r="1780" customFormat="false" ht="15" hidden="false" customHeight="true" outlineLevel="0" collapsed="false">
      <c r="A1780" s="19" t="n">
        <v>270371</v>
      </c>
      <c r="B1780" s="19" t="s">
        <v>814</v>
      </c>
      <c r="C1780" s="109" t="n">
        <v>45821</v>
      </c>
      <c r="D1780" s="108" t="n">
        <v>90</v>
      </c>
      <c r="E1780" s="108" t="n">
        <v>300</v>
      </c>
      <c r="F1780" s="10" t="s">
        <v>225</v>
      </c>
      <c r="G1780" s="19"/>
    </row>
    <row r="1781" customFormat="false" ht="15" hidden="false" customHeight="true" outlineLevel="0" collapsed="false">
      <c r="A1781" s="19" t="n">
        <v>270374</v>
      </c>
      <c r="B1781" s="19" t="s">
        <v>815</v>
      </c>
      <c r="C1781" s="109" t="n">
        <v>45821</v>
      </c>
      <c r="D1781" s="108" t="n">
        <v>105</v>
      </c>
      <c r="E1781" s="108" t="n">
        <v>78</v>
      </c>
      <c r="F1781" s="10" t="s">
        <v>225</v>
      </c>
      <c r="G1781" s="19"/>
    </row>
    <row r="1782" customFormat="false" ht="15" hidden="false" customHeight="true" outlineLevel="0" collapsed="false">
      <c r="A1782" s="19" t="n">
        <v>270374</v>
      </c>
      <c r="B1782" s="19" t="s">
        <v>816</v>
      </c>
      <c r="C1782" s="109" t="n">
        <v>45821</v>
      </c>
      <c r="D1782" s="108" t="n">
        <v>105</v>
      </c>
      <c r="E1782" s="108" t="n">
        <v>75</v>
      </c>
      <c r="F1782" s="10" t="s">
        <v>225</v>
      </c>
      <c r="G1782" s="19"/>
    </row>
    <row r="1783" customFormat="false" ht="15" hidden="false" customHeight="true" outlineLevel="0" collapsed="false">
      <c r="A1783" s="19" t="n">
        <v>698</v>
      </c>
      <c r="B1783" s="19" t="s">
        <v>642</v>
      </c>
      <c r="C1783" s="109" t="n">
        <v>45821</v>
      </c>
      <c r="D1783" s="108" t="n">
        <v>210</v>
      </c>
      <c r="E1783" s="108" t="n">
        <v>1030</v>
      </c>
      <c r="F1783" s="10" t="s">
        <v>227</v>
      </c>
      <c r="G1783" s="19"/>
    </row>
    <row r="1784" customFormat="false" ht="15" hidden="false" customHeight="true" outlineLevel="0" collapsed="false">
      <c r="A1784" s="19" t="n">
        <v>661</v>
      </c>
      <c r="B1784" s="19" t="s">
        <v>817</v>
      </c>
      <c r="C1784" s="109" t="n">
        <v>45821</v>
      </c>
      <c r="D1784" s="108" t="n">
        <v>160</v>
      </c>
      <c r="E1784" s="108" t="n">
        <v>1500</v>
      </c>
      <c r="F1784" s="10" t="s">
        <v>225</v>
      </c>
      <c r="G1784" s="19" t="s">
        <v>232</v>
      </c>
    </row>
    <row r="1785" customFormat="false" ht="15" hidden="false" customHeight="true" outlineLevel="0" collapsed="false">
      <c r="A1785" s="19" t="n">
        <v>704</v>
      </c>
      <c r="B1785" s="19" t="s">
        <v>287</v>
      </c>
      <c r="C1785" s="109" t="n">
        <v>45821</v>
      </c>
      <c r="D1785" s="108" t="n">
        <v>210</v>
      </c>
      <c r="E1785" s="108" t="n">
        <v>3245</v>
      </c>
      <c r="F1785" s="10" t="s">
        <v>225</v>
      </c>
      <c r="G1785" s="19"/>
    </row>
    <row r="1786" customFormat="false" ht="15" hidden="false" customHeight="true" outlineLevel="0" collapsed="false">
      <c r="A1786" s="19" t="n">
        <v>704</v>
      </c>
      <c r="B1786" s="19" t="s">
        <v>287</v>
      </c>
      <c r="C1786" s="109" t="n">
        <v>45821</v>
      </c>
      <c r="D1786" s="108" t="n">
        <v>220</v>
      </c>
      <c r="E1786" s="108" t="n">
        <v>5000</v>
      </c>
      <c r="F1786" s="10" t="s">
        <v>225</v>
      </c>
      <c r="G1786" s="19"/>
    </row>
    <row r="1787" customFormat="false" ht="15" hidden="false" customHeight="true" outlineLevel="0" collapsed="false">
      <c r="A1787" s="19" t="n">
        <v>707</v>
      </c>
      <c r="B1787" s="19" t="s">
        <v>278</v>
      </c>
      <c r="C1787" s="109" t="n">
        <v>45825</v>
      </c>
      <c r="D1787" s="108" t="n">
        <v>45</v>
      </c>
      <c r="E1787" s="108" t="n">
        <v>200</v>
      </c>
      <c r="F1787" s="10" t="s">
        <v>225</v>
      </c>
      <c r="G1787" s="19"/>
    </row>
    <row r="1788" customFormat="false" ht="15" hidden="false" customHeight="true" outlineLevel="0" collapsed="false">
      <c r="A1788" s="19" t="n">
        <v>707</v>
      </c>
      <c r="B1788" s="19" t="s">
        <v>278</v>
      </c>
      <c r="C1788" s="109" t="n">
        <v>45825</v>
      </c>
      <c r="D1788" s="108" t="n">
        <v>55</v>
      </c>
      <c r="E1788" s="108" t="n">
        <v>255</v>
      </c>
      <c r="F1788" s="10" t="s">
        <v>225</v>
      </c>
      <c r="G1788" s="19"/>
    </row>
    <row r="1789" customFormat="false" ht="15" hidden="false" customHeight="true" outlineLevel="0" collapsed="false">
      <c r="A1789" s="19" t="n">
        <v>607</v>
      </c>
      <c r="B1789" s="19" t="s">
        <v>298</v>
      </c>
      <c r="C1789" s="109" t="n">
        <v>45825</v>
      </c>
      <c r="D1789" s="108" t="n">
        <v>73</v>
      </c>
      <c r="E1789" s="108" t="n">
        <v>255</v>
      </c>
      <c r="F1789" s="10" t="s">
        <v>225</v>
      </c>
      <c r="G1789" s="19"/>
    </row>
    <row r="1790" customFormat="false" ht="15" hidden="false" customHeight="true" outlineLevel="0" collapsed="false">
      <c r="A1790" s="19" t="n">
        <v>270394</v>
      </c>
      <c r="B1790" s="19" t="s">
        <v>231</v>
      </c>
      <c r="C1790" s="109" t="n">
        <v>45825</v>
      </c>
      <c r="D1790" s="108" t="n">
        <v>110</v>
      </c>
      <c r="E1790" s="108" t="n">
        <v>272</v>
      </c>
      <c r="F1790" s="10" t="s">
        <v>225</v>
      </c>
      <c r="G1790" s="19" t="s">
        <v>232</v>
      </c>
    </row>
    <row r="1791" customFormat="false" ht="15" hidden="false" customHeight="true" outlineLevel="0" collapsed="false">
      <c r="A1791" s="19" t="n">
        <v>270395</v>
      </c>
      <c r="B1791" s="19" t="s">
        <v>240</v>
      </c>
      <c r="C1791" s="109" t="n">
        <v>45825</v>
      </c>
      <c r="D1791" s="108" t="n">
        <v>110</v>
      </c>
      <c r="E1791" s="108" t="n">
        <v>1900</v>
      </c>
      <c r="F1791" s="10" t="s">
        <v>227</v>
      </c>
      <c r="G1791" s="19"/>
    </row>
    <row r="1792" customFormat="false" ht="15" hidden="false" customHeight="true" outlineLevel="0" collapsed="false">
      <c r="A1792" s="19" t="n">
        <v>700</v>
      </c>
      <c r="B1792" s="19" t="s">
        <v>277</v>
      </c>
      <c r="C1792" s="109" t="n">
        <v>45825</v>
      </c>
      <c r="D1792" s="108" t="n">
        <v>210</v>
      </c>
      <c r="E1792" s="108" t="n">
        <v>520</v>
      </c>
      <c r="F1792" s="10" t="s">
        <v>225</v>
      </c>
      <c r="G1792" s="19"/>
    </row>
    <row r="1793" customFormat="false" ht="15" hidden="false" customHeight="true" outlineLevel="0" collapsed="false">
      <c r="A1793" s="19" t="n">
        <v>723</v>
      </c>
      <c r="B1793" s="19" t="s">
        <v>818</v>
      </c>
      <c r="C1793" s="109" t="n">
        <v>45826</v>
      </c>
      <c r="D1793" s="108" t="n">
        <v>35</v>
      </c>
      <c r="E1793" s="108" t="n">
        <v>414</v>
      </c>
      <c r="F1793" s="10" t="s">
        <v>225</v>
      </c>
      <c r="G1793" s="19" t="s">
        <v>232</v>
      </c>
    </row>
    <row r="1794" customFormat="false" ht="15" hidden="false" customHeight="true" outlineLevel="0" collapsed="false">
      <c r="A1794" s="19" t="n">
        <v>725</v>
      </c>
      <c r="B1794" s="19" t="s">
        <v>819</v>
      </c>
      <c r="C1794" s="109" t="n">
        <v>45826</v>
      </c>
      <c r="D1794" s="108" t="n">
        <v>75</v>
      </c>
      <c r="E1794" s="108" t="n">
        <v>270</v>
      </c>
      <c r="F1794" s="10" t="s">
        <v>225</v>
      </c>
      <c r="G1794" s="19"/>
    </row>
    <row r="1795" customFormat="false" ht="15" hidden="false" customHeight="true" outlineLevel="0" collapsed="false">
      <c r="A1795" s="19" t="n">
        <v>270405</v>
      </c>
      <c r="B1795" s="19" t="s">
        <v>675</v>
      </c>
      <c r="C1795" s="109" t="n">
        <v>45826</v>
      </c>
      <c r="D1795" s="108" t="n">
        <v>75</v>
      </c>
      <c r="E1795" s="108" t="n">
        <v>250</v>
      </c>
      <c r="F1795" s="10" t="s">
        <v>225</v>
      </c>
      <c r="G1795" s="19"/>
    </row>
    <row r="1796" customFormat="false" ht="15" hidden="false" customHeight="true" outlineLevel="0" collapsed="false">
      <c r="A1796" s="19" t="n">
        <v>270404</v>
      </c>
      <c r="B1796" s="19" t="s">
        <v>710</v>
      </c>
      <c r="C1796" s="109" t="n">
        <v>45826</v>
      </c>
      <c r="D1796" s="108" t="n">
        <v>85</v>
      </c>
      <c r="E1796" s="108" t="n">
        <v>120</v>
      </c>
      <c r="F1796" s="10" t="s">
        <v>225</v>
      </c>
      <c r="G1796" s="19"/>
    </row>
    <row r="1797" customFormat="false" ht="15" hidden="false" customHeight="true" outlineLevel="0" collapsed="false">
      <c r="A1797" s="19" t="n">
        <v>270398</v>
      </c>
      <c r="B1797" s="19" t="s">
        <v>357</v>
      </c>
      <c r="C1797" s="109" t="n">
        <v>45826</v>
      </c>
      <c r="D1797" s="108" t="n">
        <v>100</v>
      </c>
      <c r="E1797" s="108" t="n">
        <v>100</v>
      </c>
      <c r="F1797" s="10" t="s">
        <v>225</v>
      </c>
      <c r="G1797" s="19" t="s">
        <v>232</v>
      </c>
    </row>
    <row r="1798" customFormat="false" ht="15" hidden="false" customHeight="true" outlineLevel="0" collapsed="false">
      <c r="A1798" s="19" t="n">
        <v>727</v>
      </c>
      <c r="B1798" s="19" t="s">
        <v>224</v>
      </c>
      <c r="C1798" s="109" t="n">
        <v>45826</v>
      </c>
      <c r="D1798" s="108" t="n">
        <v>105</v>
      </c>
      <c r="E1798" s="108" t="n">
        <v>8400</v>
      </c>
      <c r="F1798" s="10" t="s">
        <v>225</v>
      </c>
      <c r="G1798" s="19"/>
    </row>
    <row r="1799" customFormat="false" ht="15" hidden="false" customHeight="true" outlineLevel="0" collapsed="false">
      <c r="A1799" s="19" t="n">
        <v>728</v>
      </c>
      <c r="B1799" s="19" t="s">
        <v>778</v>
      </c>
      <c r="C1799" s="109" t="n">
        <v>45826</v>
      </c>
      <c r="D1799" s="108" t="n">
        <v>125</v>
      </c>
      <c r="E1799" s="108" t="n">
        <v>1620</v>
      </c>
      <c r="F1799" s="10" t="s">
        <v>225</v>
      </c>
      <c r="G1799" s="19"/>
    </row>
    <row r="1800" customFormat="false" ht="15" hidden="false" customHeight="true" outlineLevel="0" collapsed="false">
      <c r="A1800" s="19" t="n">
        <v>714</v>
      </c>
      <c r="B1800" s="19" t="s">
        <v>730</v>
      </c>
      <c r="C1800" s="109" t="n">
        <v>45826</v>
      </c>
      <c r="D1800" s="108" t="n">
        <v>220</v>
      </c>
      <c r="E1800" s="108" t="n">
        <v>3713</v>
      </c>
      <c r="F1800" s="10" t="s">
        <v>229</v>
      </c>
      <c r="G1800" s="19"/>
    </row>
    <row r="1801" customFormat="false" ht="15" hidden="false" customHeight="true" outlineLevel="0" collapsed="false">
      <c r="A1801" s="19" t="n">
        <v>270397</v>
      </c>
      <c r="B1801" s="19" t="s">
        <v>346</v>
      </c>
      <c r="C1801" s="109" t="n">
        <v>45826</v>
      </c>
      <c r="D1801" s="108" t="n">
        <v>105</v>
      </c>
      <c r="E1801" s="108" t="n">
        <v>380</v>
      </c>
      <c r="F1801" s="10" t="s">
        <v>229</v>
      </c>
      <c r="G1801" s="19"/>
    </row>
    <row r="1802" customFormat="false" ht="15" hidden="false" customHeight="true" outlineLevel="0" collapsed="false">
      <c r="A1802" s="19" t="n">
        <v>729</v>
      </c>
      <c r="B1802" s="19" t="s">
        <v>495</v>
      </c>
      <c r="C1802" s="109" t="n">
        <v>45826</v>
      </c>
      <c r="D1802" s="108" t="n">
        <v>210</v>
      </c>
      <c r="E1802" s="108" t="n">
        <v>189</v>
      </c>
      <c r="F1802" s="10" t="s">
        <v>229</v>
      </c>
      <c r="G1802" s="19"/>
    </row>
    <row r="1803" customFormat="false" ht="15" hidden="false" customHeight="true" outlineLevel="0" collapsed="false">
      <c r="A1803" s="19" t="n">
        <v>710</v>
      </c>
      <c r="B1803" s="19" t="s">
        <v>690</v>
      </c>
      <c r="C1803" s="109" t="n">
        <v>45826</v>
      </c>
      <c r="D1803" s="108" t="n">
        <v>210</v>
      </c>
      <c r="E1803" s="108" t="n">
        <v>130</v>
      </c>
      <c r="F1803" s="10" t="s">
        <v>229</v>
      </c>
      <c r="G1803" s="19"/>
    </row>
    <row r="1804" customFormat="false" ht="15" hidden="false" customHeight="true" outlineLevel="0" collapsed="false">
      <c r="A1804" s="19" t="n">
        <v>718</v>
      </c>
      <c r="B1804" s="19" t="s">
        <v>602</v>
      </c>
      <c r="C1804" s="109" t="n">
        <v>45826</v>
      </c>
      <c r="D1804" s="108" t="n">
        <v>100</v>
      </c>
      <c r="E1804" s="108" t="n">
        <v>380</v>
      </c>
      <c r="F1804" s="10" t="s">
        <v>248</v>
      </c>
      <c r="G1804" s="19"/>
    </row>
    <row r="1805" customFormat="false" ht="15" hidden="false" customHeight="true" outlineLevel="0" collapsed="false">
      <c r="A1805" s="19" t="n">
        <v>724</v>
      </c>
      <c r="B1805" s="19" t="s">
        <v>820</v>
      </c>
      <c r="C1805" s="109" t="n">
        <v>45826</v>
      </c>
      <c r="D1805" s="108" t="n">
        <v>20</v>
      </c>
      <c r="E1805" s="108" t="n">
        <v>850</v>
      </c>
      <c r="F1805" s="10" t="s">
        <v>248</v>
      </c>
      <c r="G1805" s="19"/>
    </row>
    <row r="1806" customFormat="false" ht="15" hidden="false" customHeight="true" outlineLevel="0" collapsed="false">
      <c r="A1806" s="19" t="n">
        <v>725</v>
      </c>
      <c r="B1806" s="19" t="s">
        <v>821</v>
      </c>
      <c r="C1806" s="109" t="n">
        <v>45826</v>
      </c>
      <c r="D1806" s="108" t="n">
        <v>75</v>
      </c>
      <c r="E1806" s="108" t="n">
        <v>270</v>
      </c>
      <c r="F1806" s="10" t="s">
        <v>229</v>
      </c>
      <c r="G1806" s="19"/>
    </row>
    <row r="1807" customFormat="false" ht="15" hidden="false" customHeight="true" outlineLevel="0" collapsed="false">
      <c r="A1807" s="19" t="n">
        <v>727</v>
      </c>
      <c r="B1807" s="19" t="s">
        <v>224</v>
      </c>
      <c r="C1807" s="109" t="n">
        <v>45826</v>
      </c>
      <c r="D1807" s="108" t="n">
        <v>105</v>
      </c>
      <c r="E1807" s="108" t="n">
        <v>795</v>
      </c>
      <c r="F1807" s="10" t="s">
        <v>229</v>
      </c>
      <c r="G1807" s="19"/>
    </row>
    <row r="1808" customFormat="false" ht="15" hidden="false" customHeight="true" outlineLevel="0" collapsed="false">
      <c r="A1808" s="19" t="n">
        <v>727</v>
      </c>
      <c r="B1808" s="19" t="s">
        <v>224</v>
      </c>
      <c r="C1808" s="109" t="n">
        <v>45826</v>
      </c>
      <c r="D1808" s="108" t="n">
        <v>210</v>
      </c>
      <c r="E1808" s="108" t="n">
        <v>2490</v>
      </c>
      <c r="F1808" s="10" t="s">
        <v>225</v>
      </c>
      <c r="G1808" s="19"/>
    </row>
    <row r="1809" customFormat="false" ht="15" hidden="false" customHeight="true" outlineLevel="0" collapsed="false">
      <c r="A1809" s="19" t="n">
        <v>721</v>
      </c>
      <c r="B1809" s="19" t="s">
        <v>822</v>
      </c>
      <c r="C1809" s="109" t="n">
        <v>45826</v>
      </c>
      <c r="D1809" s="108" t="n">
        <v>210</v>
      </c>
      <c r="E1809" s="108" t="n">
        <v>260</v>
      </c>
      <c r="F1809" s="10" t="s">
        <v>225</v>
      </c>
      <c r="G1809" s="19"/>
    </row>
    <row r="1810" customFormat="false" ht="15" hidden="false" customHeight="true" outlineLevel="0" collapsed="false">
      <c r="A1810" s="19" t="n">
        <v>720</v>
      </c>
      <c r="B1810" s="19" t="s">
        <v>247</v>
      </c>
      <c r="C1810" s="109" t="n">
        <v>45826</v>
      </c>
      <c r="D1810" s="108" t="n">
        <v>210</v>
      </c>
      <c r="E1810" s="108" t="n">
        <v>2490</v>
      </c>
      <c r="F1810" s="10" t="s">
        <v>225</v>
      </c>
      <c r="G1810" s="19"/>
    </row>
    <row r="1811" customFormat="false" ht="15" hidden="false" customHeight="true" outlineLevel="0" collapsed="false">
      <c r="A1811" s="19" t="n">
        <v>719</v>
      </c>
      <c r="B1811" s="19" t="s">
        <v>247</v>
      </c>
      <c r="C1811" s="109" t="n">
        <v>45826</v>
      </c>
      <c r="D1811" s="108" t="n">
        <v>210</v>
      </c>
      <c r="E1811" s="108" t="n">
        <v>4980</v>
      </c>
      <c r="F1811" s="10" t="s">
        <v>225</v>
      </c>
      <c r="G1811" s="19"/>
    </row>
    <row r="1812" customFormat="false" ht="15" hidden="false" customHeight="true" outlineLevel="0" collapsed="false">
      <c r="A1812" s="19" t="n">
        <v>270402</v>
      </c>
      <c r="B1812" s="19" t="s">
        <v>823</v>
      </c>
      <c r="C1812" s="109" t="n">
        <v>45826</v>
      </c>
      <c r="D1812" s="108" t="n">
        <v>210</v>
      </c>
      <c r="E1812" s="108" t="n">
        <v>130</v>
      </c>
      <c r="F1812" s="10" t="s">
        <v>225</v>
      </c>
      <c r="G1812" s="19"/>
    </row>
    <row r="1813" customFormat="false" ht="15" hidden="false" customHeight="true" outlineLevel="0" collapsed="false">
      <c r="A1813" s="19" t="n">
        <v>730</v>
      </c>
      <c r="B1813" s="19" t="s">
        <v>441</v>
      </c>
      <c r="C1813" s="109" t="n">
        <v>45826</v>
      </c>
      <c r="D1813" s="108" t="n">
        <v>250</v>
      </c>
      <c r="E1813" s="108" t="n">
        <v>105</v>
      </c>
      <c r="F1813" s="10" t="s">
        <v>225</v>
      </c>
      <c r="G1813" s="19"/>
    </row>
    <row r="1814" customFormat="false" ht="15" hidden="false" customHeight="true" outlineLevel="0" collapsed="false">
      <c r="A1814" s="19" t="n">
        <v>734</v>
      </c>
      <c r="B1814" s="19" t="s">
        <v>246</v>
      </c>
      <c r="C1814" s="109" t="n">
        <v>45832</v>
      </c>
      <c r="D1814" s="108" t="n">
        <v>30</v>
      </c>
      <c r="E1814" s="108" t="n">
        <v>2400</v>
      </c>
      <c r="F1814" s="10" t="s">
        <v>225</v>
      </c>
      <c r="G1814" s="19"/>
    </row>
    <row r="1815" customFormat="false" ht="15" hidden="false" customHeight="true" outlineLevel="0" collapsed="false">
      <c r="A1815" s="19" t="n">
        <v>270408</v>
      </c>
      <c r="B1815" s="19" t="s">
        <v>231</v>
      </c>
      <c r="C1815" s="109" t="n">
        <v>45832</v>
      </c>
      <c r="D1815" s="108" t="n">
        <v>65</v>
      </c>
      <c r="E1815" s="108" t="n">
        <v>265</v>
      </c>
      <c r="F1815" s="10" t="s">
        <v>225</v>
      </c>
      <c r="G1815" s="19"/>
    </row>
    <row r="1816" customFormat="false" ht="15" hidden="false" customHeight="true" outlineLevel="0" collapsed="false">
      <c r="A1816" s="19" t="n">
        <v>738</v>
      </c>
      <c r="B1816" s="19" t="s">
        <v>542</v>
      </c>
      <c r="C1816" s="109" t="n">
        <v>45832</v>
      </c>
      <c r="D1816" s="108" t="n">
        <v>85</v>
      </c>
      <c r="E1816" s="108" t="n">
        <v>775</v>
      </c>
      <c r="F1816" s="10" t="s">
        <v>225</v>
      </c>
      <c r="G1816" s="19"/>
    </row>
    <row r="1817" customFormat="false" ht="15" hidden="false" customHeight="true" outlineLevel="0" collapsed="false">
      <c r="A1817" s="19" t="n">
        <v>734</v>
      </c>
      <c r="B1817" s="19" t="s">
        <v>246</v>
      </c>
      <c r="C1817" s="109" t="n">
        <v>45832</v>
      </c>
      <c r="D1817" s="108" t="n">
        <v>100</v>
      </c>
      <c r="E1817" s="108" t="n">
        <v>920</v>
      </c>
      <c r="F1817" s="10" t="s">
        <v>229</v>
      </c>
      <c r="G1817" s="19"/>
    </row>
    <row r="1818" customFormat="false" ht="15" hidden="false" customHeight="true" outlineLevel="0" collapsed="false">
      <c r="A1818" s="19" t="n">
        <v>735</v>
      </c>
      <c r="B1818" s="19" t="s">
        <v>824</v>
      </c>
      <c r="C1818" s="109" t="n">
        <v>45832</v>
      </c>
      <c r="D1818" s="108" t="n">
        <v>210</v>
      </c>
      <c r="E1818" s="108" t="n">
        <v>165</v>
      </c>
      <c r="F1818" s="10" t="s">
        <v>229</v>
      </c>
      <c r="G1818" s="19"/>
    </row>
    <row r="1819" customFormat="false" ht="15" hidden="false" customHeight="true" outlineLevel="0" collapsed="false">
      <c r="A1819" s="19" t="n">
        <v>734</v>
      </c>
      <c r="B1819" s="19" t="s">
        <v>246</v>
      </c>
      <c r="C1819" s="109" t="n">
        <v>45832</v>
      </c>
      <c r="D1819" s="108" t="n">
        <v>200</v>
      </c>
      <c r="E1819" s="108" t="n">
        <v>571</v>
      </c>
      <c r="F1819" s="10" t="s">
        <v>225</v>
      </c>
      <c r="G1819" s="19"/>
    </row>
    <row r="1820" customFormat="false" ht="15" hidden="false" customHeight="true" outlineLevel="0" collapsed="false">
      <c r="A1820" s="19" t="n">
        <v>734</v>
      </c>
      <c r="B1820" s="19" t="s">
        <v>246</v>
      </c>
      <c r="C1820" s="109" t="n">
        <v>45832</v>
      </c>
      <c r="D1820" s="108" t="n">
        <v>200</v>
      </c>
      <c r="E1820" s="108" t="n">
        <v>1142</v>
      </c>
      <c r="F1820" s="10" t="s">
        <v>225</v>
      </c>
      <c r="G1820" s="19"/>
    </row>
    <row r="1821" customFormat="false" ht="15" hidden="false" customHeight="true" outlineLevel="0" collapsed="false">
      <c r="A1821" s="19" t="n">
        <v>737</v>
      </c>
      <c r="B1821" s="19" t="s">
        <v>245</v>
      </c>
      <c r="C1821" s="109" t="n">
        <v>45832</v>
      </c>
      <c r="D1821" s="108" t="n">
        <v>210</v>
      </c>
      <c r="E1821" s="108" t="n">
        <v>1600</v>
      </c>
      <c r="F1821" s="10" t="s">
        <v>225</v>
      </c>
      <c r="G1821" s="19"/>
    </row>
    <row r="1822" customFormat="false" ht="15" hidden="false" customHeight="true" outlineLevel="0" collapsed="false">
      <c r="A1822" s="19" t="n">
        <v>270410</v>
      </c>
      <c r="B1822" s="19" t="s">
        <v>721</v>
      </c>
      <c r="C1822" s="109" t="n">
        <v>45833</v>
      </c>
      <c r="D1822" s="108" t="n">
        <v>45</v>
      </c>
      <c r="E1822" s="108" t="n">
        <v>593</v>
      </c>
      <c r="F1822" s="10" t="s">
        <v>236</v>
      </c>
      <c r="G1822" s="19"/>
    </row>
    <row r="1823" customFormat="false" ht="15" hidden="false" customHeight="true" outlineLevel="0" collapsed="false">
      <c r="A1823" s="19" t="n">
        <v>741</v>
      </c>
      <c r="B1823" s="19" t="s">
        <v>642</v>
      </c>
      <c r="C1823" s="109" t="n">
        <v>45833</v>
      </c>
      <c r="D1823" s="108" t="n">
        <v>210</v>
      </c>
      <c r="E1823" s="108" t="n">
        <v>945</v>
      </c>
      <c r="F1823" s="108" t="s">
        <v>711</v>
      </c>
      <c r="G1823" s="19"/>
    </row>
    <row r="1824" customFormat="false" ht="15" hidden="false" customHeight="true" outlineLevel="0" collapsed="false">
      <c r="A1824" s="19" t="n">
        <v>740</v>
      </c>
      <c r="B1824" s="19" t="s">
        <v>699</v>
      </c>
      <c r="C1824" s="109" t="n">
        <v>45833</v>
      </c>
      <c r="D1824" s="108" t="n">
        <v>30</v>
      </c>
      <c r="E1824" s="108" t="n">
        <v>400</v>
      </c>
      <c r="F1824" s="108" t="s">
        <v>372</v>
      </c>
      <c r="G1824" s="19"/>
    </row>
    <row r="1825" customFormat="false" ht="15" hidden="false" customHeight="true" outlineLevel="0" collapsed="false">
      <c r="A1825" s="19" t="n">
        <v>711</v>
      </c>
      <c r="B1825" s="19" t="s">
        <v>825</v>
      </c>
      <c r="C1825" s="109" t="n">
        <v>45834</v>
      </c>
      <c r="D1825" s="108" t="n">
        <v>65</v>
      </c>
      <c r="E1825" s="108" t="n">
        <v>1010</v>
      </c>
      <c r="F1825" s="10" t="s">
        <v>236</v>
      </c>
      <c r="G1825" s="19"/>
    </row>
    <row r="1826" customFormat="false" ht="15" hidden="false" customHeight="true" outlineLevel="0" collapsed="false">
      <c r="A1826" s="19" t="n">
        <v>711</v>
      </c>
      <c r="B1826" s="19" t="s">
        <v>825</v>
      </c>
      <c r="C1826" s="109" t="n">
        <v>45834</v>
      </c>
      <c r="D1826" s="108" t="n">
        <v>110</v>
      </c>
      <c r="E1826" s="108" t="n">
        <v>347</v>
      </c>
      <c r="F1826" s="10" t="s">
        <v>236</v>
      </c>
      <c r="G1826" s="19"/>
    </row>
    <row r="1827" customFormat="false" ht="15" hidden="false" customHeight="true" outlineLevel="0" collapsed="false">
      <c r="A1827" s="19" t="n">
        <v>701</v>
      </c>
      <c r="B1827" s="19" t="s">
        <v>242</v>
      </c>
      <c r="C1827" s="109" t="n">
        <v>45834</v>
      </c>
      <c r="D1827" s="108" t="n">
        <v>20</v>
      </c>
      <c r="E1827" s="108" t="n">
        <v>950</v>
      </c>
      <c r="F1827" s="10" t="s">
        <v>225</v>
      </c>
      <c r="G1827" s="19"/>
    </row>
    <row r="1828" customFormat="false" ht="15" hidden="false" customHeight="true" outlineLevel="0" collapsed="false">
      <c r="A1828" s="19" t="n">
        <v>270414</v>
      </c>
      <c r="B1828" s="19" t="s">
        <v>826</v>
      </c>
      <c r="C1828" s="109" t="n">
        <v>45834</v>
      </c>
      <c r="D1828" s="108" t="n">
        <v>90</v>
      </c>
      <c r="E1828" s="108" t="n">
        <v>430</v>
      </c>
      <c r="F1828" s="10" t="s">
        <v>225</v>
      </c>
      <c r="G1828" s="19"/>
    </row>
    <row r="1829" customFormat="false" ht="15" hidden="false" customHeight="true" outlineLevel="0" collapsed="false">
      <c r="A1829" s="19" t="n">
        <v>751</v>
      </c>
      <c r="B1829" s="19" t="s">
        <v>827</v>
      </c>
      <c r="C1829" s="109" t="n">
        <v>45834</v>
      </c>
      <c r="D1829" s="108" t="n">
        <v>105</v>
      </c>
      <c r="E1829" s="108" t="n">
        <v>265</v>
      </c>
      <c r="F1829" s="10" t="s">
        <v>225</v>
      </c>
      <c r="G1829" s="19"/>
    </row>
    <row r="1830" customFormat="false" ht="15" hidden="false" customHeight="true" outlineLevel="0" collapsed="false">
      <c r="A1830" s="19" t="n">
        <v>270412</v>
      </c>
      <c r="B1830" s="19" t="s">
        <v>828</v>
      </c>
      <c r="C1830" s="109" t="n">
        <v>45834</v>
      </c>
      <c r="D1830" s="108" t="n">
        <v>105</v>
      </c>
      <c r="E1830" s="108" t="n">
        <v>100</v>
      </c>
      <c r="F1830" s="10" t="s">
        <v>225</v>
      </c>
      <c r="G1830" s="19"/>
    </row>
    <row r="1831" customFormat="false" ht="15" hidden="false" customHeight="true" outlineLevel="0" collapsed="false">
      <c r="A1831" s="19" t="n">
        <v>743</v>
      </c>
      <c r="B1831" s="19" t="s">
        <v>829</v>
      </c>
      <c r="C1831" s="109" t="n">
        <v>45834</v>
      </c>
      <c r="D1831" s="108" t="n">
        <v>105</v>
      </c>
      <c r="E1831" s="108" t="n">
        <v>198</v>
      </c>
      <c r="F1831" s="10" t="s">
        <v>229</v>
      </c>
      <c r="G1831" s="19"/>
    </row>
    <row r="1832" customFormat="false" ht="15" hidden="false" customHeight="true" outlineLevel="0" collapsed="false">
      <c r="A1832" s="19" t="n">
        <v>742</v>
      </c>
      <c r="B1832" s="19" t="s">
        <v>718</v>
      </c>
      <c r="C1832" s="109" t="n">
        <v>45834</v>
      </c>
      <c r="D1832" s="108" t="n">
        <v>210</v>
      </c>
      <c r="E1832" s="108" t="n">
        <v>400</v>
      </c>
      <c r="F1832" s="10" t="s">
        <v>229</v>
      </c>
      <c r="G1832" s="19"/>
    </row>
    <row r="1833" customFormat="false" ht="15" hidden="false" customHeight="true" outlineLevel="0" collapsed="false">
      <c r="A1833" s="19" t="n">
        <v>750</v>
      </c>
      <c r="B1833" s="19" t="s">
        <v>830</v>
      </c>
      <c r="C1833" s="109" t="n">
        <v>45834</v>
      </c>
      <c r="D1833" s="108" t="n">
        <v>210</v>
      </c>
      <c r="E1833" s="108" t="n">
        <v>315</v>
      </c>
      <c r="F1833" s="10" t="s">
        <v>229</v>
      </c>
      <c r="G1833" s="19"/>
    </row>
    <row r="1834" customFormat="false" ht="15" hidden="false" customHeight="true" outlineLevel="0" collapsed="false">
      <c r="A1834" s="19" t="n">
        <v>745</v>
      </c>
      <c r="B1834" s="19" t="s">
        <v>347</v>
      </c>
      <c r="C1834" s="109" t="n">
        <v>45834</v>
      </c>
      <c r="D1834" s="108" t="n">
        <v>30</v>
      </c>
      <c r="E1834" s="108" t="n">
        <v>1350</v>
      </c>
      <c r="F1834" s="108" t="s">
        <v>577</v>
      </c>
      <c r="G1834" s="19"/>
    </row>
    <row r="1835" customFormat="false" ht="15" hidden="false" customHeight="true" outlineLevel="0" collapsed="false">
      <c r="A1835" s="19" t="n">
        <v>745</v>
      </c>
      <c r="B1835" s="19" t="s">
        <v>551</v>
      </c>
      <c r="C1835" s="109" t="n">
        <v>45834</v>
      </c>
      <c r="D1835" s="108" t="n">
        <v>210</v>
      </c>
      <c r="E1835" s="108" t="n">
        <v>1575</v>
      </c>
      <c r="F1835" s="10" t="s">
        <v>227</v>
      </c>
      <c r="G1835" s="19"/>
    </row>
    <row r="1836" customFormat="false" ht="15" hidden="false" customHeight="true" outlineLevel="0" collapsed="false">
      <c r="A1836" s="19" t="n">
        <v>270413</v>
      </c>
      <c r="B1836" s="19" t="s">
        <v>469</v>
      </c>
      <c r="C1836" s="109" t="n">
        <v>45834</v>
      </c>
      <c r="D1836" s="108" t="n">
        <v>155</v>
      </c>
      <c r="E1836" s="108" t="n">
        <v>700</v>
      </c>
      <c r="F1836" s="10" t="s">
        <v>225</v>
      </c>
      <c r="G1836" s="19"/>
    </row>
    <row r="1837" customFormat="false" ht="15" hidden="false" customHeight="true" outlineLevel="0" collapsed="false">
      <c r="A1837" s="19" t="n">
        <v>2704011</v>
      </c>
      <c r="B1837" s="19" t="s">
        <v>231</v>
      </c>
      <c r="C1837" s="109" t="n">
        <v>45834</v>
      </c>
      <c r="D1837" s="108" t="n">
        <v>210</v>
      </c>
      <c r="E1837" s="108" t="n">
        <v>1245</v>
      </c>
      <c r="F1837" s="10" t="s">
        <v>225</v>
      </c>
      <c r="G1837" s="19"/>
    </row>
    <row r="1838" customFormat="false" ht="15" hidden="false" customHeight="true" outlineLevel="0" collapsed="false">
      <c r="A1838" s="19" t="n">
        <v>747</v>
      </c>
      <c r="B1838" s="19" t="s">
        <v>278</v>
      </c>
      <c r="C1838" s="109" t="n">
        <v>45834</v>
      </c>
      <c r="D1838" s="108" t="n">
        <v>250</v>
      </c>
      <c r="E1838" s="108" t="n">
        <v>130</v>
      </c>
      <c r="F1838" s="10" t="s">
        <v>236</v>
      </c>
      <c r="G1838" s="19"/>
    </row>
    <row r="1839" customFormat="false" ht="15" hidden="false" customHeight="true" outlineLevel="0" collapsed="false">
      <c r="A1839" s="19" t="n">
        <v>270419</v>
      </c>
      <c r="B1839" s="19" t="s">
        <v>638</v>
      </c>
      <c r="C1839" s="109" t="n">
        <v>45838</v>
      </c>
      <c r="D1839" s="108" t="n">
        <v>55</v>
      </c>
      <c r="E1839" s="108" t="n">
        <v>1620</v>
      </c>
      <c r="F1839" s="10" t="s">
        <v>225</v>
      </c>
      <c r="G1839" s="19"/>
    </row>
    <row r="1840" customFormat="false" ht="15" hidden="false" customHeight="true" outlineLevel="0" collapsed="false">
      <c r="A1840" s="19" t="n">
        <v>270419</v>
      </c>
      <c r="B1840" s="19" t="s">
        <v>638</v>
      </c>
      <c r="C1840" s="109" t="n">
        <v>45838</v>
      </c>
      <c r="D1840" s="108" t="n">
        <v>65</v>
      </c>
      <c r="E1840" s="108" t="n">
        <v>1840</v>
      </c>
      <c r="F1840" s="10" t="s">
        <v>225</v>
      </c>
      <c r="G1840" s="19"/>
    </row>
    <row r="1841" customFormat="false" ht="15" hidden="false" customHeight="true" outlineLevel="0" collapsed="false">
      <c r="A1841" s="19" t="n">
        <v>270426</v>
      </c>
      <c r="B1841" s="19" t="s">
        <v>575</v>
      </c>
      <c r="C1841" s="109" t="n">
        <v>45838</v>
      </c>
      <c r="D1841" s="108" t="n">
        <v>73</v>
      </c>
      <c r="E1841" s="108" t="n">
        <v>153</v>
      </c>
      <c r="F1841" s="10" t="s">
        <v>225</v>
      </c>
      <c r="G1841" s="19"/>
    </row>
    <row r="1842" customFormat="false" ht="15" hidden="false" customHeight="true" outlineLevel="0" collapsed="false">
      <c r="A1842" s="19" t="n">
        <v>270416</v>
      </c>
      <c r="B1842" s="19" t="s">
        <v>280</v>
      </c>
      <c r="C1842" s="109" t="n">
        <v>45838</v>
      </c>
      <c r="D1842" s="108" t="n">
        <v>80</v>
      </c>
      <c r="E1842" s="108" t="n">
        <v>510</v>
      </c>
      <c r="F1842" s="10" t="s">
        <v>225</v>
      </c>
      <c r="G1842" s="19"/>
    </row>
    <row r="1843" customFormat="false" ht="15" hidden="false" customHeight="true" outlineLevel="0" collapsed="false">
      <c r="A1843" s="19" t="n">
        <v>758</v>
      </c>
      <c r="B1843" s="19" t="s">
        <v>298</v>
      </c>
      <c r="C1843" s="109" t="n">
        <v>45838</v>
      </c>
      <c r="D1843" s="108" t="n">
        <v>80</v>
      </c>
      <c r="E1843" s="108" t="n">
        <v>1600</v>
      </c>
      <c r="F1843" s="10" t="s">
        <v>225</v>
      </c>
      <c r="G1843" s="19"/>
    </row>
    <row r="1844" customFormat="false" ht="15" hidden="false" customHeight="true" outlineLevel="0" collapsed="false">
      <c r="A1844" s="19" t="n">
        <v>755</v>
      </c>
      <c r="B1844" s="19" t="s">
        <v>708</v>
      </c>
      <c r="C1844" s="109" t="n">
        <v>45838</v>
      </c>
      <c r="D1844" s="108" t="n">
        <v>80</v>
      </c>
      <c r="E1844" s="108" t="n">
        <v>3060</v>
      </c>
      <c r="F1844" s="10" t="s">
        <v>225</v>
      </c>
      <c r="G1844" s="19"/>
    </row>
    <row r="1845" customFormat="false" ht="15" hidden="false" customHeight="true" outlineLevel="0" collapsed="false">
      <c r="A1845" s="19" t="n">
        <v>270421</v>
      </c>
      <c r="B1845" s="19" t="s">
        <v>508</v>
      </c>
      <c r="C1845" s="109" t="n">
        <v>45838</v>
      </c>
      <c r="D1845" s="108" t="n">
        <v>100</v>
      </c>
      <c r="E1845" s="108" t="n">
        <v>680</v>
      </c>
      <c r="F1845" s="10" t="s">
        <v>225</v>
      </c>
      <c r="G1845" s="19"/>
    </row>
    <row r="1846" customFormat="false" ht="15" hidden="false" customHeight="true" outlineLevel="0" collapsed="false">
      <c r="A1846" s="19" t="n">
        <v>757</v>
      </c>
      <c r="B1846" s="19" t="s">
        <v>609</v>
      </c>
      <c r="C1846" s="109" t="n">
        <v>45838</v>
      </c>
      <c r="D1846" s="108" t="n">
        <v>102</v>
      </c>
      <c r="E1846" s="108" t="n">
        <v>610</v>
      </c>
      <c r="F1846" s="10" t="s">
        <v>225</v>
      </c>
      <c r="G1846" s="19"/>
    </row>
    <row r="1847" customFormat="false" ht="15" hidden="false" customHeight="true" outlineLevel="0" collapsed="false">
      <c r="A1847" s="19" t="n">
        <v>270412</v>
      </c>
      <c r="B1847" s="19" t="s">
        <v>828</v>
      </c>
      <c r="C1847" s="109" t="n">
        <v>45838</v>
      </c>
      <c r="D1847" s="108" t="n">
        <v>105</v>
      </c>
      <c r="E1847" s="108" t="n">
        <v>250</v>
      </c>
      <c r="F1847" s="10" t="s">
        <v>225</v>
      </c>
      <c r="G1847" s="19"/>
    </row>
    <row r="1848" customFormat="false" ht="15" hidden="false" customHeight="true" outlineLevel="0" collapsed="false">
      <c r="A1848" s="19" t="n">
        <v>270417</v>
      </c>
      <c r="B1848" s="19" t="s">
        <v>231</v>
      </c>
      <c r="C1848" s="109" t="n">
        <v>45838</v>
      </c>
      <c r="D1848" s="108" t="n">
        <v>105</v>
      </c>
      <c r="E1848" s="108" t="n">
        <v>635</v>
      </c>
      <c r="F1848" s="10" t="s">
        <v>225</v>
      </c>
      <c r="G1848" s="19"/>
    </row>
    <row r="1849" customFormat="false" ht="15" hidden="false" customHeight="true" outlineLevel="0" collapsed="false">
      <c r="A1849" s="19" t="n">
        <v>270418</v>
      </c>
      <c r="B1849" s="19" t="s">
        <v>367</v>
      </c>
      <c r="C1849" s="109" t="n">
        <v>45838</v>
      </c>
      <c r="D1849" s="108" t="n">
        <v>110</v>
      </c>
      <c r="E1849" s="108" t="n">
        <v>126</v>
      </c>
      <c r="F1849" s="10" t="s">
        <v>225</v>
      </c>
      <c r="G1849" s="19"/>
    </row>
    <row r="1850" customFormat="false" ht="15" hidden="false" customHeight="true" outlineLevel="0" collapsed="false">
      <c r="A1850" s="19" t="n">
        <v>668</v>
      </c>
      <c r="B1850" s="19" t="s">
        <v>733</v>
      </c>
      <c r="C1850" s="109" t="n">
        <v>45838</v>
      </c>
      <c r="D1850" s="108" t="n">
        <v>120</v>
      </c>
      <c r="E1850" s="108" t="n">
        <v>400</v>
      </c>
      <c r="F1850" s="10" t="s">
        <v>225</v>
      </c>
      <c r="G1850" s="19"/>
    </row>
    <row r="1851" customFormat="false" ht="15" hidden="false" customHeight="true" outlineLevel="0" collapsed="false">
      <c r="A1851" s="19" t="n">
        <v>763</v>
      </c>
      <c r="B1851" s="19" t="s">
        <v>270</v>
      </c>
      <c r="C1851" s="109" t="n">
        <v>45838</v>
      </c>
      <c r="D1851" s="108" t="n">
        <v>125</v>
      </c>
      <c r="E1851" s="108" t="n">
        <v>625</v>
      </c>
      <c r="F1851" s="10" t="s">
        <v>225</v>
      </c>
      <c r="G1851" s="19"/>
    </row>
    <row r="1852" customFormat="false" ht="15" hidden="false" customHeight="true" outlineLevel="0" collapsed="false">
      <c r="A1852" s="19" t="n">
        <v>759</v>
      </c>
      <c r="B1852" s="19" t="s">
        <v>319</v>
      </c>
      <c r="C1852" s="109" t="n">
        <v>45838</v>
      </c>
      <c r="D1852" s="108" t="n">
        <v>140</v>
      </c>
      <c r="E1852" s="108" t="n">
        <v>1400</v>
      </c>
      <c r="F1852" s="10" t="s">
        <v>225</v>
      </c>
      <c r="G1852" s="19"/>
    </row>
    <row r="1853" customFormat="false" ht="15" hidden="false" customHeight="true" outlineLevel="0" collapsed="false">
      <c r="A1853" s="19" t="n">
        <v>756</v>
      </c>
      <c r="B1853" s="19" t="s">
        <v>270</v>
      </c>
      <c r="C1853" s="109" t="n">
        <v>45838</v>
      </c>
      <c r="D1853" s="108" t="n">
        <v>140</v>
      </c>
      <c r="E1853" s="108" t="n">
        <v>373</v>
      </c>
      <c r="F1853" s="10" t="s">
        <v>225</v>
      </c>
      <c r="G1853" s="19"/>
    </row>
    <row r="1854" customFormat="false" ht="15" hidden="false" customHeight="true" outlineLevel="0" collapsed="false">
      <c r="A1854" s="19" t="n">
        <v>760</v>
      </c>
      <c r="B1854" s="18" t="s">
        <v>334</v>
      </c>
      <c r="C1854" s="109" t="n">
        <v>45838</v>
      </c>
      <c r="D1854" s="108" t="n">
        <v>60</v>
      </c>
      <c r="E1854" s="108" t="n">
        <v>300</v>
      </c>
      <c r="F1854" s="10" t="s">
        <v>229</v>
      </c>
      <c r="G1854" s="19"/>
    </row>
    <row r="1855" customFormat="false" ht="15" hidden="false" customHeight="true" outlineLevel="0" collapsed="false">
      <c r="A1855" s="19" t="n">
        <v>764</v>
      </c>
      <c r="B1855" s="19" t="s">
        <v>270</v>
      </c>
      <c r="C1855" s="109" t="n">
        <v>45838</v>
      </c>
      <c r="D1855" s="108" t="n">
        <v>75</v>
      </c>
      <c r="E1855" s="108" t="n">
        <v>1820</v>
      </c>
      <c r="F1855" s="10" t="s">
        <v>229</v>
      </c>
      <c r="G1855" s="19"/>
    </row>
    <row r="1856" customFormat="false" ht="15" hidden="false" customHeight="true" outlineLevel="0" collapsed="false">
      <c r="A1856" s="19" t="n">
        <v>762</v>
      </c>
      <c r="B1856" s="19" t="s">
        <v>270</v>
      </c>
      <c r="C1856" s="109" t="n">
        <v>45838</v>
      </c>
      <c r="D1856" s="108" t="n">
        <v>65</v>
      </c>
      <c r="E1856" s="108" t="n">
        <v>1250</v>
      </c>
      <c r="F1856" s="10" t="s">
        <v>229</v>
      </c>
      <c r="G1856" s="19"/>
    </row>
    <row r="1857" customFormat="false" ht="15" hidden="false" customHeight="true" outlineLevel="0" collapsed="false">
      <c r="A1857" s="19" t="n">
        <v>761</v>
      </c>
      <c r="B1857" s="19" t="s">
        <v>270</v>
      </c>
      <c r="C1857" s="109" t="n">
        <v>45838</v>
      </c>
      <c r="D1857" s="108" t="n">
        <v>130</v>
      </c>
      <c r="E1857" s="108" t="n">
        <v>1250</v>
      </c>
      <c r="F1857" s="10" t="s">
        <v>229</v>
      </c>
      <c r="G1857" s="19"/>
    </row>
    <row r="1858" customFormat="false" ht="15" hidden="false" customHeight="true" outlineLevel="0" collapsed="false">
      <c r="A1858" s="19" t="n">
        <v>756</v>
      </c>
      <c r="B1858" s="19" t="s">
        <v>506</v>
      </c>
      <c r="C1858" s="109" t="n">
        <v>45838</v>
      </c>
      <c r="D1858" s="108" t="n">
        <v>220</v>
      </c>
      <c r="E1858" s="108" t="n">
        <v>2475</v>
      </c>
      <c r="F1858" s="10" t="s">
        <v>229</v>
      </c>
      <c r="G1858" s="19"/>
    </row>
    <row r="1859" customFormat="false" ht="15" hidden="false" customHeight="true" outlineLevel="0" collapsed="false">
      <c r="A1859" s="19" t="n">
        <v>270422</v>
      </c>
      <c r="B1859" s="19" t="s">
        <v>831</v>
      </c>
      <c r="C1859" s="109" t="n">
        <v>45838</v>
      </c>
      <c r="D1859" s="108" t="n">
        <v>110</v>
      </c>
      <c r="E1859" s="108" t="n">
        <v>1380</v>
      </c>
      <c r="F1859" s="10" t="s">
        <v>227</v>
      </c>
      <c r="G1859" s="19"/>
    </row>
    <row r="1860" customFormat="false" ht="15" hidden="false" customHeight="true" outlineLevel="0" collapsed="false">
      <c r="A1860" s="19" t="n">
        <v>270425</v>
      </c>
      <c r="B1860" s="19" t="s">
        <v>832</v>
      </c>
      <c r="C1860" s="109" t="n">
        <v>45838</v>
      </c>
      <c r="D1860" s="108" t="n">
        <v>25</v>
      </c>
      <c r="E1860" s="108" t="n">
        <v>400</v>
      </c>
      <c r="F1860" s="108" t="s">
        <v>632</v>
      </c>
      <c r="G1860" s="19"/>
    </row>
    <row r="1861" customFormat="false" ht="15" hidden="false" customHeight="true" outlineLevel="0" collapsed="false">
      <c r="A1861" s="19" t="n">
        <v>752</v>
      </c>
      <c r="B1861" s="19" t="s">
        <v>681</v>
      </c>
      <c r="C1861" s="109" t="n">
        <v>45838</v>
      </c>
      <c r="D1861" s="108" t="n">
        <v>210</v>
      </c>
      <c r="E1861" s="108" t="n">
        <v>650</v>
      </c>
      <c r="F1861" s="10" t="s">
        <v>225</v>
      </c>
      <c r="G1861" s="19"/>
    </row>
    <row r="1862" customFormat="false" ht="15" hidden="false" customHeight="true" outlineLevel="0" collapsed="false">
      <c r="A1862" s="19" t="n">
        <v>270420</v>
      </c>
      <c r="B1862" s="19" t="s">
        <v>235</v>
      </c>
      <c r="C1862" s="109" t="n">
        <v>45838</v>
      </c>
      <c r="D1862" s="108" t="n">
        <v>210</v>
      </c>
      <c r="E1862" s="108" t="n">
        <v>5100</v>
      </c>
      <c r="F1862" s="10" t="s">
        <v>225</v>
      </c>
      <c r="G1862" s="19"/>
    </row>
    <row r="1863" customFormat="false" ht="15" hidden="false" customHeight="true" outlineLevel="0" collapsed="false">
      <c r="A1863" s="19" t="n">
        <v>753</v>
      </c>
      <c r="B1863" s="19" t="s">
        <v>833</v>
      </c>
      <c r="C1863" s="109" t="n">
        <v>45838</v>
      </c>
      <c r="D1863" s="108" t="n">
        <v>220</v>
      </c>
      <c r="E1863" s="108" t="n">
        <v>66</v>
      </c>
      <c r="F1863" s="10" t="s">
        <v>225</v>
      </c>
      <c r="G1863" s="19"/>
    </row>
    <row r="1864" customFormat="false" ht="15" hidden="false" customHeight="true" outlineLevel="0" collapsed="false">
      <c r="A1864" s="19" t="n">
        <v>753</v>
      </c>
      <c r="B1864" s="19" t="s">
        <v>833</v>
      </c>
      <c r="C1864" s="109" t="n">
        <v>45838</v>
      </c>
      <c r="D1864" s="108" t="n">
        <v>220</v>
      </c>
      <c r="E1864" s="108" t="n">
        <v>66</v>
      </c>
      <c r="F1864" s="10" t="s">
        <v>225</v>
      </c>
      <c r="G1864" s="19"/>
    </row>
    <row r="1865" customFormat="false" ht="15" hidden="false" customHeight="true" outlineLevel="0" collapsed="false">
      <c r="A1865" s="19" t="n">
        <v>780</v>
      </c>
      <c r="B1865" s="19" t="s">
        <v>834</v>
      </c>
      <c r="C1865" s="109" t="n">
        <v>45840</v>
      </c>
      <c r="D1865" s="108" t="n">
        <v>90</v>
      </c>
      <c r="E1865" s="108" t="n">
        <v>5000</v>
      </c>
      <c r="F1865" s="10" t="s">
        <v>225</v>
      </c>
      <c r="G1865" s="19"/>
    </row>
    <row r="1866" customFormat="false" ht="15" hidden="false" customHeight="true" outlineLevel="0" collapsed="false">
      <c r="A1866" s="19" t="n">
        <v>768</v>
      </c>
      <c r="B1866" s="19" t="s">
        <v>791</v>
      </c>
      <c r="C1866" s="109" t="n">
        <v>45840</v>
      </c>
      <c r="D1866" s="108" t="n">
        <v>100</v>
      </c>
      <c r="E1866" s="108" t="n">
        <v>240</v>
      </c>
      <c r="F1866" s="10" t="s">
        <v>225</v>
      </c>
      <c r="G1866" s="19"/>
    </row>
    <row r="1867" customFormat="false" ht="15" hidden="false" customHeight="true" outlineLevel="0" collapsed="false">
      <c r="A1867" s="19" t="n">
        <v>778</v>
      </c>
      <c r="B1867" s="19" t="s">
        <v>269</v>
      </c>
      <c r="C1867" s="109" t="n">
        <v>45840</v>
      </c>
      <c r="D1867" s="108" t="n">
        <v>100</v>
      </c>
      <c r="E1867" s="108" t="n">
        <v>1125</v>
      </c>
      <c r="F1867" s="10" t="s">
        <v>225</v>
      </c>
      <c r="G1867" s="19"/>
    </row>
    <row r="1868" customFormat="false" ht="15" hidden="false" customHeight="true" outlineLevel="0" collapsed="false">
      <c r="A1868" s="19" t="n">
        <v>767</v>
      </c>
      <c r="B1868" s="19" t="s">
        <v>320</v>
      </c>
      <c r="C1868" s="109" t="n">
        <v>45840</v>
      </c>
      <c r="D1868" s="108" t="n">
        <v>105</v>
      </c>
      <c r="E1868" s="108" t="n">
        <v>795</v>
      </c>
      <c r="F1868" s="10" t="s">
        <v>225</v>
      </c>
      <c r="G1868" s="19"/>
    </row>
    <row r="1869" customFormat="false" ht="15" hidden="false" customHeight="true" outlineLevel="0" collapsed="false">
      <c r="A1869" s="19" t="n">
        <v>604</v>
      </c>
      <c r="B1869" s="19" t="s">
        <v>382</v>
      </c>
      <c r="C1869" s="109" t="n">
        <v>45840</v>
      </c>
      <c r="D1869" s="108" t="n">
        <v>125</v>
      </c>
      <c r="E1869" s="108" t="n">
        <v>832</v>
      </c>
      <c r="F1869" s="10" t="s">
        <v>225</v>
      </c>
      <c r="G1869" s="19"/>
    </row>
    <row r="1870" customFormat="false" ht="15" hidden="false" customHeight="true" outlineLevel="0" collapsed="false">
      <c r="A1870" s="19" t="n">
        <v>773</v>
      </c>
      <c r="B1870" s="19" t="s">
        <v>692</v>
      </c>
      <c r="C1870" s="109" t="n">
        <v>45840</v>
      </c>
      <c r="D1870" s="108" t="n">
        <v>110</v>
      </c>
      <c r="E1870" s="108" t="n">
        <v>3769</v>
      </c>
      <c r="F1870" s="10" t="s">
        <v>229</v>
      </c>
      <c r="G1870" s="19"/>
    </row>
    <row r="1871" customFormat="false" ht="15" hidden="false" customHeight="true" outlineLevel="0" collapsed="false">
      <c r="A1871" s="19" t="n">
        <v>270429</v>
      </c>
      <c r="B1871" s="19" t="s">
        <v>264</v>
      </c>
      <c r="C1871" s="109" t="n">
        <v>45840</v>
      </c>
      <c r="D1871" s="108" t="n">
        <v>145</v>
      </c>
      <c r="E1871" s="108" t="n">
        <v>1000</v>
      </c>
      <c r="F1871" s="10" t="s">
        <v>227</v>
      </c>
      <c r="G1871" s="19"/>
    </row>
    <row r="1872" customFormat="false" ht="15" hidden="false" customHeight="true" outlineLevel="0" collapsed="false">
      <c r="A1872" s="19" t="n">
        <v>745</v>
      </c>
      <c r="B1872" s="19" t="s">
        <v>551</v>
      </c>
      <c r="C1872" s="109" t="n">
        <v>45840</v>
      </c>
      <c r="D1872" s="108" t="n">
        <v>210</v>
      </c>
      <c r="E1872" s="108" t="n">
        <v>1545</v>
      </c>
      <c r="F1872" s="10" t="s">
        <v>227</v>
      </c>
      <c r="G1872" s="19"/>
    </row>
    <row r="1873" customFormat="false" ht="15" hidden="false" customHeight="true" outlineLevel="0" collapsed="false">
      <c r="A1873" s="19" t="n">
        <v>270411</v>
      </c>
      <c r="B1873" s="19" t="s">
        <v>231</v>
      </c>
      <c r="C1873" s="109" t="n">
        <v>45840</v>
      </c>
      <c r="D1873" s="108" t="n">
        <v>210</v>
      </c>
      <c r="E1873" s="108" t="n">
        <v>1245</v>
      </c>
      <c r="F1873" s="10" t="s">
        <v>225</v>
      </c>
      <c r="G1873" s="19"/>
    </row>
    <row r="1874" customFormat="false" ht="15" hidden="false" customHeight="true" outlineLevel="0" collapsed="false">
      <c r="A1874" s="19" t="n">
        <v>780</v>
      </c>
      <c r="B1874" s="19" t="s">
        <v>834</v>
      </c>
      <c r="C1874" s="109" t="n">
        <v>45840</v>
      </c>
      <c r="D1874" s="108" t="n">
        <v>210</v>
      </c>
      <c r="E1874" s="108" t="n">
        <v>6300</v>
      </c>
      <c r="F1874" s="10" t="s">
        <v>225</v>
      </c>
      <c r="G1874" s="19"/>
    </row>
    <row r="1875" customFormat="false" ht="15" hidden="false" customHeight="true" outlineLevel="0" collapsed="false">
      <c r="A1875" s="19" t="n">
        <v>780</v>
      </c>
      <c r="B1875" s="19" t="s">
        <v>834</v>
      </c>
      <c r="C1875" s="109" t="n">
        <v>45840</v>
      </c>
      <c r="D1875" s="108" t="n">
        <v>250</v>
      </c>
      <c r="E1875" s="108" t="n">
        <v>260</v>
      </c>
      <c r="F1875" s="10" t="s">
        <v>225</v>
      </c>
      <c r="G1875" s="19"/>
    </row>
    <row r="1876" customFormat="false" ht="15" hidden="false" customHeight="true" outlineLevel="0" collapsed="false">
      <c r="A1876" s="19" t="n">
        <v>270430</v>
      </c>
      <c r="B1876" s="19" t="s">
        <v>468</v>
      </c>
      <c r="C1876" s="109" t="n">
        <v>45841</v>
      </c>
      <c r="D1876" s="108" t="n">
        <v>110</v>
      </c>
      <c r="E1876" s="108" t="n">
        <v>1875</v>
      </c>
      <c r="F1876" s="10" t="s">
        <v>225</v>
      </c>
      <c r="G1876" s="19"/>
    </row>
    <row r="1877" customFormat="false" ht="15" hidden="false" customHeight="true" outlineLevel="0" collapsed="false">
      <c r="A1877" s="19" t="n">
        <v>270432</v>
      </c>
      <c r="B1877" s="19" t="s">
        <v>835</v>
      </c>
      <c r="C1877" s="109" t="n">
        <v>45842</v>
      </c>
      <c r="D1877" s="108" t="n">
        <v>40</v>
      </c>
      <c r="E1877" s="108" t="n">
        <v>180</v>
      </c>
      <c r="F1877" s="10" t="s">
        <v>225</v>
      </c>
      <c r="G1877" s="19"/>
    </row>
    <row r="1878" customFormat="false" ht="15" hidden="false" customHeight="true" outlineLevel="0" collapsed="false">
      <c r="A1878" s="19" t="n">
        <v>270435</v>
      </c>
      <c r="B1878" s="19" t="s">
        <v>744</v>
      </c>
      <c r="C1878" s="109" t="n">
        <v>45842</v>
      </c>
      <c r="D1878" s="108" t="n">
        <v>65</v>
      </c>
      <c r="E1878" s="108" t="n">
        <v>860</v>
      </c>
      <c r="F1878" s="10" t="s">
        <v>225</v>
      </c>
      <c r="G1878" s="19"/>
    </row>
    <row r="1879" customFormat="false" ht="15" hidden="false" customHeight="true" outlineLevel="0" collapsed="false">
      <c r="A1879" s="19" t="n">
        <v>785</v>
      </c>
      <c r="B1879" s="19" t="s">
        <v>258</v>
      </c>
      <c r="C1879" s="109" t="n">
        <v>45842</v>
      </c>
      <c r="D1879" s="108" t="n">
        <v>110</v>
      </c>
      <c r="E1879" s="108" t="n">
        <v>540</v>
      </c>
      <c r="F1879" s="10" t="s">
        <v>225</v>
      </c>
      <c r="G1879" s="19"/>
    </row>
    <row r="1880" customFormat="false" ht="15" hidden="false" customHeight="true" outlineLevel="0" collapsed="false">
      <c r="A1880" s="19" t="n">
        <v>787</v>
      </c>
      <c r="B1880" s="19" t="s">
        <v>285</v>
      </c>
      <c r="C1880" s="109" t="n">
        <v>45842</v>
      </c>
      <c r="D1880" s="108" t="n">
        <v>125</v>
      </c>
      <c r="E1880" s="108" t="n">
        <v>5500</v>
      </c>
      <c r="F1880" s="10" t="s">
        <v>225</v>
      </c>
      <c r="G1880" s="19"/>
    </row>
    <row r="1881" customFormat="false" ht="15" hidden="false" customHeight="true" outlineLevel="0" collapsed="false">
      <c r="A1881" s="19" t="n">
        <v>790</v>
      </c>
      <c r="B1881" s="19" t="s">
        <v>294</v>
      </c>
      <c r="C1881" s="109" t="n">
        <v>45842</v>
      </c>
      <c r="D1881" s="108" t="n">
        <v>130</v>
      </c>
      <c r="E1881" s="108" t="n">
        <v>2560</v>
      </c>
      <c r="F1881" s="10" t="s">
        <v>225</v>
      </c>
      <c r="G1881" s="19" t="s">
        <v>232</v>
      </c>
    </row>
    <row r="1882" customFormat="false" ht="15" hidden="false" customHeight="true" outlineLevel="0" collapsed="false">
      <c r="A1882" s="19" t="n">
        <v>784</v>
      </c>
      <c r="B1882" s="19" t="s">
        <v>770</v>
      </c>
      <c r="C1882" s="109" t="n">
        <v>45842</v>
      </c>
      <c r="D1882" s="108" t="n">
        <v>25</v>
      </c>
      <c r="E1882" s="108" t="n">
        <v>85</v>
      </c>
      <c r="F1882" s="10" t="s">
        <v>229</v>
      </c>
      <c r="G1882" s="19"/>
    </row>
    <row r="1883" customFormat="false" ht="15" hidden="false" customHeight="true" outlineLevel="0" collapsed="false">
      <c r="A1883" s="19" t="n">
        <v>791</v>
      </c>
      <c r="B1883" s="19" t="s">
        <v>556</v>
      </c>
      <c r="C1883" s="109" t="n">
        <v>45842</v>
      </c>
      <c r="D1883" s="108" t="n">
        <v>15</v>
      </c>
      <c r="E1883" s="108" t="n">
        <v>180</v>
      </c>
      <c r="F1883" s="108" t="s">
        <v>372</v>
      </c>
      <c r="G1883" s="19"/>
    </row>
    <row r="1884" customFormat="false" ht="15" hidden="false" customHeight="true" outlineLevel="0" collapsed="false">
      <c r="A1884" s="19" t="n">
        <v>270431</v>
      </c>
      <c r="B1884" s="19" t="s">
        <v>836</v>
      </c>
      <c r="C1884" s="109" t="n">
        <v>45842</v>
      </c>
      <c r="D1884" s="108" t="n">
        <v>20</v>
      </c>
      <c r="E1884" s="108" t="n">
        <v>200</v>
      </c>
      <c r="F1884" s="108" t="s">
        <v>372</v>
      </c>
      <c r="G1884" s="19"/>
    </row>
    <row r="1885" customFormat="false" ht="15" hidden="false" customHeight="true" outlineLevel="0" collapsed="false">
      <c r="A1885" s="19" t="n">
        <v>783</v>
      </c>
      <c r="B1885" s="19" t="s">
        <v>542</v>
      </c>
      <c r="C1885" s="109" t="n">
        <v>45842</v>
      </c>
      <c r="D1885" s="108" t="n">
        <v>65</v>
      </c>
      <c r="E1885" s="108" t="n">
        <v>315</v>
      </c>
      <c r="F1885" s="10" t="s">
        <v>248</v>
      </c>
      <c r="G1885" s="19"/>
    </row>
    <row r="1886" customFormat="false" ht="15" hidden="false" customHeight="true" outlineLevel="0" collapsed="false">
      <c r="A1886" s="19" t="n">
        <v>792</v>
      </c>
      <c r="B1886" s="19" t="s">
        <v>551</v>
      </c>
      <c r="C1886" s="109" t="n">
        <v>45842</v>
      </c>
      <c r="D1886" s="108" t="n">
        <v>220</v>
      </c>
      <c r="E1886" s="108" t="n">
        <v>760</v>
      </c>
      <c r="F1886" s="10" t="s">
        <v>227</v>
      </c>
      <c r="G1886" s="19"/>
    </row>
    <row r="1887" customFormat="false" ht="15" hidden="false" customHeight="true" outlineLevel="0" collapsed="false">
      <c r="A1887" s="19" t="n">
        <v>809</v>
      </c>
      <c r="B1887" s="19" t="s">
        <v>269</v>
      </c>
      <c r="C1887" s="109" t="n">
        <v>45846</v>
      </c>
      <c r="D1887" s="108" t="n">
        <v>20</v>
      </c>
      <c r="E1887" s="108" t="n">
        <v>1080</v>
      </c>
      <c r="F1887" s="10" t="s">
        <v>225</v>
      </c>
      <c r="G1887" s="19"/>
    </row>
    <row r="1888" customFormat="false" ht="15" hidden="false" customHeight="true" outlineLevel="0" collapsed="false">
      <c r="A1888" s="19" t="n">
        <v>805</v>
      </c>
      <c r="B1888" s="19" t="s">
        <v>258</v>
      </c>
      <c r="C1888" s="109" t="n">
        <v>45846</v>
      </c>
      <c r="D1888" s="108" t="n">
        <v>65</v>
      </c>
      <c r="E1888" s="108" t="n">
        <v>2500</v>
      </c>
      <c r="F1888" s="10" t="s">
        <v>225</v>
      </c>
      <c r="G1888" s="19"/>
    </row>
    <row r="1889" customFormat="false" ht="15" hidden="false" customHeight="true" outlineLevel="0" collapsed="false">
      <c r="A1889" s="19" t="n">
        <v>808</v>
      </c>
      <c r="B1889" s="19" t="s">
        <v>397</v>
      </c>
      <c r="C1889" s="109" t="n">
        <v>45846</v>
      </c>
      <c r="D1889" s="108" t="n">
        <v>110</v>
      </c>
      <c r="E1889" s="108" t="n">
        <v>272</v>
      </c>
      <c r="F1889" s="10" t="s">
        <v>227</v>
      </c>
      <c r="G1889" s="19"/>
    </row>
    <row r="1890" customFormat="false" ht="15" hidden="false" customHeight="true" outlineLevel="0" collapsed="false">
      <c r="A1890" s="19" t="n">
        <v>270441</v>
      </c>
      <c r="B1890" s="19" t="s">
        <v>837</v>
      </c>
      <c r="C1890" s="109" t="n">
        <v>45846</v>
      </c>
      <c r="D1890" s="108" t="n">
        <v>15</v>
      </c>
      <c r="E1890" s="108" t="n">
        <v>200</v>
      </c>
      <c r="F1890" s="108" t="s">
        <v>372</v>
      </c>
      <c r="G1890" s="19"/>
    </row>
    <row r="1891" customFormat="false" ht="15" hidden="false" customHeight="true" outlineLevel="0" collapsed="false">
      <c r="A1891" s="19" t="n">
        <v>796</v>
      </c>
      <c r="B1891" s="19" t="s">
        <v>242</v>
      </c>
      <c r="C1891" s="109" t="n">
        <v>45846</v>
      </c>
      <c r="D1891" s="108" t="n">
        <v>60</v>
      </c>
      <c r="E1891" s="108"/>
      <c r="F1891" s="108"/>
      <c r="G1891" s="19"/>
    </row>
    <row r="1892" customFormat="false" ht="15" hidden="false" customHeight="true" outlineLevel="0" collapsed="false">
      <c r="A1892" s="19" t="n">
        <v>792</v>
      </c>
      <c r="B1892" s="19" t="s">
        <v>551</v>
      </c>
      <c r="C1892" s="109" t="n">
        <v>45846</v>
      </c>
      <c r="D1892" s="108" t="n">
        <v>135</v>
      </c>
      <c r="E1892" s="108" t="n">
        <v>375</v>
      </c>
      <c r="F1892" s="10" t="s">
        <v>227</v>
      </c>
      <c r="G1892" s="19"/>
    </row>
    <row r="1893" customFormat="false" ht="15" hidden="false" customHeight="true" outlineLevel="0" collapsed="false">
      <c r="A1893" s="19" t="n">
        <v>810</v>
      </c>
      <c r="B1893" s="19" t="s">
        <v>432</v>
      </c>
      <c r="C1893" s="109" t="n">
        <v>45846</v>
      </c>
      <c r="D1893" s="108" t="n">
        <v>210</v>
      </c>
      <c r="E1893" s="108" t="n">
        <v>930</v>
      </c>
      <c r="F1893" s="10" t="s">
        <v>225</v>
      </c>
      <c r="G1893" s="19"/>
    </row>
    <row r="1894" customFormat="false" ht="15" hidden="false" customHeight="true" outlineLevel="0" collapsed="false">
      <c r="A1894" s="19" t="n">
        <v>813</v>
      </c>
      <c r="B1894" s="18" t="s">
        <v>306</v>
      </c>
      <c r="C1894" s="109" t="n">
        <v>45847</v>
      </c>
      <c r="D1894" s="108" t="n">
        <v>60</v>
      </c>
      <c r="E1894" s="108" t="n">
        <v>6000</v>
      </c>
      <c r="F1894" s="10" t="s">
        <v>236</v>
      </c>
      <c r="G1894" s="19"/>
    </row>
    <row r="1895" customFormat="false" ht="15" hidden="false" customHeight="true" outlineLevel="0" collapsed="false">
      <c r="A1895" s="19" t="n">
        <v>816</v>
      </c>
      <c r="B1895" s="19" t="s">
        <v>838</v>
      </c>
      <c r="C1895" s="109" t="n">
        <v>45847</v>
      </c>
      <c r="D1895" s="108" t="n">
        <v>75</v>
      </c>
      <c r="E1895" s="108" t="n">
        <v>408</v>
      </c>
      <c r="F1895" s="10" t="s">
        <v>225</v>
      </c>
      <c r="G1895" s="19"/>
    </row>
    <row r="1896" customFormat="false" ht="15" hidden="false" customHeight="true" outlineLevel="0" collapsed="false">
      <c r="A1896" s="19" t="n">
        <v>821</v>
      </c>
      <c r="B1896" s="19" t="s">
        <v>443</v>
      </c>
      <c r="C1896" s="109" t="n">
        <v>45847</v>
      </c>
      <c r="D1896" s="108" t="n">
        <v>85</v>
      </c>
      <c r="E1896" s="108" t="n">
        <v>640</v>
      </c>
      <c r="F1896" s="10" t="s">
        <v>225</v>
      </c>
      <c r="G1896" s="19"/>
    </row>
    <row r="1897" customFormat="false" ht="15" hidden="false" customHeight="true" outlineLevel="0" collapsed="false">
      <c r="A1897" s="19" t="n">
        <v>270443</v>
      </c>
      <c r="B1897" s="19" t="s">
        <v>839</v>
      </c>
      <c r="C1897" s="109" t="n">
        <v>45847</v>
      </c>
      <c r="D1897" s="108" t="n">
        <v>100</v>
      </c>
      <c r="E1897" s="108" t="n">
        <v>1020</v>
      </c>
      <c r="F1897" s="10" t="s">
        <v>225</v>
      </c>
      <c r="G1897" s="19"/>
    </row>
    <row r="1898" customFormat="false" ht="15" hidden="false" customHeight="true" outlineLevel="0" collapsed="false">
      <c r="A1898" s="19" t="n">
        <v>781</v>
      </c>
      <c r="B1898" s="19" t="s">
        <v>823</v>
      </c>
      <c r="C1898" s="109" t="n">
        <v>45847</v>
      </c>
      <c r="D1898" s="108" t="n">
        <v>110</v>
      </c>
      <c r="E1898" s="108" t="n">
        <v>2250</v>
      </c>
      <c r="F1898" s="10" t="s">
        <v>225</v>
      </c>
      <c r="G1898" s="19"/>
    </row>
    <row r="1899" customFormat="false" ht="15" hidden="false" customHeight="true" outlineLevel="0" collapsed="false">
      <c r="A1899" s="19" t="n">
        <v>270444</v>
      </c>
      <c r="B1899" s="19" t="s">
        <v>680</v>
      </c>
      <c r="C1899" s="109" t="n">
        <v>45847</v>
      </c>
      <c r="D1899" s="108" t="n">
        <v>110</v>
      </c>
      <c r="E1899" s="108" t="n">
        <v>3750</v>
      </c>
      <c r="F1899" s="10" t="s">
        <v>225</v>
      </c>
      <c r="G1899" s="19"/>
    </row>
    <row r="1900" customFormat="false" ht="15" hidden="false" customHeight="true" outlineLevel="0" collapsed="false">
      <c r="A1900" s="19" t="n">
        <v>818</v>
      </c>
      <c r="B1900" s="19" t="s">
        <v>401</v>
      </c>
      <c r="C1900" s="109" t="n">
        <v>45847</v>
      </c>
      <c r="D1900" s="108" t="n">
        <v>110</v>
      </c>
      <c r="E1900" s="108" t="n">
        <v>1000</v>
      </c>
      <c r="F1900" s="10" t="s">
        <v>225</v>
      </c>
      <c r="G1900" s="19"/>
    </row>
    <row r="1901" customFormat="false" ht="15" hidden="false" customHeight="true" outlineLevel="0" collapsed="false">
      <c r="A1901" s="19" t="n">
        <v>270445</v>
      </c>
      <c r="B1901" s="19" t="s">
        <v>416</v>
      </c>
      <c r="C1901" s="109" t="n">
        <v>45847</v>
      </c>
      <c r="D1901" s="108" t="n">
        <v>110</v>
      </c>
      <c r="E1901" s="108" t="n">
        <v>680</v>
      </c>
      <c r="F1901" s="10" t="s">
        <v>225</v>
      </c>
      <c r="G1901" s="19" t="s">
        <v>232</v>
      </c>
    </row>
    <row r="1902" customFormat="false" ht="15" hidden="false" customHeight="true" outlineLevel="0" collapsed="false">
      <c r="A1902" s="19" t="n">
        <v>816</v>
      </c>
      <c r="B1902" s="19" t="s">
        <v>838</v>
      </c>
      <c r="C1902" s="109" t="n">
        <v>45847</v>
      </c>
      <c r="D1902" s="108" t="n">
        <v>135</v>
      </c>
      <c r="E1902" s="108" t="n">
        <v>3500</v>
      </c>
      <c r="F1902" s="10" t="s">
        <v>225</v>
      </c>
      <c r="G1902" s="19"/>
    </row>
    <row r="1903" customFormat="false" ht="15" hidden="false" customHeight="true" outlineLevel="0" collapsed="false">
      <c r="A1903" s="19" t="n">
        <v>812</v>
      </c>
      <c r="B1903" s="18" t="s">
        <v>334</v>
      </c>
      <c r="C1903" s="109" t="n">
        <v>45847</v>
      </c>
      <c r="D1903" s="108" t="n">
        <v>155</v>
      </c>
      <c r="E1903" s="108" t="n">
        <v>1930</v>
      </c>
      <c r="F1903" s="10" t="s">
        <v>229</v>
      </c>
      <c r="G1903" s="19"/>
    </row>
    <row r="1904" customFormat="false" ht="15" hidden="false" customHeight="true" outlineLevel="0" collapsed="false">
      <c r="A1904" s="19" t="n">
        <v>806</v>
      </c>
      <c r="B1904" s="19" t="s">
        <v>840</v>
      </c>
      <c r="C1904" s="109" t="n">
        <v>45847</v>
      </c>
      <c r="D1904" s="108" t="n">
        <v>220</v>
      </c>
      <c r="E1904" s="108" t="n">
        <v>319</v>
      </c>
      <c r="F1904" s="10" t="s">
        <v>229</v>
      </c>
      <c r="G1904" s="19"/>
    </row>
    <row r="1905" customFormat="false" ht="15" hidden="false" customHeight="true" outlineLevel="0" collapsed="false">
      <c r="A1905" s="19" t="n">
        <v>811</v>
      </c>
      <c r="B1905" s="19" t="s">
        <v>272</v>
      </c>
      <c r="C1905" s="109" t="n">
        <v>45847</v>
      </c>
      <c r="D1905" s="108" t="n">
        <v>110</v>
      </c>
      <c r="E1905" s="108" t="n">
        <v>2459</v>
      </c>
      <c r="F1905" s="10" t="s">
        <v>227</v>
      </c>
      <c r="G1905" s="19"/>
    </row>
    <row r="1906" customFormat="false" ht="15" hidden="false" customHeight="true" outlineLevel="0" collapsed="false">
      <c r="A1906" s="19" t="n">
        <v>807</v>
      </c>
      <c r="B1906" s="19" t="s">
        <v>740</v>
      </c>
      <c r="C1906" s="109" t="n">
        <v>45847</v>
      </c>
      <c r="D1906" s="108" t="n">
        <v>110</v>
      </c>
      <c r="E1906" s="108" t="n">
        <v>1088</v>
      </c>
      <c r="F1906" s="10" t="s">
        <v>227</v>
      </c>
      <c r="G1906" s="19"/>
    </row>
    <row r="1907" customFormat="false" ht="15" hidden="false" customHeight="true" outlineLevel="0" collapsed="false">
      <c r="A1907" s="19" t="n">
        <v>815</v>
      </c>
      <c r="B1907" s="19" t="s">
        <v>841</v>
      </c>
      <c r="C1907" s="109" t="n">
        <v>45847</v>
      </c>
      <c r="D1907" s="108" t="n">
        <v>220</v>
      </c>
      <c r="E1907" s="108" t="n">
        <v>760</v>
      </c>
      <c r="F1907" s="108" t="s">
        <v>711</v>
      </c>
      <c r="G1907" s="19"/>
    </row>
    <row r="1908" customFormat="false" ht="15" hidden="false" customHeight="true" outlineLevel="0" collapsed="false">
      <c r="A1908" s="19" t="n">
        <v>820</v>
      </c>
      <c r="B1908" s="19" t="s">
        <v>514</v>
      </c>
      <c r="C1908" s="109" t="n">
        <v>45847</v>
      </c>
      <c r="D1908" s="108" t="n">
        <v>37</v>
      </c>
      <c r="E1908" s="108" t="n">
        <v>70</v>
      </c>
      <c r="F1908" s="108" t="s">
        <v>262</v>
      </c>
      <c r="G1908" s="19"/>
    </row>
    <row r="1909" customFormat="false" ht="15" hidden="false" customHeight="true" outlineLevel="0" collapsed="false">
      <c r="A1909" s="19" t="n">
        <v>819</v>
      </c>
      <c r="B1909" s="19" t="s">
        <v>690</v>
      </c>
      <c r="C1909" s="109" t="n">
        <v>45847</v>
      </c>
      <c r="D1909" s="108" t="n">
        <v>210</v>
      </c>
      <c r="E1909" s="108" t="n">
        <v>2106</v>
      </c>
      <c r="F1909" s="10" t="s">
        <v>225</v>
      </c>
      <c r="G1909" s="19"/>
    </row>
    <row r="1910" customFormat="false" ht="15" hidden="false" customHeight="true" outlineLevel="0" collapsed="false">
      <c r="A1910" s="19" t="n">
        <v>832</v>
      </c>
      <c r="B1910" s="19" t="s">
        <v>353</v>
      </c>
      <c r="C1910" s="109" t="n">
        <v>45849</v>
      </c>
      <c r="D1910" s="108" t="n">
        <v>55</v>
      </c>
      <c r="E1910" s="108" t="n">
        <v>133</v>
      </c>
      <c r="F1910" s="10" t="s">
        <v>225</v>
      </c>
      <c r="G1910" s="19"/>
    </row>
    <row r="1911" customFormat="false" ht="15" hidden="false" customHeight="true" outlineLevel="0" collapsed="false">
      <c r="A1911" s="19" t="n">
        <v>835</v>
      </c>
      <c r="B1911" s="19" t="s">
        <v>322</v>
      </c>
      <c r="C1911" s="109" t="n">
        <v>45849</v>
      </c>
      <c r="D1911" s="108" t="n">
        <v>70</v>
      </c>
      <c r="E1911" s="108" t="n">
        <v>408</v>
      </c>
      <c r="F1911" s="10" t="s">
        <v>225</v>
      </c>
      <c r="G1911" s="19" t="s">
        <v>232</v>
      </c>
    </row>
    <row r="1912" customFormat="false" ht="15" hidden="false" customHeight="true" outlineLevel="0" collapsed="false">
      <c r="A1912" s="19" t="n">
        <v>270448</v>
      </c>
      <c r="B1912" s="19" t="s">
        <v>842</v>
      </c>
      <c r="C1912" s="109" t="n">
        <v>45849</v>
      </c>
      <c r="D1912" s="108" t="n">
        <v>70</v>
      </c>
      <c r="E1912" s="108" t="n">
        <v>680</v>
      </c>
      <c r="F1912" s="10" t="s">
        <v>225</v>
      </c>
      <c r="G1912" s="19"/>
    </row>
    <row r="1913" customFormat="false" ht="15" hidden="false" customHeight="true" outlineLevel="0" collapsed="false">
      <c r="A1913" s="19" t="n">
        <v>833</v>
      </c>
      <c r="B1913" s="19" t="s">
        <v>298</v>
      </c>
      <c r="C1913" s="109" t="n">
        <v>45849</v>
      </c>
      <c r="D1913" s="108" t="n">
        <v>80</v>
      </c>
      <c r="E1913" s="108" t="n">
        <v>1490</v>
      </c>
      <c r="F1913" s="10" t="s">
        <v>225</v>
      </c>
      <c r="G1913" s="19"/>
    </row>
    <row r="1914" customFormat="false" ht="15" hidden="false" customHeight="true" outlineLevel="0" collapsed="false">
      <c r="A1914" s="19" t="n">
        <v>836</v>
      </c>
      <c r="B1914" s="19" t="s">
        <v>843</v>
      </c>
      <c r="C1914" s="109" t="n">
        <v>45849</v>
      </c>
      <c r="D1914" s="108" t="n">
        <v>100</v>
      </c>
      <c r="E1914" s="108" t="n">
        <v>2376</v>
      </c>
      <c r="F1914" s="10" t="s">
        <v>225</v>
      </c>
      <c r="G1914" s="19"/>
    </row>
    <row r="1915" customFormat="false" ht="15" hidden="false" customHeight="true" outlineLevel="0" collapsed="false">
      <c r="A1915" s="19" t="n">
        <v>270447</v>
      </c>
      <c r="B1915" s="19" t="s">
        <v>693</v>
      </c>
      <c r="C1915" s="109" t="n">
        <v>45849</v>
      </c>
      <c r="D1915" s="108" t="n">
        <v>100</v>
      </c>
      <c r="E1915" s="108" t="n">
        <v>67</v>
      </c>
      <c r="F1915" s="10" t="s">
        <v>225</v>
      </c>
      <c r="G1915" s="19"/>
    </row>
    <row r="1916" customFormat="false" ht="15" hidden="false" customHeight="true" outlineLevel="0" collapsed="false">
      <c r="A1916" s="19" t="n">
        <v>834</v>
      </c>
      <c r="B1916" s="19" t="s">
        <v>350</v>
      </c>
      <c r="C1916" s="109" t="n">
        <v>45849</v>
      </c>
      <c r="D1916" s="108" t="n">
        <v>105</v>
      </c>
      <c r="E1916" s="108" t="n">
        <v>200</v>
      </c>
      <c r="F1916" s="10" t="s">
        <v>225</v>
      </c>
      <c r="G1916" s="19" t="s">
        <v>232</v>
      </c>
    </row>
    <row r="1917" customFormat="false" ht="15" hidden="false" customHeight="true" outlineLevel="0" collapsed="false">
      <c r="A1917" s="19" t="n">
        <v>823</v>
      </c>
      <c r="B1917" s="19" t="s">
        <v>342</v>
      </c>
      <c r="C1917" s="109" t="n">
        <v>45849</v>
      </c>
      <c r="D1917" s="108" t="n">
        <v>110</v>
      </c>
      <c r="E1917" s="108" t="n">
        <v>540</v>
      </c>
      <c r="F1917" s="10" t="s">
        <v>225</v>
      </c>
      <c r="G1917" s="19"/>
    </row>
    <row r="1918" customFormat="false" ht="15" hidden="false" customHeight="true" outlineLevel="0" collapsed="false">
      <c r="A1918" s="19" t="n">
        <v>834</v>
      </c>
      <c r="B1918" s="19" t="s">
        <v>350</v>
      </c>
      <c r="C1918" s="109" t="n">
        <v>45849</v>
      </c>
      <c r="D1918" s="108" t="n">
        <v>125</v>
      </c>
      <c r="E1918" s="108" t="n">
        <v>450</v>
      </c>
      <c r="F1918" s="10" t="s">
        <v>225</v>
      </c>
      <c r="G1918" s="19" t="s">
        <v>232</v>
      </c>
    </row>
    <row r="1919" customFormat="false" ht="15" hidden="false" customHeight="true" outlineLevel="0" collapsed="false">
      <c r="A1919" s="19" t="n">
        <v>838</v>
      </c>
      <c r="B1919" s="19" t="s">
        <v>347</v>
      </c>
      <c r="C1919" s="109" t="n">
        <v>45849</v>
      </c>
      <c r="D1919" s="108" t="n">
        <v>138</v>
      </c>
      <c r="E1919" s="108" t="n">
        <v>136</v>
      </c>
      <c r="F1919" s="10" t="s">
        <v>225</v>
      </c>
      <c r="G1919" s="19"/>
    </row>
    <row r="1920" customFormat="false" ht="15" hidden="false" customHeight="true" outlineLevel="0" collapsed="false">
      <c r="A1920" s="19" t="n">
        <v>828</v>
      </c>
      <c r="B1920" s="19" t="s">
        <v>746</v>
      </c>
      <c r="C1920" s="109" t="n">
        <v>45849</v>
      </c>
      <c r="D1920" s="108" t="n">
        <v>110</v>
      </c>
      <c r="E1920" s="108" t="n">
        <v>6000</v>
      </c>
      <c r="F1920" s="10" t="s">
        <v>229</v>
      </c>
      <c r="G1920" s="19"/>
    </row>
    <row r="1921" customFormat="false" ht="15" hidden="false" customHeight="true" outlineLevel="0" collapsed="false">
      <c r="A1921" s="19" t="n">
        <v>825</v>
      </c>
      <c r="B1921" s="19" t="s">
        <v>844</v>
      </c>
      <c r="C1921" s="109" t="n">
        <v>45849</v>
      </c>
      <c r="D1921" s="108" t="n">
        <v>155</v>
      </c>
      <c r="E1921" s="108" t="n">
        <v>1930</v>
      </c>
      <c r="F1921" s="10" t="s">
        <v>229</v>
      </c>
      <c r="G1921" s="19"/>
    </row>
    <row r="1922" customFormat="false" ht="15" hidden="false" customHeight="true" outlineLevel="0" collapsed="false">
      <c r="A1922" s="19" t="n">
        <v>838</v>
      </c>
      <c r="B1922" s="19" t="s">
        <v>347</v>
      </c>
      <c r="C1922" s="109" t="n">
        <v>45849</v>
      </c>
      <c r="D1922" s="108" t="n">
        <v>25</v>
      </c>
      <c r="E1922" s="108" t="n">
        <v>180</v>
      </c>
      <c r="F1922" s="10" t="s">
        <v>229</v>
      </c>
      <c r="G1922" s="19"/>
    </row>
    <row r="1923" customFormat="false" ht="15" hidden="false" customHeight="true" outlineLevel="0" collapsed="false">
      <c r="A1923" s="19" t="n">
        <v>270452</v>
      </c>
      <c r="B1923" s="19" t="s">
        <v>378</v>
      </c>
      <c r="C1923" s="109" t="n">
        <v>45849</v>
      </c>
      <c r="D1923" s="108" t="n">
        <v>110</v>
      </c>
      <c r="E1923" s="108" t="n">
        <v>3000</v>
      </c>
      <c r="F1923" s="108" t="s">
        <v>362</v>
      </c>
      <c r="G1923" s="19"/>
    </row>
    <row r="1924" customFormat="false" ht="15" hidden="false" customHeight="true" outlineLevel="0" collapsed="false">
      <c r="A1924" s="19" t="n">
        <v>826</v>
      </c>
      <c r="B1924" s="19" t="s">
        <v>324</v>
      </c>
      <c r="C1924" s="109" t="n">
        <v>45849</v>
      </c>
      <c r="D1924" s="108" t="n">
        <v>220</v>
      </c>
      <c r="E1924" s="108" t="n">
        <v>3040</v>
      </c>
      <c r="F1924" s="10" t="s">
        <v>227</v>
      </c>
      <c r="G1924" s="19"/>
    </row>
    <row r="1925" customFormat="false" ht="15" hidden="false" customHeight="true" outlineLevel="0" collapsed="false">
      <c r="A1925" s="19" t="n">
        <v>840</v>
      </c>
      <c r="B1925" s="19" t="s">
        <v>388</v>
      </c>
      <c r="C1925" s="109" t="n">
        <v>45854</v>
      </c>
      <c r="D1925" s="108" t="n">
        <v>78</v>
      </c>
      <c r="E1925" s="108" t="n">
        <v>30</v>
      </c>
      <c r="F1925" s="10" t="s">
        <v>236</v>
      </c>
      <c r="G1925" s="19"/>
    </row>
    <row r="1926" customFormat="false" ht="15" hidden="false" customHeight="true" outlineLevel="0" collapsed="false">
      <c r="A1926" s="19" t="n">
        <v>846</v>
      </c>
      <c r="B1926" s="19" t="s">
        <v>321</v>
      </c>
      <c r="C1926" s="109" t="n">
        <v>45854</v>
      </c>
      <c r="D1926" s="108" t="n">
        <v>220</v>
      </c>
      <c r="E1926" s="108" t="n">
        <v>3192</v>
      </c>
      <c r="F1926" s="10" t="s">
        <v>236</v>
      </c>
      <c r="G1926" s="19"/>
    </row>
    <row r="1927" customFormat="false" ht="15" hidden="false" customHeight="true" outlineLevel="0" collapsed="false">
      <c r="A1927" s="19" t="n">
        <v>270455</v>
      </c>
      <c r="B1927" s="19" t="s">
        <v>845</v>
      </c>
      <c r="C1927" s="109" t="n">
        <v>45854</v>
      </c>
      <c r="D1927" s="108" t="n">
        <v>30</v>
      </c>
      <c r="E1927" s="108" t="n">
        <v>1020</v>
      </c>
      <c r="F1927" s="10" t="s">
        <v>225</v>
      </c>
      <c r="G1927" s="19"/>
    </row>
    <row r="1928" customFormat="false" ht="15" hidden="false" customHeight="true" outlineLevel="0" collapsed="false">
      <c r="A1928" s="19" t="n">
        <v>270455</v>
      </c>
      <c r="B1928" s="19" t="s">
        <v>845</v>
      </c>
      <c r="C1928" s="109" t="n">
        <v>45854</v>
      </c>
      <c r="D1928" s="108" t="n">
        <v>30</v>
      </c>
      <c r="E1928" s="108" t="n">
        <v>1020</v>
      </c>
      <c r="F1928" s="10" t="s">
        <v>225</v>
      </c>
      <c r="G1928" s="19"/>
    </row>
    <row r="1929" customFormat="false" ht="15" hidden="false" customHeight="true" outlineLevel="0" collapsed="false">
      <c r="A1929" s="19" t="n">
        <v>852</v>
      </c>
      <c r="B1929" s="19" t="s">
        <v>539</v>
      </c>
      <c r="C1929" s="109" t="n">
        <v>45854</v>
      </c>
      <c r="D1929" s="108" t="n">
        <v>74</v>
      </c>
      <c r="E1929" s="108" t="n">
        <v>3400</v>
      </c>
      <c r="F1929" s="10" t="s">
        <v>225</v>
      </c>
      <c r="G1929" s="19"/>
    </row>
    <row r="1930" customFormat="false" ht="15" hidden="false" customHeight="true" outlineLevel="0" collapsed="false">
      <c r="A1930" s="19" t="n">
        <v>270457</v>
      </c>
      <c r="B1930" s="19" t="s">
        <v>252</v>
      </c>
      <c r="C1930" s="109" t="n">
        <v>45854</v>
      </c>
      <c r="D1930" s="108" t="n">
        <v>100</v>
      </c>
      <c r="E1930" s="108" t="n">
        <v>680</v>
      </c>
      <c r="F1930" s="10" t="s">
        <v>225</v>
      </c>
      <c r="G1930" s="19"/>
    </row>
    <row r="1931" customFormat="false" ht="15" hidden="false" customHeight="true" outlineLevel="0" collapsed="false">
      <c r="A1931" s="19" t="n">
        <v>270458</v>
      </c>
      <c r="B1931" s="19" t="s">
        <v>617</v>
      </c>
      <c r="C1931" s="109" t="n">
        <v>45854</v>
      </c>
      <c r="D1931" s="108" t="n">
        <v>105</v>
      </c>
      <c r="E1931" s="108" t="n">
        <v>330</v>
      </c>
      <c r="F1931" s="10" t="s">
        <v>225</v>
      </c>
      <c r="G1931" s="19"/>
    </row>
    <row r="1932" customFormat="false" ht="15" hidden="false" customHeight="true" outlineLevel="0" collapsed="false">
      <c r="A1932" s="19" t="n">
        <v>270458</v>
      </c>
      <c r="B1932" s="19" t="s">
        <v>617</v>
      </c>
      <c r="C1932" s="109" t="n">
        <v>45854</v>
      </c>
      <c r="D1932" s="108" t="n">
        <v>105</v>
      </c>
      <c r="E1932" s="108" t="n">
        <v>330</v>
      </c>
      <c r="F1932" s="10" t="s">
        <v>225</v>
      </c>
      <c r="G1932" s="19"/>
    </row>
    <row r="1933" customFormat="false" ht="15" hidden="false" customHeight="true" outlineLevel="0" collapsed="false">
      <c r="A1933" s="19" t="n">
        <v>845</v>
      </c>
      <c r="B1933" s="19" t="s">
        <v>846</v>
      </c>
      <c r="C1933" s="109" t="n">
        <v>45854</v>
      </c>
      <c r="D1933" s="108" t="n">
        <v>110</v>
      </c>
      <c r="E1933" s="108" t="n">
        <v>272</v>
      </c>
      <c r="F1933" s="10" t="s">
        <v>225</v>
      </c>
      <c r="G1933" s="19"/>
    </row>
    <row r="1934" customFormat="false" ht="15" hidden="false" customHeight="true" outlineLevel="0" collapsed="false">
      <c r="A1934" s="19" t="n">
        <v>270465</v>
      </c>
      <c r="B1934" s="19" t="s">
        <v>283</v>
      </c>
      <c r="C1934" s="109" t="n">
        <v>45854</v>
      </c>
      <c r="D1934" s="108" t="n">
        <v>110</v>
      </c>
      <c r="E1934" s="108" t="n">
        <v>4000</v>
      </c>
      <c r="F1934" s="10" t="s">
        <v>225</v>
      </c>
      <c r="G1934" s="19"/>
    </row>
    <row r="1935" customFormat="false" ht="15" hidden="false" customHeight="true" outlineLevel="0" collapsed="false">
      <c r="A1935" s="19" t="n">
        <v>270465</v>
      </c>
      <c r="B1935" s="19" t="s">
        <v>283</v>
      </c>
      <c r="C1935" s="109" t="n">
        <v>45854</v>
      </c>
      <c r="D1935" s="108" t="n">
        <v>125</v>
      </c>
      <c r="E1935" s="108" t="n">
        <v>6000</v>
      </c>
      <c r="F1935" s="10" t="s">
        <v>225</v>
      </c>
      <c r="G1935" s="19"/>
    </row>
    <row r="1936" customFormat="false" ht="15" hidden="false" customHeight="true" outlineLevel="0" collapsed="false">
      <c r="A1936" s="19" t="n">
        <v>270457</v>
      </c>
      <c r="B1936" s="19" t="s">
        <v>252</v>
      </c>
      <c r="C1936" s="109" t="n">
        <v>45854</v>
      </c>
      <c r="D1936" s="108" t="n">
        <v>35</v>
      </c>
      <c r="E1936" s="108" t="n">
        <v>600</v>
      </c>
      <c r="F1936" s="108" t="s">
        <v>262</v>
      </c>
      <c r="G1936" s="19"/>
    </row>
    <row r="1937" customFormat="false" ht="15" hidden="false" customHeight="true" outlineLevel="0" collapsed="false">
      <c r="A1937" s="19" t="n">
        <v>270459</v>
      </c>
      <c r="B1937" s="19" t="s">
        <v>447</v>
      </c>
      <c r="C1937" s="109" t="n">
        <v>45854</v>
      </c>
      <c r="D1937" s="108" t="n">
        <v>73</v>
      </c>
      <c r="E1937" s="108" t="n">
        <v>510</v>
      </c>
      <c r="F1937" s="108" t="s">
        <v>223</v>
      </c>
      <c r="G1937" s="19"/>
    </row>
    <row r="1938" customFormat="false" ht="15" hidden="false" customHeight="true" outlineLevel="0" collapsed="false">
      <c r="A1938" s="19" t="n">
        <v>270456</v>
      </c>
      <c r="B1938" s="19" t="s">
        <v>847</v>
      </c>
      <c r="C1938" s="109" t="n">
        <v>45854</v>
      </c>
      <c r="D1938" s="108" t="n">
        <v>75</v>
      </c>
      <c r="E1938" s="108" t="n">
        <v>153</v>
      </c>
      <c r="F1938" s="108" t="s">
        <v>223</v>
      </c>
      <c r="G1938" s="19"/>
    </row>
    <row r="1939" customFormat="false" ht="15" hidden="false" customHeight="true" outlineLevel="0" collapsed="false">
      <c r="A1939" s="19" t="n">
        <v>847</v>
      </c>
      <c r="B1939" s="19" t="s">
        <v>642</v>
      </c>
      <c r="C1939" s="109" t="n">
        <v>45854</v>
      </c>
      <c r="D1939" s="108" t="n">
        <v>210</v>
      </c>
      <c r="E1939" s="108" t="n">
        <v>2835</v>
      </c>
      <c r="F1939" s="10" t="s">
        <v>227</v>
      </c>
      <c r="G1939" s="19"/>
    </row>
    <row r="1940" customFormat="false" ht="15" hidden="false" customHeight="true" outlineLevel="0" collapsed="false">
      <c r="A1940" s="19" t="n">
        <v>850</v>
      </c>
      <c r="B1940" s="19" t="s">
        <v>247</v>
      </c>
      <c r="C1940" s="109" t="n">
        <v>45854</v>
      </c>
      <c r="D1940" s="108" t="n">
        <v>210</v>
      </c>
      <c r="E1940" s="108" t="n">
        <v>2100</v>
      </c>
      <c r="F1940" s="10" t="s">
        <v>225</v>
      </c>
      <c r="G1940" s="19"/>
    </row>
    <row r="1941" customFormat="false" ht="15" hidden="false" customHeight="true" outlineLevel="0" collapsed="false">
      <c r="A1941" s="19" t="n">
        <v>841</v>
      </c>
      <c r="B1941" s="19" t="s">
        <v>237</v>
      </c>
      <c r="C1941" s="109" t="n">
        <v>45854</v>
      </c>
      <c r="D1941" s="108" t="n">
        <v>210</v>
      </c>
      <c r="E1941" s="108" t="n">
        <v>215</v>
      </c>
      <c r="F1941" s="10" t="s">
        <v>225</v>
      </c>
      <c r="G1941" s="19"/>
    </row>
    <row r="1942" customFormat="false" ht="15" hidden="false" customHeight="true" outlineLevel="0" collapsed="false">
      <c r="A1942" s="19" t="n">
        <v>848</v>
      </c>
      <c r="B1942" s="19" t="s">
        <v>848</v>
      </c>
      <c r="C1942" s="109" t="n">
        <v>45854</v>
      </c>
      <c r="D1942" s="108" t="n">
        <v>210</v>
      </c>
      <c r="E1942" s="108" t="n">
        <v>2100</v>
      </c>
      <c r="F1942" s="10" t="s">
        <v>225</v>
      </c>
      <c r="G1942" s="19"/>
    </row>
    <row r="1943" customFormat="false" ht="15" hidden="false" customHeight="true" outlineLevel="0" collapsed="false">
      <c r="A1943" s="19" t="n">
        <v>846</v>
      </c>
      <c r="B1943" s="19" t="s">
        <v>321</v>
      </c>
      <c r="C1943" s="109" t="n">
        <v>45854</v>
      </c>
      <c r="D1943" s="108" t="n">
        <v>220</v>
      </c>
      <c r="E1943" s="108" t="n">
        <v>1506</v>
      </c>
      <c r="F1943" s="10" t="s">
        <v>225</v>
      </c>
      <c r="G1943" s="19"/>
    </row>
    <row r="1944" customFormat="false" ht="15" hidden="false" customHeight="true" outlineLevel="0" collapsed="false">
      <c r="A1944" s="19" t="n">
        <v>853</v>
      </c>
      <c r="B1944" s="19" t="s">
        <v>589</v>
      </c>
      <c r="C1944" s="109" t="n">
        <v>45855</v>
      </c>
      <c r="D1944" s="108" t="n">
        <v>60</v>
      </c>
      <c r="E1944" s="108" t="n">
        <v>2040</v>
      </c>
      <c r="F1944" s="10" t="s">
        <v>225</v>
      </c>
      <c r="G1944" s="19"/>
    </row>
    <row r="1945" customFormat="false" ht="15" hidden="false" customHeight="true" outlineLevel="0" collapsed="false">
      <c r="A1945" s="19" t="n">
        <v>864</v>
      </c>
      <c r="B1945" s="19" t="s">
        <v>242</v>
      </c>
      <c r="C1945" s="109" t="n">
        <v>45855</v>
      </c>
      <c r="D1945" s="108" t="n">
        <v>60</v>
      </c>
      <c r="E1945" s="108" t="n">
        <v>350</v>
      </c>
      <c r="F1945" s="10" t="s">
        <v>225</v>
      </c>
      <c r="G1945" s="19"/>
    </row>
    <row r="1946" customFormat="false" ht="15" hidden="false" customHeight="true" outlineLevel="0" collapsed="false">
      <c r="A1946" s="19" t="n">
        <v>861</v>
      </c>
      <c r="B1946" s="19" t="s">
        <v>481</v>
      </c>
      <c r="C1946" s="109" t="n">
        <v>45855</v>
      </c>
      <c r="D1946" s="108" t="n">
        <v>85</v>
      </c>
      <c r="E1946" s="108" t="n">
        <v>3000</v>
      </c>
      <c r="F1946" s="10" t="s">
        <v>225</v>
      </c>
      <c r="G1946" s="19"/>
    </row>
    <row r="1947" customFormat="false" ht="15" hidden="false" customHeight="true" outlineLevel="0" collapsed="false">
      <c r="A1947" s="19" t="n">
        <v>868</v>
      </c>
      <c r="B1947" s="19" t="s">
        <v>389</v>
      </c>
      <c r="C1947" s="109" t="n">
        <v>45855</v>
      </c>
      <c r="D1947" s="108" t="n">
        <v>95</v>
      </c>
      <c r="E1947" s="108" t="n">
        <v>4300</v>
      </c>
      <c r="F1947" s="10" t="s">
        <v>225</v>
      </c>
      <c r="G1947" s="19" t="s">
        <v>232</v>
      </c>
    </row>
    <row r="1948" customFormat="false" ht="15" hidden="false" customHeight="true" outlineLevel="0" collapsed="false">
      <c r="A1948" s="19" t="n">
        <v>851</v>
      </c>
      <c r="B1948" s="19" t="s">
        <v>849</v>
      </c>
      <c r="C1948" s="109" t="n">
        <v>45855</v>
      </c>
      <c r="D1948" s="108" t="n">
        <v>130</v>
      </c>
      <c r="E1948" s="108" t="n">
        <v>900</v>
      </c>
      <c r="F1948" s="10" t="s">
        <v>225</v>
      </c>
      <c r="G1948" s="19"/>
    </row>
    <row r="1949" customFormat="false" ht="15" hidden="false" customHeight="true" outlineLevel="0" collapsed="false">
      <c r="A1949" s="19" t="n">
        <v>857</v>
      </c>
      <c r="B1949" s="19" t="s">
        <v>258</v>
      </c>
      <c r="C1949" s="109" t="n">
        <v>45855</v>
      </c>
      <c r="D1949" s="108" t="n">
        <v>130</v>
      </c>
      <c r="E1949" s="108" t="n">
        <v>560</v>
      </c>
      <c r="F1949" s="10" t="s">
        <v>225</v>
      </c>
      <c r="G1949" s="19"/>
    </row>
    <row r="1950" customFormat="false" ht="15" hidden="false" customHeight="true" outlineLevel="0" collapsed="false">
      <c r="A1950" s="19" t="n">
        <v>861</v>
      </c>
      <c r="B1950" s="19" t="s">
        <v>481</v>
      </c>
      <c r="C1950" s="109" t="n">
        <v>45855</v>
      </c>
      <c r="D1950" s="108" t="n">
        <v>130</v>
      </c>
      <c r="E1950" s="108" t="n">
        <v>3000</v>
      </c>
      <c r="F1950" s="10" t="s">
        <v>225</v>
      </c>
      <c r="G1950" s="19"/>
    </row>
    <row r="1951" customFormat="false" ht="15" hidden="false" customHeight="true" outlineLevel="0" collapsed="false">
      <c r="A1951" s="19" t="n">
        <v>869</v>
      </c>
      <c r="B1951" s="19" t="s">
        <v>389</v>
      </c>
      <c r="C1951" s="109" t="n">
        <v>45855</v>
      </c>
      <c r="D1951" s="108" t="n">
        <v>148</v>
      </c>
      <c r="E1951" s="108" t="n">
        <v>1620</v>
      </c>
      <c r="F1951" s="10" t="s">
        <v>225</v>
      </c>
      <c r="G1951" s="19" t="s">
        <v>232</v>
      </c>
    </row>
    <row r="1952" customFormat="false" ht="15" hidden="false" customHeight="true" outlineLevel="0" collapsed="false">
      <c r="A1952" s="19" t="n">
        <v>270462</v>
      </c>
      <c r="B1952" s="19" t="s">
        <v>288</v>
      </c>
      <c r="C1952" s="109" t="n">
        <v>45855</v>
      </c>
      <c r="D1952" s="108" t="n">
        <v>110</v>
      </c>
      <c r="E1952" s="108" t="n">
        <v>1000</v>
      </c>
      <c r="F1952" s="10" t="s">
        <v>229</v>
      </c>
      <c r="G1952" s="19"/>
    </row>
    <row r="1953" customFormat="false" ht="15" hidden="false" customHeight="true" outlineLevel="0" collapsed="false">
      <c r="A1953" s="19" t="n">
        <v>270454</v>
      </c>
      <c r="B1953" s="19" t="s">
        <v>850</v>
      </c>
      <c r="C1953" s="109" t="n">
        <v>45855</v>
      </c>
      <c r="D1953" s="108" t="n">
        <v>55</v>
      </c>
      <c r="E1953" s="108" t="n">
        <v>255</v>
      </c>
      <c r="F1953" s="10" t="s">
        <v>227</v>
      </c>
      <c r="G1953" s="19"/>
    </row>
    <row r="1954" customFormat="false" ht="15" hidden="false" customHeight="true" outlineLevel="0" collapsed="false">
      <c r="A1954" s="19" t="n">
        <v>863</v>
      </c>
      <c r="B1954" s="19" t="s">
        <v>851</v>
      </c>
      <c r="C1954" s="109" t="n">
        <v>45855</v>
      </c>
      <c r="D1954" s="108" t="n">
        <v>110</v>
      </c>
      <c r="E1954" s="108" t="n">
        <v>2720</v>
      </c>
      <c r="F1954" s="10" t="s">
        <v>229</v>
      </c>
      <c r="G1954" s="19"/>
    </row>
    <row r="1955" customFormat="false" ht="15" hidden="false" customHeight="true" outlineLevel="0" collapsed="false">
      <c r="A1955" s="19" t="n">
        <v>849</v>
      </c>
      <c r="B1955" s="19" t="s">
        <v>852</v>
      </c>
      <c r="C1955" s="109" t="n">
        <v>45855</v>
      </c>
      <c r="D1955" s="108" t="n">
        <v>125</v>
      </c>
      <c r="E1955" s="108" t="n">
        <v>464</v>
      </c>
      <c r="F1955" s="10" t="s">
        <v>229</v>
      </c>
      <c r="G1955" s="19"/>
    </row>
    <row r="1956" customFormat="false" ht="15" hidden="false" customHeight="true" outlineLevel="0" collapsed="false">
      <c r="A1956" s="19" t="n">
        <v>270466</v>
      </c>
      <c r="B1956" s="19" t="s">
        <v>297</v>
      </c>
      <c r="C1956" s="109" t="n">
        <v>45855</v>
      </c>
      <c r="D1956" s="108" t="n">
        <v>50</v>
      </c>
      <c r="E1956" s="108" t="n">
        <v>450</v>
      </c>
      <c r="F1956" s="108" t="s">
        <v>262</v>
      </c>
      <c r="G1956" s="19"/>
    </row>
    <row r="1957" customFormat="false" ht="15" hidden="false" customHeight="true" outlineLevel="0" collapsed="false">
      <c r="A1957" s="19" t="n">
        <v>865</v>
      </c>
      <c r="B1957" s="19" t="s">
        <v>734</v>
      </c>
      <c r="C1957" s="109" t="n">
        <v>45855</v>
      </c>
      <c r="D1957" s="108" t="n">
        <v>210</v>
      </c>
      <c r="E1957" s="108" t="n">
        <v>210</v>
      </c>
      <c r="F1957" s="10" t="s">
        <v>225</v>
      </c>
      <c r="G1957" s="19"/>
    </row>
    <row r="1958" customFormat="false" ht="15" hidden="false" customHeight="true" outlineLevel="0" collapsed="false">
      <c r="A1958" s="19" t="n">
        <v>862</v>
      </c>
      <c r="B1958" s="19" t="s">
        <v>466</v>
      </c>
      <c r="C1958" s="109" t="n">
        <v>45856</v>
      </c>
      <c r="D1958" s="108" t="n">
        <v>210</v>
      </c>
      <c r="E1958" s="108" t="n">
        <v>415</v>
      </c>
      <c r="F1958" s="10" t="s">
        <v>236</v>
      </c>
      <c r="G1958" s="19"/>
    </row>
    <row r="1959" customFormat="false" ht="15" hidden="false" customHeight="true" outlineLevel="0" collapsed="false">
      <c r="A1959" s="19" t="n">
        <v>867</v>
      </c>
      <c r="B1959" s="19" t="s">
        <v>567</v>
      </c>
      <c r="C1959" s="109" t="n">
        <v>45856</v>
      </c>
      <c r="D1959" s="108" t="n">
        <v>105</v>
      </c>
      <c r="E1959" s="108" t="n">
        <v>1260</v>
      </c>
      <c r="F1959" s="10" t="s">
        <v>227</v>
      </c>
      <c r="G1959" s="19"/>
    </row>
    <row r="1960" customFormat="false" ht="15" hidden="false" customHeight="true" outlineLevel="0" collapsed="false">
      <c r="A1960" s="19" t="n">
        <v>874</v>
      </c>
      <c r="B1960" s="19" t="s">
        <v>514</v>
      </c>
      <c r="C1960" s="109" t="n">
        <v>45860</v>
      </c>
      <c r="D1960" s="108" t="n">
        <v>35</v>
      </c>
      <c r="E1960" s="108" t="n">
        <v>1700</v>
      </c>
      <c r="F1960" s="10" t="s">
        <v>225</v>
      </c>
      <c r="G1960" s="19"/>
    </row>
    <row r="1961" customFormat="false" ht="15" hidden="false" customHeight="true" outlineLevel="0" collapsed="false">
      <c r="A1961" s="19" t="n">
        <v>877</v>
      </c>
      <c r="B1961" s="19" t="s">
        <v>742</v>
      </c>
      <c r="C1961" s="109" t="n">
        <v>45860</v>
      </c>
      <c r="D1961" s="108" t="n">
        <v>65</v>
      </c>
      <c r="E1961" s="108" t="n">
        <v>860</v>
      </c>
      <c r="F1961" s="10" t="s">
        <v>225</v>
      </c>
      <c r="G1961" s="19"/>
    </row>
    <row r="1962" customFormat="false" ht="15" hidden="false" customHeight="true" outlineLevel="0" collapsed="false">
      <c r="A1962" s="19" t="n">
        <v>877</v>
      </c>
      <c r="B1962" s="19" t="s">
        <v>742</v>
      </c>
      <c r="C1962" s="109" t="n">
        <v>45860</v>
      </c>
      <c r="D1962" s="108" t="n">
        <v>90</v>
      </c>
      <c r="E1962" s="108" t="n">
        <v>1050</v>
      </c>
      <c r="F1962" s="10" t="s">
        <v>225</v>
      </c>
      <c r="G1962" s="19"/>
    </row>
    <row r="1963" customFormat="false" ht="15" hidden="false" customHeight="true" outlineLevel="0" collapsed="false">
      <c r="A1963" s="19" t="n">
        <v>871</v>
      </c>
      <c r="B1963" s="19" t="s">
        <v>791</v>
      </c>
      <c r="C1963" s="109" t="n">
        <v>45860</v>
      </c>
      <c r="D1963" s="108" t="n">
        <v>100</v>
      </c>
      <c r="E1963" s="108" t="n">
        <v>240</v>
      </c>
      <c r="F1963" s="10" t="s">
        <v>225</v>
      </c>
      <c r="G1963" s="19"/>
    </row>
    <row r="1964" customFormat="false" ht="15" hidden="false" customHeight="true" outlineLevel="0" collapsed="false">
      <c r="A1964" s="19" t="n">
        <v>270468</v>
      </c>
      <c r="B1964" s="19" t="s">
        <v>654</v>
      </c>
      <c r="C1964" s="109" t="n">
        <v>45860</v>
      </c>
      <c r="D1964" s="108" t="n">
        <v>100</v>
      </c>
      <c r="E1964" s="108" t="n">
        <v>750</v>
      </c>
      <c r="F1964" s="10" t="s">
        <v>225</v>
      </c>
      <c r="G1964" s="19"/>
    </row>
    <row r="1965" customFormat="false" ht="15" hidden="false" customHeight="true" outlineLevel="0" collapsed="false">
      <c r="A1965" s="19" t="n">
        <v>877</v>
      </c>
      <c r="B1965" s="19" t="s">
        <v>742</v>
      </c>
      <c r="C1965" s="109" t="n">
        <v>45860</v>
      </c>
      <c r="D1965" s="108" t="n">
        <v>105</v>
      </c>
      <c r="E1965" s="108" t="n">
        <v>10333</v>
      </c>
      <c r="F1965" s="10" t="s">
        <v>225</v>
      </c>
      <c r="G1965" s="19"/>
    </row>
    <row r="1966" customFormat="false" ht="15" hidden="false" customHeight="true" outlineLevel="0" collapsed="false">
      <c r="A1966" s="19" t="n">
        <v>270475</v>
      </c>
      <c r="B1966" s="19" t="s">
        <v>783</v>
      </c>
      <c r="C1966" s="109" t="n">
        <v>45860</v>
      </c>
      <c r="D1966" s="108" t="n">
        <v>105</v>
      </c>
      <c r="E1966" s="108" t="n">
        <v>420</v>
      </c>
      <c r="F1966" s="10" t="s">
        <v>225</v>
      </c>
      <c r="G1966" s="19"/>
    </row>
    <row r="1967" customFormat="false" ht="15" hidden="false" customHeight="true" outlineLevel="0" collapsed="false">
      <c r="A1967" s="19" t="n">
        <v>858</v>
      </c>
      <c r="B1967" s="19" t="s">
        <v>539</v>
      </c>
      <c r="C1967" s="109" t="n">
        <v>45860</v>
      </c>
      <c r="D1967" s="108" t="n">
        <v>105</v>
      </c>
      <c r="E1967" s="108" t="n">
        <v>4800</v>
      </c>
      <c r="F1967" s="10" t="s">
        <v>225</v>
      </c>
      <c r="G1967" s="19"/>
    </row>
    <row r="1968" customFormat="false" ht="15" hidden="false" customHeight="true" outlineLevel="0" collapsed="false">
      <c r="A1968" s="19" t="n">
        <v>877</v>
      </c>
      <c r="B1968" s="19" t="s">
        <v>742</v>
      </c>
      <c r="C1968" s="109" t="n">
        <v>45860</v>
      </c>
      <c r="D1968" s="108" t="n">
        <v>110</v>
      </c>
      <c r="E1968" s="108" t="n">
        <v>950</v>
      </c>
      <c r="F1968" s="10" t="s">
        <v>225</v>
      </c>
      <c r="G1968" s="19"/>
    </row>
    <row r="1969" customFormat="false" ht="15" hidden="false" customHeight="true" outlineLevel="0" collapsed="false">
      <c r="A1969" s="19" t="n">
        <v>877</v>
      </c>
      <c r="B1969" s="19" t="s">
        <v>742</v>
      </c>
      <c r="C1969" s="109" t="n">
        <v>45860</v>
      </c>
      <c r="D1969" s="108" t="n">
        <v>130</v>
      </c>
      <c r="E1969" s="108" t="n">
        <v>4650</v>
      </c>
      <c r="F1969" s="10" t="s">
        <v>225</v>
      </c>
      <c r="G1969" s="19"/>
    </row>
    <row r="1970" customFormat="false" ht="15" hidden="false" customHeight="true" outlineLevel="0" collapsed="false">
      <c r="A1970" s="19" t="n">
        <v>270474</v>
      </c>
      <c r="B1970" s="19" t="s">
        <v>429</v>
      </c>
      <c r="C1970" s="109" t="n">
        <v>45860</v>
      </c>
      <c r="D1970" s="108" t="n">
        <v>140</v>
      </c>
      <c r="E1970" s="108" t="n">
        <v>1500</v>
      </c>
      <c r="F1970" s="10" t="s">
        <v>225</v>
      </c>
      <c r="G1970" s="19"/>
    </row>
    <row r="1971" customFormat="false" ht="15" hidden="false" customHeight="true" outlineLevel="0" collapsed="false">
      <c r="A1971" s="19" t="n">
        <v>872</v>
      </c>
      <c r="B1971" s="19" t="s">
        <v>430</v>
      </c>
      <c r="C1971" s="109" t="n">
        <v>45860</v>
      </c>
      <c r="D1971" s="108" t="n">
        <v>155</v>
      </c>
      <c r="E1971" s="108" t="n">
        <v>225</v>
      </c>
      <c r="F1971" s="10" t="s">
        <v>225</v>
      </c>
      <c r="G1971" s="19"/>
    </row>
    <row r="1972" customFormat="false" ht="15" hidden="false" customHeight="true" outlineLevel="0" collapsed="false">
      <c r="A1972" s="19" t="n">
        <v>877</v>
      </c>
      <c r="B1972" s="19" t="s">
        <v>742</v>
      </c>
      <c r="C1972" s="109" t="n">
        <v>45860</v>
      </c>
      <c r="D1972" s="108" t="n">
        <v>65</v>
      </c>
      <c r="E1972" s="108" t="n">
        <v>1720</v>
      </c>
      <c r="F1972" s="10" t="s">
        <v>227</v>
      </c>
      <c r="G1972" s="19"/>
    </row>
    <row r="1973" customFormat="false" ht="15" hidden="false" customHeight="true" outlineLevel="0" collapsed="false">
      <c r="A1973" s="19" t="n">
        <v>874</v>
      </c>
      <c r="B1973" s="19" t="s">
        <v>514</v>
      </c>
      <c r="C1973" s="109" t="n">
        <v>45860</v>
      </c>
      <c r="D1973" s="108" t="n">
        <v>100</v>
      </c>
      <c r="E1973" s="108" t="n">
        <v>550</v>
      </c>
      <c r="F1973" s="108" t="s">
        <v>227</v>
      </c>
      <c r="G1973" s="19"/>
    </row>
    <row r="1974" customFormat="false" ht="15" hidden="false" customHeight="true" outlineLevel="0" collapsed="false">
      <c r="A1974" s="19" t="n">
        <v>873</v>
      </c>
      <c r="B1974" s="19" t="s">
        <v>664</v>
      </c>
      <c r="C1974" s="109" t="n">
        <v>45860</v>
      </c>
      <c r="D1974" s="108" t="n">
        <v>110</v>
      </c>
      <c r="E1974" s="108" t="n">
        <v>324</v>
      </c>
      <c r="F1974" s="108" t="s">
        <v>227</v>
      </c>
      <c r="G1974" s="19"/>
    </row>
    <row r="1975" customFormat="false" ht="15" hidden="false" customHeight="true" outlineLevel="0" collapsed="false">
      <c r="A1975" s="19" t="n">
        <v>873</v>
      </c>
      <c r="B1975" s="19" t="s">
        <v>664</v>
      </c>
      <c r="C1975" s="109" t="n">
        <v>45860</v>
      </c>
      <c r="D1975" s="108" t="n">
        <v>120</v>
      </c>
      <c r="E1975" s="108" t="n">
        <v>750</v>
      </c>
      <c r="F1975" s="108" t="s">
        <v>227</v>
      </c>
      <c r="G1975" s="19"/>
    </row>
    <row r="1976" customFormat="false" ht="15" hidden="false" customHeight="true" outlineLevel="0" collapsed="false">
      <c r="A1976" s="19" t="n">
        <v>877</v>
      </c>
      <c r="B1976" s="19" t="s">
        <v>742</v>
      </c>
      <c r="C1976" s="109" t="n">
        <v>45860</v>
      </c>
      <c r="D1976" s="108" t="n">
        <v>105</v>
      </c>
      <c r="E1976" s="108" t="n">
        <v>9000</v>
      </c>
      <c r="F1976" s="10" t="s">
        <v>248</v>
      </c>
      <c r="G1976" s="19"/>
    </row>
    <row r="1977" customFormat="false" ht="15" hidden="false" customHeight="true" outlineLevel="0" collapsed="false">
      <c r="A1977" s="19" t="n">
        <v>876</v>
      </c>
      <c r="B1977" s="19" t="s">
        <v>505</v>
      </c>
      <c r="C1977" s="109" t="n">
        <v>45860</v>
      </c>
      <c r="D1977" s="108" t="n">
        <v>210</v>
      </c>
      <c r="E1977" s="108" t="n">
        <v>3100</v>
      </c>
      <c r="F1977" s="10" t="s">
        <v>225</v>
      </c>
      <c r="G1977" s="19"/>
    </row>
    <row r="1978" customFormat="false" ht="15" hidden="false" customHeight="true" outlineLevel="0" collapsed="false">
      <c r="A1978" s="19" t="n">
        <v>875</v>
      </c>
      <c r="B1978" s="19" t="s">
        <v>268</v>
      </c>
      <c r="C1978" s="109" t="n">
        <v>45860</v>
      </c>
      <c r="D1978" s="108" t="n">
        <v>210</v>
      </c>
      <c r="E1978" s="108" t="n">
        <v>451</v>
      </c>
      <c r="F1978" s="10" t="s">
        <v>225</v>
      </c>
      <c r="G1978" s="19"/>
    </row>
    <row r="1979" customFormat="false" ht="15" hidden="false" customHeight="true" outlineLevel="0" collapsed="false">
      <c r="A1979" s="19" t="n">
        <v>859</v>
      </c>
      <c r="B1979" s="19" t="s">
        <v>268</v>
      </c>
      <c r="C1979" s="109" t="n">
        <v>45860</v>
      </c>
      <c r="D1979" s="108" t="n">
        <v>210</v>
      </c>
      <c r="E1979" s="108" t="n">
        <v>1300</v>
      </c>
      <c r="F1979" s="10" t="s">
        <v>225</v>
      </c>
      <c r="G1979" s="19"/>
    </row>
    <row r="1980" customFormat="false" ht="15" hidden="false" customHeight="true" outlineLevel="0" collapsed="false">
      <c r="A1980" s="19" t="n">
        <v>860</v>
      </c>
      <c r="B1980" s="19" t="s">
        <v>268</v>
      </c>
      <c r="C1980" s="109" t="n">
        <v>45860</v>
      </c>
      <c r="D1980" s="108" t="n">
        <v>210</v>
      </c>
      <c r="E1980" s="108" t="n">
        <v>2400</v>
      </c>
      <c r="F1980" s="10" t="s">
        <v>225</v>
      </c>
      <c r="G1980" s="19"/>
    </row>
    <row r="1981" customFormat="false" ht="15" hidden="false" customHeight="true" outlineLevel="0" collapsed="false">
      <c r="A1981" s="19" t="n">
        <v>886</v>
      </c>
      <c r="B1981" s="19" t="s">
        <v>651</v>
      </c>
      <c r="C1981" s="109" t="n">
        <v>45862</v>
      </c>
      <c r="D1981" s="108" t="n">
        <v>45</v>
      </c>
      <c r="E1981" s="108" t="n">
        <v>39</v>
      </c>
      <c r="F1981" s="10" t="s">
        <v>225</v>
      </c>
      <c r="G1981" s="19"/>
    </row>
    <row r="1982" customFormat="false" ht="15" hidden="false" customHeight="true" outlineLevel="0" collapsed="false">
      <c r="A1982" s="19" t="n">
        <v>881</v>
      </c>
      <c r="B1982" s="19" t="s">
        <v>340</v>
      </c>
      <c r="C1982" s="109" t="n">
        <v>45862</v>
      </c>
      <c r="D1982" s="108" t="n">
        <v>100</v>
      </c>
      <c r="E1982" s="108" t="n">
        <v>3810</v>
      </c>
      <c r="F1982" s="10" t="s">
        <v>225</v>
      </c>
      <c r="G1982" s="19"/>
    </row>
    <row r="1983" customFormat="false" ht="15" hidden="false" customHeight="true" outlineLevel="0" collapsed="false">
      <c r="A1983" s="19" t="n">
        <v>884</v>
      </c>
      <c r="B1983" s="19" t="s">
        <v>628</v>
      </c>
      <c r="C1983" s="109" t="n">
        <v>45862</v>
      </c>
      <c r="D1983" s="108" t="n">
        <v>105</v>
      </c>
      <c r="E1983" s="108" t="n">
        <v>1100</v>
      </c>
      <c r="F1983" s="10" t="s">
        <v>225</v>
      </c>
      <c r="G1983" s="19"/>
    </row>
    <row r="1984" customFormat="false" ht="15" hidden="false" customHeight="true" outlineLevel="0" collapsed="false">
      <c r="A1984" s="19" t="n">
        <v>270481</v>
      </c>
      <c r="B1984" s="19" t="s">
        <v>257</v>
      </c>
      <c r="C1984" s="109" t="n">
        <v>45862</v>
      </c>
      <c r="D1984" s="108" t="n">
        <v>130</v>
      </c>
      <c r="E1984" s="108" t="n">
        <v>900</v>
      </c>
      <c r="F1984" s="10" t="s">
        <v>225</v>
      </c>
      <c r="G1984" s="19"/>
    </row>
    <row r="1985" customFormat="false" ht="15" hidden="false" customHeight="true" outlineLevel="0" collapsed="false">
      <c r="A1985" s="19" t="n">
        <v>834</v>
      </c>
      <c r="B1985" s="19" t="s">
        <v>350</v>
      </c>
      <c r="C1985" s="109" t="n">
        <v>45862</v>
      </c>
      <c r="D1985" s="108" t="n">
        <v>145</v>
      </c>
      <c r="E1985" s="108" t="n">
        <v>200</v>
      </c>
      <c r="F1985" s="10" t="s">
        <v>225</v>
      </c>
      <c r="G1985" s="19" t="s">
        <v>232</v>
      </c>
    </row>
    <row r="1986" customFormat="false" ht="15" hidden="false" customHeight="true" outlineLevel="0" collapsed="false">
      <c r="A1986" s="19" t="n">
        <v>891</v>
      </c>
      <c r="B1986" s="19" t="s">
        <v>250</v>
      </c>
      <c r="C1986" s="109" t="n">
        <v>45862</v>
      </c>
      <c r="D1986" s="108" t="n">
        <v>110</v>
      </c>
      <c r="E1986" s="108" t="n">
        <v>2400</v>
      </c>
      <c r="F1986" s="108" t="s">
        <v>227</v>
      </c>
      <c r="G1986" s="19"/>
    </row>
    <row r="1987" customFormat="false" ht="15" hidden="false" customHeight="true" outlineLevel="0" collapsed="false">
      <c r="A1987" s="19" t="n">
        <v>270478</v>
      </c>
      <c r="B1987" s="19" t="s">
        <v>513</v>
      </c>
      <c r="C1987" s="109" t="n">
        <v>45862</v>
      </c>
      <c r="D1987" s="108" t="n">
        <v>100</v>
      </c>
      <c r="E1987" s="108" t="n">
        <v>520</v>
      </c>
      <c r="F1987" s="108" t="s">
        <v>19</v>
      </c>
      <c r="G1987" s="19"/>
    </row>
    <row r="1988" customFormat="false" ht="15" hidden="false" customHeight="true" outlineLevel="0" collapsed="false">
      <c r="A1988" s="19" t="n">
        <v>885</v>
      </c>
      <c r="B1988" s="19" t="s">
        <v>549</v>
      </c>
      <c r="C1988" s="109" t="n">
        <v>45862</v>
      </c>
      <c r="D1988" s="108" t="n">
        <v>220</v>
      </c>
      <c r="E1988" s="108" t="n">
        <v>319</v>
      </c>
      <c r="F1988" s="10" t="s">
        <v>225</v>
      </c>
      <c r="G1988" s="19"/>
    </row>
    <row r="1989" customFormat="false" ht="15" hidden="false" customHeight="true" outlineLevel="0" collapsed="false">
      <c r="A1989" s="19" t="n">
        <v>270480</v>
      </c>
      <c r="B1989" s="19" t="s">
        <v>853</v>
      </c>
      <c r="C1989" s="109" t="n">
        <v>45862</v>
      </c>
      <c r="D1989" s="108" t="n">
        <v>250</v>
      </c>
      <c r="E1989" s="108" t="n">
        <v>74</v>
      </c>
      <c r="F1989" s="10" t="s">
        <v>236</v>
      </c>
      <c r="G1989" s="19"/>
    </row>
    <row r="1990" customFormat="false" ht="15" hidden="false" customHeight="true" outlineLevel="0" collapsed="false">
      <c r="A1990" s="19" t="n">
        <v>897</v>
      </c>
      <c r="B1990" s="19" t="s">
        <v>854</v>
      </c>
      <c r="C1990" s="109" t="n">
        <v>45863</v>
      </c>
      <c r="D1990" s="108" t="n">
        <v>210</v>
      </c>
      <c r="E1990" s="108" t="n">
        <v>186</v>
      </c>
      <c r="F1990" s="10" t="s">
        <v>236</v>
      </c>
      <c r="G1990" s="19"/>
    </row>
    <row r="1991" customFormat="false" ht="15" hidden="false" customHeight="true" outlineLevel="0" collapsed="false">
      <c r="A1991" s="19" t="n">
        <v>896</v>
      </c>
      <c r="B1991" s="19" t="s">
        <v>461</v>
      </c>
      <c r="C1991" s="109" t="n">
        <v>45863</v>
      </c>
      <c r="D1991" s="108" t="n">
        <v>70</v>
      </c>
      <c r="E1991" s="108" t="n">
        <v>408</v>
      </c>
      <c r="F1991" s="10" t="s">
        <v>225</v>
      </c>
      <c r="G1991" s="19" t="s">
        <v>232</v>
      </c>
    </row>
    <row r="1992" customFormat="false" ht="15" hidden="false" customHeight="true" outlineLevel="0" collapsed="false">
      <c r="A1992" s="19" t="n">
        <v>893</v>
      </c>
      <c r="B1992" s="19" t="s">
        <v>383</v>
      </c>
      <c r="C1992" s="109" t="n">
        <v>45863</v>
      </c>
      <c r="D1992" s="108" t="n">
        <v>80</v>
      </c>
      <c r="E1992" s="108" t="n">
        <v>760</v>
      </c>
      <c r="F1992" s="10" t="s">
        <v>225</v>
      </c>
      <c r="G1992" s="19"/>
    </row>
    <row r="1993" customFormat="false" ht="15" hidden="false" customHeight="true" outlineLevel="0" collapsed="false">
      <c r="A1993" s="19" t="n">
        <v>895</v>
      </c>
      <c r="B1993" s="19" t="s">
        <v>855</v>
      </c>
      <c r="C1993" s="109" t="n">
        <v>45863</v>
      </c>
      <c r="D1993" s="108" t="n">
        <v>100</v>
      </c>
      <c r="E1993" s="108" t="n">
        <v>50</v>
      </c>
      <c r="F1993" s="10" t="s">
        <v>225</v>
      </c>
      <c r="G1993" s="19"/>
    </row>
    <row r="1994" customFormat="false" ht="15" hidden="false" customHeight="true" outlineLevel="0" collapsed="false">
      <c r="A1994" s="19" t="n">
        <v>270488</v>
      </c>
      <c r="B1994" s="19" t="s">
        <v>544</v>
      </c>
      <c r="C1994" s="109" t="n">
        <v>45863</v>
      </c>
      <c r="D1994" s="108" t="n">
        <v>105</v>
      </c>
      <c r="E1994" s="108" t="n">
        <v>3150</v>
      </c>
      <c r="F1994" s="10" t="s">
        <v>225</v>
      </c>
      <c r="G1994" s="19"/>
    </row>
    <row r="1995" customFormat="false" ht="15" hidden="false" customHeight="true" outlineLevel="0" collapsed="false">
      <c r="A1995" s="19" t="n">
        <v>898</v>
      </c>
      <c r="B1995" s="19" t="s">
        <v>224</v>
      </c>
      <c r="C1995" s="109" t="n">
        <v>45863</v>
      </c>
      <c r="D1995" s="108" t="n">
        <v>105</v>
      </c>
      <c r="E1995" s="108" t="n">
        <v>2800</v>
      </c>
      <c r="F1995" s="10" t="s">
        <v>225</v>
      </c>
      <c r="G1995" s="19"/>
    </row>
    <row r="1996" customFormat="false" ht="15" hidden="false" customHeight="true" outlineLevel="0" collapsed="false">
      <c r="A1996" s="19" t="n">
        <v>896</v>
      </c>
      <c r="B1996" s="19" t="s">
        <v>461</v>
      </c>
      <c r="C1996" s="109" t="n">
        <v>45863</v>
      </c>
      <c r="D1996" s="108" t="n">
        <v>130</v>
      </c>
      <c r="E1996" s="108" t="n">
        <v>384</v>
      </c>
      <c r="F1996" s="10" t="s">
        <v>225</v>
      </c>
      <c r="G1996" s="19" t="s">
        <v>232</v>
      </c>
    </row>
    <row r="1997" customFormat="false" ht="15" hidden="false" customHeight="true" outlineLevel="0" collapsed="false">
      <c r="A1997" s="19" t="n">
        <v>270486</v>
      </c>
      <c r="B1997" s="19" t="s">
        <v>418</v>
      </c>
      <c r="C1997" s="109" t="n">
        <v>45863</v>
      </c>
      <c r="D1997" s="108" t="n">
        <v>130</v>
      </c>
      <c r="E1997" s="108" t="n">
        <v>1800</v>
      </c>
      <c r="F1997" s="10" t="s">
        <v>225</v>
      </c>
      <c r="G1997" s="19" t="s">
        <v>232</v>
      </c>
    </row>
    <row r="1998" customFormat="false" ht="15" hidden="false" customHeight="true" outlineLevel="0" collapsed="false">
      <c r="A1998" s="19" t="n">
        <v>898</v>
      </c>
      <c r="B1998" s="19" t="s">
        <v>224</v>
      </c>
      <c r="C1998" s="109" t="n">
        <v>45863</v>
      </c>
      <c r="D1998" s="108" t="n">
        <v>55</v>
      </c>
      <c r="E1998" s="108" t="n">
        <v>1380</v>
      </c>
      <c r="F1998" s="108" t="s">
        <v>856</v>
      </c>
      <c r="G1998" s="19"/>
    </row>
    <row r="1999" customFormat="false" ht="15" hidden="false" customHeight="true" outlineLevel="0" collapsed="false">
      <c r="A1999" s="19" t="n">
        <v>887</v>
      </c>
      <c r="B1999" s="19" t="s">
        <v>541</v>
      </c>
      <c r="C1999" s="109" t="n">
        <v>45863</v>
      </c>
      <c r="D1999" s="108" t="n">
        <v>100</v>
      </c>
      <c r="E1999" s="108" t="n">
        <v>1539</v>
      </c>
      <c r="F1999" s="10" t="s">
        <v>229</v>
      </c>
      <c r="G1999" s="19"/>
    </row>
    <row r="2000" customFormat="false" ht="15" hidden="false" customHeight="true" outlineLevel="0" collapsed="false">
      <c r="A2000" s="19" t="n">
        <v>892</v>
      </c>
      <c r="B2000" s="19" t="s">
        <v>472</v>
      </c>
      <c r="C2000" s="109" t="n">
        <v>45863</v>
      </c>
      <c r="D2000" s="108" t="n">
        <v>55</v>
      </c>
      <c r="E2000" s="108" t="n">
        <v>690</v>
      </c>
      <c r="F2000" s="108" t="s">
        <v>262</v>
      </c>
      <c r="G2000" s="19"/>
    </row>
    <row r="2001" customFormat="false" ht="15" hidden="false" customHeight="true" outlineLevel="0" collapsed="false">
      <c r="A2001" s="19" t="n">
        <v>898</v>
      </c>
      <c r="B2001" s="19" t="s">
        <v>224</v>
      </c>
      <c r="C2001" s="109" t="n">
        <v>45863</v>
      </c>
      <c r="D2001" s="108" t="n">
        <v>210</v>
      </c>
      <c r="E2001" s="108" t="n">
        <v>2988</v>
      </c>
      <c r="F2001" s="10" t="s">
        <v>225</v>
      </c>
      <c r="G2001" s="19"/>
    </row>
    <row r="2002" customFormat="false" ht="15" hidden="false" customHeight="true" outlineLevel="0" collapsed="false">
      <c r="A2002" s="19" t="n">
        <v>900</v>
      </c>
      <c r="B2002" s="19" t="s">
        <v>857</v>
      </c>
      <c r="C2002" s="109" t="n">
        <v>45867</v>
      </c>
      <c r="D2002" s="108" t="n">
        <v>110</v>
      </c>
      <c r="E2002" s="108" t="n">
        <v>11700</v>
      </c>
      <c r="F2002" s="10" t="s">
        <v>236</v>
      </c>
      <c r="G2002" s="19"/>
    </row>
    <row r="2003" customFormat="false" ht="15" hidden="false" customHeight="true" outlineLevel="0" collapsed="false">
      <c r="A2003" s="19" t="n">
        <v>903</v>
      </c>
      <c r="B2003" s="19" t="s">
        <v>242</v>
      </c>
      <c r="C2003" s="109" t="n">
        <v>45867</v>
      </c>
      <c r="D2003" s="108" t="n">
        <v>40</v>
      </c>
      <c r="E2003" s="108" t="n">
        <v>75</v>
      </c>
      <c r="F2003" s="10" t="s">
        <v>225</v>
      </c>
      <c r="G2003" s="19"/>
    </row>
    <row r="2004" customFormat="false" ht="15" hidden="false" customHeight="true" outlineLevel="0" collapsed="false">
      <c r="A2004" s="19" t="n">
        <v>901</v>
      </c>
      <c r="B2004" s="19" t="s">
        <v>858</v>
      </c>
      <c r="C2004" s="109" t="n">
        <v>45867</v>
      </c>
      <c r="D2004" s="108" t="n">
        <v>47</v>
      </c>
      <c r="E2004" s="108" t="n">
        <v>460</v>
      </c>
      <c r="F2004" s="10" t="s">
        <v>225</v>
      </c>
      <c r="G2004" s="19" t="s">
        <v>232</v>
      </c>
    </row>
    <row r="2005" customFormat="false" ht="15" hidden="false" customHeight="true" outlineLevel="0" collapsed="false">
      <c r="A2005" s="19" t="n">
        <v>270492</v>
      </c>
      <c r="B2005" s="19" t="s">
        <v>231</v>
      </c>
      <c r="C2005" s="109" t="n">
        <v>45867</v>
      </c>
      <c r="D2005" s="108" t="n">
        <v>105</v>
      </c>
      <c r="E2005" s="108" t="n">
        <v>2159</v>
      </c>
      <c r="F2005" s="10" t="s">
        <v>225</v>
      </c>
      <c r="G2005" s="19"/>
    </row>
    <row r="2006" customFormat="false" ht="15" hidden="false" customHeight="true" outlineLevel="0" collapsed="false">
      <c r="A2006" s="19" t="n">
        <v>899</v>
      </c>
      <c r="B2006" s="19" t="s">
        <v>646</v>
      </c>
      <c r="C2006" s="109" t="n">
        <v>45867</v>
      </c>
      <c r="D2006" s="108" t="n">
        <v>130</v>
      </c>
      <c r="E2006" s="108" t="n">
        <v>850</v>
      </c>
      <c r="F2006" s="10" t="s">
        <v>225</v>
      </c>
      <c r="G2006" s="19"/>
    </row>
    <row r="2007" customFormat="false" ht="15" hidden="false" customHeight="true" outlineLevel="0" collapsed="false">
      <c r="A2007" s="19" t="n">
        <v>905</v>
      </c>
      <c r="B2007" s="19" t="s">
        <v>278</v>
      </c>
      <c r="C2007" s="109" t="n">
        <v>45867</v>
      </c>
      <c r="D2007" s="108" t="n">
        <v>146</v>
      </c>
      <c r="E2007" s="108" t="n">
        <v>250</v>
      </c>
      <c r="F2007" s="10" t="s">
        <v>225</v>
      </c>
      <c r="G2007" s="19"/>
    </row>
    <row r="2008" customFormat="false" ht="15" hidden="false" customHeight="true" outlineLevel="0" collapsed="false">
      <c r="A2008" s="19" t="n">
        <v>902</v>
      </c>
      <c r="B2008" s="19" t="s">
        <v>354</v>
      </c>
      <c r="C2008" s="109" t="n">
        <v>45867</v>
      </c>
      <c r="D2008" s="108" t="n">
        <v>110</v>
      </c>
      <c r="E2008" s="108" t="n">
        <v>420</v>
      </c>
      <c r="F2008" s="108" t="s">
        <v>227</v>
      </c>
      <c r="G2008" s="19"/>
    </row>
    <row r="2009" customFormat="false" ht="15" hidden="false" customHeight="true" outlineLevel="0" collapsed="false">
      <c r="A2009" s="19" t="n">
        <v>270490</v>
      </c>
      <c r="B2009" s="19" t="s">
        <v>859</v>
      </c>
      <c r="C2009" s="109" t="n">
        <v>45867</v>
      </c>
      <c r="D2009" s="108" t="n">
        <v>110</v>
      </c>
      <c r="E2009" s="108" t="n">
        <v>163</v>
      </c>
      <c r="F2009" s="108" t="s">
        <v>227</v>
      </c>
      <c r="G2009" s="19"/>
    </row>
    <row r="2010" customFormat="false" ht="15" hidden="false" customHeight="true" outlineLevel="0" collapsed="false">
      <c r="A2010" s="19" t="n">
        <v>905</v>
      </c>
      <c r="B2010" s="19" t="s">
        <v>278</v>
      </c>
      <c r="C2010" s="109" t="n">
        <v>45867</v>
      </c>
      <c r="D2010" s="108" t="n">
        <v>250</v>
      </c>
      <c r="E2010" s="108" t="n">
        <v>223</v>
      </c>
      <c r="F2010" s="10" t="s">
        <v>236</v>
      </c>
      <c r="G2010" s="19"/>
    </row>
    <row r="2011" customFormat="false" ht="15" hidden="false" customHeight="true" outlineLevel="0" collapsed="false">
      <c r="A2011" s="19" t="n">
        <v>909</v>
      </c>
      <c r="B2011" s="19" t="s">
        <v>860</v>
      </c>
      <c r="C2011" s="109" t="n">
        <v>45868</v>
      </c>
      <c r="D2011" s="108" t="n">
        <v>210</v>
      </c>
      <c r="E2011" s="108" t="n">
        <v>430</v>
      </c>
      <c r="F2011" s="10" t="s">
        <v>236</v>
      </c>
      <c r="G2011" s="19"/>
    </row>
    <row r="2012" customFormat="false" ht="15" hidden="false" customHeight="true" outlineLevel="0" collapsed="false">
      <c r="A2012" s="19" t="n">
        <v>270498</v>
      </c>
      <c r="B2012" s="19" t="s">
        <v>418</v>
      </c>
      <c r="C2012" s="109" t="n">
        <v>45868</v>
      </c>
      <c r="D2012" s="108" t="n">
        <v>70</v>
      </c>
      <c r="E2012" s="108" t="n">
        <v>540</v>
      </c>
      <c r="F2012" s="10" t="s">
        <v>225</v>
      </c>
      <c r="G2012" s="19" t="s">
        <v>232</v>
      </c>
    </row>
    <row r="2013" customFormat="false" ht="15" hidden="false" customHeight="true" outlineLevel="0" collapsed="false">
      <c r="A2013" s="19" t="n">
        <v>270492</v>
      </c>
      <c r="B2013" s="19" t="s">
        <v>231</v>
      </c>
      <c r="C2013" s="109" t="n">
        <v>45868</v>
      </c>
      <c r="D2013" s="108" t="n">
        <v>105</v>
      </c>
      <c r="E2013" s="108" t="n">
        <v>2159</v>
      </c>
      <c r="F2013" s="10" t="s">
        <v>225</v>
      </c>
      <c r="G2013" s="19"/>
    </row>
    <row r="2014" customFormat="false" ht="15" hidden="false" customHeight="true" outlineLevel="0" collapsed="false">
      <c r="A2014" s="19" t="n">
        <v>910</v>
      </c>
      <c r="B2014" s="19" t="s">
        <v>452</v>
      </c>
      <c r="C2014" s="109" t="n">
        <v>45868</v>
      </c>
      <c r="D2014" s="108" t="n">
        <v>210</v>
      </c>
      <c r="E2014" s="108" t="n">
        <v>4150</v>
      </c>
      <c r="F2014" s="108"/>
      <c r="G2014" s="19"/>
    </row>
    <row r="2015" customFormat="false" ht="15" hidden="false" customHeight="true" outlineLevel="0" collapsed="false">
      <c r="A2015" s="19" t="n">
        <v>270497</v>
      </c>
      <c r="B2015" s="19" t="s">
        <v>847</v>
      </c>
      <c r="C2015" s="109" t="n">
        <v>45868</v>
      </c>
      <c r="D2015" s="108" t="n">
        <v>75</v>
      </c>
      <c r="E2015" s="108" t="n">
        <v>153</v>
      </c>
      <c r="F2015" s="10" t="s">
        <v>229</v>
      </c>
      <c r="G2015" s="19" t="s">
        <v>232</v>
      </c>
    </row>
    <row r="2016" customFormat="false" ht="15" hidden="false" customHeight="true" outlineLevel="0" collapsed="false">
      <c r="A2016" s="19" t="n">
        <v>909</v>
      </c>
      <c r="B2016" s="19" t="s">
        <v>861</v>
      </c>
      <c r="C2016" s="109" t="n">
        <v>45869</v>
      </c>
      <c r="D2016" s="108" t="n">
        <v>210</v>
      </c>
      <c r="E2016" s="108" t="n">
        <v>430</v>
      </c>
      <c r="F2016" s="10" t="s">
        <v>236</v>
      </c>
      <c r="G2016" s="19"/>
    </row>
    <row r="2017" customFormat="false" ht="15" hidden="false" customHeight="true" outlineLevel="0" collapsed="false">
      <c r="A2017" s="19" t="n">
        <v>904</v>
      </c>
      <c r="B2017" s="19" t="s">
        <v>269</v>
      </c>
      <c r="C2017" s="109" t="n">
        <v>45869</v>
      </c>
      <c r="D2017" s="108" t="n">
        <v>20</v>
      </c>
      <c r="E2017" s="108" t="n">
        <v>520</v>
      </c>
      <c r="F2017" s="10" t="s">
        <v>225</v>
      </c>
      <c r="G2017" s="19"/>
    </row>
    <row r="2018" customFormat="false" ht="15" hidden="false" customHeight="true" outlineLevel="0" collapsed="false">
      <c r="A2018" s="19" t="n">
        <v>916</v>
      </c>
      <c r="B2018" s="19" t="s">
        <v>275</v>
      </c>
      <c r="C2018" s="109" t="n">
        <v>45869</v>
      </c>
      <c r="D2018" s="108" t="n">
        <v>53</v>
      </c>
      <c r="E2018" s="108" t="n">
        <v>3400</v>
      </c>
      <c r="F2018" s="10" t="s">
        <v>225</v>
      </c>
      <c r="G2018" s="19" t="s">
        <v>232</v>
      </c>
    </row>
    <row r="2019" customFormat="false" ht="15" hidden="false" customHeight="true" outlineLevel="0" collapsed="false">
      <c r="A2019" s="19" t="n">
        <v>919</v>
      </c>
      <c r="B2019" s="19" t="s">
        <v>279</v>
      </c>
      <c r="C2019" s="109" t="n">
        <v>45869</v>
      </c>
      <c r="D2019" s="108" t="n">
        <v>70</v>
      </c>
      <c r="E2019" s="108" t="n">
        <v>2040</v>
      </c>
      <c r="F2019" s="10" t="s">
        <v>225</v>
      </c>
      <c r="G2019" s="19"/>
    </row>
    <row r="2020" customFormat="false" ht="15" hidden="false" customHeight="true" outlineLevel="0" collapsed="false">
      <c r="A2020" s="19" t="n">
        <v>923</v>
      </c>
      <c r="B2020" s="19" t="s">
        <v>422</v>
      </c>
      <c r="C2020" s="109" t="n">
        <v>45869</v>
      </c>
      <c r="D2020" s="108" t="n">
        <v>70</v>
      </c>
      <c r="E2020" s="108" t="n">
        <v>500</v>
      </c>
      <c r="F2020" s="10" t="s">
        <v>225</v>
      </c>
      <c r="G2020" s="19"/>
    </row>
    <row r="2021" customFormat="false" ht="15" hidden="false" customHeight="true" outlineLevel="0" collapsed="false">
      <c r="A2021" s="19" t="n">
        <v>270495</v>
      </c>
      <c r="B2021" s="19" t="s">
        <v>538</v>
      </c>
      <c r="C2021" s="109" t="n">
        <v>45869</v>
      </c>
      <c r="D2021" s="108" t="n">
        <v>100</v>
      </c>
      <c r="E2021" s="108" t="n">
        <v>250</v>
      </c>
      <c r="F2021" s="10" t="s">
        <v>225</v>
      </c>
      <c r="G2021" s="19"/>
    </row>
    <row r="2022" customFormat="false" ht="15" hidden="false" customHeight="true" outlineLevel="0" collapsed="false">
      <c r="A2022" s="19" t="n">
        <v>270482</v>
      </c>
      <c r="B2022" s="19" t="s">
        <v>386</v>
      </c>
      <c r="C2022" s="109" t="n">
        <v>45869</v>
      </c>
      <c r="D2022" s="108" t="n">
        <v>90</v>
      </c>
      <c r="E2022" s="108" t="n">
        <v>135</v>
      </c>
      <c r="F2022" s="108" t="s">
        <v>227</v>
      </c>
      <c r="G2022" s="19"/>
    </row>
    <row r="2023" customFormat="false" ht="15" hidden="false" customHeight="true" outlineLevel="0" collapsed="false">
      <c r="A2023" s="19" t="n">
        <v>270504</v>
      </c>
      <c r="B2023" s="19" t="s">
        <v>240</v>
      </c>
      <c r="C2023" s="109" t="n">
        <v>45869</v>
      </c>
      <c r="D2023" s="108" t="n">
        <v>110</v>
      </c>
      <c r="E2023" s="108" t="n">
        <v>1360</v>
      </c>
      <c r="F2023" s="108" t="s">
        <v>227</v>
      </c>
      <c r="G2023" s="19"/>
    </row>
    <row r="2024" customFormat="false" ht="15" hidden="false" customHeight="true" outlineLevel="0" collapsed="false">
      <c r="A2024" s="19" t="n">
        <v>270503</v>
      </c>
      <c r="B2024" s="19" t="s">
        <v>832</v>
      </c>
      <c r="C2024" s="109" t="n">
        <v>45869</v>
      </c>
      <c r="D2024" s="108" t="n">
        <v>20</v>
      </c>
      <c r="E2024" s="108" t="n">
        <v>250</v>
      </c>
      <c r="F2024" s="108" t="s">
        <v>632</v>
      </c>
      <c r="G2024" s="19"/>
    </row>
    <row r="2025" customFormat="false" ht="15" hidden="false" customHeight="true" outlineLevel="0" collapsed="false">
      <c r="A2025" s="19" t="n">
        <v>270494</v>
      </c>
      <c r="B2025" s="19" t="s">
        <v>862</v>
      </c>
      <c r="C2025" s="109" t="n">
        <v>45869</v>
      </c>
      <c r="D2025" s="108" t="n">
        <v>120</v>
      </c>
      <c r="E2025" s="108" t="n">
        <v>2000</v>
      </c>
      <c r="F2025" s="108" t="s">
        <v>362</v>
      </c>
      <c r="G2025" s="19"/>
    </row>
    <row r="2026" customFormat="false" ht="15" hidden="false" customHeight="true" outlineLevel="0" collapsed="false">
      <c r="A2026" s="19" t="n">
        <v>924</v>
      </c>
      <c r="B2026" s="19" t="s">
        <v>551</v>
      </c>
      <c r="C2026" s="109" t="n">
        <v>45869</v>
      </c>
      <c r="D2026" s="108" t="n">
        <v>210</v>
      </c>
      <c r="E2026" s="108" t="n">
        <v>1575</v>
      </c>
      <c r="F2026" s="108" t="s">
        <v>227</v>
      </c>
      <c r="G2026" s="19"/>
    </row>
    <row r="2027" customFormat="false" ht="15" hidden="false" customHeight="true" outlineLevel="0" collapsed="false">
      <c r="A2027" s="19" t="n">
        <v>270500</v>
      </c>
      <c r="B2027" s="19" t="s">
        <v>231</v>
      </c>
      <c r="C2027" s="109" t="n">
        <v>45869</v>
      </c>
      <c r="D2027" s="108" t="n">
        <v>210</v>
      </c>
      <c r="E2027" s="108" t="n">
        <v>2075</v>
      </c>
      <c r="F2027" s="10" t="s">
        <v>225</v>
      </c>
      <c r="G2027" s="19"/>
    </row>
    <row r="2028" customFormat="false" ht="15" hidden="false" customHeight="true" outlineLevel="0" collapsed="false">
      <c r="A2028" s="19" t="n">
        <v>905</v>
      </c>
      <c r="B2028" s="19" t="s">
        <v>278</v>
      </c>
      <c r="C2028" s="109" t="n">
        <v>45869</v>
      </c>
      <c r="D2028" s="108" t="n">
        <v>250</v>
      </c>
      <c r="E2028" s="108" t="n">
        <v>146</v>
      </c>
      <c r="F2028" s="10" t="s">
        <v>225</v>
      </c>
      <c r="G2028" s="19"/>
    </row>
    <row r="2029" customFormat="false" ht="15" hidden="false" customHeight="true" outlineLevel="0" collapsed="false">
      <c r="A2029" s="19" t="n">
        <v>905</v>
      </c>
      <c r="B2029" s="19" t="s">
        <v>278</v>
      </c>
      <c r="C2029" s="109" t="n">
        <v>45869</v>
      </c>
      <c r="D2029" s="108" t="n">
        <v>250</v>
      </c>
      <c r="E2029" s="108" t="n">
        <v>223</v>
      </c>
      <c r="F2029" s="10" t="s">
        <v>236</v>
      </c>
      <c r="G2029" s="19"/>
    </row>
    <row r="2030" customFormat="false" ht="15" hidden="false" customHeight="true" outlineLevel="0" collapsed="false">
      <c r="A2030" s="19" t="n">
        <v>925</v>
      </c>
      <c r="B2030" s="19" t="s">
        <v>742</v>
      </c>
      <c r="C2030" s="109" t="n">
        <v>45869</v>
      </c>
      <c r="D2030" s="108" t="n">
        <v>250</v>
      </c>
      <c r="E2030" s="108" t="n">
        <v>27081</v>
      </c>
      <c r="F2030" s="10" t="s">
        <v>236</v>
      </c>
      <c r="G2030" s="19"/>
    </row>
    <row r="2031" customFormat="false" ht="15" hidden="false" customHeight="true" outlineLevel="0" collapsed="false">
      <c r="A2031" s="19" t="n">
        <v>933</v>
      </c>
      <c r="B2031" s="19" t="s">
        <v>863</v>
      </c>
      <c r="C2031" s="109" t="n">
        <v>45873</v>
      </c>
      <c r="D2031" s="108" t="n">
        <v>210</v>
      </c>
      <c r="E2031" s="108" t="n">
        <v>208</v>
      </c>
      <c r="F2031" s="10" t="s">
        <v>236</v>
      </c>
      <c r="G2031" s="19"/>
    </row>
    <row r="2032" customFormat="false" ht="15" hidden="false" customHeight="true" outlineLevel="0" collapsed="false">
      <c r="A2032" s="19" t="n">
        <v>270506</v>
      </c>
      <c r="B2032" s="19" t="s">
        <v>580</v>
      </c>
      <c r="C2032" s="109" t="n">
        <v>45873</v>
      </c>
      <c r="D2032" s="108" t="n">
        <v>48</v>
      </c>
      <c r="E2032" s="108" t="n">
        <v>920</v>
      </c>
      <c r="F2032" s="10" t="s">
        <v>225</v>
      </c>
      <c r="G2032" s="19"/>
    </row>
    <row r="2033" customFormat="false" ht="15" hidden="false" customHeight="true" outlineLevel="0" collapsed="false">
      <c r="A2033" s="19" t="n">
        <v>270510</v>
      </c>
      <c r="B2033" s="19" t="s">
        <v>638</v>
      </c>
      <c r="C2033" s="109" t="n">
        <v>45873</v>
      </c>
      <c r="D2033" s="108" t="n">
        <v>65</v>
      </c>
      <c r="E2033" s="108" t="n">
        <v>276</v>
      </c>
      <c r="F2033" s="10" t="s">
        <v>225</v>
      </c>
      <c r="G2033" s="19"/>
    </row>
    <row r="2034" customFormat="false" ht="15" hidden="false" customHeight="true" outlineLevel="0" collapsed="false">
      <c r="A2034" s="19" t="n">
        <v>922</v>
      </c>
      <c r="B2034" s="19" t="s">
        <v>742</v>
      </c>
      <c r="C2034" s="109" t="n">
        <v>45873</v>
      </c>
      <c r="D2034" s="108" t="n">
        <v>65</v>
      </c>
      <c r="E2034" s="108" t="n">
        <v>1500</v>
      </c>
      <c r="F2034" s="10" t="s">
        <v>225</v>
      </c>
      <c r="G2034" s="19"/>
    </row>
    <row r="2035" customFormat="false" ht="15" hidden="false" customHeight="true" outlineLevel="0" collapsed="false">
      <c r="A2035" s="19" t="n">
        <v>922</v>
      </c>
      <c r="B2035" s="19" t="s">
        <v>742</v>
      </c>
      <c r="C2035" s="109" t="n">
        <v>45873</v>
      </c>
      <c r="D2035" s="108" t="n">
        <v>90</v>
      </c>
      <c r="E2035" s="108" t="n">
        <v>1400</v>
      </c>
      <c r="F2035" s="10" t="s">
        <v>225</v>
      </c>
      <c r="G2035" s="19"/>
    </row>
    <row r="2036" customFormat="false" ht="15" hidden="false" customHeight="true" outlineLevel="0" collapsed="false">
      <c r="A2036" s="19" t="n">
        <v>270502</v>
      </c>
      <c r="B2036" s="19" t="s">
        <v>271</v>
      </c>
      <c r="C2036" s="109" t="n">
        <v>45873</v>
      </c>
      <c r="D2036" s="108" t="n">
        <v>95</v>
      </c>
      <c r="E2036" s="108" t="n">
        <v>540</v>
      </c>
      <c r="F2036" s="10" t="s">
        <v>225</v>
      </c>
      <c r="G2036" s="19"/>
    </row>
    <row r="2037" customFormat="false" ht="15" hidden="false" customHeight="true" outlineLevel="0" collapsed="false">
      <c r="A2037" s="19" t="n">
        <v>270505</v>
      </c>
      <c r="B2037" s="19" t="s">
        <v>538</v>
      </c>
      <c r="C2037" s="109" t="n">
        <v>45873</v>
      </c>
      <c r="D2037" s="108" t="n">
        <v>100</v>
      </c>
      <c r="E2037" s="108" t="n">
        <v>225</v>
      </c>
      <c r="F2037" s="10" t="s">
        <v>225</v>
      </c>
      <c r="G2037" s="19"/>
    </row>
    <row r="2038" customFormat="false" ht="15" hidden="false" customHeight="true" outlineLevel="0" collapsed="false">
      <c r="A2038" s="19" t="n">
        <v>922</v>
      </c>
      <c r="B2038" s="19" t="s">
        <v>742</v>
      </c>
      <c r="C2038" s="109" t="n">
        <v>45873</v>
      </c>
      <c r="D2038" s="108" t="n">
        <v>105</v>
      </c>
      <c r="E2038" s="108" t="n">
        <v>4500</v>
      </c>
      <c r="F2038" s="10" t="s">
        <v>225</v>
      </c>
      <c r="G2038" s="19"/>
    </row>
    <row r="2039" customFormat="false" ht="15" hidden="false" customHeight="true" outlineLevel="0" collapsed="false">
      <c r="A2039" s="19" t="n">
        <v>922</v>
      </c>
      <c r="B2039" s="19" t="s">
        <v>742</v>
      </c>
      <c r="C2039" s="109" t="n">
        <v>45873</v>
      </c>
      <c r="D2039" s="108" t="n">
        <v>110</v>
      </c>
      <c r="E2039" s="108" t="n">
        <v>570</v>
      </c>
      <c r="F2039" s="10" t="s">
        <v>225</v>
      </c>
      <c r="G2039" s="19"/>
    </row>
    <row r="2040" customFormat="false" ht="15" hidden="false" customHeight="true" outlineLevel="0" collapsed="false">
      <c r="A2040" s="19" t="n">
        <v>270502</v>
      </c>
      <c r="B2040" s="19" t="s">
        <v>271</v>
      </c>
      <c r="C2040" s="109" t="n">
        <v>45873</v>
      </c>
      <c r="D2040" s="108" t="n">
        <v>110</v>
      </c>
      <c r="E2040" s="108" t="n">
        <v>1460</v>
      </c>
      <c r="F2040" s="10" t="s">
        <v>225</v>
      </c>
      <c r="G2040" s="19"/>
    </row>
    <row r="2041" customFormat="false" ht="15" hidden="false" customHeight="true" outlineLevel="0" collapsed="false">
      <c r="A2041" s="19" t="n">
        <v>922</v>
      </c>
      <c r="B2041" s="19" t="s">
        <v>742</v>
      </c>
      <c r="C2041" s="109" t="n">
        <v>45873</v>
      </c>
      <c r="D2041" s="108" t="n">
        <v>130</v>
      </c>
      <c r="E2041" s="108" t="n">
        <v>3100</v>
      </c>
      <c r="F2041" s="10" t="s">
        <v>225</v>
      </c>
      <c r="G2041" s="19"/>
    </row>
    <row r="2042" customFormat="false" ht="15" hidden="false" customHeight="true" outlineLevel="0" collapsed="false">
      <c r="A2042" s="19" t="n">
        <v>922</v>
      </c>
      <c r="B2042" s="19" t="s">
        <v>742</v>
      </c>
      <c r="C2042" s="109" t="n">
        <v>45873</v>
      </c>
      <c r="D2042" s="108" t="n">
        <v>65</v>
      </c>
      <c r="E2042" s="108" t="n">
        <v>1290</v>
      </c>
      <c r="F2042" s="108" t="s">
        <v>227</v>
      </c>
      <c r="G2042" s="19"/>
    </row>
    <row r="2043" customFormat="false" ht="15" hidden="false" customHeight="true" outlineLevel="0" collapsed="false">
      <c r="A2043" s="19" t="n">
        <v>918</v>
      </c>
      <c r="B2043" s="19" t="s">
        <v>692</v>
      </c>
      <c r="C2043" s="109" t="n">
        <v>45873</v>
      </c>
      <c r="D2043" s="108" t="n">
        <v>75</v>
      </c>
      <c r="E2043" s="108" t="n">
        <v>956</v>
      </c>
      <c r="F2043" s="10" t="s">
        <v>229</v>
      </c>
      <c r="G2043" s="19"/>
    </row>
    <row r="2044" customFormat="false" ht="15" hidden="false" customHeight="true" outlineLevel="0" collapsed="false">
      <c r="A2044" s="19" t="n">
        <v>932</v>
      </c>
      <c r="B2044" s="19" t="s">
        <v>740</v>
      </c>
      <c r="C2044" s="109" t="n">
        <v>45873</v>
      </c>
      <c r="D2044" s="108" t="n">
        <v>110</v>
      </c>
      <c r="E2044" s="108" t="n">
        <v>1080</v>
      </c>
      <c r="F2044" s="10" t="s">
        <v>229</v>
      </c>
      <c r="G2044" s="19"/>
    </row>
    <row r="2045" customFormat="false" ht="15" hidden="false" customHeight="true" outlineLevel="0" collapsed="false">
      <c r="A2045" s="19" t="n">
        <v>922</v>
      </c>
      <c r="B2045" s="19" t="s">
        <v>742</v>
      </c>
      <c r="C2045" s="109" t="n">
        <v>45873</v>
      </c>
      <c r="D2045" s="108" t="n">
        <v>100</v>
      </c>
      <c r="E2045" s="108" t="n">
        <v>690</v>
      </c>
      <c r="F2045" s="108" t="s">
        <v>856</v>
      </c>
      <c r="G2045" s="19"/>
    </row>
    <row r="2046" customFormat="false" ht="15" hidden="false" customHeight="true" outlineLevel="0" collapsed="false">
      <c r="A2046" s="19" t="n">
        <v>928</v>
      </c>
      <c r="B2046" s="19" t="s">
        <v>251</v>
      </c>
      <c r="C2046" s="109" t="n">
        <v>45873</v>
      </c>
      <c r="D2046" s="108" t="n">
        <v>220</v>
      </c>
      <c r="E2046" s="108" t="n">
        <v>1260</v>
      </c>
      <c r="F2046" s="10" t="s">
        <v>229</v>
      </c>
      <c r="G2046" s="19"/>
    </row>
    <row r="2047" customFormat="false" ht="15" hidden="false" customHeight="true" outlineLevel="0" collapsed="false">
      <c r="A2047" s="19" t="n">
        <v>930</v>
      </c>
      <c r="B2047" s="19" t="s">
        <v>247</v>
      </c>
      <c r="C2047" s="109" t="n">
        <v>45873</v>
      </c>
      <c r="D2047" s="108" t="n">
        <v>40</v>
      </c>
      <c r="E2047" s="108"/>
      <c r="F2047" s="108"/>
      <c r="G2047" s="19"/>
    </row>
    <row r="2048" customFormat="false" ht="15" hidden="false" customHeight="true" outlineLevel="0" collapsed="false">
      <c r="A2048" s="19" t="n">
        <v>931</v>
      </c>
      <c r="B2048" s="19" t="s">
        <v>697</v>
      </c>
      <c r="C2048" s="109" t="n">
        <v>45873</v>
      </c>
      <c r="D2048" s="108" t="n">
        <v>210</v>
      </c>
      <c r="E2048" s="108" t="n">
        <v>945</v>
      </c>
      <c r="F2048" s="10" t="s">
        <v>225</v>
      </c>
      <c r="G2048" s="19"/>
    </row>
    <row r="2049" customFormat="false" ht="15" hidden="false" customHeight="true" outlineLevel="0" collapsed="false">
      <c r="A2049" s="19" t="n">
        <v>922</v>
      </c>
      <c r="B2049" s="19" t="s">
        <v>742</v>
      </c>
      <c r="C2049" s="109" t="n">
        <v>45873</v>
      </c>
      <c r="D2049" s="108" t="n">
        <v>210</v>
      </c>
      <c r="E2049" s="108" t="n">
        <v>1245</v>
      </c>
      <c r="F2049" s="10" t="s">
        <v>225</v>
      </c>
      <c r="G2049" s="19"/>
    </row>
    <row r="2050" customFormat="false" ht="15" hidden="false" customHeight="true" outlineLevel="0" collapsed="false">
      <c r="A2050" s="19" t="n">
        <v>939</v>
      </c>
      <c r="B2050" s="18" t="s">
        <v>242</v>
      </c>
      <c r="C2050" s="109" t="n">
        <v>45875</v>
      </c>
      <c r="D2050" s="108" t="n">
        <v>20</v>
      </c>
      <c r="E2050" s="108" t="n">
        <v>1000</v>
      </c>
      <c r="F2050" s="10" t="s">
        <v>225</v>
      </c>
      <c r="G2050" s="19"/>
    </row>
    <row r="2051" customFormat="false" ht="15" hidden="false" customHeight="true" outlineLevel="0" collapsed="false">
      <c r="A2051" s="19" t="n">
        <v>938</v>
      </c>
      <c r="B2051" s="18" t="s">
        <v>242</v>
      </c>
      <c r="C2051" s="109" t="n">
        <v>45875</v>
      </c>
      <c r="D2051" s="108" t="n">
        <v>25</v>
      </c>
      <c r="E2051" s="108" t="n">
        <v>550</v>
      </c>
      <c r="F2051" s="10" t="s">
        <v>225</v>
      </c>
      <c r="G2051" s="19"/>
    </row>
    <row r="2052" customFormat="false" ht="15" hidden="false" customHeight="true" outlineLevel="0" collapsed="false">
      <c r="A2052" s="19" t="n">
        <v>270511</v>
      </c>
      <c r="B2052" s="18" t="s">
        <v>864</v>
      </c>
      <c r="C2052" s="109" t="n">
        <v>45875</v>
      </c>
      <c r="D2052" s="108" t="n">
        <v>102</v>
      </c>
      <c r="E2052" s="108" t="n">
        <v>505</v>
      </c>
      <c r="F2052" s="10" t="s">
        <v>225</v>
      </c>
      <c r="G2052" s="19"/>
    </row>
    <row r="2053" customFormat="false" ht="15" hidden="false" customHeight="true" outlineLevel="0" collapsed="false">
      <c r="A2053" s="19" t="n">
        <v>270518</v>
      </c>
      <c r="B2053" s="18" t="s">
        <v>357</v>
      </c>
      <c r="C2053" s="109" t="n">
        <v>45875</v>
      </c>
      <c r="D2053" s="108" t="n">
        <v>103</v>
      </c>
      <c r="E2053" s="108" t="n">
        <v>100</v>
      </c>
      <c r="F2053" s="10" t="s">
        <v>225</v>
      </c>
      <c r="G2053" s="18" t="s">
        <v>232</v>
      </c>
    </row>
    <row r="2054" customFormat="false" ht="15" hidden="false" customHeight="true" outlineLevel="0" collapsed="false">
      <c r="A2054" s="19" t="n">
        <v>943</v>
      </c>
      <c r="B2054" s="18" t="s">
        <v>865</v>
      </c>
      <c r="C2054" s="109" t="n">
        <v>45875</v>
      </c>
      <c r="D2054" s="108" t="n">
        <v>105</v>
      </c>
      <c r="E2054" s="108" t="n">
        <v>842</v>
      </c>
      <c r="F2054" s="10" t="s">
        <v>225</v>
      </c>
      <c r="G2054" s="19"/>
    </row>
    <row r="2055" customFormat="false" ht="15" hidden="false" customHeight="true" outlineLevel="0" collapsed="false">
      <c r="A2055" s="19" t="n">
        <v>946</v>
      </c>
      <c r="B2055" s="18" t="s">
        <v>628</v>
      </c>
      <c r="C2055" s="109" t="n">
        <v>45875</v>
      </c>
      <c r="D2055" s="108" t="n">
        <v>105</v>
      </c>
      <c r="E2055" s="108" t="n">
        <v>1300</v>
      </c>
      <c r="F2055" s="10" t="s">
        <v>225</v>
      </c>
      <c r="G2055" s="19"/>
    </row>
    <row r="2056" customFormat="false" ht="15" hidden="false" customHeight="true" outlineLevel="0" collapsed="false">
      <c r="A2056" s="19" t="n">
        <v>270520</v>
      </c>
      <c r="B2056" s="18" t="s">
        <v>329</v>
      </c>
      <c r="C2056" s="109" t="n">
        <v>45875</v>
      </c>
      <c r="D2056" s="108" t="n">
        <v>105</v>
      </c>
      <c r="E2056" s="108" t="n">
        <v>1050</v>
      </c>
      <c r="F2056" s="10" t="s">
        <v>225</v>
      </c>
      <c r="G2056" s="19"/>
    </row>
    <row r="2057" customFormat="false" ht="15" hidden="false" customHeight="true" outlineLevel="0" collapsed="false">
      <c r="A2057" s="19" t="n">
        <v>937</v>
      </c>
      <c r="B2057" s="18" t="s">
        <v>242</v>
      </c>
      <c r="C2057" s="109" t="n">
        <v>45875</v>
      </c>
      <c r="D2057" s="108" t="n">
        <v>110</v>
      </c>
      <c r="E2057" s="108" t="n">
        <v>250</v>
      </c>
      <c r="F2057" s="10" t="s">
        <v>225</v>
      </c>
      <c r="G2057" s="19"/>
    </row>
    <row r="2058" customFormat="false" ht="15" hidden="false" customHeight="true" outlineLevel="0" collapsed="false">
      <c r="A2058" s="19" t="n">
        <v>270517</v>
      </c>
      <c r="B2058" s="18" t="s">
        <v>643</v>
      </c>
      <c r="C2058" s="109" t="n">
        <v>45875</v>
      </c>
      <c r="D2058" s="108" t="n">
        <v>70</v>
      </c>
      <c r="E2058" s="108" t="n">
        <v>680</v>
      </c>
      <c r="F2058" s="10" t="s">
        <v>227</v>
      </c>
      <c r="G2058" s="19"/>
    </row>
    <row r="2059" customFormat="false" ht="15" hidden="false" customHeight="true" outlineLevel="0" collapsed="false">
      <c r="A2059" s="19" t="n">
        <v>947</v>
      </c>
      <c r="B2059" s="18" t="s">
        <v>664</v>
      </c>
      <c r="C2059" s="109" t="n">
        <v>45875</v>
      </c>
      <c r="D2059" s="108" t="n">
        <v>110</v>
      </c>
      <c r="E2059" s="108" t="n">
        <v>324</v>
      </c>
      <c r="F2059" s="10" t="s">
        <v>227</v>
      </c>
      <c r="G2059" s="19"/>
    </row>
    <row r="2060" customFormat="false" ht="15" hidden="false" customHeight="true" outlineLevel="0" collapsed="false">
      <c r="A2060" s="19" t="n">
        <v>270513</v>
      </c>
      <c r="B2060" s="18" t="s">
        <v>450</v>
      </c>
      <c r="C2060" s="109" t="n">
        <v>45875</v>
      </c>
      <c r="D2060" s="108" t="n">
        <v>48</v>
      </c>
      <c r="E2060" s="108" t="n">
        <v>260</v>
      </c>
      <c r="F2060" s="10" t="s">
        <v>262</v>
      </c>
      <c r="G2060" s="19"/>
    </row>
    <row r="2061" customFormat="false" ht="15" hidden="false" customHeight="true" outlineLevel="0" collapsed="false">
      <c r="A2061" s="19" t="n">
        <v>936</v>
      </c>
      <c r="B2061" s="18" t="s">
        <v>242</v>
      </c>
      <c r="C2061" s="109" t="n">
        <v>45875</v>
      </c>
      <c r="D2061" s="108" t="n">
        <v>40</v>
      </c>
      <c r="E2061" s="108" t="n">
        <v>500</v>
      </c>
      <c r="F2061" s="10" t="s">
        <v>856</v>
      </c>
      <c r="G2061" s="19"/>
    </row>
    <row r="2062" customFormat="false" ht="15" hidden="false" customHeight="true" outlineLevel="0" collapsed="false">
      <c r="A2062" s="19" t="n">
        <v>942</v>
      </c>
      <c r="B2062" s="18" t="s">
        <v>495</v>
      </c>
      <c r="C2062" s="109" t="n">
        <v>45875</v>
      </c>
      <c r="D2062" s="108" t="n">
        <v>210</v>
      </c>
      <c r="E2062" s="108" t="n">
        <v>189</v>
      </c>
      <c r="F2062" s="10" t="s">
        <v>229</v>
      </c>
      <c r="G2062" s="19"/>
    </row>
    <row r="2063" customFormat="false" ht="15" hidden="false" customHeight="true" outlineLevel="0" collapsed="false">
      <c r="A2063" s="19" t="n">
        <v>270522</v>
      </c>
      <c r="B2063" s="18" t="s">
        <v>231</v>
      </c>
      <c r="C2063" s="109" t="n">
        <v>45875</v>
      </c>
      <c r="D2063" s="108" t="n">
        <v>210</v>
      </c>
      <c r="E2063" s="108" t="n">
        <v>1030</v>
      </c>
      <c r="F2063" s="10" t="s">
        <v>225</v>
      </c>
      <c r="G2063" s="19"/>
    </row>
    <row r="2064" customFormat="false" ht="15" hidden="false" customHeight="true" outlineLevel="0" collapsed="false">
      <c r="A2064" s="19" t="n">
        <v>941</v>
      </c>
      <c r="B2064" s="18" t="s">
        <v>798</v>
      </c>
      <c r="C2064" s="109" t="n">
        <v>45875</v>
      </c>
      <c r="D2064" s="108" t="n">
        <v>210</v>
      </c>
      <c r="E2064" s="108" t="n">
        <v>1400</v>
      </c>
      <c r="F2064" s="10" t="s">
        <v>225</v>
      </c>
      <c r="G2064" s="19"/>
    </row>
    <row r="2065" customFormat="false" ht="15" hidden="false" customHeight="true" outlineLevel="0" collapsed="false">
      <c r="A2065" s="19" t="n">
        <v>944</v>
      </c>
      <c r="B2065" s="18" t="s">
        <v>268</v>
      </c>
      <c r="C2065" s="109" t="n">
        <v>45875</v>
      </c>
      <c r="D2065" s="108" t="n">
        <v>210</v>
      </c>
      <c r="E2065" s="108" t="n">
        <v>901</v>
      </c>
      <c r="F2065" s="10" t="s">
        <v>225</v>
      </c>
      <c r="G2065" s="19"/>
    </row>
    <row r="2066" customFormat="false" ht="15" hidden="false" customHeight="true" outlineLevel="0" collapsed="false">
      <c r="A2066" s="19" t="n">
        <v>968</v>
      </c>
      <c r="B2066" s="18" t="s">
        <v>306</v>
      </c>
      <c r="C2066" s="109" t="n">
        <v>45880</v>
      </c>
      <c r="D2066" s="108" t="n">
        <v>60</v>
      </c>
      <c r="E2066" s="108" t="n">
        <v>6000</v>
      </c>
      <c r="F2066" s="10" t="s">
        <v>236</v>
      </c>
      <c r="G2066" s="19"/>
    </row>
    <row r="2067" customFormat="false" ht="15" hidden="false" customHeight="true" outlineLevel="0" collapsed="false">
      <c r="A2067" s="19" t="n">
        <v>270526</v>
      </c>
      <c r="B2067" s="19" t="s">
        <v>317</v>
      </c>
      <c r="C2067" s="109" t="n">
        <v>45880</v>
      </c>
      <c r="D2067" s="108" t="n">
        <v>35</v>
      </c>
      <c r="E2067" s="108" t="n">
        <v>517</v>
      </c>
      <c r="F2067" s="10" t="s">
        <v>225</v>
      </c>
      <c r="G2067" s="19"/>
    </row>
    <row r="2068" customFormat="false" ht="15" hidden="false" customHeight="true" outlineLevel="0" collapsed="false">
      <c r="A2068" s="19" t="n">
        <v>954</v>
      </c>
      <c r="B2068" s="19" t="s">
        <v>556</v>
      </c>
      <c r="C2068" s="109" t="n">
        <v>45880</v>
      </c>
      <c r="D2068" s="108" t="n">
        <v>53</v>
      </c>
      <c r="E2068" s="108" t="n">
        <v>255</v>
      </c>
      <c r="F2068" s="10" t="s">
        <v>225</v>
      </c>
      <c r="G2068" s="19"/>
    </row>
    <row r="2069" customFormat="false" ht="15" hidden="false" customHeight="true" outlineLevel="0" collapsed="false">
      <c r="A2069" s="19" t="n">
        <v>952</v>
      </c>
      <c r="B2069" s="19" t="s">
        <v>353</v>
      </c>
      <c r="C2069" s="109" t="n">
        <v>45880</v>
      </c>
      <c r="D2069" s="108" t="n">
        <v>55</v>
      </c>
      <c r="E2069" s="108" t="n">
        <v>133</v>
      </c>
      <c r="F2069" s="10" t="s">
        <v>225</v>
      </c>
      <c r="G2069" s="19"/>
    </row>
    <row r="2070" customFormat="false" ht="15" hidden="false" customHeight="true" outlineLevel="0" collapsed="false">
      <c r="A2070" s="19" t="n">
        <v>960</v>
      </c>
      <c r="B2070" s="19" t="s">
        <v>279</v>
      </c>
      <c r="C2070" s="109" t="n">
        <v>45880</v>
      </c>
      <c r="D2070" s="108" t="n">
        <v>70</v>
      </c>
      <c r="E2070" s="108" t="n">
        <v>2040</v>
      </c>
      <c r="F2070" s="10" t="s">
        <v>225</v>
      </c>
      <c r="G2070" s="19"/>
    </row>
    <row r="2071" customFormat="false" ht="15" hidden="false" customHeight="true" outlineLevel="0" collapsed="false">
      <c r="A2071" s="19" t="n">
        <v>270527</v>
      </c>
      <c r="B2071" s="19" t="s">
        <v>749</v>
      </c>
      <c r="C2071" s="109" t="n">
        <v>45880</v>
      </c>
      <c r="D2071" s="108" t="n">
        <v>80</v>
      </c>
      <c r="E2071" s="108" t="n">
        <v>300</v>
      </c>
      <c r="F2071" s="10" t="s">
        <v>225</v>
      </c>
      <c r="G2071" s="19"/>
    </row>
    <row r="2072" customFormat="false" ht="15" hidden="false" customHeight="true" outlineLevel="0" collapsed="false">
      <c r="A2072" s="19" t="n">
        <v>922</v>
      </c>
      <c r="B2072" s="19" t="s">
        <v>742</v>
      </c>
      <c r="C2072" s="109" t="n">
        <v>45880</v>
      </c>
      <c r="D2072" s="108" t="n">
        <v>83</v>
      </c>
      <c r="E2072" s="108" t="n">
        <v>996</v>
      </c>
      <c r="F2072" s="10" t="s">
        <v>225</v>
      </c>
      <c r="G2072" s="19"/>
    </row>
    <row r="2073" customFormat="false" ht="15" hidden="false" customHeight="true" outlineLevel="0" collapsed="false">
      <c r="A2073" s="19" t="n">
        <v>270524</v>
      </c>
      <c r="B2073" s="19" t="s">
        <v>534</v>
      </c>
      <c r="C2073" s="109" t="n">
        <v>45880</v>
      </c>
      <c r="D2073" s="108" t="n">
        <v>90</v>
      </c>
      <c r="E2073" s="108" t="n">
        <v>1000</v>
      </c>
      <c r="F2073" s="10" t="s">
        <v>225</v>
      </c>
      <c r="G2073" s="19"/>
    </row>
    <row r="2074" customFormat="false" ht="15" hidden="false" customHeight="true" outlineLevel="0" collapsed="false">
      <c r="A2074" s="19" t="n">
        <v>922</v>
      </c>
      <c r="B2074" s="19" t="s">
        <v>742</v>
      </c>
      <c r="C2074" s="109" t="n">
        <v>45880</v>
      </c>
      <c r="D2074" s="108" t="n">
        <v>90</v>
      </c>
      <c r="E2074" s="108" t="n">
        <v>430</v>
      </c>
      <c r="F2074" s="10" t="s">
        <v>225</v>
      </c>
      <c r="G2074" s="19"/>
    </row>
    <row r="2075" customFormat="false" ht="15" hidden="false" customHeight="true" outlineLevel="0" collapsed="false">
      <c r="A2075" s="19" t="n">
        <v>922</v>
      </c>
      <c r="B2075" s="19" t="s">
        <v>742</v>
      </c>
      <c r="C2075" s="109" t="n">
        <v>45880</v>
      </c>
      <c r="D2075" s="108" t="n">
        <v>90</v>
      </c>
      <c r="E2075" s="108" t="n">
        <v>645</v>
      </c>
      <c r="F2075" s="10" t="s">
        <v>225</v>
      </c>
      <c r="G2075" s="19"/>
    </row>
    <row r="2076" customFormat="false" ht="15" hidden="false" customHeight="true" outlineLevel="0" collapsed="false">
      <c r="A2076" s="19" t="n">
        <v>922</v>
      </c>
      <c r="B2076" s="19" t="s">
        <v>742</v>
      </c>
      <c r="C2076" s="109" t="n">
        <v>45880</v>
      </c>
      <c r="D2076" s="108" t="n">
        <v>90</v>
      </c>
      <c r="E2076" s="108" t="n">
        <v>323</v>
      </c>
      <c r="F2076" s="10" t="s">
        <v>225</v>
      </c>
      <c r="G2076" s="19"/>
    </row>
    <row r="2077" customFormat="false" ht="15" hidden="false" customHeight="true" outlineLevel="0" collapsed="false">
      <c r="A2077" s="19" t="n">
        <v>270523</v>
      </c>
      <c r="B2077" s="19" t="s">
        <v>866</v>
      </c>
      <c r="C2077" s="109" t="n">
        <v>45880</v>
      </c>
      <c r="D2077" s="108" t="n">
        <v>100</v>
      </c>
      <c r="E2077" s="108" t="n">
        <v>225</v>
      </c>
      <c r="F2077" s="10" t="s">
        <v>225</v>
      </c>
      <c r="G2077" s="19"/>
    </row>
    <row r="2078" customFormat="false" ht="15" hidden="false" customHeight="true" outlineLevel="0" collapsed="false">
      <c r="A2078" s="19" t="n">
        <v>270527</v>
      </c>
      <c r="B2078" s="19" t="s">
        <v>749</v>
      </c>
      <c r="C2078" s="109" t="n">
        <v>45880</v>
      </c>
      <c r="D2078" s="108" t="n">
        <v>100</v>
      </c>
      <c r="E2078" s="108" t="n">
        <v>150</v>
      </c>
      <c r="F2078" s="10" t="s">
        <v>225</v>
      </c>
      <c r="G2078" s="19"/>
    </row>
    <row r="2079" customFormat="false" ht="15" hidden="false" customHeight="true" outlineLevel="0" collapsed="false">
      <c r="A2079" s="19" t="n">
        <v>956</v>
      </c>
      <c r="B2079" s="19" t="s">
        <v>302</v>
      </c>
      <c r="C2079" s="109" t="n">
        <v>45880</v>
      </c>
      <c r="D2079" s="108" t="n">
        <v>105</v>
      </c>
      <c r="E2079" s="108" t="n">
        <v>3400</v>
      </c>
      <c r="F2079" s="10" t="s">
        <v>225</v>
      </c>
      <c r="G2079" s="19"/>
    </row>
    <row r="2080" customFormat="false" ht="15" hidden="false" customHeight="true" outlineLevel="0" collapsed="false">
      <c r="A2080" s="19" t="n">
        <v>270526</v>
      </c>
      <c r="B2080" s="19" t="s">
        <v>317</v>
      </c>
      <c r="C2080" s="109" t="n">
        <v>45880</v>
      </c>
      <c r="D2080" s="108" t="n">
        <v>105</v>
      </c>
      <c r="E2080" s="108" t="n">
        <v>900</v>
      </c>
      <c r="F2080" s="10" t="s">
        <v>225</v>
      </c>
      <c r="G2080" s="19"/>
    </row>
    <row r="2081" customFormat="false" ht="15" hidden="false" customHeight="true" outlineLevel="0" collapsed="false">
      <c r="A2081" s="19" t="n">
        <v>922</v>
      </c>
      <c r="B2081" s="19" t="s">
        <v>742</v>
      </c>
      <c r="C2081" s="109" t="n">
        <v>45880</v>
      </c>
      <c r="D2081" s="108" t="n">
        <v>105</v>
      </c>
      <c r="E2081" s="108" t="n">
        <v>4500</v>
      </c>
      <c r="F2081" s="10" t="s">
        <v>225</v>
      </c>
      <c r="G2081" s="19"/>
    </row>
    <row r="2082" customFormat="false" ht="15" hidden="false" customHeight="true" outlineLevel="0" collapsed="false">
      <c r="A2082" s="19" t="n">
        <v>270528</v>
      </c>
      <c r="B2082" s="19" t="s">
        <v>501</v>
      </c>
      <c r="C2082" s="109" t="n">
        <v>45880</v>
      </c>
      <c r="D2082" s="108" t="n">
        <v>110</v>
      </c>
      <c r="E2082" s="108" t="n">
        <v>4500</v>
      </c>
      <c r="F2082" s="10" t="s">
        <v>225</v>
      </c>
      <c r="G2082" s="19"/>
    </row>
    <row r="2083" customFormat="false" ht="15" hidden="false" customHeight="true" outlineLevel="0" collapsed="false">
      <c r="A2083" s="19" t="n">
        <v>922</v>
      </c>
      <c r="B2083" s="19" t="s">
        <v>742</v>
      </c>
      <c r="C2083" s="109" t="n">
        <v>45880</v>
      </c>
      <c r="D2083" s="108" t="n">
        <v>110</v>
      </c>
      <c r="E2083" s="108" t="n">
        <v>570</v>
      </c>
      <c r="F2083" s="10" t="s">
        <v>225</v>
      </c>
      <c r="G2083" s="19"/>
    </row>
    <row r="2084" customFormat="false" ht="15" hidden="false" customHeight="true" outlineLevel="0" collapsed="false">
      <c r="A2084" s="19" t="n">
        <v>922</v>
      </c>
      <c r="B2084" s="19" t="s">
        <v>742</v>
      </c>
      <c r="C2084" s="109" t="n">
        <v>45880</v>
      </c>
      <c r="D2084" s="108" t="n">
        <v>130</v>
      </c>
      <c r="E2084" s="108" t="n">
        <v>3100</v>
      </c>
      <c r="F2084" s="10" t="s">
        <v>225</v>
      </c>
      <c r="G2084" s="19"/>
    </row>
    <row r="2085" customFormat="false" ht="15" hidden="false" customHeight="true" outlineLevel="0" collapsed="false">
      <c r="A2085" s="19" t="n">
        <v>957</v>
      </c>
      <c r="B2085" s="19" t="s">
        <v>477</v>
      </c>
      <c r="C2085" s="109" t="n">
        <v>45880</v>
      </c>
      <c r="D2085" s="108" t="n">
        <v>140</v>
      </c>
      <c r="E2085" s="108" t="n">
        <v>1700</v>
      </c>
      <c r="F2085" s="10" t="s">
        <v>225</v>
      </c>
      <c r="G2085" s="19"/>
    </row>
    <row r="2086" customFormat="false" ht="15" hidden="false" customHeight="true" outlineLevel="0" collapsed="false">
      <c r="A2086" s="19" t="n">
        <v>922</v>
      </c>
      <c r="B2086" s="19" t="s">
        <v>742</v>
      </c>
      <c r="C2086" s="109" t="n">
        <v>45880</v>
      </c>
      <c r="D2086" s="108" t="n">
        <v>65</v>
      </c>
      <c r="E2086" s="108" t="n">
        <v>1290</v>
      </c>
      <c r="F2086" s="108" t="s">
        <v>227</v>
      </c>
      <c r="G2086" s="19"/>
    </row>
    <row r="2087" customFormat="false" ht="15" hidden="false" customHeight="true" outlineLevel="0" collapsed="false">
      <c r="A2087" s="19" t="n">
        <v>270525</v>
      </c>
      <c r="B2087" s="19" t="s">
        <v>381</v>
      </c>
      <c r="C2087" s="109" t="n">
        <v>45880</v>
      </c>
      <c r="D2087" s="108" t="n">
        <v>105</v>
      </c>
      <c r="E2087" s="108" t="n">
        <v>300</v>
      </c>
      <c r="F2087" s="108" t="s">
        <v>227</v>
      </c>
      <c r="G2087" s="19"/>
    </row>
    <row r="2088" customFormat="false" ht="15" hidden="false" customHeight="true" outlineLevel="0" collapsed="false">
      <c r="A2088" s="19" t="n">
        <v>961</v>
      </c>
      <c r="B2088" s="19" t="s">
        <v>581</v>
      </c>
      <c r="C2088" s="109" t="n">
        <v>45880</v>
      </c>
      <c r="D2088" s="108" t="n">
        <v>110</v>
      </c>
      <c r="E2088" s="108" t="n">
        <v>408</v>
      </c>
      <c r="F2088" s="108" t="s">
        <v>227</v>
      </c>
      <c r="G2088" s="19"/>
    </row>
    <row r="2089" customFormat="false" ht="15" hidden="false" customHeight="true" outlineLevel="0" collapsed="false">
      <c r="A2089" s="19" t="n">
        <v>955</v>
      </c>
      <c r="B2089" s="19" t="s">
        <v>821</v>
      </c>
      <c r="C2089" s="109" t="n">
        <v>45880</v>
      </c>
      <c r="D2089" s="108" t="n">
        <v>75</v>
      </c>
      <c r="E2089" s="108" t="n">
        <v>270</v>
      </c>
      <c r="F2089" s="10" t="s">
        <v>229</v>
      </c>
      <c r="G2089" s="19"/>
    </row>
    <row r="2090" customFormat="false" ht="15" hidden="false" customHeight="true" outlineLevel="0" collapsed="false">
      <c r="A2090" s="19" t="n">
        <v>959</v>
      </c>
      <c r="B2090" s="19" t="s">
        <v>334</v>
      </c>
      <c r="C2090" s="109" t="n">
        <v>45880</v>
      </c>
      <c r="D2090" s="108" t="n">
        <v>210</v>
      </c>
      <c r="E2090" s="108" t="n">
        <v>630</v>
      </c>
      <c r="F2090" s="108" t="s">
        <v>227</v>
      </c>
      <c r="G2090" s="19"/>
    </row>
    <row r="2091" customFormat="false" ht="15" hidden="false" customHeight="true" outlineLevel="0" collapsed="false">
      <c r="A2091" s="19" t="n">
        <v>963</v>
      </c>
      <c r="B2091" s="19" t="s">
        <v>88</v>
      </c>
      <c r="C2091" s="109" t="n">
        <v>45880</v>
      </c>
      <c r="D2091" s="108" t="n">
        <v>65</v>
      </c>
      <c r="E2091" s="108" t="n">
        <v>1150</v>
      </c>
      <c r="F2091" s="108" t="s">
        <v>856</v>
      </c>
      <c r="G2091" s="19"/>
    </row>
    <row r="2092" customFormat="false" ht="15" hidden="false" customHeight="true" outlineLevel="0" collapsed="false">
      <c r="A2092" s="19" t="n">
        <v>963</v>
      </c>
      <c r="B2092" s="19" t="s">
        <v>88</v>
      </c>
      <c r="C2092" s="109" t="n">
        <v>45880</v>
      </c>
      <c r="D2092" s="108" t="n">
        <v>70</v>
      </c>
      <c r="E2092" s="108" t="n">
        <v>1400</v>
      </c>
      <c r="F2092" s="108" t="s">
        <v>856</v>
      </c>
      <c r="G2092" s="19"/>
    </row>
    <row r="2093" customFormat="false" ht="15" hidden="false" customHeight="true" outlineLevel="0" collapsed="false">
      <c r="A2093" s="19" t="n">
        <v>967</v>
      </c>
      <c r="B2093" s="19" t="s">
        <v>742</v>
      </c>
      <c r="C2093" s="109" t="n">
        <v>45880</v>
      </c>
      <c r="D2093" s="108" t="n">
        <v>80</v>
      </c>
      <c r="E2093" s="108" t="n">
        <v>2500</v>
      </c>
      <c r="F2093" s="10" t="s">
        <v>229</v>
      </c>
      <c r="G2093" s="19"/>
    </row>
    <row r="2094" customFormat="false" ht="15" hidden="false" customHeight="true" outlineLevel="0" collapsed="false">
      <c r="A2094" s="19" t="n">
        <v>966</v>
      </c>
      <c r="B2094" s="19" t="s">
        <v>742</v>
      </c>
      <c r="C2094" s="109" t="n">
        <v>45880</v>
      </c>
      <c r="D2094" s="108" t="n">
        <v>235</v>
      </c>
      <c r="E2094" s="108" t="n">
        <v>400</v>
      </c>
      <c r="F2094" s="10" t="s">
        <v>229</v>
      </c>
      <c r="G2094" s="19"/>
    </row>
    <row r="2095" customFormat="false" ht="15" hidden="false" customHeight="true" outlineLevel="0" collapsed="false">
      <c r="A2095" s="19" t="n">
        <v>964</v>
      </c>
      <c r="B2095" s="19" t="s">
        <v>787</v>
      </c>
      <c r="C2095" s="109" t="n">
        <v>45880</v>
      </c>
      <c r="D2095" s="108" t="n">
        <v>220</v>
      </c>
      <c r="E2095" s="108" t="n">
        <v>74</v>
      </c>
      <c r="F2095" s="10" t="s">
        <v>229</v>
      </c>
      <c r="G2095" s="19"/>
    </row>
    <row r="2096" customFormat="false" ht="15" hidden="false" customHeight="true" outlineLevel="0" collapsed="false">
      <c r="A2096" s="19" t="n">
        <v>922</v>
      </c>
      <c r="B2096" s="19" t="s">
        <v>742</v>
      </c>
      <c r="C2096" s="109" t="n">
        <v>45880</v>
      </c>
      <c r="D2096" s="108" t="n">
        <v>100</v>
      </c>
      <c r="E2096" s="108" t="n">
        <v>690</v>
      </c>
      <c r="F2096" s="108" t="s">
        <v>856</v>
      </c>
      <c r="G2096" s="19"/>
    </row>
    <row r="2097" customFormat="false" ht="15" hidden="false" customHeight="true" outlineLevel="0" collapsed="false">
      <c r="A2097" s="19" t="n">
        <v>951</v>
      </c>
      <c r="B2097" s="19" t="s">
        <v>691</v>
      </c>
      <c r="C2097" s="109" t="n">
        <v>45880</v>
      </c>
      <c r="D2097" s="108" t="n">
        <v>220</v>
      </c>
      <c r="E2097" s="108" t="n">
        <v>383</v>
      </c>
      <c r="F2097" s="10" t="s">
        <v>225</v>
      </c>
      <c r="G2097" s="19"/>
    </row>
    <row r="2098" customFormat="false" ht="15" hidden="false" customHeight="true" outlineLevel="0" collapsed="false">
      <c r="A2098" s="19" t="n">
        <v>971</v>
      </c>
      <c r="B2098" s="19" t="s">
        <v>867</v>
      </c>
      <c r="C2098" s="109" t="n">
        <v>45881</v>
      </c>
      <c r="D2098" s="108" t="n">
        <v>180</v>
      </c>
      <c r="E2098" s="108" t="n">
        <v>460</v>
      </c>
      <c r="F2098" s="10" t="s">
        <v>236</v>
      </c>
      <c r="G2098" s="19"/>
    </row>
    <row r="2099" customFormat="false" ht="15" hidden="false" customHeight="true" outlineLevel="0" collapsed="false">
      <c r="A2099" s="19" t="n">
        <v>969</v>
      </c>
      <c r="B2099" s="19" t="s">
        <v>269</v>
      </c>
      <c r="C2099" s="109" t="n">
        <v>45881</v>
      </c>
      <c r="D2099" s="108" t="n">
        <v>20</v>
      </c>
      <c r="E2099" s="108" t="n">
        <v>400</v>
      </c>
      <c r="F2099" s="10" t="s">
        <v>225</v>
      </c>
      <c r="G2099" s="19"/>
    </row>
    <row r="2100" customFormat="false" ht="15" hidden="false" customHeight="true" outlineLevel="0" collapsed="false">
      <c r="A2100" s="19" t="n">
        <v>972</v>
      </c>
      <c r="B2100" s="19" t="s">
        <v>422</v>
      </c>
      <c r="C2100" s="109" t="n">
        <v>45881</v>
      </c>
      <c r="D2100" s="108" t="n">
        <v>45</v>
      </c>
      <c r="E2100" s="108" t="n">
        <v>90</v>
      </c>
      <c r="F2100" s="10" t="s">
        <v>225</v>
      </c>
      <c r="G2100" s="19"/>
    </row>
    <row r="2101" customFormat="false" ht="15" hidden="false" customHeight="true" outlineLevel="0" collapsed="false">
      <c r="A2101" s="19" t="n">
        <v>985</v>
      </c>
      <c r="B2101" s="19" t="s">
        <v>506</v>
      </c>
      <c r="C2101" s="109" t="n">
        <v>45881</v>
      </c>
      <c r="D2101" s="108" t="n">
        <v>65</v>
      </c>
      <c r="E2101" s="108" t="n">
        <v>165</v>
      </c>
      <c r="F2101" s="10" t="s">
        <v>225</v>
      </c>
      <c r="G2101" s="19"/>
    </row>
    <row r="2102" customFormat="false" ht="15" hidden="false" customHeight="true" outlineLevel="0" collapsed="false">
      <c r="A2102" s="19" t="n">
        <v>270538</v>
      </c>
      <c r="B2102" s="19" t="s">
        <v>512</v>
      </c>
      <c r="C2102" s="109" t="n">
        <v>45881</v>
      </c>
      <c r="D2102" s="108" t="n">
        <v>70</v>
      </c>
      <c r="E2102" s="108" t="n">
        <v>340</v>
      </c>
      <c r="F2102" s="10" t="s">
        <v>225</v>
      </c>
      <c r="G2102" s="19"/>
    </row>
    <row r="2103" customFormat="false" ht="15" hidden="false" customHeight="true" outlineLevel="0" collapsed="false">
      <c r="A2103" s="19" t="n">
        <v>270534</v>
      </c>
      <c r="B2103" s="19" t="s">
        <v>868</v>
      </c>
      <c r="C2103" s="109" t="n">
        <v>45881</v>
      </c>
      <c r="D2103" s="108" t="n">
        <v>100</v>
      </c>
      <c r="E2103" s="108" t="n">
        <v>680</v>
      </c>
      <c r="F2103" s="10" t="s">
        <v>225</v>
      </c>
      <c r="G2103" s="19"/>
    </row>
    <row r="2104" customFormat="false" ht="15" hidden="false" customHeight="true" outlineLevel="0" collapsed="false">
      <c r="A2104" s="19" t="n">
        <v>973</v>
      </c>
      <c r="B2104" s="19" t="s">
        <v>281</v>
      </c>
      <c r="C2104" s="109" t="n">
        <v>45881</v>
      </c>
      <c r="D2104" s="108" t="n">
        <v>105</v>
      </c>
      <c r="E2104" s="108" t="n">
        <v>2880</v>
      </c>
      <c r="F2104" s="10" t="s">
        <v>225</v>
      </c>
      <c r="G2104" s="19"/>
    </row>
    <row r="2105" customFormat="false" ht="15" hidden="false" customHeight="true" outlineLevel="0" collapsed="false">
      <c r="A2105" s="19" t="n">
        <v>987</v>
      </c>
      <c r="B2105" s="19" t="s">
        <v>382</v>
      </c>
      <c r="C2105" s="109" t="n">
        <v>45881</v>
      </c>
      <c r="D2105" s="108" t="n">
        <v>125</v>
      </c>
      <c r="E2105" s="108" t="n">
        <v>800</v>
      </c>
      <c r="F2105" s="10" t="s">
        <v>225</v>
      </c>
      <c r="G2105" s="19"/>
    </row>
    <row r="2106" customFormat="false" ht="15" hidden="false" customHeight="true" outlineLevel="0" collapsed="false">
      <c r="A2106" s="19" t="n">
        <v>980</v>
      </c>
      <c r="B2106" s="19" t="s">
        <v>672</v>
      </c>
      <c r="C2106" s="109" t="n">
        <v>45881</v>
      </c>
      <c r="D2106" s="108" t="n">
        <v>135</v>
      </c>
      <c r="E2106" s="108" t="n">
        <v>274</v>
      </c>
      <c r="F2106" s="10" t="s">
        <v>225</v>
      </c>
      <c r="G2106" s="19"/>
    </row>
    <row r="2107" customFormat="false" ht="15" hidden="false" customHeight="true" outlineLevel="0" collapsed="false">
      <c r="A2107" s="19" t="n">
        <v>270537</v>
      </c>
      <c r="B2107" s="19" t="s">
        <v>338</v>
      </c>
      <c r="C2107" s="109" t="n">
        <v>45881</v>
      </c>
      <c r="D2107" s="108" t="n">
        <v>138</v>
      </c>
      <c r="E2107" s="108" t="n">
        <v>680</v>
      </c>
      <c r="F2107" s="10" t="s">
        <v>225</v>
      </c>
      <c r="G2107" s="19"/>
    </row>
    <row r="2108" customFormat="false" ht="15" hidden="false" customHeight="true" outlineLevel="0" collapsed="false">
      <c r="A2108" s="19" t="n">
        <v>982</v>
      </c>
      <c r="B2108" s="19" t="s">
        <v>319</v>
      </c>
      <c r="C2108" s="109" t="n">
        <v>45881</v>
      </c>
      <c r="D2108" s="108" t="n">
        <v>140</v>
      </c>
      <c r="E2108" s="108" t="n">
        <v>3500</v>
      </c>
      <c r="F2108" s="10" t="s">
        <v>225</v>
      </c>
      <c r="G2108" s="19"/>
    </row>
    <row r="2109" customFormat="false" ht="15" hidden="false" customHeight="true" outlineLevel="0" collapsed="false">
      <c r="A2109" s="19" t="n">
        <v>975</v>
      </c>
      <c r="B2109" s="19" t="s">
        <v>869</v>
      </c>
      <c r="C2109" s="109" t="n">
        <v>45881</v>
      </c>
      <c r="D2109" s="108" t="n">
        <v>105</v>
      </c>
      <c r="E2109" s="108" t="n">
        <v>120</v>
      </c>
      <c r="F2109" s="108" t="s">
        <v>227</v>
      </c>
      <c r="G2109" s="19"/>
    </row>
    <row r="2110" customFormat="false" ht="15" hidden="false" customHeight="true" outlineLevel="0" collapsed="false">
      <c r="A2110" s="19" t="n">
        <v>270536</v>
      </c>
      <c r="B2110" s="19" t="s">
        <v>870</v>
      </c>
      <c r="C2110" s="109" t="n">
        <v>45881</v>
      </c>
      <c r="D2110" s="108" t="n">
        <v>120</v>
      </c>
      <c r="E2110" s="108" t="n">
        <v>150</v>
      </c>
      <c r="F2110" s="108" t="s">
        <v>227</v>
      </c>
      <c r="G2110" s="19"/>
    </row>
    <row r="2111" customFormat="false" ht="15" hidden="false" customHeight="true" outlineLevel="0" collapsed="false">
      <c r="A2111" s="19" t="n">
        <v>978</v>
      </c>
      <c r="B2111" s="19" t="s">
        <v>742</v>
      </c>
      <c r="C2111" s="109" t="n">
        <v>45881</v>
      </c>
      <c r="D2111" s="108" t="n">
        <v>80</v>
      </c>
      <c r="E2111" s="108" t="n">
        <v>620</v>
      </c>
      <c r="F2111" s="10" t="s">
        <v>229</v>
      </c>
      <c r="G2111" s="19"/>
    </row>
    <row r="2112" customFormat="false" ht="15" hidden="false" customHeight="true" outlineLevel="0" collapsed="false">
      <c r="A2112" s="19" t="n">
        <v>979</v>
      </c>
      <c r="B2112" s="19" t="s">
        <v>742</v>
      </c>
      <c r="C2112" s="109" t="n">
        <v>45881</v>
      </c>
      <c r="D2112" s="108" t="n">
        <v>235</v>
      </c>
      <c r="E2112" s="108" t="n">
        <v>100</v>
      </c>
      <c r="F2112" s="10" t="s">
        <v>229</v>
      </c>
      <c r="G2112" s="19"/>
    </row>
    <row r="2113" customFormat="false" ht="15" hidden="false" customHeight="true" outlineLevel="0" collapsed="false">
      <c r="A2113" s="19" t="n">
        <v>984</v>
      </c>
      <c r="B2113" s="19" t="s">
        <v>871</v>
      </c>
      <c r="C2113" s="109" t="n">
        <v>45881</v>
      </c>
      <c r="D2113" s="108" t="n">
        <v>250</v>
      </c>
      <c r="E2113" s="108" t="n">
        <v>1183</v>
      </c>
      <c r="F2113" s="10" t="s">
        <v>229</v>
      </c>
      <c r="G2113" s="19"/>
    </row>
    <row r="2114" customFormat="false" ht="15" hidden="false" customHeight="true" outlineLevel="0" collapsed="false">
      <c r="A2114" s="19" t="n">
        <v>976</v>
      </c>
      <c r="B2114" s="19" t="s">
        <v>563</v>
      </c>
      <c r="C2114" s="109" t="n">
        <v>45881</v>
      </c>
      <c r="D2114" s="108" t="n">
        <v>210</v>
      </c>
      <c r="E2114" s="108" t="n">
        <v>170</v>
      </c>
      <c r="F2114" s="10" t="s">
        <v>225</v>
      </c>
      <c r="G2114" s="19"/>
    </row>
    <row r="2115" customFormat="false" ht="15" hidden="false" customHeight="true" outlineLevel="0" collapsed="false">
      <c r="A2115" s="19" t="n">
        <v>270540</v>
      </c>
      <c r="B2115" s="19" t="s">
        <v>785</v>
      </c>
      <c r="C2115" s="109" t="n">
        <v>45881</v>
      </c>
      <c r="D2115" s="108" t="n">
        <v>250</v>
      </c>
      <c r="E2115" s="108" t="n">
        <v>2228</v>
      </c>
      <c r="F2115" s="10" t="s">
        <v>236</v>
      </c>
      <c r="G2115" s="19"/>
    </row>
    <row r="2116" customFormat="false" ht="15" hidden="false" customHeight="true" outlineLevel="0" collapsed="false">
      <c r="A2116" s="19" t="n">
        <v>974</v>
      </c>
      <c r="B2116" s="19" t="s">
        <v>403</v>
      </c>
      <c r="C2116" s="109" t="n">
        <v>45881</v>
      </c>
      <c r="D2116" s="108" t="n">
        <v>250</v>
      </c>
      <c r="E2116" s="108" t="n">
        <v>5563</v>
      </c>
      <c r="F2116" s="10" t="s">
        <v>236</v>
      </c>
      <c r="G2116" s="19"/>
    </row>
    <row r="2117" customFormat="false" ht="15" hidden="false" customHeight="true" outlineLevel="0" collapsed="false">
      <c r="A2117" s="19" t="n">
        <v>270533</v>
      </c>
      <c r="B2117" s="19" t="s">
        <v>518</v>
      </c>
      <c r="C2117" s="109" t="n">
        <v>45881</v>
      </c>
      <c r="D2117" s="108" t="n">
        <v>250</v>
      </c>
      <c r="E2117" s="108" t="n">
        <v>371</v>
      </c>
      <c r="F2117" s="10" t="s">
        <v>236</v>
      </c>
      <c r="G2117" s="19"/>
    </row>
    <row r="2118" customFormat="false" ht="15" hidden="false" customHeight="true" outlineLevel="0" collapsed="false">
      <c r="A2118" s="19" t="n">
        <v>983</v>
      </c>
      <c r="B2118" s="19" t="s">
        <v>518</v>
      </c>
      <c r="C2118" s="109" t="n">
        <v>45881</v>
      </c>
      <c r="D2118" s="108" t="n">
        <v>250</v>
      </c>
      <c r="E2118" s="108" t="n">
        <v>371</v>
      </c>
      <c r="F2118" s="10" t="s">
        <v>236</v>
      </c>
      <c r="G2118" s="19"/>
    </row>
    <row r="2119" customFormat="false" ht="15" hidden="false" customHeight="true" outlineLevel="0" collapsed="false">
      <c r="A2119" s="108" t="n">
        <v>270540</v>
      </c>
      <c r="B2119" s="19" t="s">
        <v>785</v>
      </c>
      <c r="C2119" s="109" t="n">
        <v>45881</v>
      </c>
      <c r="D2119" s="108" t="n">
        <v>250</v>
      </c>
      <c r="E2119" s="108" t="n">
        <v>2228</v>
      </c>
      <c r="F2119" s="10" t="s">
        <v>236</v>
      </c>
      <c r="G2119" s="19"/>
    </row>
    <row r="2120" customFormat="false" ht="15" hidden="false" customHeight="true" outlineLevel="0" collapsed="false">
      <c r="A2120" s="19" t="n">
        <v>270548</v>
      </c>
      <c r="B2120" s="18" t="s">
        <v>365</v>
      </c>
      <c r="C2120" s="109" t="n">
        <v>45882</v>
      </c>
      <c r="D2120" s="108" t="n">
        <v>100</v>
      </c>
      <c r="E2120" s="108" t="n">
        <v>670</v>
      </c>
      <c r="F2120" s="10" t="s">
        <v>225</v>
      </c>
      <c r="G2120" s="19"/>
    </row>
    <row r="2121" customFormat="false" ht="15" hidden="false" customHeight="true" outlineLevel="0" collapsed="false">
      <c r="A2121" s="19" t="n">
        <v>980</v>
      </c>
      <c r="B2121" s="18" t="s">
        <v>672</v>
      </c>
      <c r="C2121" s="109" t="n">
        <v>45882</v>
      </c>
      <c r="D2121" s="108" t="n">
        <v>135</v>
      </c>
      <c r="E2121" s="108" t="n">
        <v>441</v>
      </c>
      <c r="F2121" s="10" t="s">
        <v>225</v>
      </c>
      <c r="G2121" s="19"/>
    </row>
    <row r="2122" customFormat="false" ht="15" hidden="false" customHeight="true" outlineLevel="0" collapsed="false">
      <c r="A2122" s="19" t="n">
        <v>270541</v>
      </c>
      <c r="B2122" s="18" t="s">
        <v>872</v>
      </c>
      <c r="C2122" s="109" t="n">
        <v>45882</v>
      </c>
      <c r="D2122" s="108" t="n">
        <v>85</v>
      </c>
      <c r="E2122" s="108" t="n">
        <v>1150</v>
      </c>
      <c r="F2122" s="10" t="s">
        <v>19</v>
      </c>
      <c r="G2122" s="19"/>
    </row>
    <row r="2123" customFormat="false" ht="15" hidden="false" customHeight="true" outlineLevel="0" collapsed="false">
      <c r="A2123" s="19" t="n">
        <v>992</v>
      </c>
      <c r="B2123" s="19" t="s">
        <v>242</v>
      </c>
      <c r="C2123" s="109" t="n">
        <v>45887</v>
      </c>
      <c r="D2123" s="108" t="n">
        <v>25</v>
      </c>
      <c r="E2123" s="108" t="n">
        <v>500</v>
      </c>
      <c r="F2123" s="10" t="s">
        <v>225</v>
      </c>
      <c r="G2123" s="19"/>
    </row>
    <row r="2124" customFormat="false" ht="15" hidden="false" customHeight="true" outlineLevel="0" collapsed="false">
      <c r="A2124" s="19" t="n">
        <v>270542</v>
      </c>
      <c r="B2124" s="19" t="s">
        <v>364</v>
      </c>
      <c r="C2124" s="109" t="n">
        <v>45887</v>
      </c>
      <c r="D2124" s="108" t="n">
        <v>85</v>
      </c>
      <c r="E2124" s="108" t="n">
        <v>1200</v>
      </c>
      <c r="F2124" s="10" t="s">
        <v>225</v>
      </c>
      <c r="G2124" s="19"/>
    </row>
    <row r="2125" customFormat="false" ht="15" hidden="false" customHeight="true" outlineLevel="0" collapsed="false">
      <c r="A2125" s="19" t="n">
        <v>1002</v>
      </c>
      <c r="B2125" s="19" t="s">
        <v>873</v>
      </c>
      <c r="C2125" s="109" t="n">
        <v>45887</v>
      </c>
      <c r="D2125" s="108" t="n">
        <v>85</v>
      </c>
      <c r="E2125" s="108" t="n">
        <v>120</v>
      </c>
      <c r="F2125" s="10" t="s">
        <v>225</v>
      </c>
      <c r="G2125" s="19"/>
    </row>
    <row r="2126" customFormat="false" ht="15" hidden="false" customHeight="true" outlineLevel="0" collapsed="false">
      <c r="A2126" s="19" t="n">
        <v>997</v>
      </c>
      <c r="B2126" s="19" t="s">
        <v>255</v>
      </c>
      <c r="C2126" s="109" t="n">
        <v>45887</v>
      </c>
      <c r="D2126" s="108" t="n">
        <v>100</v>
      </c>
      <c r="E2126" s="108" t="n">
        <v>1100</v>
      </c>
      <c r="F2126" s="10" t="s">
        <v>225</v>
      </c>
      <c r="G2126" s="19"/>
    </row>
    <row r="2127" customFormat="false" ht="15" hidden="false" customHeight="true" outlineLevel="0" collapsed="false">
      <c r="A2127" s="19" t="n">
        <v>996</v>
      </c>
      <c r="B2127" s="19" t="s">
        <v>874</v>
      </c>
      <c r="C2127" s="109" t="n">
        <v>45887</v>
      </c>
      <c r="D2127" s="108" t="n">
        <v>105</v>
      </c>
      <c r="E2127" s="108" t="n">
        <v>105</v>
      </c>
      <c r="F2127" s="10" t="s">
        <v>225</v>
      </c>
      <c r="G2127" s="19"/>
    </row>
    <row r="2128" customFormat="false" ht="15" hidden="false" customHeight="true" outlineLevel="0" collapsed="false">
      <c r="A2128" s="179" t="n">
        <v>270543</v>
      </c>
      <c r="B2128" s="179" t="s">
        <v>437</v>
      </c>
      <c r="C2128" s="109" t="n">
        <v>45887</v>
      </c>
      <c r="D2128" s="108" t="n">
        <v>110</v>
      </c>
      <c r="E2128" s="108" t="n">
        <v>188</v>
      </c>
      <c r="F2128" s="10" t="s">
        <v>225</v>
      </c>
      <c r="G2128" s="19"/>
    </row>
    <row r="2129" customFormat="false" ht="15" hidden="false" customHeight="true" outlineLevel="0" collapsed="false">
      <c r="A2129" s="19" t="n">
        <v>999</v>
      </c>
      <c r="B2129" s="19" t="s">
        <v>247</v>
      </c>
      <c r="C2129" s="109" t="n">
        <v>45887</v>
      </c>
      <c r="D2129" s="108" t="n">
        <v>110</v>
      </c>
      <c r="E2129" s="108" t="n">
        <v>406</v>
      </c>
      <c r="F2129" s="10" t="s">
        <v>225</v>
      </c>
      <c r="G2129" s="19"/>
    </row>
    <row r="2130" customFormat="false" ht="15" hidden="false" customHeight="true" outlineLevel="0" collapsed="false">
      <c r="A2130" s="19" t="n">
        <v>989</v>
      </c>
      <c r="B2130" s="19" t="s">
        <v>285</v>
      </c>
      <c r="C2130" s="109" t="n">
        <v>45887</v>
      </c>
      <c r="D2130" s="108" t="n">
        <v>125</v>
      </c>
      <c r="E2130" s="108" t="n">
        <v>2450</v>
      </c>
      <c r="F2130" s="10" t="s">
        <v>225</v>
      </c>
      <c r="G2130" s="19"/>
    </row>
    <row r="2131" customFormat="false" ht="15" hidden="false" customHeight="true" outlineLevel="0" collapsed="false">
      <c r="A2131" s="19" t="n">
        <v>270456</v>
      </c>
      <c r="B2131" s="19" t="s">
        <v>643</v>
      </c>
      <c r="C2131" s="109" t="n">
        <v>45887</v>
      </c>
      <c r="D2131" s="108" t="n">
        <v>40</v>
      </c>
      <c r="E2131" s="108" t="n">
        <v>375</v>
      </c>
      <c r="F2131" s="108" t="s">
        <v>227</v>
      </c>
      <c r="G2131" s="19"/>
    </row>
    <row r="2132" customFormat="false" ht="15" hidden="false" customHeight="true" outlineLevel="0" collapsed="false">
      <c r="A2132" s="19" t="n">
        <v>270547</v>
      </c>
      <c r="B2132" s="19" t="s">
        <v>274</v>
      </c>
      <c r="C2132" s="109" t="n">
        <v>45887</v>
      </c>
      <c r="D2132" s="108" t="n">
        <v>130</v>
      </c>
      <c r="E2132" s="108" t="n">
        <v>900</v>
      </c>
      <c r="F2132" s="108" t="s">
        <v>227</v>
      </c>
      <c r="G2132" s="19"/>
    </row>
    <row r="2133" customFormat="false" ht="15" hidden="false" customHeight="true" outlineLevel="0" collapsed="false">
      <c r="A2133" s="19" t="n">
        <v>981</v>
      </c>
      <c r="B2133" s="19" t="s">
        <v>242</v>
      </c>
      <c r="C2133" s="109" t="n">
        <v>45887</v>
      </c>
      <c r="D2133" s="108" t="n">
        <v>20</v>
      </c>
      <c r="E2133" s="108" t="n">
        <v>600</v>
      </c>
      <c r="F2133" s="108" t="s">
        <v>856</v>
      </c>
      <c r="G2133" s="19"/>
    </row>
    <row r="2134" customFormat="false" ht="15" hidden="false" customHeight="true" outlineLevel="0" collapsed="false">
      <c r="A2134" s="19" t="n">
        <v>986</v>
      </c>
      <c r="B2134" s="19" t="s">
        <v>336</v>
      </c>
      <c r="C2134" s="109" t="n">
        <v>45887</v>
      </c>
      <c r="D2134" s="108" t="n">
        <v>210</v>
      </c>
      <c r="E2134" s="108" t="n">
        <v>530</v>
      </c>
      <c r="F2134" s="10" t="s">
        <v>229</v>
      </c>
      <c r="G2134" s="19"/>
    </row>
    <row r="2135" customFormat="false" ht="15" hidden="false" customHeight="true" outlineLevel="0" collapsed="false">
      <c r="A2135" s="19" t="n">
        <v>994</v>
      </c>
      <c r="B2135" s="19" t="s">
        <v>875</v>
      </c>
      <c r="C2135" s="109" t="n">
        <v>45887</v>
      </c>
      <c r="D2135" s="108" t="n">
        <v>110</v>
      </c>
      <c r="E2135" s="108" t="n">
        <v>200</v>
      </c>
      <c r="F2135" s="108" t="s">
        <v>711</v>
      </c>
      <c r="G2135" s="19"/>
    </row>
    <row r="2136" customFormat="false" ht="15" hidden="false" customHeight="true" outlineLevel="0" collapsed="false">
      <c r="A2136" s="19" t="n">
        <v>1001</v>
      </c>
      <c r="B2136" s="19" t="s">
        <v>556</v>
      </c>
      <c r="C2136" s="109" t="n">
        <v>45887</v>
      </c>
      <c r="D2136" s="108" t="n">
        <v>15</v>
      </c>
      <c r="E2136" s="108" t="n">
        <v>180</v>
      </c>
      <c r="F2136" s="108" t="s">
        <v>372</v>
      </c>
      <c r="G2136" s="19"/>
    </row>
    <row r="2137" customFormat="false" ht="15" hidden="false" customHeight="true" outlineLevel="0" collapsed="false">
      <c r="A2137" s="19" t="n">
        <v>995</v>
      </c>
      <c r="B2137" s="19" t="s">
        <v>876</v>
      </c>
      <c r="C2137" s="109" t="n">
        <v>45887</v>
      </c>
      <c r="D2137" s="108" t="n">
        <v>210</v>
      </c>
      <c r="E2137" s="108" t="n">
        <v>265</v>
      </c>
      <c r="F2137" s="10" t="s">
        <v>225</v>
      </c>
      <c r="G2137" s="19"/>
    </row>
    <row r="2138" customFormat="false" ht="15" hidden="false" customHeight="true" outlineLevel="0" collapsed="false">
      <c r="A2138" s="19" t="n">
        <v>990</v>
      </c>
      <c r="B2138" s="19" t="s">
        <v>321</v>
      </c>
      <c r="C2138" s="109" t="n">
        <v>45887</v>
      </c>
      <c r="D2138" s="108" t="n">
        <v>220</v>
      </c>
      <c r="E2138" s="108" t="n">
        <v>1596</v>
      </c>
      <c r="F2138" s="10" t="s">
        <v>225</v>
      </c>
      <c r="G2138" s="19"/>
    </row>
    <row r="2139" customFormat="false" ht="15" hidden="false" customHeight="true" outlineLevel="0" collapsed="false">
      <c r="A2139" s="19" t="n">
        <v>905</v>
      </c>
      <c r="B2139" s="19" t="s">
        <v>278</v>
      </c>
      <c r="C2139" s="109" t="n">
        <v>45887</v>
      </c>
      <c r="D2139" s="108" t="n">
        <v>250</v>
      </c>
      <c r="E2139" s="108" t="n">
        <v>146</v>
      </c>
      <c r="F2139" s="10" t="s">
        <v>236</v>
      </c>
      <c r="G2139" s="19"/>
    </row>
    <row r="2140" customFormat="false" ht="15" hidden="false" customHeight="true" outlineLevel="0" collapsed="false">
      <c r="A2140" s="19" t="n">
        <v>1000</v>
      </c>
      <c r="B2140" s="19" t="s">
        <v>757</v>
      </c>
      <c r="C2140" s="109" t="n">
        <v>45889</v>
      </c>
      <c r="D2140" s="108" t="n">
        <v>210</v>
      </c>
      <c r="E2140" s="108" t="n">
        <v>1245</v>
      </c>
      <c r="F2140" s="10" t="s">
        <v>236</v>
      </c>
      <c r="G2140" s="19"/>
    </row>
    <row r="2141" customFormat="false" ht="15" hidden="false" customHeight="true" outlineLevel="0" collapsed="false">
      <c r="A2141" s="19" t="n">
        <v>1013</v>
      </c>
      <c r="B2141" s="19" t="s">
        <v>742</v>
      </c>
      <c r="C2141" s="109" t="n">
        <v>45889</v>
      </c>
      <c r="D2141" s="108" t="n">
        <v>65</v>
      </c>
      <c r="E2141" s="108" t="n">
        <v>645</v>
      </c>
      <c r="F2141" s="10" t="s">
        <v>225</v>
      </c>
      <c r="G2141" s="19"/>
    </row>
    <row r="2142" customFormat="false" ht="15" hidden="false" customHeight="true" outlineLevel="0" collapsed="false">
      <c r="A2142" s="19" t="n">
        <v>270550</v>
      </c>
      <c r="B2142" s="19" t="s">
        <v>769</v>
      </c>
      <c r="C2142" s="109" t="n">
        <v>45889</v>
      </c>
      <c r="D2142" s="108" t="n">
        <v>75</v>
      </c>
      <c r="E2142" s="108" t="n">
        <v>36</v>
      </c>
      <c r="F2142" s="10" t="s">
        <v>225</v>
      </c>
      <c r="G2142" s="19"/>
    </row>
    <row r="2143" customFormat="false" ht="15" hidden="false" customHeight="true" outlineLevel="0" collapsed="false">
      <c r="A2143" s="19" t="n">
        <v>1013</v>
      </c>
      <c r="B2143" s="19" t="s">
        <v>742</v>
      </c>
      <c r="C2143" s="109" t="n">
        <v>45889</v>
      </c>
      <c r="D2143" s="108" t="n">
        <v>90</v>
      </c>
      <c r="E2143" s="108" t="n">
        <v>1300</v>
      </c>
      <c r="F2143" s="10" t="s">
        <v>225</v>
      </c>
      <c r="G2143" s="19"/>
    </row>
    <row r="2144" customFormat="false" ht="15" hidden="false" customHeight="true" outlineLevel="0" collapsed="false">
      <c r="A2144" s="19" t="n">
        <v>270551</v>
      </c>
      <c r="B2144" s="19" t="s">
        <v>828</v>
      </c>
      <c r="C2144" s="109" t="n">
        <v>45889</v>
      </c>
      <c r="D2144" s="108" t="n">
        <v>105</v>
      </c>
      <c r="E2144" s="108" t="n">
        <v>500</v>
      </c>
      <c r="F2144" s="10" t="s">
        <v>225</v>
      </c>
      <c r="G2144" s="19"/>
    </row>
    <row r="2145" customFormat="false" ht="15" hidden="false" customHeight="true" outlineLevel="0" collapsed="false">
      <c r="A2145" s="19" t="n">
        <v>1013</v>
      </c>
      <c r="B2145" s="19" t="s">
        <v>742</v>
      </c>
      <c r="C2145" s="109" t="n">
        <v>45889</v>
      </c>
      <c r="D2145" s="108" t="n">
        <v>105</v>
      </c>
      <c r="E2145" s="108" t="n">
        <v>8267</v>
      </c>
      <c r="F2145" s="10" t="s">
        <v>225</v>
      </c>
      <c r="G2145" s="19"/>
    </row>
    <row r="2146" customFormat="false" ht="15" hidden="false" customHeight="true" outlineLevel="0" collapsed="false">
      <c r="A2146" s="19" t="n">
        <v>1013</v>
      </c>
      <c r="B2146" s="19" t="s">
        <v>742</v>
      </c>
      <c r="C2146" s="109" t="n">
        <v>45889</v>
      </c>
      <c r="D2146" s="108" t="n">
        <v>105</v>
      </c>
      <c r="E2146" s="108" t="n">
        <v>4500</v>
      </c>
      <c r="F2146" s="10" t="s">
        <v>225</v>
      </c>
      <c r="G2146" s="19"/>
    </row>
    <row r="2147" customFormat="false" ht="15" hidden="false" customHeight="true" outlineLevel="0" collapsed="false">
      <c r="A2147" s="19" t="n">
        <v>1013</v>
      </c>
      <c r="B2147" s="19" t="s">
        <v>742</v>
      </c>
      <c r="C2147" s="109" t="n">
        <v>45889</v>
      </c>
      <c r="D2147" s="108" t="n">
        <v>110</v>
      </c>
      <c r="E2147" s="108" t="n">
        <v>950</v>
      </c>
      <c r="F2147" s="10" t="s">
        <v>225</v>
      </c>
      <c r="G2147" s="19"/>
    </row>
    <row r="2148" customFormat="false" ht="15" hidden="false" customHeight="true" outlineLevel="0" collapsed="false">
      <c r="A2148" s="19" t="n">
        <v>1013</v>
      </c>
      <c r="B2148" s="19" t="s">
        <v>742</v>
      </c>
      <c r="C2148" s="109" t="n">
        <v>45889</v>
      </c>
      <c r="D2148" s="108" t="n">
        <v>210</v>
      </c>
      <c r="E2148" s="108" t="n">
        <v>934</v>
      </c>
      <c r="F2148" s="10" t="s">
        <v>225</v>
      </c>
      <c r="G2148" s="19"/>
    </row>
    <row r="2149" customFormat="false" ht="15" hidden="false" customHeight="true" outlineLevel="0" collapsed="false">
      <c r="A2149" s="19" t="n">
        <v>1019</v>
      </c>
      <c r="B2149" s="19" t="s">
        <v>277</v>
      </c>
      <c r="C2149" s="109" t="n">
        <v>45889</v>
      </c>
      <c r="D2149" s="108" t="n">
        <v>210</v>
      </c>
      <c r="E2149" s="108" t="n">
        <v>800</v>
      </c>
      <c r="F2149" s="10" t="s">
        <v>225</v>
      </c>
      <c r="G2149" s="19"/>
    </row>
    <row r="2150" customFormat="false" ht="15" hidden="false" customHeight="true" outlineLevel="0" collapsed="false">
      <c r="A2150" s="19" t="n">
        <v>1017</v>
      </c>
      <c r="B2150" s="19" t="s">
        <v>791</v>
      </c>
      <c r="C2150" s="109" t="n">
        <v>45894</v>
      </c>
      <c r="D2150" s="108" t="n">
        <v>100</v>
      </c>
      <c r="E2150" s="108" t="n">
        <v>240</v>
      </c>
      <c r="F2150" s="10" t="s">
        <v>225</v>
      </c>
      <c r="G2150" s="19"/>
    </row>
    <row r="2151" customFormat="false" ht="15" hidden="false" customHeight="true" outlineLevel="0" collapsed="false">
      <c r="A2151" s="19" t="n">
        <v>270566</v>
      </c>
      <c r="B2151" s="19" t="s">
        <v>475</v>
      </c>
      <c r="C2151" s="109" t="n">
        <v>45894</v>
      </c>
      <c r="D2151" s="108" t="n">
        <v>110</v>
      </c>
      <c r="E2151" s="108" t="n">
        <v>1000</v>
      </c>
      <c r="F2151" s="10" t="s">
        <v>225</v>
      </c>
      <c r="G2151" s="19"/>
    </row>
    <row r="2152" customFormat="false" ht="15" hidden="false" customHeight="true" outlineLevel="0" collapsed="false">
      <c r="A2152" s="19" t="n">
        <v>1035</v>
      </c>
      <c r="B2152" s="19" t="s">
        <v>441</v>
      </c>
      <c r="C2152" s="109" t="n">
        <v>45894</v>
      </c>
      <c r="D2152" s="108" t="n">
        <v>110</v>
      </c>
      <c r="E2152" s="108" t="n">
        <v>750</v>
      </c>
      <c r="F2152" s="10" t="s">
        <v>225</v>
      </c>
      <c r="G2152" s="19"/>
    </row>
    <row r="2153" customFormat="false" ht="15" hidden="false" customHeight="true" outlineLevel="0" collapsed="false">
      <c r="A2153" s="19" t="n">
        <v>1031</v>
      </c>
      <c r="B2153" s="19" t="s">
        <v>270</v>
      </c>
      <c r="C2153" s="109" t="n">
        <v>45894</v>
      </c>
      <c r="D2153" s="108" t="n">
        <v>140</v>
      </c>
      <c r="E2153" s="108" t="n">
        <v>373</v>
      </c>
      <c r="F2153" s="10" t="s">
        <v>225</v>
      </c>
      <c r="G2153" s="19" t="s">
        <v>232</v>
      </c>
    </row>
    <row r="2154" customFormat="false" ht="15" hidden="false" customHeight="true" outlineLevel="0" collapsed="false">
      <c r="A2154" s="19" t="n">
        <v>1031</v>
      </c>
      <c r="B2154" s="19" t="s">
        <v>270</v>
      </c>
      <c r="C2154" s="109" t="n">
        <v>45894</v>
      </c>
      <c r="D2154" s="108" t="n">
        <v>140</v>
      </c>
      <c r="E2154" s="108" t="n">
        <v>373</v>
      </c>
      <c r="F2154" s="10" t="s">
        <v>225</v>
      </c>
      <c r="G2154" s="19" t="s">
        <v>232</v>
      </c>
    </row>
    <row r="2155" customFormat="false" ht="15" hidden="false" customHeight="true" outlineLevel="0" collapsed="false">
      <c r="A2155" s="19" t="n">
        <v>1029</v>
      </c>
      <c r="B2155" s="19" t="s">
        <v>411</v>
      </c>
      <c r="C2155" s="109" t="n">
        <v>45894</v>
      </c>
      <c r="D2155" s="108" t="n">
        <v>158</v>
      </c>
      <c r="E2155" s="108" t="n">
        <v>750</v>
      </c>
      <c r="F2155" s="10" t="s">
        <v>225</v>
      </c>
      <c r="G2155" s="19"/>
    </row>
    <row r="2156" customFormat="false" ht="15" hidden="false" customHeight="true" outlineLevel="0" collapsed="false">
      <c r="A2156" s="19" t="n">
        <v>1029</v>
      </c>
      <c r="B2156" s="19" t="s">
        <v>411</v>
      </c>
      <c r="C2156" s="109" t="n">
        <v>45894</v>
      </c>
      <c r="D2156" s="108" t="n">
        <v>158</v>
      </c>
      <c r="E2156" s="108" t="n">
        <v>750</v>
      </c>
      <c r="F2156" s="10" t="s">
        <v>225</v>
      </c>
      <c r="G2156" s="19"/>
    </row>
    <row r="2157" customFormat="false" ht="15" hidden="false" customHeight="true" outlineLevel="0" collapsed="false">
      <c r="A2157" s="19" t="n">
        <v>1037</v>
      </c>
      <c r="B2157" s="19" t="s">
        <v>290</v>
      </c>
      <c r="C2157" s="109" t="n">
        <v>45894</v>
      </c>
      <c r="D2157" s="108" t="n">
        <v>100</v>
      </c>
      <c r="E2157" s="108" t="n">
        <v>225</v>
      </c>
      <c r="F2157" s="108" t="s">
        <v>227</v>
      </c>
      <c r="G2157" s="19"/>
    </row>
    <row r="2158" customFormat="false" ht="15" hidden="false" customHeight="true" outlineLevel="0" collapsed="false">
      <c r="A2158" s="19" t="n">
        <v>1021</v>
      </c>
      <c r="B2158" s="19" t="s">
        <v>228</v>
      </c>
      <c r="C2158" s="109" t="n">
        <v>45894</v>
      </c>
      <c r="D2158" s="108" t="n">
        <v>210</v>
      </c>
      <c r="E2158" s="108" t="n">
        <v>315</v>
      </c>
      <c r="F2158" s="10" t="s">
        <v>229</v>
      </c>
      <c r="G2158" s="19"/>
    </row>
    <row r="2159" customFormat="false" ht="15" hidden="false" customHeight="true" outlineLevel="0" collapsed="false">
      <c r="A2159" s="19" t="n">
        <v>1024</v>
      </c>
      <c r="B2159" s="19" t="s">
        <v>88</v>
      </c>
      <c r="C2159" s="109" t="n">
        <v>45894</v>
      </c>
      <c r="D2159" s="108" t="n">
        <v>250</v>
      </c>
      <c r="E2159" s="108" t="n">
        <v>1183</v>
      </c>
      <c r="F2159" s="108" t="s">
        <v>856</v>
      </c>
      <c r="G2159" s="19"/>
    </row>
    <row r="2160" customFormat="false" ht="15" hidden="false" customHeight="true" outlineLevel="0" collapsed="false">
      <c r="A2160" s="19" t="n">
        <v>270570</v>
      </c>
      <c r="B2160" s="19" t="s">
        <v>240</v>
      </c>
      <c r="C2160" s="109" t="n">
        <v>45894</v>
      </c>
      <c r="D2160" s="108" t="n">
        <v>110</v>
      </c>
      <c r="E2160" s="108" t="n">
        <v>272</v>
      </c>
      <c r="F2160" s="10" t="s">
        <v>229</v>
      </c>
      <c r="G2160" s="19"/>
    </row>
    <row r="2161" customFormat="false" ht="15" hidden="false" customHeight="true" outlineLevel="0" collapsed="false">
      <c r="A2161" s="19" t="n">
        <v>270567</v>
      </c>
      <c r="B2161" s="19" t="s">
        <v>346</v>
      </c>
      <c r="C2161" s="109" t="n">
        <v>45894</v>
      </c>
      <c r="D2161" s="108" t="n">
        <v>105</v>
      </c>
      <c r="E2161" s="108" t="n">
        <v>780</v>
      </c>
      <c r="F2161" s="10" t="s">
        <v>229</v>
      </c>
      <c r="G2161" s="19"/>
    </row>
    <row r="2162" customFormat="false" ht="15" hidden="false" customHeight="true" outlineLevel="0" collapsed="false">
      <c r="A2162" s="19" t="n">
        <v>270572</v>
      </c>
      <c r="B2162" s="19" t="s">
        <v>513</v>
      </c>
      <c r="C2162" s="109" t="n">
        <v>45894</v>
      </c>
      <c r="D2162" s="108" t="n">
        <v>100</v>
      </c>
      <c r="E2162" s="108" t="n">
        <v>150</v>
      </c>
      <c r="F2162" s="108" t="s">
        <v>19</v>
      </c>
      <c r="G2162" s="19"/>
    </row>
    <row r="2163" customFormat="false" ht="15" hidden="false" customHeight="true" outlineLevel="0" collapsed="false">
      <c r="A2163" s="19" t="n">
        <v>1034</v>
      </c>
      <c r="B2163" s="19" t="s">
        <v>877</v>
      </c>
      <c r="C2163" s="109" t="n">
        <v>45894</v>
      </c>
      <c r="D2163" s="108" t="n">
        <v>53</v>
      </c>
      <c r="E2163" s="108" t="n">
        <v>204</v>
      </c>
      <c r="F2163" s="108" t="s">
        <v>577</v>
      </c>
      <c r="G2163" s="19" t="s">
        <v>878</v>
      </c>
    </row>
    <row r="2164" customFormat="false" ht="15" hidden="false" customHeight="true" outlineLevel="0" collapsed="false">
      <c r="A2164" s="19" t="n">
        <v>1030</v>
      </c>
      <c r="B2164" s="19" t="s">
        <v>270</v>
      </c>
      <c r="C2164" s="109" t="n">
        <v>45894</v>
      </c>
      <c r="D2164" s="108" t="n">
        <v>130</v>
      </c>
      <c r="E2164" s="108" t="n">
        <v>1250</v>
      </c>
      <c r="F2164" s="10" t="s">
        <v>229</v>
      </c>
      <c r="G2164" s="19"/>
    </row>
    <row r="2165" customFormat="false" ht="15" hidden="false" customHeight="true" outlineLevel="0" collapsed="false">
      <c r="A2165" s="19" t="n">
        <v>1032</v>
      </c>
      <c r="B2165" s="19" t="s">
        <v>681</v>
      </c>
      <c r="C2165" s="109" t="n">
        <v>45894</v>
      </c>
      <c r="D2165" s="108" t="n">
        <v>210</v>
      </c>
      <c r="E2165" s="108" t="n">
        <v>650</v>
      </c>
      <c r="F2165" s="10" t="s">
        <v>225</v>
      </c>
      <c r="G2165" s="19"/>
    </row>
    <row r="2166" customFormat="false" ht="15" hidden="false" customHeight="true" outlineLevel="0" collapsed="false">
      <c r="A2166" s="19" t="n">
        <v>1025</v>
      </c>
      <c r="B2166" s="19" t="s">
        <v>247</v>
      </c>
      <c r="C2166" s="109" t="n">
        <v>45894</v>
      </c>
      <c r="D2166" s="108" t="n">
        <v>210</v>
      </c>
      <c r="E2166" s="108" t="n">
        <v>6225</v>
      </c>
      <c r="F2166" s="10" t="s">
        <v>225</v>
      </c>
      <c r="G2166" s="19"/>
    </row>
    <row r="2167" customFormat="false" ht="15" hidden="false" customHeight="true" outlineLevel="0" collapsed="false">
      <c r="A2167" s="19" t="n">
        <v>1105</v>
      </c>
      <c r="B2167" s="19" t="s">
        <v>586</v>
      </c>
      <c r="C2167" s="109" t="n">
        <v>45908</v>
      </c>
      <c r="D2167" s="108" t="n">
        <v>95</v>
      </c>
      <c r="E2167" s="108" t="n">
        <v>243</v>
      </c>
      <c r="F2167" s="10" t="s">
        <v>236</v>
      </c>
      <c r="G2167" s="19"/>
    </row>
    <row r="2168" customFormat="false" ht="15" hidden="false" customHeight="true" outlineLevel="0" collapsed="false">
      <c r="A2168" s="19" t="n">
        <v>1110</v>
      </c>
      <c r="B2168" s="19" t="s">
        <v>514</v>
      </c>
      <c r="C2168" s="109" t="n">
        <v>45908</v>
      </c>
      <c r="D2168" s="108" t="n">
        <v>48</v>
      </c>
      <c r="E2168" s="108" t="n">
        <v>255</v>
      </c>
      <c r="F2168" s="10" t="s">
        <v>225</v>
      </c>
      <c r="G2168" s="19"/>
    </row>
    <row r="2169" customFormat="false" ht="15" hidden="false" customHeight="true" outlineLevel="0" collapsed="false">
      <c r="A2169" s="19" t="n">
        <v>270623</v>
      </c>
      <c r="B2169" s="19" t="s">
        <v>337</v>
      </c>
      <c r="C2169" s="109" t="n">
        <v>45908</v>
      </c>
      <c r="D2169" s="108" t="n">
        <v>65</v>
      </c>
      <c r="E2169" s="108" t="n">
        <v>1200</v>
      </c>
      <c r="F2169" s="10" t="s">
        <v>225</v>
      </c>
      <c r="G2169" s="19"/>
    </row>
    <row r="2170" customFormat="false" ht="15" hidden="false" customHeight="true" outlineLevel="0" collapsed="false">
      <c r="A2170" s="19" t="n">
        <v>1107</v>
      </c>
      <c r="B2170" s="19" t="s">
        <v>784</v>
      </c>
      <c r="C2170" s="109" t="n">
        <v>45908</v>
      </c>
      <c r="D2170" s="108" t="n">
        <v>90</v>
      </c>
      <c r="E2170" s="108" t="n">
        <v>833</v>
      </c>
      <c r="F2170" s="10" t="s">
        <v>225</v>
      </c>
      <c r="G2170" s="19"/>
    </row>
    <row r="2171" customFormat="false" ht="15" hidden="false" customHeight="true" outlineLevel="0" collapsed="false">
      <c r="A2171" s="19" t="n">
        <v>1112</v>
      </c>
      <c r="B2171" s="19" t="s">
        <v>628</v>
      </c>
      <c r="C2171" s="109" t="n">
        <v>45908</v>
      </c>
      <c r="D2171" s="108" t="n">
        <v>105</v>
      </c>
      <c r="E2171" s="108" t="n">
        <v>2700</v>
      </c>
      <c r="F2171" s="10" t="s">
        <v>225</v>
      </c>
      <c r="G2171" s="19"/>
    </row>
    <row r="2172" customFormat="false" ht="15" hidden="false" customHeight="true" outlineLevel="0" collapsed="false">
      <c r="A2172" s="19" t="n">
        <v>1111</v>
      </c>
      <c r="B2172" s="19" t="s">
        <v>628</v>
      </c>
      <c r="C2172" s="109" t="n">
        <v>45908</v>
      </c>
      <c r="D2172" s="108" t="n">
        <v>105</v>
      </c>
      <c r="E2172" s="108" t="n">
        <v>3800</v>
      </c>
      <c r="F2172" s="10" t="s">
        <v>225</v>
      </c>
      <c r="G2172" s="19"/>
    </row>
    <row r="2173" customFormat="false" ht="15" hidden="false" customHeight="true" outlineLevel="0" collapsed="false">
      <c r="A2173" s="19" t="n">
        <v>1107</v>
      </c>
      <c r="B2173" s="19" t="s">
        <v>784</v>
      </c>
      <c r="C2173" s="109" t="n">
        <v>45908</v>
      </c>
      <c r="D2173" s="108" t="n">
        <v>110</v>
      </c>
      <c r="E2173" s="108" t="n">
        <v>4860</v>
      </c>
      <c r="F2173" s="10" t="s">
        <v>225</v>
      </c>
      <c r="G2173" s="19"/>
    </row>
    <row r="2174" customFormat="false" ht="15" hidden="false" customHeight="true" outlineLevel="0" collapsed="false">
      <c r="A2174" s="19" t="n">
        <v>270622</v>
      </c>
      <c r="B2174" s="19" t="s">
        <v>345</v>
      </c>
      <c r="C2174" s="109" t="n">
        <v>45908</v>
      </c>
      <c r="D2174" s="108" t="n">
        <v>35</v>
      </c>
      <c r="E2174" s="108" t="n">
        <v>600</v>
      </c>
      <c r="F2174" s="108" t="s">
        <v>19</v>
      </c>
      <c r="G2174" s="19"/>
    </row>
    <row r="2175" customFormat="false" ht="15" hidden="false" customHeight="true" outlineLevel="0" collapsed="false">
      <c r="A2175" s="19" t="n">
        <v>270620</v>
      </c>
      <c r="B2175" s="19" t="s">
        <v>879</v>
      </c>
      <c r="C2175" s="109" t="n">
        <v>45908</v>
      </c>
      <c r="D2175" s="108" t="n">
        <v>120</v>
      </c>
      <c r="E2175" s="108" t="n">
        <v>500</v>
      </c>
      <c r="F2175" s="108" t="s">
        <v>227</v>
      </c>
      <c r="G2175" s="19"/>
    </row>
    <row r="2176" customFormat="false" ht="15" hidden="false" customHeight="true" outlineLevel="0" collapsed="false">
      <c r="A2176" s="19" t="n">
        <v>1094</v>
      </c>
      <c r="B2176" s="19" t="s">
        <v>88</v>
      </c>
      <c r="C2176" s="109" t="n">
        <v>45908</v>
      </c>
      <c r="D2176" s="108" t="n">
        <v>210</v>
      </c>
      <c r="E2176" s="108" t="n">
        <v>515</v>
      </c>
      <c r="F2176" s="108" t="s">
        <v>856</v>
      </c>
      <c r="G2176" s="19"/>
    </row>
    <row r="2177" customFormat="false" ht="15" hidden="false" customHeight="true" outlineLevel="0" collapsed="false">
      <c r="A2177" s="19" t="n">
        <v>1093</v>
      </c>
      <c r="B2177" s="19" t="s">
        <v>880</v>
      </c>
      <c r="C2177" s="109" t="n">
        <v>45908</v>
      </c>
      <c r="D2177" s="108" t="n">
        <v>110</v>
      </c>
      <c r="E2177" s="108" t="n">
        <v>5500</v>
      </c>
      <c r="F2177" s="108" t="s">
        <v>229</v>
      </c>
      <c r="G2177" s="19"/>
    </row>
    <row r="2178" customFormat="false" ht="15" hidden="false" customHeight="true" outlineLevel="0" collapsed="false">
      <c r="A2178" s="19" t="n">
        <v>1108</v>
      </c>
      <c r="B2178" s="19" t="s">
        <v>290</v>
      </c>
      <c r="C2178" s="109" t="n">
        <v>45908</v>
      </c>
      <c r="D2178" s="108" t="n">
        <v>100</v>
      </c>
      <c r="E2178" s="108" t="n">
        <v>225</v>
      </c>
      <c r="F2178" s="108" t="s">
        <v>227</v>
      </c>
      <c r="G2178" s="19"/>
    </row>
    <row r="2179" customFormat="false" ht="15" hidden="false" customHeight="true" outlineLevel="0" collapsed="false">
      <c r="A2179" s="19" t="n">
        <v>1135</v>
      </c>
      <c r="B2179" s="19" t="s">
        <v>834</v>
      </c>
      <c r="C2179" s="109" t="n">
        <v>45912</v>
      </c>
      <c r="D2179" s="108" t="n">
        <v>90</v>
      </c>
      <c r="E2179" s="108" t="n">
        <v>7000</v>
      </c>
      <c r="F2179" s="10" t="s">
        <v>225</v>
      </c>
      <c r="G2179" s="19"/>
    </row>
    <row r="2180" customFormat="false" ht="15" hidden="false" customHeight="true" outlineLevel="0" collapsed="false">
      <c r="A2180" s="19" t="n">
        <v>1052</v>
      </c>
      <c r="B2180" s="19" t="s">
        <v>881</v>
      </c>
      <c r="C2180" s="109" t="n">
        <v>45912</v>
      </c>
      <c r="D2180" s="108" t="n">
        <v>110</v>
      </c>
      <c r="E2180" s="108" t="n">
        <v>365</v>
      </c>
      <c r="F2180" s="10" t="s">
        <v>225</v>
      </c>
      <c r="G2180" s="19"/>
    </row>
    <row r="2181" customFormat="false" ht="15" hidden="false" customHeight="true" outlineLevel="0" collapsed="false">
      <c r="A2181" s="19" t="n">
        <v>270629</v>
      </c>
      <c r="B2181" s="19" t="s">
        <v>235</v>
      </c>
      <c r="C2181" s="109" t="n">
        <v>45912</v>
      </c>
      <c r="D2181" s="108" t="n">
        <v>125</v>
      </c>
      <c r="E2181" s="108" t="n">
        <v>1325</v>
      </c>
      <c r="F2181" s="10" t="s">
        <v>225</v>
      </c>
      <c r="G2181" s="19"/>
    </row>
    <row r="2182" customFormat="false" ht="15" hidden="false" customHeight="true" outlineLevel="0" collapsed="false">
      <c r="A2182" s="19" t="n">
        <v>1137</v>
      </c>
      <c r="B2182" s="19" t="s">
        <v>359</v>
      </c>
      <c r="C2182" s="109" t="n">
        <v>45912</v>
      </c>
      <c r="D2182" s="108" t="n">
        <v>190</v>
      </c>
      <c r="E2182" s="108" t="n">
        <v>3780</v>
      </c>
      <c r="F2182" s="10" t="s">
        <v>225</v>
      </c>
      <c r="G2182" s="19"/>
    </row>
    <row r="2183" customFormat="false" ht="15" hidden="false" customHeight="true" outlineLevel="0" collapsed="false">
      <c r="A2183" s="19" t="n">
        <v>270634</v>
      </c>
      <c r="B2183" s="19" t="s">
        <v>235</v>
      </c>
      <c r="C2183" s="109" t="n">
        <v>45912</v>
      </c>
      <c r="D2183" s="108" t="n">
        <v>210</v>
      </c>
      <c r="E2183" s="108" t="n">
        <v>638</v>
      </c>
      <c r="F2183" s="10" t="s">
        <v>225</v>
      </c>
      <c r="G2183" s="19"/>
    </row>
    <row r="2184" customFormat="false" ht="15" hidden="false" customHeight="true" outlineLevel="0" collapsed="false">
      <c r="A2184" s="19" t="n">
        <v>270629</v>
      </c>
      <c r="B2184" s="19" t="s">
        <v>235</v>
      </c>
      <c r="C2184" s="109" t="n">
        <v>45912</v>
      </c>
      <c r="D2184" s="108" t="n">
        <v>250</v>
      </c>
      <c r="E2184" s="108" t="n">
        <v>1325</v>
      </c>
      <c r="F2184" s="10" t="s">
        <v>225</v>
      </c>
      <c r="G2184" s="19"/>
    </row>
    <row r="2185" customFormat="false" ht="15" hidden="false" customHeight="true" outlineLevel="0" collapsed="false">
      <c r="A2185" s="19" t="n">
        <v>270629</v>
      </c>
      <c r="B2185" s="19" t="s">
        <v>235</v>
      </c>
      <c r="C2185" s="109" t="n">
        <v>45912</v>
      </c>
      <c r="D2185" s="108" t="n">
        <v>250</v>
      </c>
      <c r="E2185" s="108" t="n">
        <v>1325</v>
      </c>
      <c r="F2185" s="10" t="s">
        <v>225</v>
      </c>
      <c r="G2185" s="19"/>
    </row>
    <row r="2186" customFormat="false" ht="15" hidden="false" customHeight="true" outlineLevel="0" collapsed="false">
      <c r="A2186" s="19" t="n">
        <v>1138</v>
      </c>
      <c r="B2186" s="19" t="s">
        <v>335</v>
      </c>
      <c r="C2186" s="109" t="n">
        <v>45913</v>
      </c>
      <c r="D2186" s="108" t="n">
        <v>155</v>
      </c>
      <c r="E2186" s="108" t="n">
        <v>2000</v>
      </c>
      <c r="F2186" s="108" t="s">
        <v>229</v>
      </c>
      <c r="G2186" s="19"/>
    </row>
    <row r="2187" customFormat="false" ht="15" hidden="false" customHeight="true" outlineLevel="0" collapsed="false">
      <c r="A2187" s="19" t="n">
        <v>270545</v>
      </c>
      <c r="B2187" s="19" t="s">
        <v>882</v>
      </c>
      <c r="C2187" s="109" t="n">
        <v>45915</v>
      </c>
      <c r="D2187" s="108" t="n">
        <v>20</v>
      </c>
      <c r="E2187" s="108" t="n">
        <v>240</v>
      </c>
      <c r="F2187" s="10" t="s">
        <v>225</v>
      </c>
      <c r="G2187" s="19"/>
    </row>
    <row r="2188" customFormat="false" ht="15" hidden="false" customHeight="true" outlineLevel="0" collapsed="false">
      <c r="A2188" s="19" t="n">
        <v>1114</v>
      </c>
      <c r="B2188" s="19" t="s">
        <v>742</v>
      </c>
      <c r="C2188" s="109" t="n">
        <v>45915</v>
      </c>
      <c r="D2188" s="108" t="n">
        <v>65</v>
      </c>
      <c r="E2188" s="108" t="n">
        <v>1400</v>
      </c>
      <c r="F2188" s="10" t="s">
        <v>225</v>
      </c>
      <c r="G2188" s="19"/>
    </row>
    <row r="2189" customFormat="false" ht="15" hidden="false" customHeight="true" outlineLevel="0" collapsed="false">
      <c r="A2189" s="19" t="n">
        <v>1127</v>
      </c>
      <c r="B2189" s="19" t="s">
        <v>706</v>
      </c>
      <c r="C2189" s="109" t="n">
        <v>45915</v>
      </c>
      <c r="D2189" s="108" t="n">
        <v>70</v>
      </c>
      <c r="E2189" s="108" t="n">
        <v>750</v>
      </c>
      <c r="F2189" s="10" t="s">
        <v>225</v>
      </c>
      <c r="G2189" s="19"/>
    </row>
    <row r="2190" customFormat="false" ht="15" hidden="false" customHeight="true" outlineLevel="0" collapsed="false">
      <c r="A2190" s="19" t="n">
        <v>1114</v>
      </c>
      <c r="B2190" s="19" t="s">
        <v>742</v>
      </c>
      <c r="C2190" s="109" t="n">
        <v>45915</v>
      </c>
      <c r="D2190" s="108" t="n">
        <v>90</v>
      </c>
      <c r="E2190" s="108" t="n">
        <v>430</v>
      </c>
      <c r="F2190" s="10" t="s">
        <v>225</v>
      </c>
      <c r="G2190" s="19"/>
    </row>
    <row r="2191" customFormat="false" ht="15" hidden="false" customHeight="true" outlineLevel="0" collapsed="false">
      <c r="A2191" s="19" t="n">
        <v>1114</v>
      </c>
      <c r="B2191" s="19" t="s">
        <v>742</v>
      </c>
      <c r="C2191" s="109" t="n">
        <v>45915</v>
      </c>
      <c r="D2191" s="108" t="n">
        <v>90</v>
      </c>
      <c r="E2191" s="108" t="n">
        <v>680</v>
      </c>
      <c r="F2191" s="10" t="s">
        <v>225</v>
      </c>
      <c r="G2191" s="19"/>
    </row>
    <row r="2192" customFormat="false" ht="15" hidden="false" customHeight="true" outlineLevel="0" collapsed="false">
      <c r="A2192" s="19" t="n">
        <v>270825</v>
      </c>
      <c r="B2192" s="19" t="s">
        <v>259</v>
      </c>
      <c r="C2192" s="109" t="n">
        <v>45915</v>
      </c>
      <c r="D2192" s="108" t="n">
        <v>95</v>
      </c>
      <c r="E2192" s="108" t="n">
        <v>2250</v>
      </c>
      <c r="F2192" s="10" t="s">
        <v>225</v>
      </c>
      <c r="G2192" s="19"/>
    </row>
    <row r="2193" customFormat="false" ht="15" hidden="false" customHeight="true" outlineLevel="0" collapsed="false">
      <c r="A2193" s="19" t="n">
        <v>1129</v>
      </c>
      <c r="B2193" s="19" t="s">
        <v>242</v>
      </c>
      <c r="C2193" s="109" t="n">
        <v>45915</v>
      </c>
      <c r="D2193" s="108" t="n">
        <v>100</v>
      </c>
      <c r="E2193" s="108" t="n">
        <v>272</v>
      </c>
      <c r="F2193" s="10" t="s">
        <v>225</v>
      </c>
      <c r="G2193" s="19"/>
    </row>
    <row r="2194" customFormat="false" ht="15" hidden="false" customHeight="true" outlineLevel="0" collapsed="false">
      <c r="A2194" s="19" t="n">
        <v>270628</v>
      </c>
      <c r="B2194" s="19" t="s">
        <v>508</v>
      </c>
      <c r="C2194" s="109" t="n">
        <v>45915</v>
      </c>
      <c r="D2194" s="108" t="n">
        <v>100</v>
      </c>
      <c r="E2194" s="108" t="n">
        <v>2040</v>
      </c>
      <c r="F2194" s="10" t="s">
        <v>225</v>
      </c>
      <c r="G2194" s="19"/>
    </row>
    <row r="2195" customFormat="false" ht="15" hidden="false" customHeight="true" outlineLevel="0" collapsed="false">
      <c r="A2195" s="19" t="n">
        <v>1123</v>
      </c>
      <c r="B2195" s="19" t="s">
        <v>694</v>
      </c>
      <c r="C2195" s="109" t="n">
        <v>45915</v>
      </c>
      <c r="D2195" s="108" t="n">
        <v>102</v>
      </c>
      <c r="E2195" s="108" t="n">
        <v>1500</v>
      </c>
      <c r="F2195" s="10" t="s">
        <v>225</v>
      </c>
      <c r="G2195" s="19"/>
    </row>
    <row r="2196" customFormat="false" ht="15" hidden="false" customHeight="true" outlineLevel="0" collapsed="false">
      <c r="A2196" s="19" t="n">
        <v>1114</v>
      </c>
      <c r="B2196" s="19" t="s">
        <v>742</v>
      </c>
      <c r="C2196" s="109" t="n">
        <v>45915</v>
      </c>
      <c r="D2196" s="108" t="n">
        <v>105</v>
      </c>
      <c r="E2196" s="108" t="n">
        <v>3150</v>
      </c>
      <c r="F2196" s="10" t="s">
        <v>225</v>
      </c>
      <c r="G2196" s="19"/>
    </row>
    <row r="2197" customFormat="false" ht="15" hidden="false" customHeight="true" outlineLevel="0" collapsed="false">
      <c r="A2197" s="19" t="n">
        <v>1114</v>
      </c>
      <c r="B2197" s="19" t="s">
        <v>742</v>
      </c>
      <c r="C2197" s="109" t="n">
        <v>45915</v>
      </c>
      <c r="D2197" s="108" t="n">
        <v>105</v>
      </c>
      <c r="E2197" s="108" t="n">
        <v>8267</v>
      </c>
      <c r="F2197" s="10" t="s">
        <v>225</v>
      </c>
      <c r="G2197" s="19"/>
    </row>
    <row r="2198" customFormat="false" ht="15" hidden="false" customHeight="true" outlineLevel="0" collapsed="false">
      <c r="A2198" s="19" t="n">
        <v>1114</v>
      </c>
      <c r="B2198" s="19" t="s">
        <v>742</v>
      </c>
      <c r="C2198" s="109" t="n">
        <v>45915</v>
      </c>
      <c r="D2198" s="108" t="n">
        <v>110</v>
      </c>
      <c r="E2198" s="108" t="n">
        <v>950</v>
      </c>
      <c r="F2198" s="10" t="s">
        <v>225</v>
      </c>
      <c r="G2198" s="19"/>
    </row>
    <row r="2199" customFormat="false" ht="15" hidden="false" customHeight="true" outlineLevel="0" collapsed="false">
      <c r="A2199" s="19" t="n">
        <v>1126</v>
      </c>
      <c r="B2199" s="19" t="s">
        <v>539</v>
      </c>
      <c r="C2199" s="109" t="n">
        <v>45915</v>
      </c>
      <c r="D2199" s="108" t="n">
        <v>110</v>
      </c>
      <c r="E2199" s="108" t="n">
        <v>136</v>
      </c>
      <c r="F2199" s="10" t="s">
        <v>225</v>
      </c>
      <c r="G2199" s="19" t="s">
        <v>232</v>
      </c>
    </row>
    <row r="2200" customFormat="false" ht="15" hidden="false" customHeight="true" outlineLevel="0" collapsed="false">
      <c r="A2200" s="19" t="n">
        <v>1114</v>
      </c>
      <c r="B2200" s="19" t="s">
        <v>742</v>
      </c>
      <c r="C2200" s="109" t="n">
        <v>45915</v>
      </c>
      <c r="D2200" s="108" t="n">
        <v>100</v>
      </c>
      <c r="E2200" s="108" t="n">
        <v>690</v>
      </c>
      <c r="F2200" s="108" t="s">
        <v>856</v>
      </c>
      <c r="G2200" s="19"/>
    </row>
    <row r="2201" customFormat="false" ht="15" hidden="false" customHeight="true" outlineLevel="0" collapsed="false">
      <c r="A2201" s="19" t="n">
        <v>1114</v>
      </c>
      <c r="B2201" s="19" t="s">
        <v>742</v>
      </c>
      <c r="C2201" s="109" t="n">
        <v>45915</v>
      </c>
      <c r="D2201" s="108" t="n">
        <v>65</v>
      </c>
      <c r="E2201" s="108" t="n">
        <v>2580</v>
      </c>
      <c r="F2201" s="108" t="s">
        <v>227</v>
      </c>
      <c r="G2201" s="19"/>
    </row>
    <row r="2202" customFormat="false" ht="15" hidden="false" customHeight="true" outlineLevel="0" collapsed="false">
      <c r="A2202" s="19" t="n">
        <v>270660</v>
      </c>
      <c r="B2202" s="19" t="s">
        <v>641</v>
      </c>
      <c r="C2202" s="109" t="n">
        <v>45915</v>
      </c>
      <c r="D2202" s="108" t="n">
        <v>20</v>
      </c>
      <c r="E2202" s="108" t="n">
        <v>200</v>
      </c>
      <c r="F2202" s="108" t="s">
        <v>372</v>
      </c>
      <c r="G2202" s="19"/>
    </row>
    <row r="2203" customFormat="false" ht="15" hidden="false" customHeight="true" outlineLevel="0" collapsed="false">
      <c r="A2203" s="19" t="n">
        <v>270632</v>
      </c>
      <c r="B2203" s="19" t="s">
        <v>240</v>
      </c>
      <c r="C2203" s="109" t="n">
        <v>45915</v>
      </c>
      <c r="D2203" s="108" t="n">
        <v>110</v>
      </c>
      <c r="E2203" s="108" t="n">
        <v>1300</v>
      </c>
      <c r="F2203" s="108" t="s">
        <v>227</v>
      </c>
      <c r="G2203" s="19"/>
    </row>
    <row r="2204" customFormat="false" ht="15" hidden="false" customHeight="true" outlineLevel="0" collapsed="false">
      <c r="A2204" s="19" t="n">
        <v>270631</v>
      </c>
      <c r="B2204" s="19" t="s">
        <v>513</v>
      </c>
      <c r="C2204" s="109" t="n">
        <v>45915</v>
      </c>
      <c r="D2204" s="108" t="n">
        <v>100</v>
      </c>
      <c r="E2204" s="108" t="n">
        <v>750</v>
      </c>
      <c r="F2204" s="108" t="s">
        <v>296</v>
      </c>
      <c r="G2204" s="19"/>
    </row>
    <row r="2205" customFormat="false" ht="15" hidden="false" customHeight="true" outlineLevel="0" collapsed="false">
      <c r="A2205" s="19" t="n">
        <v>1113</v>
      </c>
      <c r="B2205" s="19" t="s">
        <v>238</v>
      </c>
      <c r="C2205" s="109" t="n">
        <v>45915</v>
      </c>
      <c r="D2205" s="108" t="n">
        <v>95</v>
      </c>
      <c r="E2205" s="108" t="n">
        <v>740</v>
      </c>
      <c r="F2205" s="108" t="s">
        <v>227</v>
      </c>
      <c r="G2205" s="19"/>
    </row>
    <row r="2206" customFormat="false" ht="15" hidden="false" customHeight="true" outlineLevel="0" collapsed="false">
      <c r="A2206" s="19" t="n">
        <v>1138</v>
      </c>
      <c r="B2206" s="19" t="s">
        <v>335</v>
      </c>
      <c r="C2206" s="109" t="n">
        <v>45915</v>
      </c>
      <c r="D2206" s="108" t="n">
        <v>155</v>
      </c>
      <c r="E2206" s="108" t="n">
        <v>2000</v>
      </c>
      <c r="F2206" s="108" t="s">
        <v>229</v>
      </c>
      <c r="G2206" s="19"/>
    </row>
    <row r="2207" customFormat="false" ht="15" hidden="false" customHeight="true" outlineLevel="0" collapsed="false">
      <c r="A2207" s="19" t="n">
        <v>1139</v>
      </c>
      <c r="B2207" s="19" t="s">
        <v>454</v>
      </c>
      <c r="C2207" s="109" t="n">
        <v>45916</v>
      </c>
      <c r="D2207" s="108" t="n">
        <v>210</v>
      </c>
      <c r="E2207" s="108" t="n">
        <v>3150</v>
      </c>
      <c r="F2207" s="10" t="s">
        <v>236</v>
      </c>
      <c r="G2207" s="19"/>
    </row>
    <row r="2208" customFormat="false" ht="15" hidden="false" customHeight="true" outlineLevel="0" collapsed="false">
      <c r="A2208" s="19" t="n">
        <v>1146</v>
      </c>
      <c r="B2208" s="19" t="s">
        <v>258</v>
      </c>
      <c r="C2208" s="109" t="n">
        <v>45916</v>
      </c>
      <c r="D2208" s="108" t="n">
        <v>85</v>
      </c>
      <c r="E2208" s="108" t="n">
        <v>536</v>
      </c>
      <c r="F2208" s="10" t="s">
        <v>225</v>
      </c>
      <c r="G2208" s="19"/>
    </row>
    <row r="2209" customFormat="false" ht="15" hidden="false" customHeight="true" outlineLevel="0" collapsed="false">
      <c r="A2209" s="19" t="n">
        <v>1147</v>
      </c>
      <c r="B2209" s="19" t="s">
        <v>270</v>
      </c>
      <c r="C2209" s="109" t="n">
        <v>45916</v>
      </c>
      <c r="D2209" s="108" t="n">
        <v>125</v>
      </c>
      <c r="E2209" s="108" t="n">
        <v>740</v>
      </c>
      <c r="F2209" s="10" t="s">
        <v>225</v>
      </c>
      <c r="G2209" s="19"/>
    </row>
    <row r="2210" customFormat="false" ht="15" hidden="false" customHeight="true" outlineLevel="0" collapsed="false">
      <c r="A2210" s="19" t="n">
        <v>1119</v>
      </c>
      <c r="B2210" s="19" t="s">
        <v>415</v>
      </c>
      <c r="C2210" s="109" t="n">
        <v>45916</v>
      </c>
      <c r="D2210" s="108" t="n">
        <v>100</v>
      </c>
      <c r="E2210" s="108" t="n">
        <v>20500</v>
      </c>
      <c r="F2210" s="108" t="s">
        <v>883</v>
      </c>
      <c r="G2210" s="19"/>
    </row>
    <row r="2211" customFormat="false" ht="15" hidden="false" customHeight="true" outlineLevel="0" collapsed="false">
      <c r="A2211" s="19" t="n">
        <v>1148</v>
      </c>
      <c r="B2211" s="19" t="s">
        <v>270</v>
      </c>
      <c r="C2211" s="109" t="n">
        <v>45916</v>
      </c>
      <c r="D2211" s="108" t="n">
        <v>75</v>
      </c>
      <c r="E2211" s="108" t="n">
        <v>2700</v>
      </c>
      <c r="F2211" s="108" t="s">
        <v>229</v>
      </c>
      <c r="G2211" s="19"/>
    </row>
    <row r="2212" customFormat="false" ht="15" hidden="false" customHeight="true" outlineLevel="0" collapsed="false">
      <c r="A2212" s="19" t="n">
        <v>270640</v>
      </c>
      <c r="B2212" s="19" t="s">
        <v>884</v>
      </c>
      <c r="C2212" s="109" t="n">
        <v>45916</v>
      </c>
      <c r="D2212" s="108" t="n">
        <v>110</v>
      </c>
      <c r="E2212" s="108" t="n">
        <v>408</v>
      </c>
      <c r="F2212" s="108" t="s">
        <v>227</v>
      </c>
      <c r="G2212" s="19"/>
    </row>
    <row r="2213" customFormat="false" ht="15" hidden="false" customHeight="true" outlineLevel="0" collapsed="false">
      <c r="A2213" s="19" t="n">
        <v>270636</v>
      </c>
      <c r="B2213" s="19" t="s">
        <v>476</v>
      </c>
      <c r="C2213" s="109" t="n">
        <v>45916</v>
      </c>
      <c r="D2213" s="108" t="n">
        <v>130</v>
      </c>
      <c r="E2213" s="108" t="n">
        <v>600</v>
      </c>
      <c r="F2213" s="108" t="s">
        <v>227</v>
      </c>
      <c r="G2213" s="19"/>
    </row>
    <row r="2214" customFormat="false" ht="15" hidden="false" customHeight="true" outlineLevel="0" collapsed="false">
      <c r="A2214" s="19" t="n">
        <v>270686</v>
      </c>
      <c r="B2214" s="19" t="s">
        <v>480</v>
      </c>
      <c r="C2214" s="109" t="n">
        <v>45931</v>
      </c>
      <c r="D2214" s="108" t="n">
        <v>40</v>
      </c>
      <c r="E2214" s="108" t="n">
        <v>1800</v>
      </c>
      <c r="F2214" s="10" t="s">
        <v>225</v>
      </c>
      <c r="G2214" s="19"/>
    </row>
    <row r="2215" customFormat="false" ht="15" hidden="false" customHeight="true" outlineLevel="0" collapsed="false">
      <c r="A2215" s="19" t="n">
        <v>270681</v>
      </c>
      <c r="B2215" s="19" t="s">
        <v>231</v>
      </c>
      <c r="C2215" s="109" t="n">
        <v>45931</v>
      </c>
      <c r="D2215" s="108" t="n">
        <v>50</v>
      </c>
      <c r="E2215" s="108" t="n">
        <v>12663</v>
      </c>
      <c r="F2215" s="10" t="s">
        <v>225</v>
      </c>
      <c r="G2215" s="19" t="s">
        <v>232</v>
      </c>
    </row>
    <row r="2216" customFormat="false" ht="15" hidden="false" customHeight="true" outlineLevel="0" collapsed="false">
      <c r="A2216" s="19" t="n">
        <v>1205</v>
      </c>
      <c r="B2216" s="19" t="s">
        <v>470</v>
      </c>
      <c r="C2216" s="109" t="n">
        <v>45931</v>
      </c>
      <c r="D2216" s="108" t="n">
        <v>75</v>
      </c>
      <c r="E2216" s="108" t="n">
        <v>900</v>
      </c>
      <c r="F2216" s="10" t="s">
        <v>225</v>
      </c>
      <c r="G2216" s="19"/>
    </row>
    <row r="2217" customFormat="false" ht="15" hidden="false" customHeight="true" outlineLevel="0" collapsed="false">
      <c r="A2217" s="19" t="n">
        <v>1207</v>
      </c>
      <c r="B2217" s="19" t="s">
        <v>885</v>
      </c>
      <c r="C2217" s="109" t="n">
        <v>45931</v>
      </c>
      <c r="D2217" s="108" t="n">
        <v>80</v>
      </c>
      <c r="E2217" s="108" t="n">
        <v>500</v>
      </c>
      <c r="F2217" s="10" t="s">
        <v>225</v>
      </c>
      <c r="G2217" s="19"/>
    </row>
    <row r="2218" customFormat="false" ht="15" hidden="false" customHeight="true" outlineLevel="0" collapsed="false">
      <c r="A2218" s="19" t="n">
        <v>1224</v>
      </c>
      <c r="B2218" s="19" t="s">
        <v>742</v>
      </c>
      <c r="C2218" s="109" t="n">
        <v>45931</v>
      </c>
      <c r="D2218" s="108" t="n">
        <v>83</v>
      </c>
      <c r="E2218" s="108" t="n">
        <v>810</v>
      </c>
      <c r="F2218" s="10" t="s">
        <v>225</v>
      </c>
      <c r="G2218" s="19"/>
    </row>
    <row r="2219" customFormat="false" ht="15" hidden="false" customHeight="true" outlineLevel="0" collapsed="false">
      <c r="A2219" s="19" t="n">
        <v>270683</v>
      </c>
      <c r="B2219" s="19" t="s">
        <v>409</v>
      </c>
      <c r="C2219" s="109" t="n">
        <v>45931</v>
      </c>
      <c r="D2219" s="108" t="n">
        <v>110</v>
      </c>
      <c r="E2219" s="108" t="n">
        <v>300</v>
      </c>
      <c r="F2219" s="10" t="s">
        <v>225</v>
      </c>
      <c r="G2219" s="19"/>
    </row>
    <row r="2220" customFormat="false" ht="15" hidden="false" customHeight="true" outlineLevel="0" collapsed="false">
      <c r="A2220" s="19" t="n">
        <v>270684</v>
      </c>
      <c r="B2220" s="19" t="s">
        <v>623</v>
      </c>
      <c r="C2220" s="109" t="n">
        <v>45931</v>
      </c>
      <c r="D2220" s="108" t="n">
        <v>110</v>
      </c>
      <c r="E2220" s="108" t="n">
        <v>162</v>
      </c>
      <c r="F2220" s="10" t="s">
        <v>225</v>
      </c>
      <c r="G2220" s="19"/>
    </row>
    <row r="2221" customFormat="false" ht="15" hidden="false" customHeight="true" outlineLevel="0" collapsed="false">
      <c r="A2221" s="19" t="n">
        <v>1221</v>
      </c>
      <c r="B2221" s="19" t="s">
        <v>401</v>
      </c>
      <c r="C2221" s="109" t="n">
        <v>45931</v>
      </c>
      <c r="D2221" s="108" t="n">
        <v>110</v>
      </c>
      <c r="E2221" s="108" t="n">
        <v>10000</v>
      </c>
      <c r="F2221" s="10" t="s">
        <v>225</v>
      </c>
      <c r="G2221" s="19"/>
    </row>
    <row r="2222" customFormat="false" ht="15" hidden="false" customHeight="true" outlineLevel="0" collapsed="false">
      <c r="A2222" s="19" t="n">
        <v>1203</v>
      </c>
      <c r="B2222" s="19" t="s">
        <v>242</v>
      </c>
      <c r="C2222" s="109" t="n">
        <v>45931</v>
      </c>
      <c r="D2222" s="108" t="n">
        <v>110</v>
      </c>
      <c r="E2222" s="108" t="n">
        <v>200</v>
      </c>
      <c r="F2222" s="10" t="s">
        <v>225</v>
      </c>
      <c r="G2222" s="19"/>
    </row>
    <row r="2223" customFormat="false" ht="15" hidden="false" customHeight="true" outlineLevel="0" collapsed="false">
      <c r="A2223" s="19" t="n">
        <v>1196</v>
      </c>
      <c r="B2223" s="19" t="s">
        <v>284</v>
      </c>
      <c r="C2223" s="109" t="n">
        <v>45931</v>
      </c>
      <c r="D2223" s="108" t="n">
        <v>110</v>
      </c>
      <c r="E2223" s="108" t="n">
        <v>2400</v>
      </c>
      <c r="F2223" s="10" t="s">
        <v>225</v>
      </c>
      <c r="G2223" s="19"/>
    </row>
    <row r="2224" customFormat="false" ht="15" hidden="false" customHeight="true" outlineLevel="0" collapsed="false">
      <c r="A2224" s="19" t="n">
        <v>270684</v>
      </c>
      <c r="B2224" s="19" t="s">
        <v>623</v>
      </c>
      <c r="C2224" s="109" t="n">
        <v>45931</v>
      </c>
      <c r="D2224" s="108" t="n">
        <v>130</v>
      </c>
      <c r="E2224" s="108" t="n">
        <v>90</v>
      </c>
      <c r="F2224" s="10" t="s">
        <v>225</v>
      </c>
      <c r="G2224" s="19"/>
    </row>
    <row r="2225" customFormat="false" ht="15" hidden="false" customHeight="true" outlineLevel="0" collapsed="false">
      <c r="A2225" s="19" t="n">
        <v>1218</v>
      </c>
      <c r="B2225" s="19" t="s">
        <v>258</v>
      </c>
      <c r="C2225" s="109" t="n">
        <v>45931</v>
      </c>
      <c r="D2225" s="108" t="n">
        <v>130</v>
      </c>
      <c r="E2225" s="108" t="n">
        <v>2400</v>
      </c>
      <c r="F2225" s="10" t="s">
        <v>225</v>
      </c>
      <c r="G2225" s="19"/>
    </row>
    <row r="2226" customFormat="false" ht="15" hidden="false" customHeight="true" outlineLevel="0" collapsed="false">
      <c r="A2226" s="19" t="n">
        <v>1208</v>
      </c>
      <c r="B2226" s="19" t="s">
        <v>383</v>
      </c>
      <c r="C2226" s="109" t="n">
        <v>45931</v>
      </c>
      <c r="D2226" s="108" t="n">
        <v>155</v>
      </c>
      <c r="E2226" s="108" t="n">
        <v>6007</v>
      </c>
      <c r="F2226" s="10" t="s">
        <v>225</v>
      </c>
      <c r="G2226" s="19"/>
    </row>
    <row r="2227" customFormat="false" ht="15" hidden="false" customHeight="true" outlineLevel="0" collapsed="false">
      <c r="A2227" s="19" t="n">
        <v>1211</v>
      </c>
      <c r="B2227" s="19" t="s">
        <v>303</v>
      </c>
      <c r="C2227" s="109" t="n">
        <v>45931</v>
      </c>
      <c r="D2227" s="108" t="n">
        <v>155</v>
      </c>
      <c r="E2227" s="108" t="n">
        <v>180</v>
      </c>
      <c r="F2227" s="10" t="s">
        <v>225</v>
      </c>
      <c r="G2227" s="19"/>
    </row>
    <row r="2228" customFormat="false" ht="15" hidden="false" customHeight="true" outlineLevel="0" collapsed="false">
      <c r="A2228" s="19" t="n">
        <v>270676</v>
      </c>
      <c r="B2228" s="19" t="s">
        <v>469</v>
      </c>
      <c r="C2228" s="109" t="n">
        <v>45931</v>
      </c>
      <c r="D2228" s="108" t="n">
        <v>155</v>
      </c>
      <c r="E2228" s="108" t="n">
        <v>500</v>
      </c>
      <c r="F2228" s="10" t="s">
        <v>225</v>
      </c>
      <c r="G2228" s="19"/>
    </row>
    <row r="2229" customFormat="false" ht="15" hidden="false" customHeight="true" outlineLevel="0" collapsed="false">
      <c r="A2229" s="19" t="n">
        <v>1207</v>
      </c>
      <c r="B2229" s="19" t="s">
        <v>885</v>
      </c>
      <c r="C2229" s="109" t="n">
        <v>45931</v>
      </c>
      <c r="D2229" s="108" t="n">
        <v>55</v>
      </c>
      <c r="E2229" s="108" t="n">
        <v>165</v>
      </c>
      <c r="F2229" s="108" t="s">
        <v>227</v>
      </c>
      <c r="G2229" s="19"/>
    </row>
    <row r="2230" customFormat="false" ht="15" hidden="false" customHeight="true" outlineLevel="0" collapsed="false">
      <c r="A2230" s="19" t="n">
        <v>1217</v>
      </c>
      <c r="B2230" s="19" t="s">
        <v>886</v>
      </c>
      <c r="C2230" s="109" t="n">
        <v>45931</v>
      </c>
      <c r="D2230" s="108" t="n">
        <v>120</v>
      </c>
      <c r="E2230" s="108" t="n">
        <v>750</v>
      </c>
      <c r="F2230" s="108" t="s">
        <v>227</v>
      </c>
      <c r="G2230" s="19"/>
    </row>
    <row r="2231" customFormat="false" ht="15" hidden="false" customHeight="true" outlineLevel="0" collapsed="false">
      <c r="A2231" s="19" t="n">
        <v>1205</v>
      </c>
      <c r="B2231" s="19" t="s">
        <v>470</v>
      </c>
      <c r="C2231" s="109" t="n">
        <v>45931</v>
      </c>
      <c r="D2231" s="108" t="n">
        <v>220</v>
      </c>
      <c r="E2231" s="108" t="n">
        <v>1238</v>
      </c>
      <c r="F2231" s="108" t="s">
        <v>887</v>
      </c>
      <c r="G2231" s="19"/>
    </row>
    <row r="2232" customFormat="false" ht="15" hidden="false" customHeight="true" outlineLevel="0" collapsed="false">
      <c r="A2232" s="19" t="n">
        <v>1198</v>
      </c>
      <c r="B2232" s="19" t="s">
        <v>472</v>
      </c>
      <c r="C2232" s="109" t="n">
        <v>45931</v>
      </c>
      <c r="D2232" s="108" t="n">
        <v>55</v>
      </c>
      <c r="E2232" s="108" t="n">
        <v>690</v>
      </c>
      <c r="F2232" s="108" t="s">
        <v>262</v>
      </c>
      <c r="G2232" s="19"/>
    </row>
    <row r="2233" customFormat="false" ht="15" hidden="false" customHeight="true" outlineLevel="0" collapsed="false">
      <c r="A2233" s="19" t="n">
        <v>1180</v>
      </c>
      <c r="B2233" s="19" t="s">
        <v>272</v>
      </c>
      <c r="C2233" s="109" t="n">
        <v>45931</v>
      </c>
      <c r="D2233" s="108" t="n">
        <v>110</v>
      </c>
      <c r="E2233" s="108" t="n">
        <v>3300</v>
      </c>
      <c r="F2233" s="108" t="s">
        <v>227</v>
      </c>
      <c r="G2233" s="19"/>
    </row>
    <row r="2234" customFormat="false" ht="15" hidden="false" customHeight="true" outlineLevel="0" collapsed="false">
      <c r="A2234" s="19" t="n">
        <v>1213</v>
      </c>
      <c r="B2234" s="19" t="s">
        <v>888</v>
      </c>
      <c r="C2234" s="109" t="n">
        <v>45931</v>
      </c>
      <c r="D2234" s="108" t="n">
        <v>80</v>
      </c>
      <c r="E2234" s="108" t="n">
        <v>900</v>
      </c>
      <c r="F2234" s="108" t="s">
        <v>362</v>
      </c>
      <c r="G2234" s="19"/>
    </row>
    <row r="2235" customFormat="false" ht="15" hidden="false" customHeight="true" outlineLevel="0" collapsed="false">
      <c r="A2235" s="19" t="n">
        <v>1231</v>
      </c>
      <c r="B2235" s="19" t="s">
        <v>889</v>
      </c>
      <c r="C2235" s="109" t="n">
        <v>45932</v>
      </c>
      <c r="D2235" s="108" t="n">
        <v>70</v>
      </c>
      <c r="E2235" s="108" t="n">
        <v>1200</v>
      </c>
      <c r="F2235" s="10" t="s">
        <v>225</v>
      </c>
      <c r="G2235" s="19" t="s">
        <v>232</v>
      </c>
    </row>
    <row r="2236" customFormat="false" ht="15" hidden="false" customHeight="true" outlineLevel="0" collapsed="false">
      <c r="A2236" s="19" t="n">
        <v>1187</v>
      </c>
      <c r="B2236" s="19" t="s">
        <v>784</v>
      </c>
      <c r="C2236" s="109" t="n">
        <v>45932</v>
      </c>
      <c r="D2236" s="108" t="n">
        <v>105</v>
      </c>
      <c r="E2236" s="108" t="n">
        <v>500</v>
      </c>
      <c r="F2236" s="10" t="s">
        <v>225</v>
      </c>
      <c r="G2236" s="19"/>
    </row>
    <row r="2237" customFormat="false" ht="15" hidden="false" customHeight="true" outlineLevel="0" collapsed="false">
      <c r="A2237" s="19" t="n">
        <v>270687</v>
      </c>
      <c r="B2237" s="19" t="s">
        <v>417</v>
      </c>
      <c r="C2237" s="109" t="n">
        <v>45932</v>
      </c>
      <c r="D2237" s="108" t="n">
        <v>110</v>
      </c>
      <c r="E2237" s="108" t="n">
        <v>410</v>
      </c>
      <c r="F2237" s="10" t="s">
        <v>225</v>
      </c>
      <c r="G2237" s="19" t="s">
        <v>232</v>
      </c>
    </row>
    <row r="2238" customFormat="false" ht="15" hidden="false" customHeight="true" outlineLevel="0" collapsed="false">
      <c r="A2238" s="19" t="n">
        <v>1225</v>
      </c>
      <c r="B2238" s="19" t="s">
        <v>382</v>
      </c>
      <c r="C2238" s="109" t="n">
        <v>45932</v>
      </c>
      <c r="D2238" s="108" t="n">
        <v>125</v>
      </c>
      <c r="E2238" s="108" t="n">
        <v>880</v>
      </c>
      <c r="F2238" s="10" t="s">
        <v>225</v>
      </c>
      <c r="G2238" s="19"/>
    </row>
    <row r="2239" customFormat="false" ht="15" hidden="false" customHeight="true" outlineLevel="0" collapsed="false">
      <c r="A2239" s="19" t="n">
        <v>1235</v>
      </c>
      <c r="B2239" s="19" t="s">
        <v>890</v>
      </c>
      <c r="C2239" s="109" t="n">
        <v>45932</v>
      </c>
      <c r="D2239" s="108" t="n">
        <v>220</v>
      </c>
      <c r="E2239" s="108" t="n">
        <v>2475</v>
      </c>
      <c r="F2239" s="108" t="s">
        <v>887</v>
      </c>
      <c r="G2239" s="19"/>
    </row>
    <row r="2240" customFormat="false" ht="15" hidden="false" customHeight="true" outlineLevel="0" collapsed="false">
      <c r="A2240" s="19" t="n">
        <v>270675</v>
      </c>
      <c r="B2240" s="19" t="s">
        <v>240</v>
      </c>
      <c r="C2240" s="109" t="n">
        <v>45932</v>
      </c>
      <c r="D2240" s="108" t="n">
        <v>110</v>
      </c>
      <c r="E2240" s="108" t="n">
        <v>680</v>
      </c>
      <c r="F2240" s="108" t="s">
        <v>227</v>
      </c>
      <c r="G2240" s="19"/>
    </row>
    <row r="2241" customFormat="false" ht="15" hidden="false" customHeight="true" outlineLevel="0" collapsed="false">
      <c r="A2241" s="19" t="n">
        <v>1227</v>
      </c>
      <c r="B2241" s="19" t="s">
        <v>290</v>
      </c>
      <c r="C2241" s="109" t="n">
        <v>45932</v>
      </c>
      <c r="D2241" s="108" t="n">
        <v>100</v>
      </c>
      <c r="E2241" s="108" t="n">
        <v>225</v>
      </c>
      <c r="F2241" s="108" t="s">
        <v>227</v>
      </c>
      <c r="G2241" s="19"/>
    </row>
    <row r="2242" customFormat="false" ht="15" hidden="false" customHeight="true" outlineLevel="0" collapsed="false">
      <c r="A2242" s="19" t="n">
        <v>1227</v>
      </c>
      <c r="B2242" s="19" t="s">
        <v>290</v>
      </c>
      <c r="C2242" s="109" t="n">
        <v>45932</v>
      </c>
      <c r="D2242" s="108" t="n">
        <v>120</v>
      </c>
      <c r="E2242" s="108" t="n">
        <v>225</v>
      </c>
      <c r="F2242" s="108" t="s">
        <v>227</v>
      </c>
      <c r="G2242" s="19"/>
    </row>
    <row r="2243" customFormat="false" ht="15" hidden="false" customHeight="true" outlineLevel="0" collapsed="false">
      <c r="A2243" s="19" t="n">
        <v>1233</v>
      </c>
      <c r="B2243" s="19" t="s">
        <v>891</v>
      </c>
      <c r="C2243" s="109" t="n">
        <v>45932</v>
      </c>
      <c r="D2243" s="108" t="n">
        <v>25</v>
      </c>
      <c r="E2243" s="108" t="n">
        <v>85</v>
      </c>
      <c r="F2243" s="108" t="s">
        <v>887</v>
      </c>
      <c r="G2243" s="19"/>
    </row>
    <row r="2244" customFormat="false" ht="15" hidden="false" customHeight="true" outlineLevel="0" collapsed="false">
      <c r="A2244" s="19" t="n">
        <v>1230</v>
      </c>
      <c r="B2244" s="19" t="s">
        <v>245</v>
      </c>
      <c r="C2244" s="109" t="n">
        <v>45932</v>
      </c>
      <c r="D2244" s="108" t="n">
        <v>210</v>
      </c>
      <c r="E2244" s="108" t="n">
        <v>2060</v>
      </c>
      <c r="F2244" s="10" t="s">
        <v>225</v>
      </c>
      <c r="G2244" s="19"/>
    </row>
    <row r="2245" customFormat="false" ht="15" hidden="false" customHeight="true" outlineLevel="0" collapsed="false">
      <c r="A2245" s="19" t="n">
        <v>1236</v>
      </c>
      <c r="B2245" s="19" t="s">
        <v>454</v>
      </c>
      <c r="C2245" s="109" t="n">
        <v>45932</v>
      </c>
      <c r="D2245" s="108" t="n">
        <v>210</v>
      </c>
      <c r="E2245" s="108" t="n">
        <v>1575</v>
      </c>
      <c r="F2245" s="10" t="s">
        <v>225</v>
      </c>
      <c r="G2245" s="19"/>
    </row>
    <row r="2246" customFormat="false" ht="15" hidden="false" customHeight="true" outlineLevel="0" collapsed="false">
      <c r="A2246" s="19" t="n">
        <v>1241</v>
      </c>
      <c r="B2246" s="19" t="s">
        <v>268</v>
      </c>
      <c r="C2246" s="109" t="n">
        <v>45932</v>
      </c>
      <c r="D2246" s="108" t="n">
        <v>210</v>
      </c>
      <c r="E2246" s="108" t="n">
        <v>2703</v>
      </c>
      <c r="F2246" s="10" t="s">
        <v>225</v>
      </c>
      <c r="G2246" s="19"/>
    </row>
    <row r="2247" customFormat="false" ht="15" hidden="false" customHeight="true" outlineLevel="0" collapsed="false">
      <c r="A2247" s="19" t="n">
        <v>1235</v>
      </c>
      <c r="B2247" s="19" t="s">
        <v>432</v>
      </c>
      <c r="C2247" s="109" t="n">
        <v>45932</v>
      </c>
      <c r="D2247" s="108" t="n">
        <v>210</v>
      </c>
      <c r="E2247" s="108" t="n">
        <v>515</v>
      </c>
      <c r="F2247" s="10" t="s">
        <v>225</v>
      </c>
      <c r="G2247" s="19"/>
    </row>
    <row r="2248" customFormat="false" ht="15" hidden="false" customHeight="true" outlineLevel="0" collapsed="false">
      <c r="A2248" s="19" t="n">
        <v>1247</v>
      </c>
      <c r="B2248" s="19" t="s">
        <v>813</v>
      </c>
      <c r="C2248" s="109" t="n">
        <v>45933</v>
      </c>
      <c r="D2248" s="108" t="n">
        <v>210</v>
      </c>
      <c r="E2248" s="108" t="n">
        <v>16800</v>
      </c>
      <c r="F2248" s="10" t="s">
        <v>236</v>
      </c>
      <c r="G2248" s="19"/>
    </row>
    <row r="2249" customFormat="false" ht="15" hidden="false" customHeight="true" outlineLevel="0" collapsed="false">
      <c r="A2249" s="19" t="n">
        <v>1242</v>
      </c>
      <c r="B2249" s="19" t="s">
        <v>892</v>
      </c>
      <c r="C2249" s="109" t="n">
        <v>45933</v>
      </c>
      <c r="D2249" s="108" t="n">
        <v>210</v>
      </c>
      <c r="E2249" s="108" t="n">
        <v>2650</v>
      </c>
      <c r="F2249" s="10" t="s">
        <v>225</v>
      </c>
      <c r="G2249" s="19"/>
    </row>
    <row r="2250" customFormat="false" ht="15" hidden="false" customHeight="true" outlineLevel="0" collapsed="false">
      <c r="A2250" s="19" t="n">
        <v>270545</v>
      </c>
      <c r="B2250" s="19" t="s">
        <v>882</v>
      </c>
      <c r="C2250" s="109" t="n">
        <v>45938</v>
      </c>
      <c r="D2250" s="108" t="n">
        <v>20</v>
      </c>
      <c r="E2250" s="108" t="n">
        <v>280</v>
      </c>
      <c r="F2250" s="10" t="s">
        <v>225</v>
      </c>
      <c r="G2250" s="19"/>
    </row>
    <row r="2251" customFormat="false" ht="15" hidden="false" customHeight="true" outlineLevel="0" collapsed="false">
      <c r="A2251" s="19" t="n">
        <v>270700</v>
      </c>
      <c r="B2251" s="19" t="s">
        <v>576</v>
      </c>
      <c r="C2251" s="109" t="n">
        <v>45938</v>
      </c>
      <c r="D2251" s="108" t="n">
        <v>70</v>
      </c>
      <c r="E2251" s="108" t="n">
        <v>680</v>
      </c>
      <c r="F2251" s="10" t="s">
        <v>225</v>
      </c>
      <c r="G2251" s="19" t="s">
        <v>232</v>
      </c>
    </row>
    <row r="2252" customFormat="false" ht="15" hidden="false" customHeight="true" outlineLevel="0" collapsed="false">
      <c r="A2252" s="19" t="n">
        <v>1273</v>
      </c>
      <c r="B2252" s="19" t="s">
        <v>742</v>
      </c>
      <c r="C2252" s="109" t="n">
        <v>45938</v>
      </c>
      <c r="D2252" s="108" t="n">
        <v>90</v>
      </c>
      <c r="E2252" s="108" t="n">
        <v>1700</v>
      </c>
      <c r="F2252" s="10" t="s">
        <v>225</v>
      </c>
      <c r="G2252" s="19"/>
    </row>
    <row r="2253" customFormat="false" ht="15" hidden="false" customHeight="true" outlineLevel="0" collapsed="false">
      <c r="A2253" s="19" t="n">
        <v>1273</v>
      </c>
      <c r="B2253" s="19" t="s">
        <v>742</v>
      </c>
      <c r="C2253" s="109" t="n">
        <v>45938</v>
      </c>
      <c r="D2253" s="108" t="n">
        <v>105</v>
      </c>
      <c r="E2253" s="108" t="n">
        <v>12700</v>
      </c>
      <c r="F2253" s="10" t="s">
        <v>225</v>
      </c>
      <c r="G2253" s="19"/>
    </row>
    <row r="2254" customFormat="false" ht="15" hidden="false" customHeight="true" outlineLevel="0" collapsed="false">
      <c r="A2254" s="19" t="n">
        <v>1273</v>
      </c>
      <c r="B2254" s="19" t="s">
        <v>742</v>
      </c>
      <c r="C2254" s="109" t="n">
        <v>45938</v>
      </c>
      <c r="D2254" s="108" t="n">
        <v>110</v>
      </c>
      <c r="E2254" s="108" t="n">
        <v>950</v>
      </c>
      <c r="F2254" s="10" t="s">
        <v>225</v>
      </c>
      <c r="G2254" s="19"/>
    </row>
    <row r="2255" customFormat="false" ht="15" hidden="false" customHeight="true" outlineLevel="0" collapsed="false">
      <c r="A2255" s="19" t="n">
        <v>1277</v>
      </c>
      <c r="B2255" s="19" t="s">
        <v>547</v>
      </c>
      <c r="C2255" s="109" t="n">
        <v>45938</v>
      </c>
      <c r="D2255" s="108" t="n">
        <v>125</v>
      </c>
      <c r="E2255" s="108" t="n">
        <v>800</v>
      </c>
      <c r="F2255" s="10" t="s">
        <v>225</v>
      </c>
      <c r="G2255" s="19"/>
    </row>
    <row r="2256" customFormat="false" ht="15" hidden="false" customHeight="true" outlineLevel="0" collapsed="false">
      <c r="A2256" s="19" t="n">
        <v>1263</v>
      </c>
      <c r="B2256" s="19" t="s">
        <v>571</v>
      </c>
      <c r="C2256" s="109" t="n">
        <v>45938</v>
      </c>
      <c r="D2256" s="108" t="n">
        <v>110</v>
      </c>
      <c r="E2256" s="108" t="n">
        <v>600</v>
      </c>
      <c r="F2256" s="108" t="s">
        <v>227</v>
      </c>
      <c r="G2256" s="19"/>
    </row>
    <row r="2257" customFormat="false" ht="15" hidden="false" customHeight="true" outlineLevel="0" collapsed="false">
      <c r="A2257" s="19" t="n">
        <v>1255</v>
      </c>
      <c r="B2257" s="19" t="s">
        <v>250</v>
      </c>
      <c r="C2257" s="109" t="n">
        <v>45938</v>
      </c>
      <c r="D2257" s="108" t="n">
        <v>110</v>
      </c>
      <c r="E2257" s="108" t="n">
        <v>2400</v>
      </c>
      <c r="F2257" s="108" t="s">
        <v>227</v>
      </c>
      <c r="G2257" s="19"/>
    </row>
    <row r="2258" customFormat="false" ht="15" hidden="false" customHeight="true" outlineLevel="0" collapsed="false">
      <c r="A2258" s="19" t="n">
        <v>1269</v>
      </c>
      <c r="B2258" s="19" t="s">
        <v>347</v>
      </c>
      <c r="C2258" s="109" t="n">
        <v>45938</v>
      </c>
      <c r="D2258" s="108" t="n">
        <v>25</v>
      </c>
      <c r="E2258" s="108" t="n">
        <v>1200</v>
      </c>
      <c r="F2258" s="108" t="s">
        <v>229</v>
      </c>
      <c r="G2258" s="19"/>
    </row>
    <row r="2259" customFormat="false" ht="15" hidden="false" customHeight="true" outlineLevel="0" collapsed="false">
      <c r="A2259" s="19" t="n">
        <v>1269</v>
      </c>
      <c r="B2259" s="19" t="s">
        <v>347</v>
      </c>
      <c r="C2259" s="109" t="n">
        <v>45938</v>
      </c>
      <c r="D2259" s="108" t="n">
        <v>63</v>
      </c>
      <c r="E2259" s="108" t="n">
        <v>120</v>
      </c>
      <c r="F2259" s="108" t="s">
        <v>103</v>
      </c>
      <c r="G2259" s="19"/>
    </row>
    <row r="2260" customFormat="false" ht="15" hidden="false" customHeight="true" outlineLevel="0" collapsed="false">
      <c r="A2260" s="19" t="n">
        <v>1261</v>
      </c>
      <c r="B2260" s="19" t="s">
        <v>692</v>
      </c>
      <c r="C2260" s="109" t="n">
        <v>45938</v>
      </c>
      <c r="D2260" s="108" t="n">
        <v>110</v>
      </c>
      <c r="E2260" s="108" t="n">
        <v>956</v>
      </c>
      <c r="F2260" s="108" t="s">
        <v>229</v>
      </c>
      <c r="G2260" s="19"/>
    </row>
    <row r="2261" customFormat="false" ht="15" hidden="false" customHeight="true" outlineLevel="0" collapsed="false">
      <c r="A2261" s="19" t="n">
        <v>1267</v>
      </c>
      <c r="B2261" s="19" t="s">
        <v>455</v>
      </c>
      <c r="C2261" s="109" t="n">
        <v>45938</v>
      </c>
      <c r="D2261" s="108" t="n">
        <v>102</v>
      </c>
      <c r="E2261" s="108" t="n">
        <v>1000</v>
      </c>
      <c r="F2261" s="108" t="s">
        <v>229</v>
      </c>
      <c r="G2261" s="19"/>
    </row>
    <row r="2262" customFormat="false" ht="15" hidden="false" customHeight="true" outlineLevel="0" collapsed="false">
      <c r="A2262" s="19" t="n">
        <v>1271</v>
      </c>
      <c r="B2262" s="19" t="s">
        <v>88</v>
      </c>
      <c r="C2262" s="109" t="n">
        <v>45938</v>
      </c>
      <c r="D2262" s="108" t="n">
        <v>220</v>
      </c>
      <c r="E2262" s="108" t="n">
        <v>1875</v>
      </c>
      <c r="F2262" s="108" t="s">
        <v>856</v>
      </c>
      <c r="G2262" s="19"/>
    </row>
    <row r="2263" customFormat="false" ht="15" hidden="false" customHeight="true" outlineLevel="0" collapsed="false">
      <c r="A2263" s="19" t="n">
        <v>1280</v>
      </c>
      <c r="B2263" s="19" t="s">
        <v>247</v>
      </c>
      <c r="C2263" s="109" t="n">
        <v>45938</v>
      </c>
      <c r="D2263" s="108" t="n">
        <v>210</v>
      </c>
      <c r="E2263" s="108" t="n">
        <v>4300</v>
      </c>
      <c r="F2263" s="10" t="s">
        <v>225</v>
      </c>
      <c r="G2263" s="19"/>
    </row>
    <row r="2264" customFormat="false" ht="15" hidden="false" customHeight="true" outlineLevel="0" collapsed="false">
      <c r="A2264" s="19" t="n">
        <v>1279</v>
      </c>
      <c r="B2264" s="19" t="s">
        <v>406</v>
      </c>
      <c r="C2264" s="109" t="n">
        <v>45938</v>
      </c>
      <c r="D2264" s="108" t="n">
        <v>250</v>
      </c>
      <c r="E2264" s="108" t="n">
        <v>800</v>
      </c>
      <c r="F2264" s="10" t="s">
        <v>236</v>
      </c>
      <c r="G2264" s="19"/>
    </row>
    <row r="2265" customFormat="false" ht="15" hidden="false" customHeight="true" outlineLevel="0" collapsed="false">
      <c r="A2265" s="19" t="n">
        <v>270855</v>
      </c>
      <c r="B2265" s="19" t="s">
        <v>442</v>
      </c>
      <c r="C2265" s="109" t="n">
        <v>46002</v>
      </c>
      <c r="D2265" s="108" t="n">
        <v>105</v>
      </c>
      <c r="E2265" s="108" t="n">
        <v>725</v>
      </c>
      <c r="F2265" s="10" t="s">
        <v>236</v>
      </c>
      <c r="G2265" s="19"/>
    </row>
    <row r="2266" customFormat="false" ht="15" hidden="false" customHeight="true" outlineLevel="0" collapsed="false">
      <c r="A2266" s="19" t="n">
        <v>1596</v>
      </c>
      <c r="B2266" s="19" t="s">
        <v>242</v>
      </c>
      <c r="C2266" s="109" t="n">
        <v>46002</v>
      </c>
      <c r="D2266" s="108" t="n">
        <v>20</v>
      </c>
      <c r="E2266" s="108" t="n">
        <v>450</v>
      </c>
      <c r="F2266" s="10" t="s">
        <v>225</v>
      </c>
      <c r="G2266" s="19"/>
    </row>
    <row r="2267" customFormat="false" ht="15" hidden="false" customHeight="true" outlineLevel="0" collapsed="false">
      <c r="A2267" s="19" t="n">
        <v>1445</v>
      </c>
      <c r="B2267" s="19" t="s">
        <v>893</v>
      </c>
      <c r="C2267" s="109" t="n">
        <v>46002</v>
      </c>
      <c r="D2267" s="108" t="n">
        <v>75</v>
      </c>
      <c r="E2267" s="108" t="n">
        <v>600</v>
      </c>
      <c r="F2267" s="10" t="s">
        <v>225</v>
      </c>
      <c r="G2267" s="19"/>
    </row>
    <row r="2268" customFormat="false" ht="15" hidden="false" customHeight="true" outlineLevel="0" collapsed="false">
      <c r="A2268" s="19" t="n">
        <v>1589</v>
      </c>
      <c r="B2268" s="19" t="s">
        <v>894</v>
      </c>
      <c r="C2268" s="109" t="n">
        <v>46002</v>
      </c>
      <c r="D2268" s="108" t="n">
        <v>105</v>
      </c>
      <c r="E2268" s="108" t="n">
        <v>5000</v>
      </c>
      <c r="F2268" s="10" t="s">
        <v>225</v>
      </c>
      <c r="G2268" s="19"/>
    </row>
    <row r="2269" customFormat="false" ht="15" hidden="false" customHeight="true" outlineLevel="0" collapsed="false">
      <c r="A2269" s="19" t="n">
        <v>1598</v>
      </c>
      <c r="B2269" s="19" t="s">
        <v>895</v>
      </c>
      <c r="C2269" s="109" t="n">
        <v>46002</v>
      </c>
      <c r="D2269" s="108" t="n">
        <v>110</v>
      </c>
      <c r="E2269" s="108" t="n">
        <v>370</v>
      </c>
      <c r="F2269" s="10" t="s">
        <v>225</v>
      </c>
      <c r="G2269" s="19"/>
    </row>
    <row r="2270" customFormat="false" ht="15" hidden="false" customHeight="true" outlineLevel="0" collapsed="false">
      <c r="A2270" s="19" t="n">
        <v>1591</v>
      </c>
      <c r="B2270" s="19" t="s">
        <v>672</v>
      </c>
      <c r="C2270" s="109" t="n">
        <v>46002</v>
      </c>
      <c r="D2270" s="108" t="n">
        <v>130</v>
      </c>
      <c r="E2270" s="108" t="n">
        <v>384</v>
      </c>
      <c r="F2270" s="10" t="s">
        <v>225</v>
      </c>
      <c r="G2270" s="19"/>
    </row>
    <row r="2271" customFormat="false" ht="15" hidden="false" customHeight="true" outlineLevel="0" collapsed="false">
      <c r="A2271" s="19" t="n">
        <v>1607</v>
      </c>
      <c r="B2271" s="19" t="s">
        <v>747</v>
      </c>
      <c r="C2271" s="109" t="n">
        <v>46002</v>
      </c>
      <c r="D2271" s="108" t="n">
        <v>210</v>
      </c>
      <c r="E2271" s="108" t="n">
        <v>773</v>
      </c>
      <c r="F2271" s="10" t="s">
        <v>225</v>
      </c>
      <c r="G2271" s="19"/>
    </row>
    <row r="2272" customFormat="false" ht="15" hidden="false" customHeight="true" outlineLevel="0" collapsed="false">
      <c r="A2272" s="19" t="n">
        <v>1594</v>
      </c>
      <c r="B2272" s="19" t="s">
        <v>896</v>
      </c>
      <c r="C2272" s="109" t="n">
        <v>46002</v>
      </c>
      <c r="D2272" s="108"/>
      <c r="E2272" s="108"/>
      <c r="F2272" s="108"/>
      <c r="G2272" s="19"/>
    </row>
    <row r="2273" customFormat="false" ht="15" hidden="false" customHeight="true" outlineLevel="0" collapsed="false">
      <c r="A2273" s="19" t="n">
        <v>1599</v>
      </c>
      <c r="B2273" s="19" t="s">
        <v>247</v>
      </c>
      <c r="C2273" s="109" t="n">
        <v>46002</v>
      </c>
      <c r="D2273" s="108" t="n">
        <v>40</v>
      </c>
      <c r="E2273" s="108" t="n">
        <v>30</v>
      </c>
      <c r="F2273" s="108" t="s">
        <v>229</v>
      </c>
      <c r="G2273" s="19"/>
    </row>
    <row r="2274" customFormat="false" ht="15" hidden="false" customHeight="true" outlineLevel="0" collapsed="false">
      <c r="A2274" s="19" t="n">
        <v>1594</v>
      </c>
      <c r="B2274" s="19" t="s">
        <v>896</v>
      </c>
      <c r="C2274" s="109" t="n">
        <v>46002</v>
      </c>
      <c r="D2274" s="108" t="n">
        <v>150</v>
      </c>
      <c r="E2274" s="108" t="n">
        <v>1335</v>
      </c>
      <c r="F2274" s="108" t="s">
        <v>897</v>
      </c>
      <c r="G2274" s="19"/>
    </row>
    <row r="2275" customFormat="false" ht="15" hidden="false" customHeight="true" outlineLevel="0" collapsed="false">
      <c r="A2275" s="19" t="n">
        <v>270853</v>
      </c>
      <c r="B2275" s="19" t="s">
        <v>231</v>
      </c>
      <c r="C2275" s="109" t="n">
        <v>46002</v>
      </c>
      <c r="D2275" s="108" t="n">
        <v>70</v>
      </c>
      <c r="E2275" s="108" t="n">
        <v>340</v>
      </c>
      <c r="F2275" s="108" t="s">
        <v>227</v>
      </c>
      <c r="G2275" s="19"/>
    </row>
    <row r="2276" customFormat="false" ht="15" hidden="false" customHeight="true" outlineLevel="0" collapsed="false">
      <c r="A2276" s="19" t="n">
        <v>1603</v>
      </c>
      <c r="B2276" s="19" t="s">
        <v>272</v>
      </c>
      <c r="C2276" s="109" t="n">
        <v>46002</v>
      </c>
      <c r="D2276" s="108" t="n">
        <v>110</v>
      </c>
      <c r="E2276" s="108" t="n">
        <v>3300</v>
      </c>
      <c r="F2276" s="108" t="s">
        <v>227</v>
      </c>
      <c r="G2276" s="19"/>
    </row>
    <row r="2277" customFormat="false" ht="15" hidden="false" customHeight="true" outlineLevel="0" collapsed="false">
      <c r="A2277" s="19" t="n">
        <v>1595</v>
      </c>
      <c r="B2277" s="19" t="s">
        <v>898</v>
      </c>
      <c r="C2277" s="109" t="n">
        <v>46002</v>
      </c>
      <c r="D2277" s="108" t="n">
        <v>250</v>
      </c>
      <c r="E2277" s="108" t="n">
        <v>5563</v>
      </c>
      <c r="F2277" s="10" t="s">
        <v>236</v>
      </c>
      <c r="G2277" s="19"/>
    </row>
    <row r="2278" customFormat="false" ht="15" hidden="false" customHeight="true" outlineLevel="0" collapsed="false">
      <c r="A2278" s="19" t="n">
        <v>1611</v>
      </c>
      <c r="B2278" s="19" t="s">
        <v>298</v>
      </c>
      <c r="C2278" s="109" t="n">
        <v>46003</v>
      </c>
      <c r="D2278" s="108" t="n">
        <v>80</v>
      </c>
      <c r="E2278" s="108" t="n">
        <v>1500</v>
      </c>
      <c r="F2278" s="10" t="s">
        <v>225</v>
      </c>
      <c r="G2278" s="19"/>
    </row>
    <row r="2279" customFormat="false" ht="15" hidden="false" customHeight="true" outlineLevel="0" collapsed="false">
      <c r="A2279" s="19" t="n">
        <v>1612</v>
      </c>
      <c r="B2279" s="19" t="s">
        <v>294</v>
      </c>
      <c r="C2279" s="109" t="n">
        <v>46003</v>
      </c>
      <c r="D2279" s="108" t="n">
        <v>100</v>
      </c>
      <c r="E2279" s="108" t="n">
        <v>600</v>
      </c>
      <c r="F2279" s="10" t="s">
        <v>225</v>
      </c>
      <c r="G2279" s="19" t="s">
        <v>223</v>
      </c>
    </row>
    <row r="2280" customFormat="false" ht="15" hidden="false" customHeight="true" outlineLevel="0" collapsed="false">
      <c r="A2280" s="19" t="n">
        <v>1612</v>
      </c>
      <c r="B2280" s="19" t="s">
        <v>294</v>
      </c>
      <c r="C2280" s="109" t="n">
        <v>46003</v>
      </c>
      <c r="D2280" s="108" t="n">
        <v>130</v>
      </c>
      <c r="E2280" s="108" t="n">
        <v>2560</v>
      </c>
      <c r="F2280" s="10" t="s">
        <v>225</v>
      </c>
      <c r="G2280" s="19" t="s">
        <v>223</v>
      </c>
    </row>
    <row r="2281" customFormat="false" ht="15" hidden="false" customHeight="true" outlineLevel="0" collapsed="false">
      <c r="A2281" s="19" t="n">
        <v>270856</v>
      </c>
      <c r="B2281" s="19" t="s">
        <v>493</v>
      </c>
      <c r="C2281" s="109" t="n">
        <v>46006</v>
      </c>
      <c r="D2281" s="108" t="n">
        <v>105</v>
      </c>
      <c r="E2281" s="108" t="n">
        <v>635</v>
      </c>
      <c r="F2281" s="10" t="s">
        <v>225</v>
      </c>
      <c r="G2281" s="19"/>
    </row>
    <row r="2282" customFormat="false" ht="15" hidden="false" customHeight="true" outlineLevel="0" collapsed="false">
      <c r="A2282" s="19" t="n">
        <v>270850</v>
      </c>
      <c r="B2282" s="19" t="s">
        <v>496</v>
      </c>
      <c r="C2282" s="109" t="n">
        <v>46006</v>
      </c>
      <c r="D2282" s="108" t="n">
        <v>110</v>
      </c>
      <c r="E2282" s="108" t="n">
        <v>1900</v>
      </c>
      <c r="F2282" s="10" t="s">
        <v>225</v>
      </c>
      <c r="G2282" s="19"/>
    </row>
    <row r="2283" customFormat="false" ht="15" hidden="false" customHeight="true" outlineLevel="0" collapsed="false">
      <c r="A2283" s="19" t="n">
        <v>1610</v>
      </c>
      <c r="B2283" s="19" t="s">
        <v>899</v>
      </c>
      <c r="C2283" s="109" t="n">
        <v>46006</v>
      </c>
      <c r="D2283" s="108" t="n">
        <v>137</v>
      </c>
      <c r="E2283" s="108" t="n">
        <v>2025</v>
      </c>
      <c r="F2283" s="10" t="s">
        <v>225</v>
      </c>
      <c r="G2283" s="19" t="s">
        <v>223</v>
      </c>
    </row>
    <row r="2284" customFormat="false" ht="15" hidden="false" customHeight="true" outlineLevel="0" collapsed="false">
      <c r="A2284" s="19" t="n">
        <v>1613</v>
      </c>
      <c r="B2284" s="19" t="s">
        <v>900</v>
      </c>
      <c r="C2284" s="109" t="n">
        <v>46006</v>
      </c>
      <c r="D2284" s="108" t="n">
        <v>35</v>
      </c>
      <c r="E2284" s="108" t="n">
        <v>1650</v>
      </c>
      <c r="F2284" s="108" t="s">
        <v>229</v>
      </c>
      <c r="G2284" s="19"/>
    </row>
    <row r="2285" customFormat="false" ht="15" hidden="false" customHeight="true" outlineLevel="0" collapsed="false">
      <c r="A2285" s="19" t="n">
        <v>1631</v>
      </c>
      <c r="B2285" s="19" t="s">
        <v>901</v>
      </c>
      <c r="C2285" s="109" t="n">
        <v>46008</v>
      </c>
      <c r="D2285" s="108" t="n">
        <v>110</v>
      </c>
      <c r="E2285" s="108" t="n">
        <v>11700</v>
      </c>
      <c r="F2285" s="10" t="s">
        <v>236</v>
      </c>
      <c r="G2285" s="19"/>
    </row>
    <row r="2286" customFormat="false" ht="15" hidden="false" customHeight="true" outlineLevel="0" collapsed="false">
      <c r="A2286" s="19" t="n">
        <v>1643</v>
      </c>
      <c r="B2286" s="19" t="s">
        <v>543</v>
      </c>
      <c r="C2286" s="109" t="n">
        <v>46008</v>
      </c>
      <c r="D2286" s="108" t="n">
        <v>210</v>
      </c>
      <c r="E2286" s="108" t="n">
        <v>1245</v>
      </c>
      <c r="F2286" s="10" t="s">
        <v>236</v>
      </c>
      <c r="G2286" s="19"/>
    </row>
    <row r="2287" customFormat="false" ht="15" hidden="false" customHeight="true" outlineLevel="0" collapsed="false">
      <c r="A2287" s="19" t="n">
        <v>1650</v>
      </c>
      <c r="B2287" s="19" t="s">
        <v>454</v>
      </c>
      <c r="C2287" s="109" t="n">
        <v>46008</v>
      </c>
      <c r="D2287" s="108" t="n">
        <v>210</v>
      </c>
      <c r="E2287" s="108" t="n">
        <v>525</v>
      </c>
      <c r="F2287" s="10" t="s">
        <v>236</v>
      </c>
      <c r="G2287" s="19"/>
    </row>
    <row r="2288" customFormat="false" ht="15" hidden="false" customHeight="true" outlineLevel="0" collapsed="false">
      <c r="A2288" s="19" t="n">
        <v>270859</v>
      </c>
      <c r="B2288" s="19" t="s">
        <v>442</v>
      </c>
      <c r="C2288" s="109" t="n">
        <v>46008</v>
      </c>
      <c r="D2288" s="108" t="n">
        <v>50</v>
      </c>
      <c r="E2288" s="108" t="n">
        <v>153</v>
      </c>
      <c r="F2288" s="10" t="s">
        <v>225</v>
      </c>
      <c r="G2288" s="19"/>
    </row>
    <row r="2289" customFormat="false" ht="15" hidden="false" customHeight="true" outlineLevel="0" collapsed="false">
      <c r="A2289" s="19" t="n">
        <v>1647</v>
      </c>
      <c r="B2289" s="19" t="s">
        <v>902</v>
      </c>
      <c r="C2289" s="109" t="n">
        <v>46008</v>
      </c>
      <c r="D2289" s="108" t="n">
        <v>53</v>
      </c>
      <c r="E2289" s="108" t="n">
        <v>408</v>
      </c>
      <c r="F2289" s="10" t="s">
        <v>225</v>
      </c>
      <c r="G2289" s="19"/>
    </row>
    <row r="2290" customFormat="false" ht="15" hidden="false" customHeight="true" outlineLevel="0" collapsed="false">
      <c r="A2290" s="19" t="n">
        <v>270859</v>
      </c>
      <c r="B2290" s="19" t="s">
        <v>442</v>
      </c>
      <c r="C2290" s="109" t="n">
        <v>46008</v>
      </c>
      <c r="D2290" s="108" t="n">
        <v>55</v>
      </c>
      <c r="E2290" s="108" t="n">
        <v>170</v>
      </c>
      <c r="F2290" s="10" t="s">
        <v>225</v>
      </c>
      <c r="G2290" s="19"/>
    </row>
    <row r="2291" customFormat="false" ht="15" hidden="false" customHeight="true" outlineLevel="0" collapsed="false">
      <c r="A2291" s="19" t="n">
        <v>270860</v>
      </c>
      <c r="B2291" s="19" t="s">
        <v>427</v>
      </c>
      <c r="C2291" s="109" t="n">
        <v>46008</v>
      </c>
      <c r="D2291" s="108" t="n">
        <v>70</v>
      </c>
      <c r="E2291" s="108" t="n">
        <v>2960</v>
      </c>
      <c r="F2291" s="10" t="s">
        <v>225</v>
      </c>
      <c r="G2291" s="19"/>
    </row>
    <row r="2292" customFormat="false" ht="15" hidden="false" customHeight="true" outlineLevel="0" collapsed="false">
      <c r="A2292" s="19" t="n">
        <v>1645</v>
      </c>
      <c r="B2292" s="19" t="s">
        <v>903</v>
      </c>
      <c r="C2292" s="109" t="n">
        <v>46008</v>
      </c>
      <c r="D2292" s="108" t="n">
        <v>85</v>
      </c>
      <c r="E2292" s="108" t="n">
        <v>3000</v>
      </c>
      <c r="F2292" s="10" t="s">
        <v>225</v>
      </c>
      <c r="G2292" s="19"/>
    </row>
    <row r="2293" customFormat="false" ht="15" hidden="false" customHeight="true" outlineLevel="0" collapsed="false">
      <c r="A2293" s="19" t="n">
        <v>1637</v>
      </c>
      <c r="B2293" s="19" t="s">
        <v>255</v>
      </c>
      <c r="C2293" s="109" t="n">
        <v>46008</v>
      </c>
      <c r="D2293" s="108" t="n">
        <v>100</v>
      </c>
      <c r="E2293" s="108" t="n">
        <v>750</v>
      </c>
      <c r="F2293" s="10" t="s">
        <v>225</v>
      </c>
      <c r="G2293" s="19"/>
    </row>
    <row r="2294" customFormat="false" ht="15" hidden="false" customHeight="true" outlineLevel="0" collapsed="false">
      <c r="A2294" s="19" t="n">
        <v>1640</v>
      </c>
      <c r="B2294" s="19" t="s">
        <v>904</v>
      </c>
      <c r="C2294" s="109" t="n">
        <v>46008</v>
      </c>
      <c r="D2294" s="108" t="n">
        <v>110</v>
      </c>
      <c r="E2294" s="108" t="n">
        <v>1500</v>
      </c>
      <c r="F2294" s="10" t="s">
        <v>225</v>
      </c>
      <c r="G2294" s="19"/>
    </row>
    <row r="2295" customFormat="false" ht="15" hidden="false" customHeight="true" outlineLevel="0" collapsed="false">
      <c r="A2295" s="19" t="n">
        <v>1610</v>
      </c>
      <c r="B2295" s="19" t="s">
        <v>899</v>
      </c>
      <c r="C2295" s="109" t="n">
        <v>46008</v>
      </c>
      <c r="D2295" s="108" t="n">
        <v>137</v>
      </c>
      <c r="E2295" s="108" t="n">
        <v>675</v>
      </c>
      <c r="F2295" s="10" t="s">
        <v>225</v>
      </c>
      <c r="G2295" s="19" t="s">
        <v>223</v>
      </c>
    </row>
    <row r="2296" customFormat="false" ht="15" hidden="false" customHeight="true" outlineLevel="0" collapsed="false">
      <c r="A2296" s="19" t="n">
        <v>1627</v>
      </c>
      <c r="B2296" s="19" t="s">
        <v>548</v>
      </c>
      <c r="C2296" s="109" t="n">
        <v>46008</v>
      </c>
      <c r="D2296" s="108" t="n">
        <v>210</v>
      </c>
      <c r="E2296" s="108" t="n">
        <v>260</v>
      </c>
      <c r="F2296" s="10" t="s">
        <v>225</v>
      </c>
      <c r="G2296" s="19"/>
    </row>
    <row r="2297" customFormat="false" ht="15" hidden="false" customHeight="true" outlineLevel="0" collapsed="false">
      <c r="A2297" s="19" t="n">
        <v>1561</v>
      </c>
      <c r="B2297" s="19" t="s">
        <v>905</v>
      </c>
      <c r="C2297" s="109" t="n">
        <v>46008</v>
      </c>
      <c r="D2297" s="108" t="n">
        <v>50</v>
      </c>
      <c r="E2297" s="108" t="n">
        <v>426</v>
      </c>
      <c r="F2297" s="108" t="s">
        <v>906</v>
      </c>
      <c r="G2297" s="19"/>
    </row>
    <row r="2298" customFormat="false" ht="15" hidden="false" customHeight="true" outlineLevel="0" collapsed="false">
      <c r="A2298" s="19" t="n">
        <v>1632</v>
      </c>
      <c r="B2298" s="19" t="s">
        <v>472</v>
      </c>
      <c r="C2298" s="109" t="n">
        <v>46008</v>
      </c>
      <c r="D2298" s="108" t="n">
        <v>55</v>
      </c>
      <c r="E2298" s="108" t="n">
        <v>690</v>
      </c>
      <c r="F2298" s="108" t="s">
        <v>262</v>
      </c>
      <c r="G2298" s="19"/>
    </row>
    <row r="2299" customFormat="false" ht="15" hidden="false" customHeight="true" outlineLevel="0" collapsed="false">
      <c r="A2299" s="19" t="n">
        <v>270866</v>
      </c>
      <c r="B2299" s="19" t="s">
        <v>907</v>
      </c>
      <c r="C2299" s="109" t="n">
        <v>46008</v>
      </c>
      <c r="D2299" s="108" t="n">
        <v>70</v>
      </c>
      <c r="E2299" s="108" t="n">
        <v>150</v>
      </c>
      <c r="F2299" s="108" t="s">
        <v>908</v>
      </c>
      <c r="G2299" s="19"/>
    </row>
    <row r="2300" customFormat="false" ht="15" hidden="false" customHeight="true" outlineLevel="0" collapsed="false">
      <c r="A2300" s="19" t="n">
        <v>270868</v>
      </c>
      <c r="B2300" s="19" t="s">
        <v>909</v>
      </c>
      <c r="C2300" s="109" t="n">
        <v>46008</v>
      </c>
      <c r="D2300" s="108" t="n">
        <v>110</v>
      </c>
      <c r="E2300" s="108" t="n">
        <v>750</v>
      </c>
      <c r="F2300" s="108" t="s">
        <v>229</v>
      </c>
      <c r="G2300" s="19"/>
    </row>
    <row r="2301" customFormat="false" ht="15" hidden="false" customHeight="true" outlineLevel="0" collapsed="false">
      <c r="A2301" s="19" t="n">
        <v>270867</v>
      </c>
      <c r="B2301" s="19" t="s">
        <v>264</v>
      </c>
      <c r="C2301" s="109" t="n">
        <v>46008</v>
      </c>
      <c r="D2301" s="108" t="n">
        <v>145</v>
      </c>
      <c r="E2301" s="108" t="n">
        <v>1000</v>
      </c>
      <c r="F2301" s="108" t="s">
        <v>229</v>
      </c>
      <c r="G2301" s="19"/>
    </row>
    <row r="2302" customFormat="false" ht="15" hidden="false" customHeight="true" outlineLevel="0" collapsed="false">
      <c r="A2302" s="19" t="n">
        <v>1621</v>
      </c>
      <c r="B2302" s="19" t="s">
        <v>740</v>
      </c>
      <c r="C2302" s="109" t="n">
        <v>46008</v>
      </c>
      <c r="D2302" s="108" t="n">
        <v>110</v>
      </c>
      <c r="E2302" s="108" t="n">
        <v>1300</v>
      </c>
      <c r="F2302" s="108" t="s">
        <v>910</v>
      </c>
      <c r="G2302" s="19"/>
    </row>
    <row r="2303" customFormat="false" ht="15" hidden="false" customHeight="true" outlineLevel="0" collapsed="false">
      <c r="A2303" s="19" t="n">
        <v>1618</v>
      </c>
      <c r="B2303" s="19" t="s">
        <v>495</v>
      </c>
      <c r="C2303" s="109" t="n">
        <v>46008</v>
      </c>
      <c r="D2303" s="108" t="n">
        <v>210</v>
      </c>
      <c r="E2303" s="108" t="n">
        <v>315</v>
      </c>
      <c r="F2303" s="108" t="s">
        <v>229</v>
      </c>
      <c r="G2303" s="19"/>
    </row>
    <row r="2304" customFormat="false" ht="15" hidden="false" customHeight="true" outlineLevel="0" collapsed="false">
      <c r="A2304" s="19" t="n">
        <v>1363</v>
      </c>
      <c r="B2304" s="19" t="s">
        <v>571</v>
      </c>
      <c r="C2304" s="109" t="n">
        <v>46008</v>
      </c>
      <c r="D2304" s="108" t="n">
        <v>110</v>
      </c>
      <c r="E2304" s="108" t="n">
        <v>1800</v>
      </c>
      <c r="F2304" s="108" t="s">
        <v>910</v>
      </c>
      <c r="G2304" s="19"/>
    </row>
    <row r="2305" customFormat="false" ht="15" hidden="false" customHeight="true" outlineLevel="0" collapsed="false">
      <c r="A2305" s="19" t="n">
        <v>270871</v>
      </c>
      <c r="B2305" s="19" t="s">
        <v>240</v>
      </c>
      <c r="C2305" s="109" t="n">
        <v>46008</v>
      </c>
      <c r="D2305" s="108" t="n">
        <v>110</v>
      </c>
      <c r="E2305" s="108" t="n">
        <v>680</v>
      </c>
      <c r="F2305" s="108" t="s">
        <v>910</v>
      </c>
      <c r="G2305" s="19"/>
    </row>
    <row r="2306" customFormat="false" ht="15" hidden="false" customHeight="true" outlineLevel="0" collapsed="false">
      <c r="A2306" s="19" t="n">
        <v>1625</v>
      </c>
      <c r="B2306" s="19" t="s">
        <v>746</v>
      </c>
      <c r="C2306" s="109" t="n">
        <v>46008</v>
      </c>
      <c r="D2306" s="108" t="n">
        <v>110</v>
      </c>
      <c r="E2306" s="108" t="n">
        <v>5600</v>
      </c>
      <c r="F2306" s="108" t="s">
        <v>229</v>
      </c>
      <c r="G2306" s="19"/>
    </row>
    <row r="2307" customFormat="false" ht="15" hidden="false" customHeight="true" outlineLevel="0" collapsed="false">
      <c r="A2307" s="19" t="n">
        <v>1624</v>
      </c>
      <c r="B2307" s="19" t="s">
        <v>746</v>
      </c>
      <c r="C2307" s="109" t="n">
        <v>46008</v>
      </c>
      <c r="D2307" s="108" t="n">
        <v>210</v>
      </c>
      <c r="E2307" s="108" t="n">
        <v>2475</v>
      </c>
      <c r="F2307" s="108" t="s">
        <v>908</v>
      </c>
      <c r="G2307" s="19"/>
    </row>
    <row r="2308" customFormat="false" ht="15" hidden="false" customHeight="true" outlineLevel="0" collapsed="false">
      <c r="A2308" s="19" t="n">
        <v>1641</v>
      </c>
      <c r="B2308" s="19" t="s">
        <v>911</v>
      </c>
      <c r="C2308" s="109" t="n">
        <v>46008</v>
      </c>
      <c r="D2308" s="108" t="n">
        <v>210</v>
      </c>
      <c r="E2308" s="108" t="n">
        <v>5000</v>
      </c>
      <c r="F2308" s="108" t="s">
        <v>229</v>
      </c>
      <c r="G2308" s="19"/>
    </row>
    <row r="2309" customFormat="false" ht="15" hidden="false" customHeight="true" outlineLevel="0" collapsed="false">
      <c r="A2309" s="19" t="n">
        <v>1642</v>
      </c>
      <c r="B2309" s="19" t="s">
        <v>88</v>
      </c>
      <c r="C2309" s="109" t="n">
        <v>46008</v>
      </c>
      <c r="D2309" s="108" t="n">
        <v>250</v>
      </c>
      <c r="E2309" s="108" t="n">
        <v>430</v>
      </c>
      <c r="F2309" s="108" t="s">
        <v>856</v>
      </c>
      <c r="G2309" s="19"/>
    </row>
    <row r="2310" customFormat="false" ht="15" hidden="false" customHeight="true" outlineLevel="0" collapsed="false">
      <c r="A2310" s="19" t="n">
        <v>270872</v>
      </c>
      <c r="B2310" s="19" t="s">
        <v>718</v>
      </c>
      <c r="C2310" s="109" t="n">
        <v>46008</v>
      </c>
      <c r="D2310" s="108" t="n">
        <v>210</v>
      </c>
      <c r="E2310" s="108" t="n">
        <v>700</v>
      </c>
      <c r="F2310" s="108" t="s">
        <v>229</v>
      </c>
      <c r="G2310" s="19"/>
    </row>
    <row r="2311" customFormat="false" ht="15" hidden="false" customHeight="true" outlineLevel="0" collapsed="false">
      <c r="A2311" s="19" t="n">
        <v>1649</v>
      </c>
      <c r="B2311" s="19" t="s">
        <v>912</v>
      </c>
      <c r="C2311" s="109" t="n">
        <v>46008</v>
      </c>
      <c r="D2311" s="108" t="n">
        <v>75</v>
      </c>
      <c r="E2311" s="108" t="n">
        <v>1200</v>
      </c>
      <c r="F2311" s="108" t="s">
        <v>908</v>
      </c>
      <c r="G2311" s="19"/>
    </row>
    <row r="2312" customFormat="false" ht="15" hidden="false" customHeight="true" outlineLevel="0" collapsed="false">
      <c r="A2312" s="19" t="n">
        <v>1622</v>
      </c>
      <c r="B2312" s="19" t="s">
        <v>886</v>
      </c>
      <c r="C2312" s="109" t="n">
        <v>46008</v>
      </c>
      <c r="D2312" s="108" t="n">
        <v>110</v>
      </c>
      <c r="E2312" s="108" t="n">
        <v>486</v>
      </c>
      <c r="F2312" s="108" t="s">
        <v>227</v>
      </c>
      <c r="G2312" s="19"/>
    </row>
    <row r="2313" customFormat="false" ht="15" hidden="false" customHeight="true" outlineLevel="0" collapsed="false">
      <c r="A2313" s="19" t="n">
        <v>895</v>
      </c>
      <c r="B2313" s="19" t="s">
        <v>269</v>
      </c>
      <c r="C2313" s="109" t="n">
        <v>46195</v>
      </c>
      <c r="D2313" s="108" t="n">
        <v>20</v>
      </c>
      <c r="E2313" s="108" t="n">
        <v>400</v>
      </c>
      <c r="F2313" s="108" t="s">
        <v>225</v>
      </c>
      <c r="G2313" s="19"/>
    </row>
    <row r="2314" customFormat="false" ht="15" hidden="false" customHeight="true" outlineLevel="0" collapsed="false">
      <c r="A2314" s="19" t="n">
        <v>941</v>
      </c>
      <c r="B2314" s="19" t="s">
        <v>913</v>
      </c>
      <c r="C2314" s="109" t="n">
        <v>46196</v>
      </c>
      <c r="D2314" s="108" t="n">
        <v>180</v>
      </c>
      <c r="E2314" s="108" t="n">
        <v>460</v>
      </c>
      <c r="F2314" s="10" t="s">
        <v>236</v>
      </c>
      <c r="G2314" s="19"/>
    </row>
    <row r="2315" customFormat="false" ht="15" hidden="false" customHeight="true" outlineLevel="0" collapsed="false">
      <c r="A2315" s="19" t="n">
        <v>280367</v>
      </c>
      <c r="B2315" s="19" t="s">
        <v>447</v>
      </c>
      <c r="C2315" s="109" t="n">
        <v>46196</v>
      </c>
      <c r="D2315" s="108" t="n">
        <v>35</v>
      </c>
      <c r="E2315" s="108" t="n">
        <v>1240</v>
      </c>
      <c r="F2315" s="108" t="s">
        <v>914</v>
      </c>
      <c r="G2315" s="19" t="s">
        <v>232</v>
      </c>
    </row>
    <row r="2316" customFormat="false" ht="15" hidden="false" customHeight="true" outlineLevel="0" collapsed="false">
      <c r="A2316" s="19" t="n">
        <v>919</v>
      </c>
      <c r="B2316" s="19" t="s">
        <v>915</v>
      </c>
      <c r="C2316" s="109" t="n">
        <v>46196</v>
      </c>
      <c r="D2316" s="108" t="n">
        <v>40</v>
      </c>
      <c r="E2316" s="108" t="n">
        <v>170</v>
      </c>
      <c r="F2316" s="108" t="s">
        <v>914</v>
      </c>
      <c r="G2316" s="19"/>
    </row>
    <row r="2317" customFormat="false" ht="15" hidden="false" customHeight="true" outlineLevel="0" collapsed="false">
      <c r="A2317" s="19" t="n">
        <v>280375</v>
      </c>
      <c r="B2317" s="19" t="s">
        <v>574</v>
      </c>
      <c r="C2317" s="109" t="n">
        <v>46196</v>
      </c>
      <c r="D2317" s="108" t="n">
        <v>55</v>
      </c>
      <c r="E2317" s="108" t="n">
        <v>500</v>
      </c>
      <c r="F2317" s="108" t="s">
        <v>914</v>
      </c>
      <c r="G2317" s="19"/>
    </row>
    <row r="2318" customFormat="false" ht="15" hidden="false" customHeight="true" outlineLevel="0" collapsed="false">
      <c r="A2318" s="19" t="n">
        <v>892</v>
      </c>
      <c r="B2318" s="19" t="s">
        <v>242</v>
      </c>
      <c r="C2318" s="109" t="n">
        <v>46196</v>
      </c>
      <c r="D2318" s="108" t="n">
        <v>60</v>
      </c>
      <c r="E2318" s="108" t="n">
        <v>380</v>
      </c>
      <c r="F2318" s="108" t="s">
        <v>914</v>
      </c>
      <c r="G2318" s="19"/>
    </row>
    <row r="2319" customFormat="false" ht="15" hidden="false" customHeight="true" outlineLevel="0" collapsed="false">
      <c r="A2319" s="19" t="n">
        <v>919</v>
      </c>
      <c r="B2319" s="19" t="s">
        <v>915</v>
      </c>
      <c r="C2319" s="109" t="n">
        <v>46196</v>
      </c>
      <c r="D2319" s="108" t="n">
        <v>60</v>
      </c>
      <c r="E2319" s="108" t="n">
        <v>365</v>
      </c>
      <c r="F2319" s="108" t="s">
        <v>914</v>
      </c>
      <c r="G2319" s="19"/>
    </row>
    <row r="2320" customFormat="false" ht="15" hidden="false" customHeight="true" outlineLevel="0" collapsed="false">
      <c r="A2320" s="19" t="n">
        <v>280372</v>
      </c>
      <c r="B2320" s="19" t="s">
        <v>749</v>
      </c>
      <c r="C2320" s="109" t="n">
        <v>46196</v>
      </c>
      <c r="D2320" s="108" t="n">
        <v>70</v>
      </c>
      <c r="E2320" s="108" t="n">
        <v>150</v>
      </c>
      <c r="F2320" s="108" t="s">
        <v>914</v>
      </c>
      <c r="G2320" s="19"/>
    </row>
    <row r="2321" customFormat="false" ht="15" hidden="false" customHeight="true" outlineLevel="0" collapsed="false">
      <c r="A2321" s="19" t="n">
        <v>906</v>
      </c>
      <c r="B2321" s="19" t="s">
        <v>784</v>
      </c>
      <c r="C2321" s="109" t="n">
        <v>46196</v>
      </c>
      <c r="D2321" s="108" t="n">
        <v>70</v>
      </c>
      <c r="E2321" s="108" t="n">
        <v>680</v>
      </c>
      <c r="F2321" s="108" t="s">
        <v>914</v>
      </c>
      <c r="G2321" s="19"/>
    </row>
    <row r="2322" customFormat="false" ht="15" hidden="false" customHeight="true" outlineLevel="0" collapsed="false">
      <c r="A2322" s="19" t="n">
        <v>280376</v>
      </c>
      <c r="B2322" s="19" t="s">
        <v>574</v>
      </c>
      <c r="C2322" s="109" t="n">
        <v>46196</v>
      </c>
      <c r="D2322" s="108" t="n">
        <v>85</v>
      </c>
      <c r="E2322" s="108" t="n">
        <v>500</v>
      </c>
      <c r="F2322" s="108" t="s">
        <v>914</v>
      </c>
      <c r="G2322" s="19"/>
    </row>
    <row r="2323" customFormat="false" ht="15" hidden="false" customHeight="true" outlineLevel="0" collapsed="false">
      <c r="A2323" s="19" t="n">
        <v>919</v>
      </c>
      <c r="B2323" s="19" t="s">
        <v>915</v>
      </c>
      <c r="C2323" s="109" t="n">
        <v>46196</v>
      </c>
      <c r="D2323" s="108" t="n">
        <v>85</v>
      </c>
      <c r="E2323" s="108" t="n">
        <v>1620</v>
      </c>
      <c r="F2323" s="108" t="s">
        <v>914</v>
      </c>
      <c r="G2323" s="19"/>
    </row>
    <row r="2324" customFormat="false" ht="15" hidden="false" customHeight="true" outlineLevel="0" collapsed="false">
      <c r="A2324" s="19" t="n">
        <v>280373</v>
      </c>
      <c r="B2324" s="19" t="s">
        <v>916</v>
      </c>
      <c r="C2324" s="109" t="n">
        <v>46196</v>
      </c>
      <c r="D2324" s="108" t="n">
        <v>90</v>
      </c>
      <c r="E2324" s="108" t="n">
        <v>450</v>
      </c>
      <c r="F2324" s="108" t="s">
        <v>914</v>
      </c>
      <c r="G2324" s="19"/>
    </row>
    <row r="2325" customFormat="false" ht="15" hidden="false" customHeight="true" outlineLevel="0" collapsed="false">
      <c r="A2325" s="19" t="n">
        <v>911</v>
      </c>
      <c r="B2325" s="19" t="s">
        <v>648</v>
      </c>
      <c r="C2325" s="109" t="n">
        <v>46196</v>
      </c>
      <c r="D2325" s="108" t="n">
        <v>90</v>
      </c>
      <c r="E2325" s="108" t="n">
        <v>900</v>
      </c>
      <c r="F2325" s="108" t="s">
        <v>914</v>
      </c>
      <c r="G2325" s="19"/>
    </row>
    <row r="2326" customFormat="false" ht="15" hidden="false" customHeight="true" outlineLevel="0" collapsed="false">
      <c r="A2326" s="19" t="n">
        <v>931</v>
      </c>
      <c r="B2326" s="19" t="s">
        <v>309</v>
      </c>
      <c r="C2326" s="109" t="n">
        <v>46196</v>
      </c>
      <c r="D2326" s="108" t="n">
        <v>97</v>
      </c>
      <c r="E2326" s="108" t="n">
        <v>480</v>
      </c>
      <c r="F2326" s="108" t="s">
        <v>914</v>
      </c>
      <c r="G2326" s="19"/>
    </row>
    <row r="2327" customFormat="false" ht="15" hidden="false" customHeight="true" outlineLevel="0" collapsed="false">
      <c r="A2327" s="19" t="n">
        <v>280379</v>
      </c>
      <c r="B2327" s="19" t="s">
        <v>917</v>
      </c>
      <c r="C2327" s="109" t="n">
        <v>46196</v>
      </c>
      <c r="D2327" s="108" t="n">
        <v>100</v>
      </c>
      <c r="E2327" s="108" t="n">
        <v>680</v>
      </c>
      <c r="F2327" s="108" t="s">
        <v>914</v>
      </c>
      <c r="G2327" s="19"/>
    </row>
    <row r="2328" customFormat="false" ht="15" hidden="false" customHeight="true" outlineLevel="0" collapsed="false">
      <c r="A2328" s="19" t="n">
        <v>280380</v>
      </c>
      <c r="B2328" s="19" t="s">
        <v>308</v>
      </c>
      <c r="C2328" s="109" t="n">
        <v>46196</v>
      </c>
      <c r="D2328" s="108" t="n">
        <v>105</v>
      </c>
      <c r="E2328" s="108" t="n">
        <v>1725</v>
      </c>
      <c r="F2328" s="108" t="s">
        <v>914</v>
      </c>
      <c r="G2328" s="19"/>
    </row>
    <row r="2329" customFormat="false" ht="15" hidden="false" customHeight="true" outlineLevel="0" collapsed="false">
      <c r="A2329" s="19" t="n">
        <v>934</v>
      </c>
      <c r="B2329" s="19" t="s">
        <v>692</v>
      </c>
      <c r="C2329" s="109" t="n">
        <v>46196</v>
      </c>
      <c r="D2329" s="108" t="n">
        <v>110</v>
      </c>
      <c r="E2329" s="108" t="n">
        <v>1125</v>
      </c>
      <c r="F2329" s="108" t="s">
        <v>914</v>
      </c>
      <c r="G2329" s="19"/>
    </row>
    <row r="2330" customFormat="false" ht="15" hidden="false" customHeight="true" outlineLevel="0" collapsed="false">
      <c r="A2330" s="19" t="n">
        <v>901</v>
      </c>
      <c r="B2330" s="19" t="s">
        <v>918</v>
      </c>
      <c r="C2330" s="109" t="n">
        <v>46196</v>
      </c>
      <c r="D2330" s="108" t="n">
        <v>125</v>
      </c>
      <c r="E2330" s="108" t="n">
        <v>1620</v>
      </c>
      <c r="F2330" s="108" t="s">
        <v>914</v>
      </c>
      <c r="G2330" s="19"/>
    </row>
    <row r="2331" customFormat="false" ht="15" hidden="false" customHeight="true" outlineLevel="0" collapsed="false">
      <c r="A2331" s="19" t="n">
        <v>938</v>
      </c>
      <c r="B2331" s="19" t="s">
        <v>382</v>
      </c>
      <c r="C2331" s="109" t="n">
        <v>46196</v>
      </c>
      <c r="D2331" s="108" t="n">
        <v>130</v>
      </c>
      <c r="E2331" s="108" t="n">
        <v>1400</v>
      </c>
      <c r="F2331" s="108" t="s">
        <v>914</v>
      </c>
      <c r="G2331" s="19"/>
    </row>
    <row r="2332" customFormat="false" ht="15" hidden="false" customHeight="true" outlineLevel="0" collapsed="false">
      <c r="A2332" s="19" t="n">
        <v>942</v>
      </c>
      <c r="B2332" s="19" t="s">
        <v>696</v>
      </c>
      <c r="C2332" s="109" t="n">
        <v>46196</v>
      </c>
      <c r="D2332" s="108" t="n">
        <v>210</v>
      </c>
      <c r="E2332" s="108" t="n">
        <v>2600</v>
      </c>
      <c r="F2332" s="108" t="s">
        <v>914</v>
      </c>
      <c r="G2332" s="19"/>
    </row>
    <row r="2333" customFormat="false" ht="15" hidden="false" customHeight="true" outlineLevel="0" collapsed="false">
      <c r="A2333" s="19" t="n">
        <v>280377</v>
      </c>
      <c r="B2333" s="19" t="s">
        <v>919</v>
      </c>
      <c r="C2333" s="109" t="n">
        <v>46196</v>
      </c>
      <c r="D2333" s="108" t="n">
        <v>45</v>
      </c>
      <c r="E2333" s="108" t="n">
        <v>860</v>
      </c>
      <c r="F2333" s="108" t="s">
        <v>19</v>
      </c>
      <c r="G2333" s="19"/>
    </row>
    <row r="2334" customFormat="false" ht="15" hidden="false" customHeight="true" outlineLevel="0" collapsed="false">
      <c r="A2334" s="19" t="n">
        <v>904</v>
      </c>
      <c r="B2334" s="19" t="s">
        <v>66</v>
      </c>
      <c r="C2334" s="109" t="n">
        <v>46196</v>
      </c>
      <c r="D2334" s="108" t="n">
        <v>95</v>
      </c>
      <c r="E2334" s="108" t="n">
        <v>900</v>
      </c>
      <c r="F2334" s="108" t="s">
        <v>856</v>
      </c>
      <c r="G2334" s="19"/>
    </row>
    <row r="2335" customFormat="false" ht="15" hidden="false" customHeight="true" outlineLevel="0" collapsed="false">
      <c r="A2335" s="19" t="n">
        <v>939</v>
      </c>
      <c r="B2335" s="19" t="s">
        <v>272</v>
      </c>
      <c r="C2335" s="109" t="n">
        <v>46196</v>
      </c>
      <c r="D2335" s="108" t="n">
        <v>110</v>
      </c>
      <c r="E2335" s="108" t="n">
        <v>3200</v>
      </c>
      <c r="F2335" s="108" t="s">
        <v>910</v>
      </c>
      <c r="G2335" s="19"/>
    </row>
    <row r="2336" customFormat="false" ht="15" hidden="false" customHeight="true" outlineLevel="0" collapsed="false">
      <c r="A2336" s="19" t="n">
        <v>937</v>
      </c>
      <c r="B2336" s="19" t="s">
        <v>305</v>
      </c>
      <c r="C2336" s="109" t="n">
        <v>46196</v>
      </c>
      <c r="D2336" s="108" t="n">
        <v>180</v>
      </c>
      <c r="E2336" s="108" t="n">
        <v>69</v>
      </c>
      <c r="F2336" s="108" t="s">
        <v>227</v>
      </c>
      <c r="G2336" s="19"/>
    </row>
    <row r="2337" customFormat="false" ht="15" hidden="false" customHeight="true" outlineLevel="0" collapsed="false">
      <c r="A2337" s="19" t="n">
        <v>929</v>
      </c>
      <c r="B2337" s="19" t="s">
        <v>551</v>
      </c>
      <c r="C2337" s="109" t="n">
        <v>46196</v>
      </c>
      <c r="D2337" s="108" t="n">
        <v>110</v>
      </c>
      <c r="E2337" s="108" t="n">
        <v>76</v>
      </c>
      <c r="F2337" s="108" t="s">
        <v>227</v>
      </c>
      <c r="G2337" s="19"/>
    </row>
    <row r="2338" customFormat="false" ht="15" hidden="false" customHeight="true" outlineLevel="0" collapsed="false">
      <c r="A2338" s="19" t="n">
        <v>929</v>
      </c>
      <c r="B2338" s="19" t="s">
        <v>551</v>
      </c>
      <c r="C2338" s="109" t="n">
        <v>46196</v>
      </c>
      <c r="D2338" s="108" t="n">
        <v>210</v>
      </c>
      <c r="E2338" s="108" t="n">
        <v>2800</v>
      </c>
      <c r="F2338" s="108" t="s">
        <v>910</v>
      </c>
      <c r="G2338" s="19"/>
    </row>
    <row r="2339" customFormat="false" ht="15" hidden="false" customHeight="true" outlineLevel="0" collapsed="false">
      <c r="A2339" s="19" t="n">
        <v>940</v>
      </c>
      <c r="B2339" s="19" t="s">
        <v>270</v>
      </c>
      <c r="C2339" s="109" t="n">
        <v>46196</v>
      </c>
      <c r="D2339" s="108" t="n">
        <v>75</v>
      </c>
      <c r="E2339" s="108" t="n">
        <v>910</v>
      </c>
      <c r="F2339" s="108" t="s">
        <v>920</v>
      </c>
      <c r="G2339" s="19"/>
    </row>
    <row r="2340" customFormat="false" ht="15" hidden="false" customHeight="true" outlineLevel="0" collapsed="false">
      <c r="A2340" s="19" t="n">
        <v>951</v>
      </c>
      <c r="B2340" s="19" t="s">
        <v>305</v>
      </c>
      <c r="C2340" s="109" t="n">
        <v>46196</v>
      </c>
      <c r="D2340" s="108" t="n">
        <v>70</v>
      </c>
      <c r="E2340" s="108" t="n">
        <v>188</v>
      </c>
      <c r="F2340" s="108" t="s">
        <v>910</v>
      </c>
      <c r="G2340" s="19"/>
    </row>
    <row r="2341" customFormat="false" ht="15" hidden="false" customHeight="true" outlineLevel="0" collapsed="false">
      <c r="A2341" s="19" t="n">
        <v>951</v>
      </c>
      <c r="B2341" s="19" t="s">
        <v>305</v>
      </c>
      <c r="C2341" s="109" t="n">
        <v>46196</v>
      </c>
      <c r="D2341" s="108" t="n">
        <v>45</v>
      </c>
      <c r="E2341" s="108" t="n">
        <v>288</v>
      </c>
      <c r="F2341" s="108" t="s">
        <v>227</v>
      </c>
      <c r="G2341" s="19"/>
    </row>
    <row r="2342" customFormat="false" ht="15" hidden="false" customHeight="true" outlineLevel="0" collapsed="false">
      <c r="A2342" s="19" t="n">
        <v>919</v>
      </c>
      <c r="B2342" s="19" t="s">
        <v>915</v>
      </c>
      <c r="C2342" s="109" t="n">
        <v>46196</v>
      </c>
      <c r="D2342" s="108" t="n">
        <v>55</v>
      </c>
      <c r="E2342" s="108" t="n">
        <v>1020</v>
      </c>
      <c r="F2342" s="108" t="s">
        <v>262</v>
      </c>
      <c r="G2342" s="19"/>
    </row>
    <row r="2343" customFormat="false" ht="15" hidden="false" customHeight="true" outlineLevel="0" collapsed="false">
      <c r="A2343" s="19" t="n">
        <v>933</v>
      </c>
      <c r="B2343" s="19" t="s">
        <v>93</v>
      </c>
      <c r="C2343" s="109" t="n">
        <v>46196</v>
      </c>
      <c r="D2343" s="108" t="n">
        <v>53</v>
      </c>
      <c r="E2343" s="108" t="n">
        <v>153</v>
      </c>
      <c r="F2343" s="108" t="s">
        <v>921</v>
      </c>
      <c r="G2343" s="19" t="s">
        <v>922</v>
      </c>
    </row>
    <row r="2344" customFormat="false" ht="15" hidden="false" customHeight="true" outlineLevel="0" collapsed="false">
      <c r="A2344" s="19" t="n">
        <v>933</v>
      </c>
      <c r="B2344" s="19" t="s">
        <v>93</v>
      </c>
      <c r="C2344" s="109" t="n">
        <v>46196</v>
      </c>
      <c r="D2344" s="108" t="n">
        <v>83</v>
      </c>
      <c r="E2344" s="108" t="n">
        <v>243</v>
      </c>
      <c r="F2344" s="108" t="s">
        <v>921</v>
      </c>
      <c r="G2344" s="19" t="s">
        <v>922</v>
      </c>
    </row>
    <row r="2345" customFormat="false" ht="15" hidden="false" customHeight="true" outlineLevel="0" collapsed="false">
      <c r="A2345" s="19" t="n">
        <v>944</v>
      </c>
      <c r="B2345" s="19" t="s">
        <v>923</v>
      </c>
      <c r="C2345" s="109" t="n">
        <v>46196</v>
      </c>
      <c r="D2345" s="108"/>
      <c r="E2345" s="108"/>
      <c r="F2345" s="108"/>
      <c r="G2345" s="19"/>
    </row>
    <row r="2346" customFormat="false" ht="15" hidden="false" customHeight="true" outlineLevel="0" collapsed="false">
      <c r="A2346" s="19"/>
      <c r="B2346" s="19"/>
      <c r="C2346" s="109" t="n">
        <v>46196</v>
      </c>
      <c r="D2346" s="108"/>
      <c r="E2346" s="108"/>
      <c r="F2346" s="108"/>
      <c r="G2346" s="19"/>
    </row>
    <row r="2347" customFormat="false" ht="15" hidden="false" customHeight="true" outlineLevel="0" collapsed="false">
      <c r="A2347" s="19"/>
      <c r="B2347" s="19"/>
      <c r="C2347" s="109" t="n">
        <v>46196</v>
      </c>
      <c r="D2347" s="108"/>
      <c r="E2347" s="108"/>
      <c r="F2347" s="108"/>
      <c r="G2347" s="19"/>
    </row>
    <row r="2348" customFormat="false" ht="15" hidden="false" customHeight="true" outlineLevel="0" collapsed="false">
      <c r="A2348" s="19"/>
      <c r="B2348" s="19"/>
      <c r="C2348" s="109" t="n">
        <v>46196</v>
      </c>
      <c r="D2348" s="108"/>
      <c r="E2348" s="108"/>
      <c r="F2348" s="108"/>
      <c r="G2348" s="19"/>
    </row>
    <row r="2349" customFormat="false" ht="15" hidden="false" customHeight="true" outlineLevel="0" collapsed="false">
      <c r="A2349" s="19"/>
      <c r="B2349" s="19"/>
      <c r="C2349" s="109" t="n">
        <v>46196</v>
      </c>
      <c r="D2349" s="108"/>
      <c r="E2349" s="108"/>
      <c r="F2349" s="108"/>
      <c r="G2349" s="19"/>
    </row>
    <row r="2350" customFormat="false" ht="15" hidden="false" customHeight="true" outlineLevel="0" collapsed="false">
      <c r="A2350" s="19"/>
      <c r="B2350" s="19"/>
      <c r="C2350" s="109" t="n">
        <v>46196</v>
      </c>
      <c r="D2350" s="108"/>
      <c r="E2350" s="108"/>
      <c r="F2350" s="108"/>
      <c r="G2350" s="19"/>
    </row>
    <row r="2351" customFormat="false" ht="15" hidden="false" customHeight="true" outlineLevel="0" collapsed="false">
      <c r="A2351" s="19" t="n">
        <v>935</v>
      </c>
      <c r="B2351" s="19" t="s">
        <v>246</v>
      </c>
      <c r="C2351" s="109" t="n">
        <v>46196</v>
      </c>
      <c r="D2351" s="108" t="n">
        <v>250</v>
      </c>
      <c r="E2351" s="108" t="n">
        <v>11224</v>
      </c>
      <c r="F2351" s="10" t="s">
        <v>236</v>
      </c>
      <c r="G2351" s="19"/>
    </row>
    <row r="2352" customFormat="false" ht="15" hidden="false" customHeight="true" outlineLevel="0" collapsed="false">
      <c r="A2352" s="19" t="n">
        <v>959</v>
      </c>
      <c r="B2352" s="18" t="s">
        <v>924</v>
      </c>
      <c r="C2352" s="109" t="n">
        <v>46199</v>
      </c>
      <c r="D2352" s="108" t="n">
        <v>35</v>
      </c>
      <c r="E2352" s="108" t="n">
        <v>510</v>
      </c>
      <c r="F2352" s="10" t="s">
        <v>914</v>
      </c>
      <c r="G2352" s="19"/>
    </row>
    <row r="2353" customFormat="false" ht="15" hidden="false" customHeight="true" outlineLevel="0" collapsed="false">
      <c r="A2353" s="19" t="n">
        <v>959</v>
      </c>
      <c r="B2353" s="18" t="s">
        <v>924</v>
      </c>
      <c r="C2353" s="109" t="n">
        <v>46199</v>
      </c>
      <c r="D2353" s="108" t="n">
        <v>42</v>
      </c>
      <c r="E2353" s="108" t="n">
        <v>400</v>
      </c>
      <c r="F2353" s="10" t="s">
        <v>914</v>
      </c>
      <c r="G2353" s="19"/>
    </row>
    <row r="2354" customFormat="false" ht="15" hidden="false" customHeight="true" outlineLevel="0" collapsed="false">
      <c r="A2354" s="19" t="n">
        <v>962</v>
      </c>
      <c r="B2354" s="18" t="s">
        <v>258</v>
      </c>
      <c r="C2354" s="109" t="n">
        <v>46199</v>
      </c>
      <c r="D2354" s="108" t="n">
        <v>65</v>
      </c>
      <c r="E2354" s="108" t="n">
        <v>1500</v>
      </c>
      <c r="F2354" s="10" t="s">
        <v>914</v>
      </c>
      <c r="G2354" s="19"/>
    </row>
    <row r="2355" customFormat="false" ht="15" hidden="false" customHeight="true" outlineLevel="0" collapsed="false">
      <c r="A2355" s="19" t="n">
        <v>963</v>
      </c>
      <c r="B2355" s="18" t="s">
        <v>925</v>
      </c>
      <c r="C2355" s="109" t="n">
        <v>46199</v>
      </c>
      <c r="D2355" s="108" t="n">
        <v>75</v>
      </c>
      <c r="E2355" s="108" t="n">
        <v>272</v>
      </c>
      <c r="F2355" s="10" t="s">
        <v>914</v>
      </c>
      <c r="G2355" s="18" t="s">
        <v>223</v>
      </c>
    </row>
    <row r="2356" customFormat="false" ht="15" hidden="false" customHeight="true" outlineLevel="0" collapsed="false">
      <c r="A2356" s="19" t="n">
        <v>280392</v>
      </c>
      <c r="B2356" s="18" t="s">
        <v>569</v>
      </c>
      <c r="C2356" s="109" t="n">
        <v>46199</v>
      </c>
      <c r="D2356" s="108" t="n">
        <v>85</v>
      </c>
      <c r="E2356" s="108" t="n">
        <v>215</v>
      </c>
      <c r="F2356" s="10" t="s">
        <v>914</v>
      </c>
      <c r="G2356" s="19"/>
    </row>
    <row r="2357" customFormat="false" ht="15" hidden="false" customHeight="true" outlineLevel="0" collapsed="false">
      <c r="A2357" s="19" t="n">
        <v>952</v>
      </c>
      <c r="B2357" s="18" t="s">
        <v>242</v>
      </c>
      <c r="C2357" s="109" t="n">
        <v>46199</v>
      </c>
      <c r="D2357" s="108" t="n">
        <v>110</v>
      </c>
      <c r="E2357" s="108" t="n">
        <v>100</v>
      </c>
      <c r="F2357" s="10" t="s">
        <v>914</v>
      </c>
      <c r="G2357" s="19"/>
    </row>
    <row r="2358" customFormat="false" ht="15" hidden="false" customHeight="true" outlineLevel="0" collapsed="false">
      <c r="A2358" s="19" t="n">
        <v>280396</v>
      </c>
      <c r="B2358" s="18" t="s">
        <v>926</v>
      </c>
      <c r="C2358" s="109" t="n">
        <v>46199</v>
      </c>
      <c r="D2358" s="108" t="n">
        <v>130</v>
      </c>
      <c r="E2358" s="108" t="n">
        <v>250</v>
      </c>
      <c r="F2358" s="10" t="s">
        <v>914</v>
      </c>
      <c r="G2358" s="19"/>
    </row>
    <row r="2359" customFormat="false" ht="15" hidden="false" customHeight="true" outlineLevel="0" collapsed="false">
      <c r="A2359" s="19" t="n">
        <v>907</v>
      </c>
      <c r="B2359" s="18" t="s">
        <v>927</v>
      </c>
      <c r="C2359" s="109" t="n">
        <v>46199</v>
      </c>
      <c r="D2359" s="108" t="n">
        <v>55</v>
      </c>
      <c r="E2359" s="108" t="n">
        <v>510</v>
      </c>
      <c r="F2359" s="10" t="s">
        <v>262</v>
      </c>
      <c r="G2359" s="19"/>
    </row>
    <row r="2360" customFormat="false" ht="15" hidden="false" customHeight="true" outlineLevel="0" collapsed="false">
      <c r="A2360" s="19" t="n">
        <v>907</v>
      </c>
      <c r="B2360" s="18" t="s">
        <v>927</v>
      </c>
      <c r="C2360" s="109" t="n">
        <v>46199</v>
      </c>
      <c r="D2360" s="108" t="n">
        <v>60</v>
      </c>
      <c r="E2360" s="108" t="n">
        <v>4457</v>
      </c>
      <c r="F2360" s="10" t="s">
        <v>928</v>
      </c>
      <c r="G2360" s="19"/>
    </row>
    <row r="2361" customFormat="false" ht="15" hidden="false" customHeight="true" outlineLevel="0" collapsed="false">
      <c r="A2361" s="19" t="n">
        <v>964</v>
      </c>
      <c r="B2361" s="18" t="s">
        <v>290</v>
      </c>
      <c r="C2361" s="109" t="n">
        <v>46199</v>
      </c>
      <c r="D2361" s="108" t="n">
        <v>120</v>
      </c>
      <c r="E2361" s="108" t="n">
        <v>225</v>
      </c>
      <c r="F2361" s="10" t="s">
        <v>910</v>
      </c>
      <c r="G2361" s="19"/>
    </row>
    <row r="2362" customFormat="false" ht="15" hidden="false" customHeight="true" outlineLevel="0" collapsed="false">
      <c r="A2362" s="19" t="n">
        <v>964</v>
      </c>
      <c r="B2362" s="18" t="s">
        <v>290</v>
      </c>
      <c r="C2362" s="109" t="n">
        <v>46199</v>
      </c>
      <c r="D2362" s="108" t="n">
        <v>100</v>
      </c>
      <c r="E2362" s="108" t="n">
        <v>450</v>
      </c>
      <c r="F2362" s="10" t="s">
        <v>910</v>
      </c>
      <c r="G2362" s="19"/>
    </row>
    <row r="2363" customFormat="false" ht="15" hidden="false" customHeight="true" outlineLevel="0" collapsed="false">
      <c r="A2363" s="19" t="n">
        <v>280391</v>
      </c>
      <c r="B2363" s="18" t="s">
        <v>274</v>
      </c>
      <c r="C2363" s="109" t="n">
        <v>46199</v>
      </c>
      <c r="D2363" s="108" t="n">
        <v>130</v>
      </c>
      <c r="E2363" s="108" t="n">
        <v>900</v>
      </c>
      <c r="F2363" s="10" t="s">
        <v>910</v>
      </c>
      <c r="G2363" s="19"/>
    </row>
    <row r="2364" customFormat="false" ht="15" hidden="false" customHeight="true" outlineLevel="0" collapsed="false">
      <c r="A2364" s="19" t="n">
        <v>960</v>
      </c>
      <c r="B2364" s="18" t="s">
        <v>929</v>
      </c>
      <c r="C2364" s="109" t="n">
        <v>46199</v>
      </c>
      <c r="D2364" s="108" t="n">
        <v>220</v>
      </c>
      <c r="E2364" s="108" t="n">
        <v>152</v>
      </c>
      <c r="F2364" s="10" t="s">
        <v>910</v>
      </c>
      <c r="G2364" s="19"/>
    </row>
    <row r="2365" customFormat="false" ht="15" hidden="false" customHeight="true" outlineLevel="0" collapsed="false">
      <c r="A2365" s="19" t="n">
        <v>967</v>
      </c>
      <c r="B2365" s="18" t="s">
        <v>930</v>
      </c>
      <c r="C2365" s="109" t="n">
        <v>46199</v>
      </c>
      <c r="D2365" s="108" t="n">
        <v>250</v>
      </c>
      <c r="E2365" s="108" t="n">
        <v>900</v>
      </c>
      <c r="F2365" s="10" t="s">
        <v>236</v>
      </c>
      <c r="G2365" s="19"/>
    </row>
    <row r="2366" customFormat="false" ht="15" hidden="false" customHeight="true" outlineLevel="0" collapsed="false">
      <c r="A2366" s="19" t="n">
        <v>897</v>
      </c>
      <c r="B2366" s="18" t="s">
        <v>931</v>
      </c>
      <c r="C2366" s="109" t="n">
        <v>46199</v>
      </c>
      <c r="D2366" s="108" t="n">
        <v>250</v>
      </c>
      <c r="E2366" s="108" t="n">
        <v>1312</v>
      </c>
      <c r="F2366" s="10" t="s">
        <v>236</v>
      </c>
      <c r="G2366" s="19"/>
    </row>
    <row r="2367" customFormat="false" ht="15" hidden="false" customHeight="true" outlineLevel="0" collapsed="false">
      <c r="A2367" s="19" t="n">
        <v>280394</v>
      </c>
      <c r="B2367" s="18" t="s">
        <v>932</v>
      </c>
      <c r="C2367" s="109" t="n">
        <v>46199</v>
      </c>
      <c r="D2367" s="108" t="n">
        <v>250</v>
      </c>
      <c r="E2367" s="108" t="n">
        <v>1780</v>
      </c>
      <c r="F2367" s="10" t="s">
        <v>236</v>
      </c>
      <c r="G2367" s="19"/>
    </row>
    <row r="2368" customFormat="false" ht="15" hidden="false" customHeight="true" outlineLevel="0" collapsed="false">
      <c r="A2368" s="19" t="n">
        <v>280403</v>
      </c>
      <c r="B2368" s="19" t="s">
        <v>933</v>
      </c>
      <c r="C2368" s="109" t="n">
        <v>46203</v>
      </c>
      <c r="D2368" s="108" t="n">
        <v>110</v>
      </c>
      <c r="E2368" s="108" t="n">
        <v>280</v>
      </c>
      <c r="F2368" s="108" t="s">
        <v>914</v>
      </c>
      <c r="G2368" s="19"/>
    </row>
    <row r="2369" customFormat="false" ht="15" hidden="false" customHeight="true" outlineLevel="0" collapsed="false">
      <c r="A2369" s="19" t="n">
        <v>979</v>
      </c>
      <c r="B2369" s="19" t="s">
        <v>934</v>
      </c>
      <c r="C2369" s="109" t="n">
        <v>46203</v>
      </c>
      <c r="D2369" s="108" t="n">
        <v>105</v>
      </c>
      <c r="E2369" s="108" t="n">
        <v>180</v>
      </c>
      <c r="F2369" s="108" t="s">
        <v>910</v>
      </c>
      <c r="G2369" s="19"/>
    </row>
    <row r="2370" customFormat="false" ht="15" hidden="false" customHeight="true" outlineLevel="0" collapsed="false">
      <c r="A2370" s="19" t="n">
        <v>280407</v>
      </c>
      <c r="B2370" s="19" t="s">
        <v>381</v>
      </c>
      <c r="C2370" s="109" t="n">
        <v>46203</v>
      </c>
      <c r="D2370" s="108" t="n">
        <v>70</v>
      </c>
      <c r="E2370" s="108" t="n">
        <v>405</v>
      </c>
      <c r="F2370" s="108" t="s">
        <v>910</v>
      </c>
      <c r="G2370" s="19"/>
    </row>
    <row r="2371" customFormat="false" ht="15" hidden="false" customHeight="true" outlineLevel="0" collapsed="false">
      <c r="A2371" s="19" t="n">
        <v>971</v>
      </c>
      <c r="B2371" s="19" t="s">
        <v>935</v>
      </c>
      <c r="C2371" s="109" t="n">
        <v>46203</v>
      </c>
      <c r="D2371" s="108" t="n">
        <v>220</v>
      </c>
      <c r="E2371" s="108" t="n">
        <v>124</v>
      </c>
      <c r="F2371" s="108" t="s">
        <v>914</v>
      </c>
      <c r="G2371" s="19"/>
    </row>
    <row r="2372" customFormat="false" ht="15" hidden="false" customHeight="true" outlineLevel="0" collapsed="false">
      <c r="A2372" s="19" t="n">
        <v>280390</v>
      </c>
      <c r="B2372" s="19" t="s">
        <v>936</v>
      </c>
      <c r="C2372" s="109" t="n">
        <v>46206</v>
      </c>
      <c r="D2372" s="108" t="n">
        <v>35</v>
      </c>
      <c r="E2372" s="108" t="n">
        <v>3100</v>
      </c>
      <c r="F2372" s="108" t="s">
        <v>914</v>
      </c>
      <c r="G2372" s="19"/>
    </row>
    <row r="2373" customFormat="false" ht="15" hidden="false" customHeight="true" outlineLevel="0" collapsed="false">
      <c r="A2373" s="19" t="n">
        <v>946</v>
      </c>
      <c r="B2373" s="19" t="s">
        <v>937</v>
      </c>
      <c r="C2373" s="109" t="n">
        <v>46206</v>
      </c>
      <c r="D2373" s="108" t="n">
        <v>55</v>
      </c>
      <c r="E2373" s="108" t="n">
        <v>1326</v>
      </c>
      <c r="F2373" s="108" t="s">
        <v>914</v>
      </c>
      <c r="G2373" s="19"/>
    </row>
    <row r="2374" customFormat="false" ht="15" hidden="false" customHeight="true" outlineLevel="0" collapsed="false">
      <c r="A2374" s="19" t="n">
        <v>983</v>
      </c>
      <c r="B2374" s="19" t="s">
        <v>322</v>
      </c>
      <c r="C2374" s="109" t="n">
        <v>46206</v>
      </c>
      <c r="D2374" s="108" t="n">
        <v>70</v>
      </c>
      <c r="E2374" s="108" t="n">
        <v>205</v>
      </c>
      <c r="F2374" s="108" t="s">
        <v>914</v>
      </c>
      <c r="G2374" s="19"/>
    </row>
    <row r="2375" customFormat="false" ht="15" hidden="false" customHeight="true" outlineLevel="0" collapsed="false">
      <c r="A2375" s="19" t="n">
        <v>983</v>
      </c>
      <c r="B2375" s="19" t="s">
        <v>322</v>
      </c>
      <c r="C2375" s="109" t="n">
        <v>46206</v>
      </c>
      <c r="D2375" s="108" t="n">
        <v>80</v>
      </c>
      <c r="E2375" s="108" t="n">
        <v>600</v>
      </c>
      <c r="F2375" s="108" t="s">
        <v>914</v>
      </c>
      <c r="G2375" s="19"/>
    </row>
    <row r="2376" customFormat="false" ht="15" hidden="false" customHeight="true" outlineLevel="0" collapsed="false">
      <c r="A2376" s="19" t="n">
        <v>983</v>
      </c>
      <c r="B2376" s="19" t="s">
        <v>322</v>
      </c>
      <c r="C2376" s="109" t="n">
        <v>46206</v>
      </c>
      <c r="D2376" s="108" t="n">
        <v>100</v>
      </c>
      <c r="E2376" s="108" t="n">
        <v>650</v>
      </c>
      <c r="F2376" s="108" t="s">
        <v>914</v>
      </c>
      <c r="G2376" s="19"/>
    </row>
    <row r="2377" customFormat="false" ht="15" hidden="false" customHeight="true" outlineLevel="0" collapsed="false">
      <c r="A2377" s="19" t="n">
        <v>280402</v>
      </c>
      <c r="B2377" s="19" t="s">
        <v>938</v>
      </c>
      <c r="C2377" s="109" t="n">
        <v>46206</v>
      </c>
      <c r="D2377" s="108" t="n">
        <v>100</v>
      </c>
      <c r="E2377" s="108" t="n">
        <v>210</v>
      </c>
      <c r="F2377" s="108" t="s">
        <v>914</v>
      </c>
      <c r="G2377" s="19"/>
    </row>
    <row r="2378" customFormat="false" ht="15" hidden="false" customHeight="true" outlineLevel="0" collapsed="false">
      <c r="A2378" s="19" t="n">
        <v>280413</v>
      </c>
      <c r="B2378" s="19" t="s">
        <v>815</v>
      </c>
      <c r="C2378" s="109" t="n">
        <v>46206</v>
      </c>
      <c r="D2378" s="108" t="n">
        <v>105</v>
      </c>
      <c r="E2378" s="108" t="n">
        <v>90</v>
      </c>
      <c r="F2378" s="108" t="s">
        <v>914</v>
      </c>
      <c r="G2378" s="19"/>
    </row>
    <row r="2379" customFormat="false" ht="15" hidden="false" customHeight="true" outlineLevel="0" collapsed="false">
      <c r="A2379" s="19" t="n">
        <v>280396</v>
      </c>
      <c r="B2379" s="19" t="s">
        <v>926</v>
      </c>
      <c r="C2379" s="109" t="n">
        <v>46206</v>
      </c>
      <c r="D2379" s="108" t="n">
        <v>130</v>
      </c>
      <c r="E2379" s="108" t="n">
        <v>310</v>
      </c>
      <c r="F2379" s="108" t="s">
        <v>914</v>
      </c>
      <c r="G2379" s="19"/>
    </row>
    <row r="2380" customFormat="false" ht="15" hidden="false" customHeight="true" outlineLevel="0" collapsed="false">
      <c r="A2380" s="19" t="n">
        <v>996</v>
      </c>
      <c r="B2380" s="19" t="s">
        <v>939</v>
      </c>
      <c r="C2380" s="109" t="n">
        <v>46206</v>
      </c>
      <c r="D2380" s="108" t="n">
        <v>138</v>
      </c>
      <c r="E2380" s="108" t="n">
        <v>2800</v>
      </c>
      <c r="F2380" s="108" t="s">
        <v>914</v>
      </c>
      <c r="G2380" s="19"/>
    </row>
    <row r="2381" customFormat="false" ht="15" hidden="false" customHeight="true" outlineLevel="0" collapsed="false">
      <c r="A2381" s="19" t="n">
        <v>984</v>
      </c>
      <c r="B2381" s="19" t="s">
        <v>940</v>
      </c>
      <c r="C2381" s="109" t="n">
        <v>46206</v>
      </c>
      <c r="D2381" s="108" t="n">
        <v>148</v>
      </c>
      <c r="E2381" s="108" t="n">
        <v>3240</v>
      </c>
      <c r="F2381" s="108" t="s">
        <v>914</v>
      </c>
      <c r="G2381" s="19" t="s">
        <v>223</v>
      </c>
    </row>
    <row r="2382" customFormat="false" ht="15" hidden="false" customHeight="true" outlineLevel="0" collapsed="false">
      <c r="A2382" s="19" t="n">
        <v>1000</v>
      </c>
      <c r="B2382" s="19" t="s">
        <v>226</v>
      </c>
      <c r="C2382" s="109" t="n">
        <v>46206</v>
      </c>
      <c r="D2382" s="108" t="n">
        <v>84</v>
      </c>
      <c r="E2382" s="108" t="n">
        <v>200</v>
      </c>
      <c r="F2382" s="108" t="s">
        <v>910</v>
      </c>
      <c r="G2382" s="19"/>
    </row>
    <row r="2383" customFormat="false" ht="15" hidden="false" customHeight="true" outlineLevel="0" collapsed="false">
      <c r="A2383" s="19" t="n">
        <v>985</v>
      </c>
      <c r="B2383" s="19" t="s">
        <v>820</v>
      </c>
      <c r="C2383" s="109" t="n">
        <v>46206</v>
      </c>
      <c r="D2383" s="108" t="n">
        <v>40</v>
      </c>
      <c r="E2383" s="108" t="n">
        <v>800</v>
      </c>
      <c r="F2383" s="108" t="s">
        <v>856</v>
      </c>
      <c r="G2383" s="19"/>
    </row>
    <row r="2384" customFormat="false" ht="15" hidden="false" customHeight="true" outlineLevel="0" collapsed="false">
      <c r="A2384" s="19" t="n">
        <v>986</v>
      </c>
      <c r="B2384" s="19" t="s">
        <v>820</v>
      </c>
      <c r="C2384" s="109" t="n">
        <v>46206</v>
      </c>
      <c r="D2384" s="108" t="n">
        <v>20</v>
      </c>
      <c r="E2384" s="108" t="n">
        <v>600</v>
      </c>
      <c r="F2384" s="108" t="s">
        <v>856</v>
      </c>
      <c r="G2384" s="19"/>
    </row>
    <row r="2385" customFormat="false" ht="15" hidden="false" customHeight="true" outlineLevel="0" collapsed="false">
      <c r="A2385" s="19" t="n">
        <v>973</v>
      </c>
      <c r="B2385" s="19" t="s">
        <v>247</v>
      </c>
      <c r="C2385" s="109" t="n">
        <v>46206</v>
      </c>
      <c r="D2385" s="108" t="n">
        <v>40</v>
      </c>
      <c r="E2385" s="108" t="n">
        <v>30</v>
      </c>
      <c r="F2385" s="108" t="s">
        <v>908</v>
      </c>
      <c r="G2385" s="19"/>
    </row>
    <row r="2386" customFormat="false" ht="15" hidden="false" customHeight="true" outlineLevel="0" collapsed="false">
      <c r="A2386" s="19" t="n">
        <v>997</v>
      </c>
      <c r="B2386" s="19" t="s">
        <v>97</v>
      </c>
      <c r="C2386" s="109" t="n">
        <v>46206</v>
      </c>
      <c r="D2386" s="108" t="n">
        <v>250</v>
      </c>
      <c r="E2386" s="108" t="n">
        <v>547</v>
      </c>
      <c r="F2386" s="108" t="s">
        <v>908</v>
      </c>
      <c r="G2386" s="19"/>
    </row>
    <row r="2387" customFormat="false" ht="15" hidden="false" customHeight="true" outlineLevel="0" collapsed="false">
      <c r="A2387" s="19" t="n">
        <v>1002</v>
      </c>
      <c r="B2387" s="19" t="s">
        <v>250</v>
      </c>
      <c r="C2387" s="109" t="n">
        <v>46206</v>
      </c>
      <c r="D2387" s="108" t="n">
        <v>110</v>
      </c>
      <c r="E2387" s="108" t="n">
        <v>2400</v>
      </c>
      <c r="F2387" s="108" t="s">
        <v>910</v>
      </c>
      <c r="G2387" s="19"/>
    </row>
    <row r="2388" customFormat="false" ht="15" hidden="false" customHeight="true" outlineLevel="0" collapsed="false">
      <c r="A2388" s="19" t="n">
        <v>897</v>
      </c>
      <c r="B2388" s="19" t="s">
        <v>941</v>
      </c>
      <c r="C2388" s="109" t="n">
        <v>46206</v>
      </c>
      <c r="D2388" s="108" t="n">
        <v>250</v>
      </c>
      <c r="E2388" s="108" t="n">
        <v>1312</v>
      </c>
      <c r="F2388" s="10" t="s">
        <v>236</v>
      </c>
      <c r="G2388" s="19"/>
    </row>
    <row r="2389" customFormat="false" ht="15" hidden="false" customHeight="true" outlineLevel="0" collapsed="false">
      <c r="A2389" s="19" t="n">
        <v>946</v>
      </c>
      <c r="B2389" s="19" t="s">
        <v>937</v>
      </c>
      <c r="C2389" s="109" t="n">
        <v>46206</v>
      </c>
      <c r="D2389" s="108" t="n">
        <v>250</v>
      </c>
      <c r="E2389" s="108" t="n">
        <v>1200</v>
      </c>
      <c r="F2389" s="10" t="s">
        <v>236</v>
      </c>
      <c r="G2389" s="19"/>
    </row>
    <row r="2390" customFormat="false" ht="15" hidden="false" customHeight="true" outlineLevel="0" collapsed="false">
      <c r="A2390" s="19" t="n">
        <v>998</v>
      </c>
      <c r="B2390" s="19" t="s">
        <v>942</v>
      </c>
      <c r="C2390" s="109" t="n">
        <v>46210</v>
      </c>
      <c r="D2390" s="108" t="n">
        <v>55</v>
      </c>
      <c r="E2390" s="108" t="n">
        <v>3700</v>
      </c>
      <c r="F2390" s="108" t="s">
        <v>914</v>
      </c>
      <c r="G2390" s="19"/>
    </row>
    <row r="2391" customFormat="false" ht="15" hidden="false" customHeight="true" outlineLevel="0" collapsed="false">
      <c r="A2391" s="19" t="n">
        <v>1024</v>
      </c>
      <c r="B2391" s="19" t="s">
        <v>943</v>
      </c>
      <c r="C2391" s="109" t="n">
        <v>46210</v>
      </c>
      <c r="D2391" s="108" t="n">
        <v>65</v>
      </c>
      <c r="E2391" s="108" t="n">
        <v>1360</v>
      </c>
      <c r="F2391" s="108" t="s">
        <v>914</v>
      </c>
      <c r="G2391" s="19"/>
    </row>
    <row r="2392" customFormat="false" ht="15" hidden="false" customHeight="true" outlineLevel="0" collapsed="false">
      <c r="A2392" s="19" t="n">
        <v>1024</v>
      </c>
      <c r="B2392" s="19" t="s">
        <v>943</v>
      </c>
      <c r="C2392" s="109" t="n">
        <v>46210</v>
      </c>
      <c r="D2392" s="108" t="n">
        <v>78</v>
      </c>
      <c r="E2392" s="108" t="n">
        <v>1620</v>
      </c>
      <c r="F2392" s="108" t="s">
        <v>914</v>
      </c>
      <c r="G2392" s="19"/>
    </row>
    <row r="2393" customFormat="false" ht="15" hidden="false" customHeight="true" outlineLevel="0" collapsed="false">
      <c r="A2393" s="19" t="n">
        <v>280422</v>
      </c>
      <c r="B2393" s="19" t="s">
        <v>944</v>
      </c>
      <c r="C2393" s="109" t="n">
        <v>46210</v>
      </c>
      <c r="D2393" s="108" t="n">
        <v>105</v>
      </c>
      <c r="E2393" s="108" t="n">
        <v>1200</v>
      </c>
      <c r="F2393" s="108" t="s">
        <v>914</v>
      </c>
      <c r="G2393" s="19"/>
    </row>
    <row r="2394" customFormat="false" ht="15" hidden="false" customHeight="true" outlineLevel="0" collapsed="false">
      <c r="A2394" s="19" t="n">
        <v>280400</v>
      </c>
      <c r="B2394" s="19" t="s">
        <v>638</v>
      </c>
      <c r="C2394" s="109" t="n">
        <v>46210</v>
      </c>
      <c r="D2394" s="108" t="n">
        <v>105</v>
      </c>
      <c r="E2394" s="108" t="n">
        <v>2800</v>
      </c>
      <c r="F2394" s="108" t="s">
        <v>914</v>
      </c>
      <c r="G2394" s="19"/>
    </row>
    <row r="2395" customFormat="false" ht="15" hidden="false" customHeight="true" outlineLevel="0" collapsed="false">
      <c r="A2395" s="19" t="n">
        <v>1019</v>
      </c>
      <c r="B2395" s="19" t="s">
        <v>294</v>
      </c>
      <c r="C2395" s="109" t="n">
        <v>46210</v>
      </c>
      <c r="D2395" s="108" t="n">
        <v>128</v>
      </c>
      <c r="E2395" s="108" t="n">
        <v>1280</v>
      </c>
      <c r="F2395" s="108" t="s">
        <v>914</v>
      </c>
      <c r="G2395" s="19"/>
    </row>
    <row r="2396" customFormat="false" ht="15" hidden="false" customHeight="true" outlineLevel="0" collapsed="false">
      <c r="A2396" s="19" t="n">
        <v>280422</v>
      </c>
      <c r="B2396" s="19" t="s">
        <v>944</v>
      </c>
      <c r="C2396" s="109" t="n">
        <v>46210</v>
      </c>
      <c r="D2396" s="108" t="n">
        <v>137</v>
      </c>
      <c r="E2396" s="108" t="n">
        <v>4200</v>
      </c>
      <c r="F2396" s="108" t="s">
        <v>914</v>
      </c>
      <c r="G2396" s="19"/>
    </row>
    <row r="2397" customFormat="false" ht="15" hidden="false" customHeight="true" outlineLevel="0" collapsed="false">
      <c r="A2397" s="19" t="n">
        <v>1023</v>
      </c>
      <c r="B2397" s="19" t="s">
        <v>247</v>
      </c>
      <c r="C2397" s="109" t="n">
        <v>46210</v>
      </c>
      <c r="D2397" s="108" t="n">
        <v>40</v>
      </c>
      <c r="E2397" s="108" t="n">
        <v>60</v>
      </c>
      <c r="F2397" s="108" t="s">
        <v>908</v>
      </c>
      <c r="G2397" s="19"/>
    </row>
    <row r="2398" customFormat="false" ht="15" hidden="false" customHeight="true" outlineLevel="0" collapsed="false">
      <c r="A2398" s="19" t="n">
        <v>1016</v>
      </c>
      <c r="B2398" s="19" t="s">
        <v>945</v>
      </c>
      <c r="C2398" s="109" t="n">
        <v>46210</v>
      </c>
      <c r="D2398" s="108" t="n">
        <v>85</v>
      </c>
      <c r="E2398" s="108" t="n">
        <v>324</v>
      </c>
      <c r="F2398" s="108" t="s">
        <v>362</v>
      </c>
      <c r="G2398" s="19"/>
    </row>
    <row r="2399" customFormat="false" ht="15" hidden="false" customHeight="true" outlineLevel="0" collapsed="false">
      <c r="A2399" s="19" t="n">
        <v>1026</v>
      </c>
      <c r="B2399" s="19" t="s">
        <v>912</v>
      </c>
      <c r="C2399" s="109" t="n">
        <v>46210</v>
      </c>
      <c r="D2399" s="108" t="n">
        <v>100</v>
      </c>
      <c r="E2399" s="108" t="n">
        <v>240</v>
      </c>
      <c r="F2399" s="108" t="s">
        <v>910</v>
      </c>
      <c r="G2399" s="19"/>
    </row>
    <row r="2400" customFormat="false" ht="15" hidden="false" customHeight="true" outlineLevel="0" collapsed="false">
      <c r="A2400" s="19" t="n">
        <v>1026</v>
      </c>
      <c r="B2400" s="19" t="s">
        <v>912</v>
      </c>
      <c r="C2400" s="109" t="n">
        <v>46210</v>
      </c>
      <c r="D2400" s="108" t="n">
        <v>120</v>
      </c>
      <c r="E2400" s="108" t="n">
        <v>750</v>
      </c>
      <c r="F2400" s="108" t="s">
        <v>910</v>
      </c>
      <c r="G2400" s="19"/>
    </row>
    <row r="2401" customFormat="false" ht="15" hidden="false" customHeight="true" outlineLevel="0" collapsed="false">
      <c r="A2401" s="19" t="n">
        <v>1027</v>
      </c>
      <c r="B2401" s="19" t="s">
        <v>235</v>
      </c>
      <c r="C2401" s="109" t="n">
        <v>46210</v>
      </c>
      <c r="D2401" s="108" t="n">
        <v>250</v>
      </c>
      <c r="E2401" s="108" t="n">
        <v>6738</v>
      </c>
      <c r="F2401" s="10" t="s">
        <v>236</v>
      </c>
      <c r="G2401" s="19"/>
    </row>
    <row r="2402" customFormat="false" ht="15" hidden="false" customHeight="true" outlineLevel="0" collapsed="false">
      <c r="A2402" s="19" t="n">
        <v>1047</v>
      </c>
      <c r="B2402" s="19" t="s">
        <v>946</v>
      </c>
      <c r="C2402" s="109" t="n">
        <v>46213</v>
      </c>
      <c r="D2402" s="108" t="n">
        <v>105</v>
      </c>
      <c r="E2402" s="108" t="n">
        <v>208</v>
      </c>
      <c r="F2402" s="10" t="s">
        <v>236</v>
      </c>
      <c r="G2402" s="19"/>
    </row>
    <row r="2403" customFormat="false" ht="15" hidden="false" customHeight="true" outlineLevel="0" collapsed="false">
      <c r="A2403" s="19" t="n">
        <v>1060</v>
      </c>
      <c r="B2403" s="19" t="s">
        <v>321</v>
      </c>
      <c r="C2403" s="109" t="n">
        <v>46213</v>
      </c>
      <c r="D2403" s="108" t="n">
        <v>220</v>
      </c>
      <c r="E2403" s="108" t="n">
        <v>3192</v>
      </c>
      <c r="F2403" s="10" t="s">
        <v>236</v>
      </c>
      <c r="G2403" s="19"/>
    </row>
    <row r="2404" customFormat="false" ht="15" hidden="false" customHeight="true" outlineLevel="0" collapsed="false">
      <c r="A2404" s="19" t="n">
        <v>280427</v>
      </c>
      <c r="B2404" s="19" t="s">
        <v>947</v>
      </c>
      <c r="C2404" s="109" t="n">
        <v>46213</v>
      </c>
      <c r="D2404" s="108" t="n">
        <v>57</v>
      </c>
      <c r="E2404" s="108" t="n">
        <v>81</v>
      </c>
      <c r="F2404" s="108" t="s">
        <v>914</v>
      </c>
      <c r="G2404" s="19"/>
    </row>
    <row r="2405" customFormat="false" ht="15" hidden="false" customHeight="true" outlineLevel="0" collapsed="false">
      <c r="A2405" s="19" t="n">
        <v>1043</v>
      </c>
      <c r="B2405" s="19" t="s">
        <v>242</v>
      </c>
      <c r="C2405" s="109" t="n">
        <v>46213</v>
      </c>
      <c r="D2405" s="108" t="n">
        <v>60</v>
      </c>
      <c r="E2405" s="108" t="n">
        <v>280</v>
      </c>
      <c r="F2405" s="108" t="s">
        <v>914</v>
      </c>
      <c r="G2405" s="19"/>
    </row>
    <row r="2406" customFormat="false" ht="15" hidden="false" customHeight="true" outlineLevel="0" collapsed="false">
      <c r="A2406" s="19" t="n">
        <v>280431</v>
      </c>
      <c r="B2406" s="19" t="s">
        <v>948</v>
      </c>
      <c r="C2406" s="109" t="n">
        <v>46213</v>
      </c>
      <c r="D2406" s="108" t="n">
        <v>70</v>
      </c>
      <c r="E2406" s="108" t="n">
        <v>500</v>
      </c>
      <c r="F2406" s="108" t="s">
        <v>914</v>
      </c>
      <c r="G2406" s="19"/>
    </row>
    <row r="2407" customFormat="false" ht="15" hidden="false" customHeight="true" outlineLevel="0" collapsed="false">
      <c r="A2407" s="19" t="n">
        <v>1031</v>
      </c>
      <c r="B2407" s="19" t="s">
        <v>383</v>
      </c>
      <c r="C2407" s="109" t="n">
        <v>46213</v>
      </c>
      <c r="D2407" s="108" t="n">
        <v>88</v>
      </c>
      <c r="E2407" s="108" t="n">
        <v>440</v>
      </c>
      <c r="F2407" s="108" t="s">
        <v>914</v>
      </c>
      <c r="G2407" s="19"/>
    </row>
    <row r="2408" customFormat="false" ht="15" hidden="false" customHeight="true" outlineLevel="0" collapsed="false">
      <c r="A2408" s="19" t="n">
        <v>280416</v>
      </c>
      <c r="B2408" s="19" t="s">
        <v>309</v>
      </c>
      <c r="C2408" s="109" t="n">
        <v>46213</v>
      </c>
      <c r="D2408" s="108" t="n">
        <v>110</v>
      </c>
      <c r="E2408" s="108" t="n">
        <v>140</v>
      </c>
      <c r="F2408" s="108" t="s">
        <v>914</v>
      </c>
      <c r="G2408" s="19"/>
    </row>
    <row r="2409" customFormat="false" ht="15" hidden="false" customHeight="true" outlineLevel="0" collapsed="false">
      <c r="A2409" s="19" t="n">
        <v>1040</v>
      </c>
      <c r="B2409" s="19" t="s">
        <v>242</v>
      </c>
      <c r="C2409" s="109" t="n">
        <v>46213</v>
      </c>
      <c r="D2409" s="108" t="n">
        <v>110</v>
      </c>
      <c r="E2409" s="108" t="n">
        <v>120</v>
      </c>
      <c r="F2409" s="108" t="s">
        <v>914</v>
      </c>
      <c r="G2409" s="19"/>
    </row>
    <row r="2410" customFormat="false" ht="15" hidden="false" customHeight="true" outlineLevel="0" collapsed="false">
      <c r="A2410" s="19" t="n">
        <v>1034</v>
      </c>
      <c r="B2410" s="19" t="s">
        <v>244</v>
      </c>
      <c r="C2410" s="109" t="n">
        <v>46213</v>
      </c>
      <c r="D2410" s="108" t="n">
        <v>110</v>
      </c>
      <c r="E2410" s="108" t="n">
        <v>2100</v>
      </c>
      <c r="F2410" s="108" t="s">
        <v>914</v>
      </c>
      <c r="G2410" s="19"/>
    </row>
    <row r="2411" customFormat="false" ht="15" hidden="false" customHeight="true" outlineLevel="0" collapsed="false">
      <c r="A2411" s="19" t="n">
        <v>280425</v>
      </c>
      <c r="B2411" s="19" t="s">
        <v>235</v>
      </c>
      <c r="C2411" s="109" t="n">
        <v>46213</v>
      </c>
      <c r="D2411" s="108" t="n">
        <v>110</v>
      </c>
      <c r="E2411" s="108" t="n">
        <v>2500</v>
      </c>
      <c r="F2411" s="108" t="s">
        <v>914</v>
      </c>
      <c r="G2411" s="19"/>
    </row>
    <row r="2412" customFormat="false" ht="15" hidden="false" customHeight="true" outlineLevel="0" collapsed="false">
      <c r="A2412" s="19" t="n">
        <v>280429</v>
      </c>
      <c r="B2412" s="19" t="s">
        <v>429</v>
      </c>
      <c r="C2412" s="109" t="n">
        <v>46213</v>
      </c>
      <c r="D2412" s="108" t="n">
        <v>140</v>
      </c>
      <c r="E2412" s="108" t="n">
        <v>1500</v>
      </c>
      <c r="F2412" s="108" t="s">
        <v>914</v>
      </c>
      <c r="G2412" s="19"/>
    </row>
    <row r="2413" customFormat="false" ht="15" hidden="false" customHeight="true" outlineLevel="0" collapsed="false">
      <c r="A2413" s="19" t="n">
        <v>1056</v>
      </c>
      <c r="B2413" s="19" t="s">
        <v>397</v>
      </c>
      <c r="C2413" s="109" t="n">
        <v>46213</v>
      </c>
      <c r="D2413" s="108" t="n">
        <v>145</v>
      </c>
      <c r="E2413" s="108" t="n">
        <v>192</v>
      </c>
      <c r="F2413" s="108" t="s">
        <v>914</v>
      </c>
      <c r="G2413" s="19"/>
    </row>
    <row r="2414" customFormat="false" ht="15" hidden="false" customHeight="true" outlineLevel="0" collapsed="false">
      <c r="A2414" s="19" t="n">
        <v>1032</v>
      </c>
      <c r="B2414" s="19" t="s">
        <v>383</v>
      </c>
      <c r="C2414" s="109" t="n">
        <v>46213</v>
      </c>
      <c r="D2414" s="108" t="n">
        <v>155</v>
      </c>
      <c r="E2414" s="108" t="n">
        <v>6000</v>
      </c>
      <c r="F2414" s="108" t="s">
        <v>914</v>
      </c>
      <c r="G2414" s="19"/>
    </row>
    <row r="2415" customFormat="false" ht="15" hidden="false" customHeight="true" outlineLevel="0" collapsed="false">
      <c r="A2415" s="19" t="n">
        <v>1045</v>
      </c>
      <c r="B2415" s="19" t="s">
        <v>359</v>
      </c>
      <c r="C2415" s="109" t="n">
        <v>46213</v>
      </c>
      <c r="D2415" s="108" t="n">
        <v>190</v>
      </c>
      <c r="E2415" s="108" t="n">
        <v>3780</v>
      </c>
      <c r="F2415" s="108" t="s">
        <v>914</v>
      </c>
      <c r="G2415" s="19"/>
    </row>
    <row r="2416" customFormat="false" ht="15" hidden="false" customHeight="true" outlineLevel="0" collapsed="false">
      <c r="A2416" s="19" t="n">
        <v>1048</v>
      </c>
      <c r="B2416" s="19" t="s">
        <v>949</v>
      </c>
      <c r="C2416" s="109" t="n">
        <v>46213</v>
      </c>
      <c r="D2416" s="108" t="n">
        <v>220</v>
      </c>
      <c r="E2416" s="108" t="n">
        <v>248</v>
      </c>
      <c r="F2416" s="108" t="s">
        <v>914</v>
      </c>
      <c r="G2416" s="19"/>
    </row>
    <row r="2417" customFormat="false" ht="15" hidden="false" customHeight="true" outlineLevel="0" collapsed="false">
      <c r="A2417" s="19" t="n">
        <v>1060</v>
      </c>
      <c r="B2417" s="19" t="s">
        <v>321</v>
      </c>
      <c r="C2417" s="109" t="n">
        <v>46213</v>
      </c>
      <c r="D2417" s="108" t="n">
        <v>220</v>
      </c>
      <c r="E2417" s="108" t="n">
        <v>1596</v>
      </c>
      <c r="F2417" s="108" t="s">
        <v>914</v>
      </c>
      <c r="G2417" s="19"/>
    </row>
    <row r="2418" customFormat="false" ht="15" hidden="false" customHeight="true" outlineLevel="0" collapsed="false">
      <c r="A2418" s="19" t="n">
        <v>1064</v>
      </c>
      <c r="B2418" s="19" t="s">
        <v>950</v>
      </c>
      <c r="C2418" s="109" t="n">
        <v>46213</v>
      </c>
      <c r="D2418" s="108" t="n">
        <v>240</v>
      </c>
      <c r="E2418" s="108" t="n">
        <v>3733</v>
      </c>
      <c r="F2418" s="10" t="s">
        <v>236</v>
      </c>
      <c r="G2418" s="19"/>
    </row>
    <row r="2419" customFormat="false" ht="15" hidden="false" customHeight="true" outlineLevel="0" collapsed="false">
      <c r="A2419" s="19" t="n">
        <v>1033</v>
      </c>
      <c r="B2419" s="19" t="s">
        <v>746</v>
      </c>
      <c r="C2419" s="109" t="n">
        <v>46213</v>
      </c>
      <c r="D2419" s="108" t="n">
        <v>110</v>
      </c>
      <c r="E2419" s="108" t="n">
        <v>3800</v>
      </c>
      <c r="F2419" s="108" t="s">
        <v>908</v>
      </c>
      <c r="G2419" s="19"/>
    </row>
    <row r="2420" customFormat="false" ht="15" hidden="false" customHeight="true" outlineLevel="0" collapsed="false">
      <c r="A2420" s="19" t="n">
        <v>280434</v>
      </c>
      <c r="B2420" s="19" t="s">
        <v>415</v>
      </c>
      <c r="C2420" s="109" t="n">
        <v>46213</v>
      </c>
      <c r="D2420" s="108" t="n">
        <v>135</v>
      </c>
      <c r="E2420" s="108" t="n">
        <v>1635</v>
      </c>
      <c r="F2420" s="108" t="s">
        <v>103</v>
      </c>
      <c r="G2420" s="19"/>
    </row>
    <row r="2421" customFormat="false" ht="15" hidden="false" customHeight="true" outlineLevel="0" collapsed="false">
      <c r="A2421" s="19" t="n">
        <v>280424</v>
      </c>
      <c r="B2421" s="19" t="s">
        <v>264</v>
      </c>
      <c r="C2421" s="109" t="n">
        <v>46213</v>
      </c>
      <c r="D2421" s="108" t="n">
        <v>145</v>
      </c>
      <c r="E2421" s="108" t="n">
        <v>900</v>
      </c>
      <c r="F2421" s="108" t="s">
        <v>910</v>
      </c>
      <c r="G2421" s="19"/>
    </row>
    <row r="2422" customFormat="false" ht="15" hidden="false" customHeight="true" outlineLevel="0" collapsed="false">
      <c r="A2422" s="19" t="n">
        <v>1028</v>
      </c>
      <c r="B2422" s="19" t="s">
        <v>406</v>
      </c>
      <c r="C2422" s="109" t="n">
        <v>46213</v>
      </c>
      <c r="D2422" s="108" t="n">
        <v>250</v>
      </c>
      <c r="E2422" s="108" t="n">
        <v>148</v>
      </c>
      <c r="F2422" s="10" t="s">
        <v>236</v>
      </c>
      <c r="G2422" s="19"/>
    </row>
    <row r="2423" customFormat="false" ht="15" hidden="false" customHeight="true" outlineLevel="0" collapsed="false">
      <c r="A2423" s="19" t="n">
        <v>280428</v>
      </c>
      <c r="B2423" s="19" t="s">
        <v>951</v>
      </c>
      <c r="C2423" s="109" t="n">
        <v>46213</v>
      </c>
      <c r="D2423" s="108" t="n">
        <v>250</v>
      </c>
      <c r="E2423" s="108" t="n">
        <v>1249</v>
      </c>
      <c r="F2423" s="10" t="s">
        <v>236</v>
      </c>
      <c r="G2423" s="19"/>
    </row>
    <row r="2424" customFormat="false" ht="15" hidden="false" customHeight="true" outlineLevel="0" collapsed="false">
      <c r="A2424" s="19" t="n">
        <v>640</v>
      </c>
      <c r="B2424" s="18" t="s">
        <v>306</v>
      </c>
      <c r="C2424" s="109" t="n">
        <v>46223</v>
      </c>
      <c r="D2424" s="108" t="n">
        <v>60</v>
      </c>
      <c r="E2424" s="108" t="n">
        <v>14835</v>
      </c>
      <c r="F2424" s="10" t="s">
        <v>236</v>
      </c>
      <c r="G2424" s="19"/>
    </row>
    <row r="2425" customFormat="false" ht="15" hidden="false" customHeight="true" outlineLevel="0" collapsed="false">
      <c r="A2425" s="19" t="n">
        <v>1101</v>
      </c>
      <c r="B2425" s="18" t="s">
        <v>305</v>
      </c>
      <c r="C2425" s="109" t="n">
        <v>46223</v>
      </c>
      <c r="D2425" s="108" t="n">
        <v>60</v>
      </c>
      <c r="E2425" s="108" t="n">
        <v>2400</v>
      </c>
      <c r="F2425" s="10" t="s">
        <v>910</v>
      </c>
      <c r="G2425" s="18" t="s">
        <v>223</v>
      </c>
    </row>
    <row r="2426" customFormat="false" ht="15" hidden="false" customHeight="true" outlineLevel="0" collapsed="false">
      <c r="A2426" s="19" t="n">
        <v>1077</v>
      </c>
      <c r="B2426" s="18" t="s">
        <v>305</v>
      </c>
      <c r="C2426" s="109" t="n">
        <v>46223</v>
      </c>
      <c r="D2426" s="108" t="n">
        <v>95</v>
      </c>
      <c r="E2426" s="108" t="n">
        <v>3500</v>
      </c>
      <c r="F2426" s="10" t="s">
        <v>910</v>
      </c>
      <c r="G2426" s="18" t="s">
        <v>223</v>
      </c>
    </row>
    <row r="2427" customFormat="false" ht="15" hidden="false" customHeight="true" outlineLevel="0" collapsed="false">
      <c r="A2427" s="19" t="n">
        <v>1111</v>
      </c>
      <c r="B2427" s="18" t="s">
        <v>696</v>
      </c>
      <c r="C2427" s="109" t="n">
        <v>46223</v>
      </c>
      <c r="D2427" s="108" t="n">
        <v>210</v>
      </c>
      <c r="E2427" s="108" t="n">
        <v>1352</v>
      </c>
      <c r="F2427" s="10" t="s">
        <v>914</v>
      </c>
      <c r="G2427" s="19"/>
    </row>
    <row r="2428" customFormat="false" ht="15" hidden="false" customHeight="true" outlineLevel="0" collapsed="false">
      <c r="A2428" s="19" t="n">
        <v>1107</v>
      </c>
      <c r="B2428" s="18" t="s">
        <v>851</v>
      </c>
      <c r="C2428" s="109" t="n">
        <v>46223</v>
      </c>
      <c r="D2428" s="108" t="n">
        <v>110</v>
      </c>
      <c r="E2428" s="108" t="n">
        <v>2720</v>
      </c>
      <c r="F2428" s="10" t="s">
        <v>910</v>
      </c>
      <c r="G2428" s="19"/>
    </row>
    <row r="2429" customFormat="false" ht="15" hidden="false" customHeight="true" outlineLevel="0" collapsed="false">
      <c r="A2429" s="19" t="n">
        <v>1095</v>
      </c>
      <c r="B2429" s="18" t="s">
        <v>729</v>
      </c>
      <c r="C2429" s="109" t="n">
        <v>46223</v>
      </c>
      <c r="D2429" s="108" t="n">
        <v>73</v>
      </c>
      <c r="E2429" s="108" t="n">
        <v>530</v>
      </c>
      <c r="F2429" s="10" t="s">
        <v>362</v>
      </c>
      <c r="G2429" s="18" t="s">
        <v>223</v>
      </c>
    </row>
    <row r="2430" customFormat="false" ht="15" hidden="false" customHeight="true" outlineLevel="0" collapsed="false">
      <c r="A2430" s="19" t="n">
        <v>1095</v>
      </c>
      <c r="B2430" s="18" t="s">
        <v>729</v>
      </c>
      <c r="C2430" s="109" t="n">
        <v>46223</v>
      </c>
      <c r="D2430" s="108" t="n">
        <v>45</v>
      </c>
      <c r="E2430" s="108" t="n">
        <v>600</v>
      </c>
      <c r="F2430" s="10" t="s">
        <v>362</v>
      </c>
      <c r="G2430" s="18" t="s">
        <v>223</v>
      </c>
    </row>
    <row r="2431" customFormat="false" ht="15" hidden="false" customHeight="true" outlineLevel="0" collapsed="false">
      <c r="A2431" s="19" t="n">
        <v>1096</v>
      </c>
      <c r="B2431" s="18" t="s">
        <v>729</v>
      </c>
      <c r="C2431" s="109" t="n">
        <v>46223</v>
      </c>
      <c r="D2431" s="108" t="n">
        <v>40</v>
      </c>
      <c r="E2431" s="108" t="n">
        <v>600</v>
      </c>
      <c r="F2431" s="10" t="s">
        <v>910</v>
      </c>
      <c r="G2431" s="19"/>
    </row>
    <row r="2432" customFormat="false" ht="15" hidden="false" customHeight="true" outlineLevel="0" collapsed="false">
      <c r="A2432" s="19" t="n">
        <v>1102</v>
      </c>
      <c r="B2432" s="18" t="s">
        <v>528</v>
      </c>
      <c r="C2432" s="109" t="n">
        <v>46223</v>
      </c>
      <c r="D2432" s="108" t="n">
        <v>110</v>
      </c>
      <c r="E2432" s="108" t="n">
        <v>8100</v>
      </c>
      <c r="F2432" s="10" t="s">
        <v>910</v>
      </c>
      <c r="G2432" s="19"/>
    </row>
    <row r="2433" customFormat="false" ht="15" hidden="false" customHeight="true" outlineLevel="0" collapsed="false">
      <c r="A2433" s="19" t="n">
        <v>280451</v>
      </c>
      <c r="B2433" s="18" t="s">
        <v>952</v>
      </c>
      <c r="C2433" s="109" t="n">
        <v>46223</v>
      </c>
      <c r="D2433" s="108" t="n">
        <v>55</v>
      </c>
      <c r="E2433" s="108" t="n">
        <v>680</v>
      </c>
      <c r="F2433" s="10" t="s">
        <v>908</v>
      </c>
      <c r="G2433" s="19"/>
    </row>
    <row r="2434" customFormat="false" ht="15" hidden="false" customHeight="true" outlineLevel="0" collapsed="false">
      <c r="A2434" s="19" t="n">
        <v>1103</v>
      </c>
      <c r="B2434" s="18" t="s">
        <v>351</v>
      </c>
      <c r="C2434" s="109" t="n">
        <v>46223</v>
      </c>
      <c r="D2434" s="108" t="n">
        <v>125</v>
      </c>
      <c r="E2434" s="108" t="n">
        <v>670</v>
      </c>
      <c r="F2434" s="10" t="s">
        <v>914</v>
      </c>
      <c r="G2434" s="19"/>
    </row>
    <row r="2435" customFormat="false" ht="15" hidden="false" customHeight="true" outlineLevel="0" collapsed="false">
      <c r="A2435" s="19" t="n">
        <v>280450</v>
      </c>
      <c r="B2435" s="18" t="s">
        <v>953</v>
      </c>
      <c r="C2435" s="109" t="n">
        <v>46223</v>
      </c>
      <c r="D2435" s="108" t="n">
        <v>80</v>
      </c>
      <c r="E2435" s="108" t="n">
        <v>1490</v>
      </c>
      <c r="F2435" s="10" t="s">
        <v>906</v>
      </c>
      <c r="G2435" s="19"/>
    </row>
    <row r="2436" customFormat="false" ht="15" hidden="false" customHeight="true" outlineLevel="0" collapsed="false">
      <c r="A2436" s="19" t="n">
        <v>280450</v>
      </c>
      <c r="B2436" s="18" t="s">
        <v>953</v>
      </c>
      <c r="C2436" s="109" t="n">
        <v>46223</v>
      </c>
      <c r="D2436" s="108" t="n">
        <v>110</v>
      </c>
      <c r="E2436" s="108" t="n">
        <v>1500</v>
      </c>
      <c r="F2436" s="10" t="s">
        <v>906</v>
      </c>
      <c r="G2436" s="19"/>
    </row>
    <row r="2437" customFormat="false" ht="15" hidden="false" customHeight="true" outlineLevel="0" collapsed="false">
      <c r="A2437" s="19" t="n">
        <v>280473</v>
      </c>
      <c r="B2437" s="18" t="s">
        <v>828</v>
      </c>
      <c r="C2437" s="109" t="n">
        <v>46223</v>
      </c>
      <c r="D2437" s="108" t="n">
        <v>105</v>
      </c>
      <c r="E2437" s="108" t="n">
        <v>250</v>
      </c>
      <c r="F2437" s="10" t="s">
        <v>914</v>
      </c>
      <c r="G2437" s="19"/>
    </row>
    <row r="2438" customFormat="false" ht="15" hidden="false" customHeight="true" outlineLevel="0" collapsed="false">
      <c r="A2438" s="19" t="n">
        <v>1106</v>
      </c>
      <c r="B2438" s="18" t="s">
        <v>706</v>
      </c>
      <c r="C2438" s="109" t="n">
        <v>46223</v>
      </c>
      <c r="D2438" s="108" t="n">
        <v>70</v>
      </c>
      <c r="E2438" s="108" t="n">
        <v>975</v>
      </c>
      <c r="F2438" s="10" t="s">
        <v>914</v>
      </c>
      <c r="G2438" s="19"/>
    </row>
    <row r="2439" customFormat="false" ht="15" hidden="false" customHeight="true" outlineLevel="0" collapsed="false">
      <c r="A2439" s="19" t="n">
        <v>1108</v>
      </c>
      <c r="B2439" s="18" t="s">
        <v>954</v>
      </c>
      <c r="C2439" s="109" t="n">
        <v>46223</v>
      </c>
      <c r="D2439" s="108" t="n">
        <v>55</v>
      </c>
      <c r="E2439" s="108" t="n">
        <v>146</v>
      </c>
      <c r="F2439" s="10" t="s">
        <v>262</v>
      </c>
      <c r="G2439" s="19"/>
    </row>
    <row r="2440" customFormat="false" ht="15" hidden="false" customHeight="true" outlineLevel="0" collapsed="false">
      <c r="A2440" s="19" t="n">
        <v>1144</v>
      </c>
      <c r="B2440" s="18" t="s">
        <v>305</v>
      </c>
      <c r="C2440" s="109" t="n">
        <v>46223</v>
      </c>
      <c r="D2440" s="108" t="n">
        <v>95</v>
      </c>
      <c r="E2440" s="108" t="n">
        <v>600</v>
      </c>
      <c r="F2440" s="10" t="s">
        <v>908</v>
      </c>
      <c r="G2440" s="18" t="s">
        <v>223</v>
      </c>
    </row>
    <row r="2441" customFormat="false" ht="15" hidden="false" customHeight="true" outlineLevel="0" collapsed="false">
      <c r="A2441" s="19" t="n">
        <v>640</v>
      </c>
      <c r="B2441" s="18" t="s">
        <v>306</v>
      </c>
      <c r="C2441" s="109" t="n">
        <v>46223</v>
      </c>
      <c r="D2441" s="108" t="n">
        <v>105</v>
      </c>
      <c r="E2441" s="108" t="n">
        <v>1350</v>
      </c>
      <c r="F2441" s="10" t="s">
        <v>955</v>
      </c>
      <c r="G2441" s="19"/>
    </row>
    <row r="2442" customFormat="false" ht="15" hidden="false" customHeight="true" outlineLevel="0" collapsed="false">
      <c r="A2442" s="19" t="n">
        <v>946</v>
      </c>
      <c r="B2442" s="18" t="s">
        <v>937</v>
      </c>
      <c r="C2442" s="109" t="n">
        <v>46224</v>
      </c>
      <c r="D2442" s="108" t="n">
        <v>55</v>
      </c>
      <c r="E2442" s="108" t="n">
        <v>1326</v>
      </c>
      <c r="F2442" s="10" t="s">
        <v>914</v>
      </c>
      <c r="G2442" s="19"/>
    </row>
    <row r="2443" customFormat="false" ht="15" hidden="false" customHeight="true" outlineLevel="0" collapsed="false">
      <c r="A2443" s="19" t="n">
        <v>1099</v>
      </c>
      <c r="B2443" s="18" t="s">
        <v>956</v>
      </c>
      <c r="C2443" s="109" t="n">
        <v>46224</v>
      </c>
      <c r="D2443" s="108" t="n">
        <v>85</v>
      </c>
      <c r="E2443" s="108" t="n">
        <v>1000</v>
      </c>
      <c r="F2443" s="10" t="s">
        <v>957</v>
      </c>
      <c r="G2443" s="19"/>
    </row>
    <row r="2444" customFormat="false" ht="15" hidden="false" customHeight="true" outlineLevel="0" collapsed="false">
      <c r="A2444" s="19" t="n">
        <v>280458</v>
      </c>
      <c r="B2444" s="18" t="s">
        <v>235</v>
      </c>
      <c r="C2444" s="109" t="n">
        <v>46224</v>
      </c>
      <c r="D2444" s="108" t="n">
        <v>110</v>
      </c>
      <c r="E2444" s="108" t="n">
        <v>1275</v>
      </c>
      <c r="F2444" s="10" t="s">
        <v>914</v>
      </c>
      <c r="G2444" s="19"/>
    </row>
    <row r="2445" customFormat="false" ht="15" hidden="false" customHeight="true" outlineLevel="0" collapsed="false">
      <c r="A2445" s="19" t="n">
        <v>280457</v>
      </c>
      <c r="B2445" s="18" t="s">
        <v>235</v>
      </c>
      <c r="C2445" s="109" t="n">
        <v>46224</v>
      </c>
      <c r="D2445" s="108" t="n">
        <v>57</v>
      </c>
      <c r="E2445" s="108" t="n">
        <v>810</v>
      </c>
      <c r="F2445" s="10" t="s">
        <v>103</v>
      </c>
      <c r="G2445" s="19"/>
    </row>
    <row r="2446" customFormat="false" ht="15" hidden="false" customHeight="true" outlineLevel="0" collapsed="false">
      <c r="A2446" s="19" t="n">
        <v>280457</v>
      </c>
      <c r="B2446" s="18" t="s">
        <v>235</v>
      </c>
      <c r="C2446" s="109" t="n">
        <v>46224</v>
      </c>
      <c r="D2446" s="108" t="n">
        <v>72</v>
      </c>
      <c r="E2446" s="108" t="n">
        <v>1000</v>
      </c>
      <c r="F2446" s="10" t="s">
        <v>103</v>
      </c>
      <c r="G2446" s="19"/>
    </row>
    <row r="2447" customFormat="false" ht="15" hidden="false" customHeight="true" outlineLevel="0" collapsed="false">
      <c r="A2447" s="19" t="n">
        <v>1120</v>
      </c>
      <c r="B2447" s="18" t="s">
        <v>305</v>
      </c>
      <c r="C2447" s="109" t="n">
        <v>46224</v>
      </c>
      <c r="D2447" s="108" t="n">
        <v>45</v>
      </c>
      <c r="E2447" s="108" t="n">
        <v>690</v>
      </c>
      <c r="F2447" s="10" t="s">
        <v>910</v>
      </c>
      <c r="G2447" s="19"/>
    </row>
    <row r="2448" customFormat="false" ht="15" hidden="false" customHeight="true" outlineLevel="0" collapsed="false">
      <c r="A2448" s="19" t="n">
        <v>1120</v>
      </c>
      <c r="B2448" s="18" t="s">
        <v>305</v>
      </c>
      <c r="C2448" s="109" t="n">
        <v>46224</v>
      </c>
      <c r="D2448" s="108" t="n">
        <v>70</v>
      </c>
      <c r="E2448" s="108" t="n">
        <v>1500</v>
      </c>
      <c r="F2448" s="10" t="s">
        <v>910</v>
      </c>
      <c r="G2448" s="19"/>
    </row>
    <row r="2449" customFormat="false" ht="15" hidden="false" customHeight="true" outlineLevel="0" collapsed="false">
      <c r="A2449" s="19" t="n">
        <v>1115</v>
      </c>
      <c r="B2449" s="18" t="s">
        <v>742</v>
      </c>
      <c r="C2449" s="109" t="n">
        <v>46224</v>
      </c>
      <c r="D2449" s="108" t="n">
        <v>100</v>
      </c>
      <c r="E2449" s="108" t="n">
        <v>690</v>
      </c>
      <c r="F2449" s="10" t="s">
        <v>856</v>
      </c>
      <c r="G2449" s="19"/>
    </row>
    <row r="2450" customFormat="false" ht="15" hidden="false" customHeight="true" outlineLevel="0" collapsed="false">
      <c r="A2450" s="19" t="n">
        <v>1115</v>
      </c>
      <c r="B2450" s="18" t="s">
        <v>742</v>
      </c>
      <c r="C2450" s="109" t="n">
        <v>46224</v>
      </c>
      <c r="D2450" s="108" t="n">
        <v>65</v>
      </c>
      <c r="E2450" s="108" t="n">
        <v>430</v>
      </c>
      <c r="F2450" s="10" t="s">
        <v>914</v>
      </c>
      <c r="G2450" s="19"/>
    </row>
    <row r="2451" customFormat="false" ht="15" hidden="false" customHeight="true" outlineLevel="0" collapsed="false">
      <c r="A2451" s="19" t="n">
        <v>1115</v>
      </c>
      <c r="B2451" s="18" t="s">
        <v>742</v>
      </c>
      <c r="C2451" s="109" t="n">
        <v>46224</v>
      </c>
      <c r="D2451" s="108" t="n">
        <v>90</v>
      </c>
      <c r="E2451" s="108" t="n">
        <v>430</v>
      </c>
      <c r="F2451" s="10" t="s">
        <v>914</v>
      </c>
      <c r="G2451" s="19"/>
    </row>
    <row r="2452" customFormat="false" ht="15" hidden="false" customHeight="true" outlineLevel="0" collapsed="false">
      <c r="A2452" s="19" t="n">
        <v>1115</v>
      </c>
      <c r="B2452" s="18" t="s">
        <v>742</v>
      </c>
      <c r="C2452" s="109" t="n">
        <v>46224</v>
      </c>
      <c r="D2452" s="108" t="n">
        <v>110</v>
      </c>
      <c r="E2452" s="108" t="n">
        <v>1900</v>
      </c>
      <c r="F2452" s="10" t="s">
        <v>914</v>
      </c>
      <c r="G2452" s="19"/>
    </row>
    <row r="2453" customFormat="false" ht="15" hidden="false" customHeight="true" outlineLevel="0" collapsed="false">
      <c r="A2453" s="19" t="n">
        <v>1115</v>
      </c>
      <c r="B2453" s="18" t="s">
        <v>742</v>
      </c>
      <c r="C2453" s="109" t="n">
        <v>46224</v>
      </c>
      <c r="D2453" s="108" t="n">
        <v>900</v>
      </c>
      <c r="E2453" s="108" t="n">
        <v>3225</v>
      </c>
      <c r="F2453" s="10" t="s">
        <v>914</v>
      </c>
      <c r="G2453" s="19"/>
    </row>
    <row r="2454" customFormat="false" ht="15" hidden="false" customHeight="true" outlineLevel="0" collapsed="false">
      <c r="A2454" s="19" t="n">
        <v>946</v>
      </c>
      <c r="B2454" s="18" t="s">
        <v>937</v>
      </c>
      <c r="C2454" s="109" t="n">
        <v>46224</v>
      </c>
      <c r="D2454" s="108" t="n">
        <v>250</v>
      </c>
      <c r="E2454" s="108" t="n">
        <v>515</v>
      </c>
      <c r="F2454" s="10" t="s">
        <v>236</v>
      </c>
      <c r="G2454" s="19"/>
    </row>
    <row r="2455" customFormat="false" ht="15" hidden="false" customHeight="true" outlineLevel="0" collapsed="false">
      <c r="A2455" s="19" t="n">
        <v>946</v>
      </c>
      <c r="B2455" s="18" t="s">
        <v>937</v>
      </c>
      <c r="C2455" s="109" t="n">
        <v>46224</v>
      </c>
      <c r="D2455" s="108" t="n">
        <v>250</v>
      </c>
      <c r="E2455" s="108" t="n">
        <v>570</v>
      </c>
      <c r="F2455" s="10" t="s">
        <v>236</v>
      </c>
      <c r="G2455" s="19"/>
    </row>
    <row r="2456" customFormat="false" ht="15" hidden="false" customHeight="true" outlineLevel="0" collapsed="false">
      <c r="A2456" s="19" t="n">
        <v>1116</v>
      </c>
      <c r="B2456" s="18" t="s">
        <v>742</v>
      </c>
      <c r="C2456" s="109" t="n">
        <v>46224</v>
      </c>
      <c r="D2456" s="108" t="n">
        <v>250</v>
      </c>
      <c r="E2456" s="108" t="n">
        <v>22260</v>
      </c>
      <c r="F2456" s="10" t="s">
        <v>236</v>
      </c>
      <c r="G2456" s="19"/>
    </row>
    <row r="2457" customFormat="false" ht="15" hidden="false" customHeight="true" outlineLevel="0" collapsed="false">
      <c r="A2457" s="19" t="n">
        <v>1117</v>
      </c>
      <c r="B2457" s="18" t="s">
        <v>958</v>
      </c>
      <c r="C2457" s="109" t="n">
        <v>46224</v>
      </c>
      <c r="D2457" s="108" t="n">
        <v>250</v>
      </c>
      <c r="E2457" s="108" t="n">
        <v>2366</v>
      </c>
      <c r="F2457" s="10" t="s">
        <v>236</v>
      </c>
      <c r="G2457" s="19"/>
    </row>
    <row r="2458" customFormat="false" ht="15" hidden="false" customHeight="true" outlineLevel="0" collapsed="false">
      <c r="A2458" s="19" t="n">
        <v>1124</v>
      </c>
      <c r="B2458" s="19" t="s">
        <v>959</v>
      </c>
      <c r="C2458" s="109" t="n">
        <v>46226</v>
      </c>
      <c r="D2458" s="108" t="n">
        <v>210</v>
      </c>
      <c r="E2458" s="108" t="n">
        <v>186</v>
      </c>
      <c r="F2458" s="10" t="s">
        <v>236</v>
      </c>
      <c r="G2458" s="19"/>
    </row>
    <row r="2459" customFormat="false" ht="15" hidden="false" customHeight="true" outlineLevel="0" collapsed="false">
      <c r="A2459" s="19" t="n">
        <v>1129</v>
      </c>
      <c r="B2459" s="19" t="s">
        <v>960</v>
      </c>
      <c r="C2459" s="109" t="n">
        <v>46226</v>
      </c>
      <c r="D2459" s="108" t="n">
        <v>50</v>
      </c>
      <c r="E2459" s="108" t="n">
        <v>660</v>
      </c>
      <c r="F2459" s="108" t="s">
        <v>961</v>
      </c>
      <c r="G2459" s="19"/>
    </row>
    <row r="2460" customFormat="false" ht="15" hidden="false" customHeight="true" outlineLevel="0" collapsed="false">
      <c r="A2460" s="19" t="n">
        <v>1131</v>
      </c>
      <c r="B2460" s="19" t="s">
        <v>960</v>
      </c>
      <c r="C2460" s="109" t="n">
        <v>46226</v>
      </c>
      <c r="D2460" s="108" t="n">
        <v>50</v>
      </c>
      <c r="E2460" s="108" t="n">
        <v>660</v>
      </c>
      <c r="F2460" s="108" t="s">
        <v>961</v>
      </c>
      <c r="G2460" s="19"/>
    </row>
    <row r="2461" customFormat="false" ht="15" hidden="false" customHeight="true" outlineLevel="0" collapsed="false">
      <c r="A2461" s="19" t="n">
        <v>280460</v>
      </c>
      <c r="B2461" s="19" t="s">
        <v>926</v>
      </c>
      <c r="C2461" s="109" t="n">
        <v>46226</v>
      </c>
      <c r="D2461" s="108" t="n">
        <v>120</v>
      </c>
      <c r="E2461" s="108" t="n">
        <v>2300</v>
      </c>
      <c r="F2461" s="108" t="s">
        <v>914</v>
      </c>
      <c r="G2461" s="19"/>
    </row>
    <row r="2462" customFormat="false" ht="15" hidden="false" customHeight="true" outlineLevel="0" collapsed="false">
      <c r="A2462" s="19" t="n">
        <v>1122</v>
      </c>
      <c r="B2462" s="19" t="s">
        <v>387</v>
      </c>
      <c r="C2462" s="109" t="n">
        <v>46226</v>
      </c>
      <c r="D2462" s="108" t="n">
        <v>110</v>
      </c>
      <c r="E2462" s="108" t="n">
        <v>810</v>
      </c>
      <c r="F2462" s="108" t="s">
        <v>910</v>
      </c>
      <c r="G2462" s="19"/>
    </row>
    <row r="2463" customFormat="false" ht="15" hidden="false" customHeight="true" outlineLevel="0" collapsed="false">
      <c r="A2463" s="19" t="n">
        <v>1125</v>
      </c>
      <c r="B2463" s="19" t="s">
        <v>962</v>
      </c>
      <c r="C2463" s="109" t="n">
        <v>46226</v>
      </c>
      <c r="D2463" s="108" t="n">
        <v>48</v>
      </c>
      <c r="E2463" s="108" t="n">
        <v>510</v>
      </c>
      <c r="F2463" s="108" t="s">
        <v>963</v>
      </c>
      <c r="G2463" s="19"/>
    </row>
    <row r="2464" customFormat="false" ht="15" hidden="false" customHeight="true" outlineLevel="0" collapsed="false">
      <c r="A2464" s="19" t="n">
        <v>1114</v>
      </c>
      <c r="B2464" s="19" t="s">
        <v>269</v>
      </c>
      <c r="C2464" s="109" t="n">
        <v>46226</v>
      </c>
      <c r="D2464" s="108" t="n">
        <v>20</v>
      </c>
      <c r="E2464" s="108" t="n">
        <v>580</v>
      </c>
      <c r="F2464" s="108" t="s">
        <v>914</v>
      </c>
      <c r="G2464" s="19"/>
    </row>
    <row r="2465" customFormat="false" ht="15" hidden="false" customHeight="true" outlineLevel="0" collapsed="false">
      <c r="A2465" s="19" t="n">
        <v>1144</v>
      </c>
      <c r="B2465" s="19" t="s">
        <v>964</v>
      </c>
      <c r="C2465" s="109" t="n">
        <v>46227</v>
      </c>
      <c r="D2465" s="108" t="n">
        <v>210</v>
      </c>
      <c r="E2465" s="108" t="n">
        <v>1575</v>
      </c>
      <c r="F2465" s="10" t="s">
        <v>236</v>
      </c>
      <c r="G2465" s="19"/>
    </row>
    <row r="2466" customFormat="false" ht="15" hidden="false" customHeight="true" outlineLevel="0" collapsed="false">
      <c r="A2466" s="19" t="n">
        <v>1134</v>
      </c>
      <c r="B2466" s="19" t="s">
        <v>383</v>
      </c>
      <c r="C2466" s="109" t="n">
        <v>46227</v>
      </c>
      <c r="D2466" s="108" t="n">
        <v>95</v>
      </c>
      <c r="E2466" s="108" t="n">
        <v>440</v>
      </c>
      <c r="F2466" s="108" t="s">
        <v>914</v>
      </c>
      <c r="G2466" s="19"/>
    </row>
    <row r="2467" customFormat="false" ht="15" hidden="false" customHeight="true" outlineLevel="0" collapsed="false">
      <c r="A2467" s="19" t="n">
        <v>1134</v>
      </c>
      <c r="B2467" s="19" t="s">
        <v>383</v>
      </c>
      <c r="C2467" s="109" t="n">
        <v>46227</v>
      </c>
      <c r="D2467" s="108" t="n">
        <v>110</v>
      </c>
      <c r="E2467" s="108" t="n">
        <v>920</v>
      </c>
      <c r="F2467" s="108" t="s">
        <v>914</v>
      </c>
      <c r="G2467" s="19"/>
    </row>
    <row r="2468" customFormat="false" ht="15" hidden="false" customHeight="true" outlineLevel="0" collapsed="false">
      <c r="A2468" s="19" t="n">
        <v>1137</v>
      </c>
      <c r="B2468" s="19" t="s">
        <v>244</v>
      </c>
      <c r="C2468" s="109" t="n">
        <v>46227</v>
      </c>
      <c r="D2468" s="108" t="n">
        <v>110</v>
      </c>
      <c r="E2468" s="108" t="n">
        <v>2100</v>
      </c>
      <c r="F2468" s="108" t="s">
        <v>914</v>
      </c>
      <c r="G2468" s="19"/>
    </row>
    <row r="2469" customFormat="false" ht="15" hidden="false" customHeight="true" outlineLevel="0" collapsed="false">
      <c r="A2469" s="19" t="n">
        <v>1141</v>
      </c>
      <c r="B2469" s="19" t="s">
        <v>291</v>
      </c>
      <c r="C2469" s="109" t="n">
        <v>46227</v>
      </c>
      <c r="D2469" s="108" t="n">
        <v>220</v>
      </c>
      <c r="E2469" s="108" t="n">
        <v>1277</v>
      </c>
      <c r="F2469" s="108" t="s">
        <v>914</v>
      </c>
      <c r="G2469" s="19"/>
    </row>
    <row r="2470" customFormat="false" ht="15" hidden="false" customHeight="true" outlineLevel="0" collapsed="false">
      <c r="A2470" s="19" t="n">
        <v>1143</v>
      </c>
      <c r="B2470" s="19" t="s">
        <v>965</v>
      </c>
      <c r="C2470" s="109" t="n">
        <v>46227</v>
      </c>
      <c r="D2470" s="108" t="n">
        <v>110</v>
      </c>
      <c r="E2470" s="108" t="n">
        <v>75</v>
      </c>
      <c r="F2470" s="108" t="s">
        <v>966</v>
      </c>
      <c r="G2470" s="19"/>
    </row>
    <row r="2471" customFormat="false" ht="15" hidden="false" customHeight="true" outlineLevel="0" collapsed="false">
      <c r="A2471" s="19" t="n">
        <v>1143</v>
      </c>
      <c r="B2471" s="19" t="s">
        <v>965</v>
      </c>
      <c r="C2471" s="109" t="n">
        <v>46227</v>
      </c>
      <c r="D2471" s="108" t="n">
        <v>20</v>
      </c>
      <c r="E2471" s="108" t="n">
        <v>100</v>
      </c>
      <c r="F2471" s="108" t="s">
        <v>262</v>
      </c>
      <c r="G2471" s="19"/>
    </row>
    <row r="2472" customFormat="false" ht="15" hidden="false" customHeight="true" outlineLevel="0" collapsed="false">
      <c r="A2472" s="19" t="n">
        <v>1143</v>
      </c>
      <c r="B2472" s="19" t="s">
        <v>965</v>
      </c>
      <c r="C2472" s="109" t="n">
        <v>46227</v>
      </c>
      <c r="D2472" s="108" t="n">
        <v>75</v>
      </c>
      <c r="E2472" s="108" t="n">
        <v>53</v>
      </c>
      <c r="F2472" s="108" t="s">
        <v>262</v>
      </c>
      <c r="G2472" s="19"/>
    </row>
    <row r="2473" customFormat="false" ht="15" hidden="false" customHeight="true" outlineLevel="0" collapsed="false">
      <c r="A2473" s="19" t="n">
        <v>280461</v>
      </c>
      <c r="B2473" s="19" t="s">
        <v>967</v>
      </c>
      <c r="C2473" s="109" t="n">
        <v>46227</v>
      </c>
      <c r="D2473" s="108" t="n">
        <v>85</v>
      </c>
      <c r="E2473" s="108" t="n">
        <v>1200</v>
      </c>
      <c r="F2473" s="108" t="s">
        <v>914</v>
      </c>
      <c r="G2473" s="19"/>
    </row>
    <row r="2474" customFormat="false" ht="15" hidden="false" customHeight="true" outlineLevel="0" collapsed="false">
      <c r="A2474" s="19" t="n">
        <v>1126</v>
      </c>
      <c r="B2474" s="19" t="s">
        <v>285</v>
      </c>
      <c r="C2474" s="109" t="n">
        <v>46227</v>
      </c>
      <c r="D2474" s="108" t="n">
        <v>151</v>
      </c>
      <c r="E2474" s="108" t="n">
        <v>637</v>
      </c>
      <c r="F2474" s="108" t="s">
        <v>914</v>
      </c>
      <c r="G2474" s="19"/>
    </row>
    <row r="2475" customFormat="false" ht="15" hidden="false" customHeight="true" outlineLevel="0" collapsed="false">
      <c r="A2475" s="19" t="n">
        <v>1146</v>
      </c>
      <c r="B2475" s="19" t="s">
        <v>285</v>
      </c>
      <c r="C2475" s="109" t="n">
        <v>46227</v>
      </c>
      <c r="D2475" s="108" t="n">
        <v>151</v>
      </c>
      <c r="E2475" s="108" t="n">
        <v>910</v>
      </c>
      <c r="F2475" s="108" t="s">
        <v>914</v>
      </c>
      <c r="G2475" s="19"/>
    </row>
    <row r="2476" customFormat="false" ht="15" hidden="false" customHeight="true" outlineLevel="0" collapsed="false">
      <c r="A2476" s="19" t="n">
        <v>1151</v>
      </c>
      <c r="B2476" s="19" t="s">
        <v>968</v>
      </c>
      <c r="C2476" s="109" t="n">
        <v>46230</v>
      </c>
      <c r="D2476" s="108" t="n">
        <v>220</v>
      </c>
      <c r="E2476" s="108" t="n">
        <v>958</v>
      </c>
      <c r="F2476" s="108" t="s">
        <v>236</v>
      </c>
      <c r="G2476" s="19"/>
    </row>
    <row r="2477" customFormat="false" ht="15" hidden="false" customHeight="true" outlineLevel="0" collapsed="false">
      <c r="A2477" s="19" t="n">
        <v>1149</v>
      </c>
      <c r="B2477" s="19" t="s">
        <v>969</v>
      </c>
      <c r="C2477" s="109" t="n">
        <v>46230</v>
      </c>
      <c r="D2477" s="108" t="n">
        <v>210</v>
      </c>
      <c r="E2477" s="108" t="n">
        <v>2100</v>
      </c>
      <c r="F2477" s="108" t="s">
        <v>914</v>
      </c>
      <c r="G2477" s="19"/>
    </row>
    <row r="2478" customFormat="false" ht="15" hidden="false" customHeight="true" outlineLevel="0" collapsed="false">
      <c r="A2478" s="19" t="n">
        <v>280469</v>
      </c>
      <c r="B2478" s="19" t="s">
        <v>261</v>
      </c>
      <c r="C2478" s="109" t="n">
        <v>46230</v>
      </c>
      <c r="D2478" s="108" t="n">
        <v>110</v>
      </c>
      <c r="E2478" s="108" t="n">
        <v>1000</v>
      </c>
      <c r="F2478" s="108" t="s">
        <v>970</v>
      </c>
      <c r="G2478" s="19"/>
    </row>
    <row r="2479" customFormat="false" ht="15" hidden="false" customHeight="true" outlineLevel="0" collapsed="false">
      <c r="A2479" s="19" t="n">
        <v>1043</v>
      </c>
      <c r="B2479" s="19" t="s">
        <v>242</v>
      </c>
      <c r="C2479" s="109" t="n">
        <v>46230</v>
      </c>
      <c r="D2479" s="108" t="n">
        <v>60</v>
      </c>
      <c r="E2479" s="108" t="n">
        <v>800</v>
      </c>
      <c r="F2479" s="108" t="s">
        <v>914</v>
      </c>
      <c r="G2479" s="19"/>
    </row>
    <row r="2480" customFormat="false" ht="15" hidden="false" customHeight="true" outlineLevel="0" collapsed="false">
      <c r="A2480" s="19" t="n">
        <v>1150</v>
      </c>
      <c r="B2480" s="19" t="s">
        <v>971</v>
      </c>
      <c r="C2480" s="109" t="n">
        <v>46230</v>
      </c>
      <c r="D2480" s="108" t="n">
        <v>30</v>
      </c>
      <c r="E2480" s="108" t="n">
        <v>200</v>
      </c>
      <c r="F2480" s="108" t="s">
        <v>464</v>
      </c>
      <c r="G2480" s="19"/>
    </row>
    <row r="2481" customFormat="false" ht="15" hidden="false" customHeight="true" outlineLevel="0" collapsed="false">
      <c r="A2481" s="19" t="n">
        <v>1148</v>
      </c>
      <c r="B2481" s="19" t="s">
        <v>694</v>
      </c>
      <c r="C2481" s="109" t="n">
        <v>46230</v>
      </c>
      <c r="D2481" s="108" t="n">
        <v>102</v>
      </c>
      <c r="E2481" s="108" t="n">
        <v>1500</v>
      </c>
      <c r="F2481" s="108" t="s">
        <v>914</v>
      </c>
      <c r="G2481" s="19"/>
    </row>
    <row r="2482" customFormat="false" ht="15" hidden="false" customHeight="true" outlineLevel="0" collapsed="false">
      <c r="A2482" s="19" t="n">
        <v>280468</v>
      </c>
      <c r="B2482" s="19" t="s">
        <v>518</v>
      </c>
      <c r="C2482" s="109" t="n">
        <v>46230</v>
      </c>
      <c r="D2482" s="108" t="n">
        <v>250</v>
      </c>
      <c r="E2482" s="108" t="n">
        <v>780</v>
      </c>
      <c r="F2482" s="108" t="s">
        <v>236</v>
      </c>
      <c r="G2482" s="19"/>
    </row>
    <row r="2483" customFormat="false" ht="15" hidden="false" customHeight="true" outlineLevel="0" collapsed="false">
      <c r="A2483" s="19" t="n">
        <v>1175</v>
      </c>
      <c r="B2483" s="19" t="s">
        <v>383</v>
      </c>
      <c r="C2483" s="109" t="n">
        <v>46231</v>
      </c>
      <c r="D2483" s="108" t="n">
        <v>210</v>
      </c>
      <c r="E2483" s="108" t="n">
        <v>387</v>
      </c>
      <c r="F2483" s="108" t="s">
        <v>236</v>
      </c>
      <c r="G2483" s="19"/>
    </row>
    <row r="2484" customFormat="false" ht="15" hidden="false" customHeight="true" outlineLevel="0" collapsed="false">
      <c r="A2484" s="19" t="n">
        <v>280466</v>
      </c>
      <c r="B2484" s="19" t="s">
        <v>442</v>
      </c>
      <c r="C2484" s="109" t="n">
        <v>46231</v>
      </c>
      <c r="D2484" s="108" t="n">
        <v>220</v>
      </c>
      <c r="E2484" s="108" t="n">
        <v>1277</v>
      </c>
      <c r="F2484" s="108" t="s">
        <v>236</v>
      </c>
      <c r="G2484" s="19"/>
    </row>
    <row r="2485" customFormat="false" ht="15" hidden="false" customHeight="true" outlineLevel="0" collapsed="false">
      <c r="A2485" s="19" t="n">
        <v>1153</v>
      </c>
      <c r="B2485" s="19" t="s">
        <v>784</v>
      </c>
      <c r="C2485" s="109" t="n">
        <v>46231</v>
      </c>
      <c r="D2485" s="108" t="n">
        <v>105</v>
      </c>
      <c r="E2485" s="108" t="n">
        <v>750</v>
      </c>
      <c r="F2485" s="108" t="s">
        <v>914</v>
      </c>
      <c r="G2485" s="19"/>
    </row>
    <row r="2486" customFormat="false" ht="15" hidden="false" customHeight="true" outlineLevel="0" collapsed="false">
      <c r="A2486" s="19" t="n">
        <v>1153</v>
      </c>
      <c r="B2486" s="19" t="s">
        <v>784</v>
      </c>
      <c r="C2486" s="109" t="n">
        <v>46231</v>
      </c>
      <c r="D2486" s="108" t="n">
        <v>215</v>
      </c>
      <c r="E2486" s="108" t="n">
        <v>1150</v>
      </c>
      <c r="F2486" s="108" t="s">
        <v>914</v>
      </c>
      <c r="G2486" s="19"/>
    </row>
    <row r="2487" customFormat="false" ht="15" hidden="false" customHeight="true" outlineLevel="0" collapsed="false">
      <c r="A2487" s="19" t="n">
        <v>280464</v>
      </c>
      <c r="B2487" s="19" t="s">
        <v>972</v>
      </c>
      <c r="C2487" s="109" t="n">
        <v>46231</v>
      </c>
      <c r="D2487" s="108" t="n">
        <v>55</v>
      </c>
      <c r="E2487" s="108" t="n">
        <v>2120</v>
      </c>
      <c r="F2487" s="108" t="s">
        <v>914</v>
      </c>
      <c r="G2487" s="19"/>
    </row>
    <row r="2488" customFormat="false" ht="15" hidden="false" customHeight="true" outlineLevel="0" collapsed="false">
      <c r="A2488" s="19" t="n">
        <v>280464</v>
      </c>
      <c r="B2488" s="19" t="s">
        <v>972</v>
      </c>
      <c r="C2488" s="109" t="n">
        <v>46231</v>
      </c>
      <c r="D2488" s="108" t="n">
        <v>40</v>
      </c>
      <c r="E2488" s="108" t="n">
        <v>1400</v>
      </c>
      <c r="F2488" s="108" t="s">
        <v>914</v>
      </c>
      <c r="G2488" s="19"/>
    </row>
    <row r="2489" customFormat="false" ht="15" hidden="false" customHeight="true" outlineLevel="0" collapsed="false">
      <c r="A2489" s="19" t="n">
        <v>1135</v>
      </c>
      <c r="B2489" s="19" t="s">
        <v>548</v>
      </c>
      <c r="C2489" s="109" t="n">
        <v>46231</v>
      </c>
      <c r="D2489" s="108" t="n">
        <v>210</v>
      </c>
      <c r="E2489" s="108" t="n">
        <v>320</v>
      </c>
      <c r="F2489" s="108" t="s">
        <v>914</v>
      </c>
      <c r="G2489" s="19"/>
    </row>
    <row r="2490" customFormat="false" ht="15" hidden="false" customHeight="true" outlineLevel="0" collapsed="false">
      <c r="A2490" s="19" t="n">
        <v>1147</v>
      </c>
      <c r="B2490" s="19" t="s">
        <v>285</v>
      </c>
      <c r="C2490" s="109" t="n">
        <v>46231</v>
      </c>
      <c r="D2490" s="108" t="n">
        <v>125</v>
      </c>
      <c r="E2490" s="108" t="n">
        <v>2900</v>
      </c>
      <c r="F2490" s="108" t="s">
        <v>914</v>
      </c>
      <c r="G2490" s="19"/>
    </row>
    <row r="2491" customFormat="false" ht="15" hidden="false" customHeight="true" outlineLevel="0" collapsed="false">
      <c r="A2491" s="19" t="n">
        <v>280462</v>
      </c>
      <c r="B2491" s="19" t="s">
        <v>973</v>
      </c>
      <c r="C2491" s="109" t="n">
        <v>46231</v>
      </c>
      <c r="D2491" s="108" t="n">
        <v>100</v>
      </c>
      <c r="E2491" s="108" t="n">
        <v>380</v>
      </c>
      <c r="F2491" s="108" t="s">
        <v>227</v>
      </c>
      <c r="G2491" s="19"/>
    </row>
    <row r="2492" customFormat="false" ht="15" hidden="false" customHeight="true" outlineLevel="0" collapsed="false">
      <c r="A2492" s="19" t="n">
        <v>1162</v>
      </c>
      <c r="B2492" s="19" t="s">
        <v>551</v>
      </c>
      <c r="C2492" s="109" t="n">
        <v>46231</v>
      </c>
      <c r="D2492" s="108" t="n">
        <v>110</v>
      </c>
      <c r="E2492" s="108" t="n">
        <v>114</v>
      </c>
      <c r="F2492" s="108" t="s">
        <v>910</v>
      </c>
      <c r="G2492" s="19"/>
    </row>
    <row r="2493" customFormat="false" ht="15" hidden="false" customHeight="true" outlineLevel="0" collapsed="false">
      <c r="A2493" s="19" t="n">
        <v>1170</v>
      </c>
      <c r="B2493" s="19" t="s">
        <v>974</v>
      </c>
      <c r="C2493" s="109" t="n">
        <v>46231</v>
      </c>
      <c r="D2493" s="108" t="n">
        <v>210</v>
      </c>
      <c r="E2493" s="108" t="n">
        <v>265</v>
      </c>
      <c r="F2493" s="108" t="s">
        <v>908</v>
      </c>
      <c r="G2493" s="19"/>
    </row>
    <row r="2494" customFormat="false" ht="15" hidden="false" customHeight="true" outlineLevel="0" collapsed="false">
      <c r="A2494" s="19" t="n">
        <v>1169</v>
      </c>
      <c r="B2494" s="19" t="s">
        <v>975</v>
      </c>
      <c r="C2494" s="109" t="n">
        <v>46231</v>
      </c>
      <c r="D2494" s="108" t="n">
        <v>70</v>
      </c>
      <c r="E2494" s="108" t="n">
        <v>272</v>
      </c>
      <c r="F2494" s="108" t="s">
        <v>103</v>
      </c>
      <c r="G2494" s="19"/>
    </row>
    <row r="2495" customFormat="false" ht="15" hidden="false" customHeight="true" outlineLevel="0" collapsed="false">
      <c r="A2495" s="19" t="n">
        <v>1097</v>
      </c>
      <c r="B2495" s="19" t="s">
        <v>465</v>
      </c>
      <c r="C2495" s="109" t="n">
        <v>46231</v>
      </c>
      <c r="D2495" s="108" t="n">
        <v>100</v>
      </c>
      <c r="E2495" s="108" t="n">
        <v>750</v>
      </c>
      <c r="F2495" s="108" t="s">
        <v>914</v>
      </c>
      <c r="G2495" s="19"/>
    </row>
    <row r="2496" customFormat="false" ht="15" hidden="false" customHeight="true" outlineLevel="0" collapsed="false">
      <c r="A2496" s="19" t="n">
        <v>1156</v>
      </c>
      <c r="B2496" s="19" t="s">
        <v>305</v>
      </c>
      <c r="C2496" s="109" t="n">
        <v>46231</v>
      </c>
      <c r="D2496" s="108" t="n">
        <v>105</v>
      </c>
      <c r="E2496" s="108" t="n">
        <v>40</v>
      </c>
      <c r="F2496" s="108" t="s">
        <v>914</v>
      </c>
      <c r="G2496" s="19"/>
    </row>
    <row r="2497" customFormat="false" ht="15" hidden="false" customHeight="true" outlineLevel="0" collapsed="false">
      <c r="A2497" s="19" t="n">
        <v>1158</v>
      </c>
      <c r="B2497" s="19" t="s">
        <v>66</v>
      </c>
      <c r="C2497" s="109" t="n">
        <v>46231</v>
      </c>
      <c r="D2497" s="108" t="n">
        <v>110</v>
      </c>
      <c r="E2497" s="108" t="n">
        <v>816</v>
      </c>
      <c r="F2497" s="108" t="s">
        <v>856</v>
      </c>
      <c r="G2497" s="19"/>
    </row>
    <row r="2498" customFormat="false" ht="15" hidden="false" customHeight="true" outlineLevel="0" collapsed="false">
      <c r="A2498" s="19" t="n">
        <v>1135</v>
      </c>
      <c r="B2498" s="19" t="s">
        <v>548</v>
      </c>
      <c r="C2498" s="109" t="n">
        <v>46231</v>
      </c>
      <c r="D2498" s="108" t="n">
        <v>210</v>
      </c>
      <c r="E2498" s="108" t="n">
        <v>500</v>
      </c>
      <c r="F2498" s="108" t="s">
        <v>914</v>
      </c>
      <c r="G2498" s="19"/>
    </row>
    <row r="2499" customFormat="false" ht="15" hidden="false" customHeight="true" outlineLevel="0" collapsed="false">
      <c r="A2499" s="19" t="n">
        <v>1165</v>
      </c>
      <c r="B2499" s="19" t="s">
        <v>846</v>
      </c>
      <c r="C2499" s="109" t="n">
        <v>46231</v>
      </c>
      <c r="D2499" s="108" t="n">
        <v>110</v>
      </c>
      <c r="E2499" s="108" t="n">
        <v>408</v>
      </c>
      <c r="F2499" s="108" t="s">
        <v>914</v>
      </c>
      <c r="G2499" s="19"/>
    </row>
    <row r="2500" customFormat="false" ht="15" hidden="false" customHeight="true" outlineLevel="0" collapsed="false">
      <c r="A2500" s="19" t="n">
        <v>1167</v>
      </c>
      <c r="B2500" s="19" t="s">
        <v>976</v>
      </c>
      <c r="C2500" s="109" t="n">
        <v>46231</v>
      </c>
      <c r="D2500" s="108" t="n">
        <v>220</v>
      </c>
      <c r="E2500" s="108" t="n">
        <v>383</v>
      </c>
      <c r="F2500" s="108" t="s">
        <v>914</v>
      </c>
      <c r="G2500" s="19"/>
    </row>
    <row r="2501" customFormat="false" ht="15" hidden="false" customHeight="true" outlineLevel="0" collapsed="false">
      <c r="A2501" s="19" t="n">
        <v>1186</v>
      </c>
      <c r="B2501" s="18" t="s">
        <v>784</v>
      </c>
      <c r="C2501" s="109" t="n">
        <v>46232</v>
      </c>
      <c r="D2501" s="108" t="n">
        <v>215</v>
      </c>
      <c r="E2501" s="108" t="n">
        <v>2301</v>
      </c>
      <c r="F2501" s="10" t="s">
        <v>914</v>
      </c>
      <c r="G2501" s="19"/>
    </row>
    <row r="2502" customFormat="false" ht="15" hidden="false" customHeight="true" outlineLevel="0" collapsed="false">
      <c r="A2502" s="19" t="n">
        <v>1187</v>
      </c>
      <c r="B2502" s="18" t="s">
        <v>977</v>
      </c>
      <c r="C2502" s="109" t="n">
        <v>46232</v>
      </c>
      <c r="D2502" s="108" t="n">
        <v>210</v>
      </c>
      <c r="E2502" s="108" t="n">
        <v>1030</v>
      </c>
      <c r="F2502" s="10" t="s">
        <v>914</v>
      </c>
      <c r="G2502" s="19"/>
    </row>
    <row r="2503" customFormat="false" ht="15" hidden="false" customHeight="true" outlineLevel="0" collapsed="false">
      <c r="A2503" s="19" t="n">
        <v>1188</v>
      </c>
      <c r="B2503" s="18" t="s">
        <v>925</v>
      </c>
      <c r="C2503" s="109" t="n">
        <v>46232</v>
      </c>
      <c r="D2503" s="108" t="n">
        <v>70</v>
      </c>
      <c r="E2503" s="108" t="n">
        <v>272</v>
      </c>
      <c r="F2503" s="10" t="s">
        <v>914</v>
      </c>
      <c r="G2503" s="18" t="s">
        <v>223</v>
      </c>
    </row>
    <row r="2504" customFormat="false" ht="15" hidden="false" customHeight="true" outlineLevel="0" collapsed="false">
      <c r="A2504" s="19" t="n">
        <v>1182</v>
      </c>
      <c r="B2504" s="18" t="s">
        <v>242</v>
      </c>
      <c r="C2504" s="109" t="n">
        <v>46232</v>
      </c>
      <c r="D2504" s="108" t="n">
        <v>40</v>
      </c>
      <c r="E2504" s="108" t="n">
        <v>800</v>
      </c>
      <c r="F2504" s="10" t="s">
        <v>856</v>
      </c>
      <c r="G2504" s="19"/>
    </row>
    <row r="2505" customFormat="false" ht="15" hidden="false" customHeight="true" outlineLevel="0" collapsed="false">
      <c r="A2505" s="19" t="n">
        <v>1180</v>
      </c>
      <c r="B2505" s="18" t="s">
        <v>242</v>
      </c>
      <c r="C2505" s="109" t="n">
        <v>46232</v>
      </c>
      <c r="D2505" s="108" t="n">
        <v>110</v>
      </c>
      <c r="E2505" s="108" t="n">
        <v>180</v>
      </c>
      <c r="F2505" s="10" t="s">
        <v>914</v>
      </c>
      <c r="G2505" s="19"/>
    </row>
    <row r="2506" customFormat="false" ht="15" hidden="false" customHeight="true" outlineLevel="0" collapsed="false">
      <c r="A2506" s="19" t="n">
        <v>1179</v>
      </c>
      <c r="B2506" s="18" t="s">
        <v>363</v>
      </c>
      <c r="C2506" s="109" t="n">
        <v>46232</v>
      </c>
      <c r="D2506" s="108" t="n">
        <v>75</v>
      </c>
      <c r="E2506" s="108" t="n">
        <v>800</v>
      </c>
      <c r="F2506" s="10" t="s">
        <v>910</v>
      </c>
      <c r="G2506" s="19"/>
    </row>
    <row r="2507" customFormat="false" ht="15" hidden="false" customHeight="true" outlineLevel="0" collapsed="false">
      <c r="A2507" s="19" t="n">
        <v>1172</v>
      </c>
      <c r="B2507" s="18" t="s">
        <v>481</v>
      </c>
      <c r="C2507" s="109" t="n">
        <v>46232</v>
      </c>
      <c r="D2507" s="108" t="n">
        <v>85</v>
      </c>
      <c r="E2507" s="108" t="n">
        <v>2300</v>
      </c>
      <c r="F2507" s="10" t="s">
        <v>914</v>
      </c>
      <c r="G2507" s="19"/>
    </row>
    <row r="2508" customFormat="false" ht="15" hidden="false" customHeight="true" outlineLevel="0" collapsed="false">
      <c r="A2508" s="19" t="n">
        <v>1171</v>
      </c>
      <c r="B2508" s="18" t="s">
        <v>481</v>
      </c>
      <c r="C2508" s="109" t="n">
        <v>46232</v>
      </c>
      <c r="D2508" s="108" t="n">
        <v>130</v>
      </c>
      <c r="E2508" s="108" t="n">
        <v>2000</v>
      </c>
      <c r="F2508" s="10" t="s">
        <v>914</v>
      </c>
      <c r="G2508" s="19"/>
    </row>
    <row r="2509" customFormat="false" ht="15" hidden="false" customHeight="true" outlineLevel="0" collapsed="false">
      <c r="A2509" s="19" t="n">
        <v>1184</v>
      </c>
      <c r="B2509" s="18" t="s">
        <v>321</v>
      </c>
      <c r="C2509" s="109" t="n">
        <v>46232</v>
      </c>
      <c r="D2509" s="108" t="n">
        <v>100</v>
      </c>
      <c r="E2509" s="108" t="n">
        <v>380</v>
      </c>
      <c r="F2509" s="10" t="s">
        <v>914</v>
      </c>
      <c r="G2509" s="19"/>
    </row>
    <row r="2510" customFormat="false" ht="15" hidden="false" customHeight="true" outlineLevel="0" collapsed="false">
      <c r="A2510" s="19" t="n">
        <v>280477</v>
      </c>
      <c r="B2510" s="18" t="s">
        <v>231</v>
      </c>
      <c r="C2510" s="109" t="n">
        <v>46232</v>
      </c>
      <c r="D2510" s="108" t="n">
        <v>210</v>
      </c>
      <c r="E2510" s="108" t="n">
        <v>2000</v>
      </c>
      <c r="F2510" s="10" t="s">
        <v>914</v>
      </c>
      <c r="G2510" s="19"/>
    </row>
    <row r="2511" customFormat="false" ht="15" hidden="false" customHeight="true" outlineLevel="0" collapsed="false">
      <c r="A2511" s="19"/>
      <c r="B2511" s="19"/>
      <c r="C2511" s="109" t="n">
        <v>46232</v>
      </c>
      <c r="D2511" s="108"/>
      <c r="E2511" s="108"/>
      <c r="F2511" s="108"/>
      <c r="G2511" s="19"/>
    </row>
    <row r="2512" customFormat="false" ht="15" hidden="false" customHeight="true" outlineLevel="0" collapsed="false">
      <c r="A2512" s="19"/>
      <c r="B2512" s="19"/>
      <c r="C2512" s="109" t="n">
        <v>46232</v>
      </c>
      <c r="D2512" s="108"/>
      <c r="E2512" s="108"/>
      <c r="F2512" s="108"/>
      <c r="G2512" s="19"/>
    </row>
    <row r="2513" customFormat="false" ht="15" hidden="false" customHeight="true" outlineLevel="0" collapsed="false">
      <c r="A2513" s="19"/>
      <c r="B2513" s="19"/>
      <c r="C2513" s="109" t="n">
        <v>46232</v>
      </c>
      <c r="D2513" s="108"/>
      <c r="E2513" s="108"/>
      <c r="F2513" s="108"/>
      <c r="G2513" s="19"/>
    </row>
  </sheetData>
  <autoFilter ref="A1:P2503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20.25" zeroHeight="false" outlineLevelRow="0" outlineLevelCol="0"/>
  <cols>
    <col collapsed="false" customWidth="false" hidden="false" outlineLevel="0" max="6" min="1" style="1" width="8.59"/>
    <col collapsed="false" customWidth="true" hidden="false" outlineLevel="0" max="8" min="7" style="1" width="4"/>
    <col collapsed="false" customWidth="true" hidden="false" outlineLevel="0" max="10" min="9" style="1" width="3"/>
    <col collapsed="false" customWidth="true" hidden="false" outlineLevel="0" max="15" min="11" style="1" width="4"/>
    <col collapsed="false" customWidth="true" hidden="false" outlineLevel="0" max="17" min="16" style="1" width="5"/>
    <col collapsed="false" customWidth="true" hidden="false" outlineLevel="0" max="18" min="18" style="1" width="6"/>
    <col collapsed="false" customWidth="true" hidden="false" outlineLevel="0" max="19" min="19" style="1" width="6.7"/>
    <col collapsed="false" customWidth="true" hidden="false" outlineLevel="0" max="20" min="20" style="1" width="15.72"/>
    <col collapsed="false" customWidth="true" hidden="false" outlineLevel="0" max="21" min="21" style="1" width="6"/>
    <col collapsed="false" customWidth="true" hidden="false" outlineLevel="0" max="22" min="22" style="1" width="5"/>
    <col collapsed="false" customWidth="true" hidden="false" outlineLevel="0" max="25" min="23" style="1" width="4"/>
    <col collapsed="false" customWidth="true" hidden="false" outlineLevel="0" max="27" min="26" style="1" width="6"/>
    <col collapsed="false" customWidth="true" hidden="false" outlineLevel="0" max="28" min="28" style="1" width="4"/>
    <col collapsed="false" customWidth="true" hidden="false" outlineLevel="0" max="29" min="29" style="1" width="5"/>
    <col collapsed="false" customWidth="true" hidden="false" outlineLevel="0" max="30" min="30" style="1" width="4"/>
    <col collapsed="false" customWidth="true" hidden="false" outlineLevel="0" max="32" min="31" style="1" width="6"/>
    <col collapsed="false" customWidth="true" hidden="false" outlineLevel="0" max="33" min="33" style="1" width="7"/>
    <col collapsed="false" customWidth="true" hidden="false" outlineLevel="0" max="34" min="34" style="1" width="6.7"/>
    <col collapsed="false" customWidth="true" hidden="false" outlineLevel="0" max="35" min="35" style="1" width="20"/>
    <col collapsed="false" customWidth="true" hidden="false" outlineLevel="0" max="36" min="36" style="1" width="20.57"/>
    <col collapsed="false" customWidth="false" hidden="false" outlineLevel="0" max="16384" min="37" style="1" width="8.59"/>
  </cols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8984375" defaultRowHeight="20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9.72"/>
    <col collapsed="false" customWidth="false" hidden="false" outlineLevel="0" max="16384" min="3" style="1" width="8.59"/>
  </cols>
  <sheetData>
    <row r="1" customFormat="false" ht="20.25" hidden="false" customHeight="false" outlineLevel="0" collapsed="false">
      <c r="A1" s="27" t="s">
        <v>222</v>
      </c>
      <c r="B1" s="28" t="s">
        <v>75</v>
      </c>
    </row>
    <row r="2" customFormat="false" ht="20.25" hidden="false" customHeight="false" outlineLevel="0" collapsed="false">
      <c r="A2" s="0"/>
      <c r="B2" s="0"/>
    </row>
    <row r="3" customFormat="false" ht="20.25" hidden="false" customHeight="false" outlineLevel="0" collapsed="false">
      <c r="A3" s="77" t="s">
        <v>52</v>
      </c>
      <c r="B3" s="78" t="s">
        <v>978</v>
      </c>
    </row>
    <row r="4" customFormat="false" ht="20.25" hidden="false" customHeight="false" outlineLevel="0" collapsed="false">
      <c r="A4" s="81" t="n">
        <v>3</v>
      </c>
      <c r="B4" s="82" t="n">
        <v>500</v>
      </c>
    </row>
    <row r="5" customFormat="false" ht="20.25" hidden="false" customHeight="false" outlineLevel="0" collapsed="false">
      <c r="A5" s="85" t="n">
        <v>20</v>
      </c>
      <c r="B5" s="86" t="n">
        <v>120</v>
      </c>
    </row>
    <row r="6" customFormat="false" ht="20.25" hidden="false" customHeight="false" outlineLevel="0" collapsed="false">
      <c r="A6" s="85" t="n">
        <v>25</v>
      </c>
      <c r="B6" s="86" t="n">
        <v>5262</v>
      </c>
    </row>
    <row r="7" customFormat="false" ht="20.25" hidden="false" customHeight="false" outlineLevel="0" collapsed="false">
      <c r="A7" s="85" t="n">
        <v>30</v>
      </c>
      <c r="B7" s="86" t="n">
        <v>5000</v>
      </c>
    </row>
    <row r="8" customFormat="false" ht="20.25" hidden="false" customHeight="false" outlineLevel="0" collapsed="false">
      <c r="A8" s="85" t="n">
        <v>35</v>
      </c>
      <c r="B8" s="86" t="n">
        <v>1560</v>
      </c>
    </row>
    <row r="9" customFormat="false" ht="20.25" hidden="false" customHeight="false" outlineLevel="0" collapsed="false">
      <c r="A9" s="85" t="n">
        <v>45</v>
      </c>
      <c r="B9" s="86" t="n">
        <v>2685</v>
      </c>
    </row>
    <row r="10" customFormat="false" ht="20.25" hidden="false" customHeight="false" outlineLevel="0" collapsed="false">
      <c r="A10" s="85" t="n">
        <v>48</v>
      </c>
      <c r="B10" s="86" t="n">
        <v>2392</v>
      </c>
    </row>
    <row r="11" customFormat="false" ht="20.25" hidden="false" customHeight="false" outlineLevel="0" collapsed="false">
      <c r="A11" s="85" t="n">
        <v>55</v>
      </c>
      <c r="B11" s="86" t="n">
        <v>560</v>
      </c>
    </row>
    <row r="12" customFormat="false" ht="20.25" hidden="false" customHeight="false" outlineLevel="0" collapsed="false">
      <c r="A12" s="85" t="n">
        <v>60</v>
      </c>
      <c r="B12" s="86" t="n">
        <v>300</v>
      </c>
    </row>
    <row r="13" customFormat="false" ht="20.25" hidden="false" customHeight="false" outlineLevel="0" collapsed="false">
      <c r="A13" s="85" t="n">
        <v>63</v>
      </c>
      <c r="B13" s="86" t="n">
        <v>120</v>
      </c>
    </row>
    <row r="14" customFormat="false" ht="20.25" hidden="false" customHeight="false" outlineLevel="0" collapsed="false">
      <c r="A14" s="85" t="n">
        <v>65</v>
      </c>
      <c r="B14" s="86" t="n">
        <v>4415</v>
      </c>
    </row>
    <row r="15" customFormat="false" ht="20.25" hidden="false" customHeight="false" outlineLevel="0" collapsed="false">
      <c r="A15" s="85" t="n">
        <v>70</v>
      </c>
      <c r="B15" s="86" t="n">
        <v>5720</v>
      </c>
    </row>
    <row r="16" customFormat="false" ht="20.25" hidden="false" customHeight="false" outlineLevel="0" collapsed="false">
      <c r="A16" s="85" t="n">
        <v>73</v>
      </c>
      <c r="B16" s="86" t="n">
        <v>1020</v>
      </c>
    </row>
    <row r="17" customFormat="false" ht="20.25" hidden="false" customHeight="false" outlineLevel="0" collapsed="false">
      <c r="A17" s="85" t="n">
        <v>75</v>
      </c>
      <c r="B17" s="86" t="n">
        <v>9510</v>
      </c>
    </row>
    <row r="18" customFormat="false" ht="20.25" hidden="false" customHeight="false" outlineLevel="0" collapsed="false">
      <c r="A18" s="85" t="n">
        <v>80</v>
      </c>
      <c r="B18" s="86" t="n">
        <v>11385</v>
      </c>
    </row>
    <row r="19" customFormat="false" ht="20.25" hidden="false" customHeight="false" outlineLevel="0" collapsed="false">
      <c r="A19" s="85" t="n">
        <v>83</v>
      </c>
      <c r="B19" s="86" t="n">
        <v>5200</v>
      </c>
    </row>
    <row r="20" customFormat="false" ht="20.25" hidden="false" customHeight="false" outlineLevel="0" collapsed="false">
      <c r="A20" s="85" t="n">
        <v>100</v>
      </c>
      <c r="B20" s="86" t="n">
        <v>59313</v>
      </c>
    </row>
    <row r="21" customFormat="false" ht="20.25" hidden="false" customHeight="false" outlineLevel="0" collapsed="false">
      <c r="A21" s="85" t="n">
        <v>102</v>
      </c>
      <c r="B21" s="86" t="n">
        <v>2000</v>
      </c>
    </row>
    <row r="22" customFormat="false" ht="20.25" hidden="false" customHeight="false" outlineLevel="0" collapsed="false">
      <c r="A22" s="85" t="n">
        <v>105</v>
      </c>
      <c r="B22" s="86" t="n">
        <v>5325</v>
      </c>
    </row>
    <row r="23" customFormat="false" ht="20.25" hidden="false" customHeight="false" outlineLevel="0" collapsed="false">
      <c r="A23" s="85" t="n">
        <v>110</v>
      </c>
      <c r="B23" s="86" t="n">
        <v>32834</v>
      </c>
    </row>
    <row r="24" customFormat="false" ht="20.25" hidden="false" customHeight="false" outlineLevel="0" collapsed="false">
      <c r="A24" s="85" t="n">
        <v>120</v>
      </c>
      <c r="B24" s="86" t="n">
        <v>1725</v>
      </c>
    </row>
    <row r="25" customFormat="false" ht="20.25" hidden="false" customHeight="false" outlineLevel="0" collapsed="false">
      <c r="A25" s="85" t="n">
        <v>125</v>
      </c>
      <c r="B25" s="86" t="n">
        <v>2784</v>
      </c>
    </row>
    <row r="26" customFormat="false" ht="20.25" hidden="false" customHeight="false" outlineLevel="0" collapsed="false">
      <c r="A26" s="85" t="n">
        <v>130</v>
      </c>
      <c r="B26" s="86" t="n">
        <v>6350</v>
      </c>
    </row>
    <row r="27" customFormat="false" ht="20.25" hidden="false" customHeight="false" outlineLevel="0" collapsed="false">
      <c r="A27" s="85" t="n">
        <v>138</v>
      </c>
      <c r="B27" s="86" t="n">
        <v>408</v>
      </c>
    </row>
    <row r="28" customFormat="false" ht="20.25" hidden="false" customHeight="false" outlineLevel="0" collapsed="false">
      <c r="A28" s="85" t="n">
        <v>145</v>
      </c>
      <c r="B28" s="86" t="n">
        <v>135</v>
      </c>
    </row>
    <row r="29" customFormat="false" ht="20.25" hidden="false" customHeight="false" outlineLevel="0" collapsed="false">
      <c r="A29" s="85" t="n">
        <v>155</v>
      </c>
      <c r="B29" s="86" t="n">
        <v>11969</v>
      </c>
    </row>
    <row r="30" customFormat="false" ht="20.25" hidden="false" customHeight="false" outlineLevel="0" collapsed="false">
      <c r="A30" s="85" t="n">
        <v>210</v>
      </c>
      <c r="B30" s="86" t="n">
        <v>33671</v>
      </c>
    </row>
    <row r="31" customFormat="false" ht="20.25" hidden="false" customHeight="false" outlineLevel="0" collapsed="false">
      <c r="A31" s="85" t="n">
        <v>220</v>
      </c>
      <c r="B31" s="86" t="n">
        <v>37340</v>
      </c>
    </row>
    <row r="32" customFormat="false" ht="20.25" hidden="false" customHeight="false" outlineLevel="0" collapsed="false">
      <c r="A32" s="85" t="n">
        <v>235</v>
      </c>
      <c r="B32" s="86" t="n">
        <v>2000</v>
      </c>
    </row>
    <row r="33" customFormat="false" ht="20.25" hidden="false" customHeight="false" outlineLevel="0" collapsed="false">
      <c r="A33" s="85" t="n">
        <v>250</v>
      </c>
      <c r="B33" s="96" t="n">
        <v>2463</v>
      </c>
    </row>
    <row r="34" customFormat="false" ht="20.25" hidden="false" customHeight="false" outlineLevel="0" collapsed="false">
      <c r="A34" s="44" t="s">
        <v>28</v>
      </c>
      <c r="B34" s="97" t="n">
        <v>254066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106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Q52" activeCellId="0" sqref="Q52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10.57"/>
    <col collapsed="false" customWidth="true" hidden="false" outlineLevel="0" max="5" min="3" style="1" width="8.57"/>
    <col collapsed="false" customWidth="true" hidden="false" outlineLevel="0" max="6" min="6" style="1" width="16.57"/>
    <col collapsed="false" customWidth="true" hidden="false" outlineLevel="0" max="7" min="7" style="1" width="8.57"/>
    <col collapsed="false" customWidth="true" hidden="false" outlineLevel="0" max="8" min="8" style="1" width="11.15"/>
    <col collapsed="false" customWidth="true" hidden="false" outlineLevel="0" max="9" min="9" style="1" width="13.86"/>
    <col collapsed="false" customWidth="true" hidden="false" outlineLevel="0" max="10" min="10" style="1" width="11.57"/>
    <col collapsed="false" customWidth="true" hidden="false" outlineLevel="0" max="11" min="11" style="1" width="23.15"/>
    <col collapsed="false" customWidth="true" hidden="false" outlineLevel="0" max="13" min="12" style="1" width="11.28"/>
    <col collapsed="false" customWidth="true" hidden="false" outlineLevel="0" max="14" min="14" style="1" width="48"/>
    <col collapsed="false" customWidth="true" hidden="false" outlineLevel="0" max="15" min="15" style="1" width="31.15"/>
    <col collapsed="false" customWidth="true" hidden="false" outlineLevel="0" max="16" min="16" style="1" width="8.57"/>
    <col collapsed="false" customWidth="true" hidden="false" outlineLevel="0" max="17" min="17" style="1" width="11.28"/>
    <col collapsed="false" customWidth="true" hidden="false" outlineLevel="0" max="18" min="18" style="1" width="8.57"/>
    <col collapsed="false" customWidth="true" hidden="false" outlineLevel="0" max="19" min="19" style="1" width="7"/>
    <col collapsed="false" customWidth="true" hidden="false" outlineLevel="0" max="20" min="20" style="1" width="21.3"/>
    <col collapsed="false" customWidth="true" hidden="false" outlineLevel="0" max="23" min="21" style="1" width="8.57"/>
    <col collapsed="false" customWidth="true" hidden="false" outlineLevel="0" max="24" min="24" style="1" width="31.15"/>
    <col collapsed="false" customWidth="true" hidden="false" outlineLevel="0" max="26" min="25" style="1" width="8.57"/>
    <col collapsed="false" customWidth="false" hidden="false" outlineLevel="0" max="16384" min="27" style="1" width="14.43"/>
  </cols>
  <sheetData>
    <row r="2" customFormat="false" ht="20.25" hidden="false" customHeight="false" outlineLevel="0" collapsed="false">
      <c r="A2" s="10" t="s">
        <v>76</v>
      </c>
      <c r="B2" s="10" t="s">
        <v>77</v>
      </c>
      <c r="C2" s="10" t="s">
        <v>78</v>
      </c>
      <c r="D2" s="10" t="s">
        <v>79</v>
      </c>
      <c r="E2" s="10" t="s">
        <v>979</v>
      </c>
      <c r="F2" s="10" t="s">
        <v>980</v>
      </c>
      <c r="I2" s="9" t="s">
        <v>76</v>
      </c>
      <c r="J2" s="9" t="s">
        <v>77</v>
      </c>
      <c r="K2" s="9" t="s">
        <v>78</v>
      </c>
      <c r="L2" s="9" t="s">
        <v>79</v>
      </c>
      <c r="M2" s="9"/>
      <c r="N2" s="9" t="s">
        <v>980</v>
      </c>
      <c r="O2" s="9" t="s">
        <v>201</v>
      </c>
    </row>
    <row r="3" customFormat="false" ht="20.25" hidden="false" customHeight="false" outlineLevel="0" collapsed="false">
      <c r="A3" s="180" t="n">
        <v>45351</v>
      </c>
      <c r="B3" s="147"/>
      <c r="C3" s="181"/>
      <c r="D3" s="181" t="n">
        <v>1000</v>
      </c>
      <c r="E3" s="181" t="n">
        <f aca="false">(B3*C3*D3)/1000</f>
        <v>0</v>
      </c>
      <c r="F3" s="181" t="s">
        <v>981</v>
      </c>
      <c r="I3" s="182" t="n">
        <v>45330</v>
      </c>
      <c r="J3" s="9" t="n">
        <v>70</v>
      </c>
      <c r="K3" s="9" t="n">
        <v>5</v>
      </c>
      <c r="L3" s="9" t="n">
        <v>1000</v>
      </c>
      <c r="M3" s="9"/>
      <c r="N3" s="9" t="s">
        <v>982</v>
      </c>
      <c r="O3" s="9" t="n">
        <v>2.45</v>
      </c>
      <c r="P3" s="183" t="n">
        <v>45359</v>
      </c>
    </row>
    <row r="4" customFormat="false" ht="20.25" hidden="false" customHeight="false" outlineLevel="0" collapsed="false">
      <c r="A4" s="180" t="n">
        <v>45351</v>
      </c>
      <c r="B4" s="147"/>
      <c r="C4" s="181"/>
      <c r="D4" s="181" t="n">
        <v>1000</v>
      </c>
      <c r="E4" s="181" t="n">
        <f aca="false">(B4*C4*D4)/1000</f>
        <v>0</v>
      </c>
      <c r="F4" s="181" t="s">
        <v>981</v>
      </c>
      <c r="I4" s="182" t="n">
        <v>45330</v>
      </c>
      <c r="J4" s="9" t="n">
        <v>105</v>
      </c>
      <c r="K4" s="9" t="n">
        <v>15</v>
      </c>
      <c r="L4" s="9" t="n">
        <v>1000</v>
      </c>
      <c r="M4" s="9"/>
      <c r="N4" s="9" t="s">
        <v>982</v>
      </c>
      <c r="O4" s="9" t="n">
        <v>2.45</v>
      </c>
    </row>
    <row r="5" customFormat="false" ht="20.25" hidden="false" customHeight="false" outlineLevel="0" collapsed="false">
      <c r="A5" s="180" t="n">
        <v>45351</v>
      </c>
      <c r="B5" s="147"/>
      <c r="C5" s="181"/>
      <c r="D5" s="181" t="n">
        <v>1000</v>
      </c>
      <c r="E5" s="181" t="n">
        <f aca="false">(B5*C5*D5)/1000</f>
        <v>0</v>
      </c>
      <c r="F5" s="181" t="s">
        <v>981</v>
      </c>
      <c r="I5" s="182" t="n">
        <v>45330</v>
      </c>
      <c r="J5" s="147" t="n">
        <v>110</v>
      </c>
      <c r="K5" s="18" t="n">
        <v>15</v>
      </c>
      <c r="L5" s="18" t="n">
        <v>1000</v>
      </c>
      <c r="M5" s="184"/>
      <c r="N5" s="9" t="s">
        <v>982</v>
      </c>
      <c r="O5" s="9" t="n">
        <v>2.45</v>
      </c>
    </row>
    <row r="6" customFormat="false" ht="20.25" hidden="false" customHeight="false" outlineLevel="0" collapsed="false">
      <c r="A6" s="180" t="n">
        <v>45351</v>
      </c>
      <c r="B6" s="147"/>
      <c r="C6" s="181"/>
      <c r="D6" s="181" t="n">
        <v>1000</v>
      </c>
      <c r="E6" s="181" t="n">
        <f aca="false">(B6*C6*D6)/1000</f>
        <v>0</v>
      </c>
      <c r="F6" s="181" t="s">
        <v>981</v>
      </c>
      <c r="I6" s="182" t="n">
        <v>45330</v>
      </c>
      <c r="J6" s="147" t="n">
        <v>140</v>
      </c>
      <c r="K6" s="18" t="n">
        <v>5</v>
      </c>
      <c r="L6" s="18" t="n">
        <v>1000</v>
      </c>
      <c r="M6" s="184"/>
      <c r="N6" s="9" t="s">
        <v>982</v>
      </c>
      <c r="O6" s="9" t="n">
        <v>2.45</v>
      </c>
    </row>
    <row r="7" customFormat="false" ht="20.25" hidden="false" customHeight="false" outlineLevel="0" collapsed="false">
      <c r="A7" s="180" t="n">
        <v>45351</v>
      </c>
      <c r="B7" s="147" t="n">
        <v>130</v>
      </c>
      <c r="C7" s="181" t="n">
        <v>4</v>
      </c>
      <c r="D7" s="181" t="n">
        <v>1000</v>
      </c>
      <c r="E7" s="181" t="n">
        <f aca="false">(B7*C7*D7)/1000</f>
        <v>520</v>
      </c>
      <c r="F7" s="181" t="s">
        <v>981</v>
      </c>
      <c r="I7" s="182" t="n">
        <v>45330</v>
      </c>
      <c r="J7" s="147" t="n">
        <v>145</v>
      </c>
      <c r="K7" s="18" t="n">
        <v>5</v>
      </c>
      <c r="L7" s="18" t="n">
        <v>1000</v>
      </c>
      <c r="M7" s="184"/>
      <c r="N7" s="9" t="s">
        <v>982</v>
      </c>
      <c r="O7" s="9" t="n">
        <v>2.45</v>
      </c>
    </row>
    <row r="8" customFormat="false" ht="20.25" hidden="false" customHeight="false" outlineLevel="0" collapsed="false">
      <c r="A8" s="180" t="n">
        <v>45351</v>
      </c>
      <c r="B8" s="147" t="n">
        <v>155</v>
      </c>
      <c r="C8" s="181" t="n">
        <v>4</v>
      </c>
      <c r="D8" s="181" t="n">
        <v>1000</v>
      </c>
      <c r="E8" s="181" t="n">
        <f aca="false">(B8*C8*D8)/1000</f>
        <v>620</v>
      </c>
      <c r="F8" s="181" t="s">
        <v>981</v>
      </c>
      <c r="I8" s="182" t="n">
        <v>45330</v>
      </c>
      <c r="J8" s="147" t="n">
        <v>190</v>
      </c>
      <c r="K8" s="18" t="n">
        <v>6</v>
      </c>
      <c r="L8" s="18" t="n">
        <v>1000</v>
      </c>
      <c r="M8" s="184"/>
      <c r="N8" s="9" t="s">
        <v>982</v>
      </c>
      <c r="O8" s="9" t="n">
        <v>2.45</v>
      </c>
    </row>
    <row r="9" customFormat="false" ht="20.25" hidden="false" customHeight="false" outlineLevel="0" collapsed="false">
      <c r="A9" s="180" t="n">
        <v>45352</v>
      </c>
      <c r="B9" s="147" t="n">
        <v>190</v>
      </c>
      <c r="C9" s="181" t="n">
        <v>3</v>
      </c>
      <c r="D9" s="181" t="n">
        <v>1000</v>
      </c>
      <c r="E9" s="181" t="n">
        <f aca="false">(B9*C9*D9)/1000</f>
        <v>570</v>
      </c>
      <c r="F9" s="181" t="s">
        <v>981</v>
      </c>
      <c r="I9" s="182" t="n">
        <v>45330</v>
      </c>
      <c r="J9" s="147" t="n">
        <v>210</v>
      </c>
      <c r="K9" s="18" t="n">
        <v>50</v>
      </c>
      <c r="L9" s="18" t="n">
        <v>1000</v>
      </c>
      <c r="M9" s="184"/>
      <c r="N9" s="9" t="s">
        <v>982</v>
      </c>
      <c r="O9" s="9" t="n">
        <v>2.45</v>
      </c>
    </row>
    <row r="10" customFormat="false" ht="20.25" hidden="false" customHeight="false" outlineLevel="0" collapsed="false">
      <c r="J10" s="147"/>
      <c r="K10" s="18"/>
      <c r="L10" s="18"/>
      <c r="M10" s="184"/>
    </row>
    <row r="11" customFormat="false" ht="20.25" hidden="false" customHeight="false" outlineLevel="0" collapsed="false">
      <c r="J11" s="147"/>
      <c r="K11" s="18"/>
      <c r="L11" s="18"/>
      <c r="M11" s="184"/>
      <c r="Q11" s="185" t="s">
        <v>21</v>
      </c>
      <c r="R11" s="185" t="s">
        <v>52</v>
      </c>
      <c r="S11" s="185" t="s">
        <v>983</v>
      </c>
      <c r="T11" s="185"/>
      <c r="U11" s="19"/>
      <c r="V11" s="19"/>
      <c r="W11" s="19"/>
      <c r="X11" s="19"/>
    </row>
    <row r="12" customFormat="false" ht="15" hidden="false" customHeight="true" outlineLevel="0" collapsed="false">
      <c r="Q12" s="108"/>
      <c r="R12" s="11" t="n">
        <v>80</v>
      </c>
      <c r="S12" s="11" t="n">
        <f aca="false">R12*Q12</f>
        <v>0</v>
      </c>
      <c r="T12" s="11" t="s">
        <v>30</v>
      </c>
      <c r="U12" s="12" t="n">
        <f aca="false">S109*S12</f>
        <v>0</v>
      </c>
      <c r="V12" s="11" t="s">
        <v>31</v>
      </c>
      <c r="W12" s="11" t="n">
        <f aca="false">(S109*(R12/1000))*S12</f>
        <v>0</v>
      </c>
      <c r="X12" s="11" t="s">
        <v>32</v>
      </c>
    </row>
    <row r="13" customFormat="false" ht="20.25" hidden="false" customHeight="false" outlineLevel="0" collapsed="false">
      <c r="A13" s="10" t="s">
        <v>76</v>
      </c>
      <c r="B13" s="10" t="s">
        <v>77</v>
      </c>
      <c r="C13" s="10" t="s">
        <v>78</v>
      </c>
      <c r="D13" s="10" t="s">
        <v>79</v>
      </c>
      <c r="E13" s="10" t="s">
        <v>979</v>
      </c>
      <c r="F13" s="10" t="s">
        <v>980</v>
      </c>
      <c r="I13" s="11" t="s">
        <v>76</v>
      </c>
      <c r="J13" s="18" t="s">
        <v>77</v>
      </c>
      <c r="K13" s="18" t="s">
        <v>78</v>
      </c>
      <c r="L13" s="18" t="s">
        <v>79</v>
      </c>
      <c r="M13" s="18"/>
      <c r="N13" s="18" t="s">
        <v>980</v>
      </c>
      <c r="O13" s="18" t="s">
        <v>201</v>
      </c>
      <c r="Q13" s="108"/>
      <c r="R13" s="11" t="n">
        <v>100</v>
      </c>
      <c r="S13" s="11" t="n">
        <f aca="false">R13*Q13</f>
        <v>0</v>
      </c>
      <c r="T13" s="11" t="s">
        <v>30</v>
      </c>
      <c r="U13" s="12" t="n">
        <f aca="false">S110*S13</f>
        <v>0</v>
      </c>
      <c r="V13" s="11" t="s">
        <v>31</v>
      </c>
      <c r="W13" s="11" t="n">
        <f aca="false">(S110*(R13/1000))*S13</f>
        <v>0</v>
      </c>
      <c r="X13" s="11" t="s">
        <v>32</v>
      </c>
    </row>
    <row r="14" customFormat="false" ht="20.25" hidden="false" customHeight="false" outlineLevel="0" collapsed="false">
      <c r="A14" s="180" t="n">
        <v>45448</v>
      </c>
      <c r="B14" s="147" t="n">
        <v>70</v>
      </c>
      <c r="C14" s="181" t="n">
        <v>8</v>
      </c>
      <c r="D14" s="181" t="n">
        <v>1000</v>
      </c>
      <c r="E14" s="181" t="n">
        <f aca="false">(B14*C14*D14)/1000</f>
        <v>560</v>
      </c>
      <c r="F14" s="181" t="s">
        <v>981</v>
      </c>
      <c r="I14" s="186" t="n">
        <v>45832</v>
      </c>
      <c r="J14" s="18" t="n">
        <v>105</v>
      </c>
      <c r="K14" s="18" t="n">
        <v>25</v>
      </c>
      <c r="L14" s="18" t="n">
        <f aca="false">K14*J14</f>
        <v>2625</v>
      </c>
      <c r="M14" s="18"/>
      <c r="N14" s="18" t="s">
        <v>982</v>
      </c>
      <c r="O14" s="18" t="n">
        <v>2.72</v>
      </c>
      <c r="P14" s="183"/>
      <c r="Q14" s="108"/>
      <c r="R14" s="11" t="n">
        <v>110</v>
      </c>
      <c r="S14" s="11" t="n">
        <f aca="false">R14*Q14</f>
        <v>0</v>
      </c>
      <c r="T14" s="11" t="s">
        <v>30</v>
      </c>
      <c r="U14" s="12" t="n">
        <f aca="false">S111*S14</f>
        <v>0</v>
      </c>
      <c r="V14" s="11" t="s">
        <v>31</v>
      </c>
      <c r="W14" s="11" t="n">
        <f aca="false">(S111*(R14/1000))*S14</f>
        <v>0</v>
      </c>
      <c r="X14" s="11" t="s">
        <v>32</v>
      </c>
    </row>
    <row r="15" customFormat="false" ht="20.25" hidden="false" customHeight="false" outlineLevel="0" collapsed="false">
      <c r="A15" s="180" t="n">
        <v>45448</v>
      </c>
      <c r="B15" s="147" t="n">
        <v>85</v>
      </c>
      <c r="C15" s="181" t="n">
        <v>8</v>
      </c>
      <c r="D15" s="181" t="n">
        <v>1000</v>
      </c>
      <c r="E15" s="181" t="n">
        <f aca="false">(B15*C15*D15)/1000</f>
        <v>680</v>
      </c>
      <c r="F15" s="181" t="s">
        <v>981</v>
      </c>
      <c r="I15" s="186" t="n">
        <v>45832</v>
      </c>
      <c r="J15" s="18" t="n">
        <v>120</v>
      </c>
      <c r="K15" s="18" t="n">
        <v>5</v>
      </c>
      <c r="L15" s="18" t="n">
        <f aca="false">K15*J15</f>
        <v>600</v>
      </c>
      <c r="M15" s="18"/>
      <c r="N15" s="18" t="s">
        <v>982</v>
      </c>
      <c r="O15" s="18" t="n">
        <v>2.72</v>
      </c>
      <c r="Q15" s="108"/>
      <c r="R15" s="11" t="n">
        <v>120</v>
      </c>
      <c r="S15" s="11" t="n">
        <f aca="false">R15*Q15</f>
        <v>0</v>
      </c>
      <c r="T15" s="11" t="s">
        <v>30</v>
      </c>
      <c r="U15" s="12" t="n">
        <f aca="false">S112*S15</f>
        <v>0</v>
      </c>
      <c r="V15" s="11" t="s">
        <v>31</v>
      </c>
      <c r="W15" s="11" t="n">
        <f aca="false">(S112*(R15/1000))*S15</f>
        <v>0</v>
      </c>
      <c r="X15" s="11" t="s">
        <v>32</v>
      </c>
    </row>
    <row r="16" customFormat="false" ht="20.25" hidden="false" customHeight="false" outlineLevel="0" collapsed="false">
      <c r="A16" s="180" t="n">
        <v>45448</v>
      </c>
      <c r="B16" s="147" t="n">
        <v>90</v>
      </c>
      <c r="C16" s="181" t="n">
        <v>3</v>
      </c>
      <c r="D16" s="181" t="n">
        <v>1000</v>
      </c>
      <c r="E16" s="181" t="n">
        <f aca="false">(B16*C16*D16)/1000</f>
        <v>270</v>
      </c>
      <c r="F16" s="181" t="s">
        <v>981</v>
      </c>
      <c r="I16" s="186" t="n">
        <v>45832</v>
      </c>
      <c r="J16" s="18" t="n">
        <v>125</v>
      </c>
      <c r="K16" s="18" t="n">
        <v>5</v>
      </c>
      <c r="L16" s="18" t="n">
        <f aca="false">K16*J16</f>
        <v>625</v>
      </c>
      <c r="M16" s="18"/>
      <c r="N16" s="18" t="s">
        <v>982</v>
      </c>
      <c r="O16" s="18" t="n">
        <v>2.72</v>
      </c>
      <c r="Q16" s="108" t="n">
        <v>1</v>
      </c>
      <c r="R16" s="11" t="n">
        <v>130</v>
      </c>
      <c r="S16" s="11" t="n">
        <f aca="false">R16*Q16</f>
        <v>130</v>
      </c>
      <c r="T16" s="11" t="s">
        <v>30</v>
      </c>
      <c r="U16" s="12" t="n">
        <f aca="false">S113*S16</f>
        <v>0</v>
      </c>
      <c r="V16" s="11" t="s">
        <v>31</v>
      </c>
      <c r="W16" s="11" t="n">
        <f aca="false">(S113*(R16/1000))*S16</f>
        <v>0</v>
      </c>
      <c r="X16" s="11" t="s">
        <v>32</v>
      </c>
    </row>
    <row r="17" customFormat="false" ht="20.25" hidden="false" customHeight="false" outlineLevel="0" collapsed="false">
      <c r="A17" s="180" t="n">
        <v>45448</v>
      </c>
      <c r="B17" s="147" t="n">
        <v>125</v>
      </c>
      <c r="C17" s="181" t="n">
        <v>6</v>
      </c>
      <c r="D17" s="181" t="n">
        <v>1000</v>
      </c>
      <c r="E17" s="181" t="n">
        <f aca="false">(B17*C17*D17)/1000</f>
        <v>750</v>
      </c>
      <c r="F17" s="181" t="s">
        <v>981</v>
      </c>
      <c r="I17" s="186" t="n">
        <v>45832</v>
      </c>
      <c r="J17" s="18" t="n">
        <v>210</v>
      </c>
      <c r="K17" s="18" t="n">
        <v>30</v>
      </c>
      <c r="L17" s="18" t="n">
        <f aca="false">K17*J17</f>
        <v>6300</v>
      </c>
      <c r="M17" s="18"/>
      <c r="N17" s="18" t="s">
        <v>982</v>
      </c>
      <c r="O17" s="18" t="n">
        <v>2.72</v>
      </c>
      <c r="Q17" s="108"/>
      <c r="R17" s="11" t="n">
        <v>150</v>
      </c>
      <c r="S17" s="11" t="n">
        <f aca="false">R17*Q17</f>
        <v>0</v>
      </c>
      <c r="T17" s="11" t="s">
        <v>30</v>
      </c>
      <c r="U17" s="12" t="n">
        <f aca="false">S114*S17</f>
        <v>0</v>
      </c>
      <c r="V17" s="11" t="s">
        <v>31</v>
      </c>
      <c r="W17" s="11" t="n">
        <f aca="false">(S114*(R17/1000))*S17</f>
        <v>0</v>
      </c>
      <c r="X17" s="11" t="s">
        <v>32</v>
      </c>
    </row>
    <row r="18" customFormat="false" ht="20.25" hidden="false" customHeight="false" outlineLevel="0" collapsed="false">
      <c r="A18" s="180"/>
      <c r="B18" s="147"/>
      <c r="C18" s="181"/>
      <c r="D18" s="181"/>
      <c r="E18" s="181"/>
      <c r="F18" s="181"/>
      <c r="I18" s="182" t="n">
        <v>45832</v>
      </c>
      <c r="J18" s="9"/>
      <c r="K18" s="9"/>
      <c r="L18" s="9" t="n">
        <v>1000</v>
      </c>
      <c r="M18" s="9"/>
      <c r="N18" s="9" t="s">
        <v>982</v>
      </c>
      <c r="O18" s="9" t="n">
        <v>2.72</v>
      </c>
      <c r="Q18" s="108" t="n">
        <v>3</v>
      </c>
      <c r="R18" s="11" t="n">
        <v>160</v>
      </c>
      <c r="S18" s="11" t="n">
        <f aca="false">R18*Q18</f>
        <v>480</v>
      </c>
      <c r="T18" s="11" t="s">
        <v>30</v>
      </c>
      <c r="U18" s="12" t="n">
        <f aca="false">S115*S18</f>
        <v>0</v>
      </c>
      <c r="V18" s="11" t="s">
        <v>31</v>
      </c>
      <c r="W18" s="11" t="n">
        <f aca="false">(S115*(R18/1000))*S18</f>
        <v>0</v>
      </c>
      <c r="X18" s="11" t="s">
        <v>32</v>
      </c>
    </row>
    <row r="19" customFormat="false" ht="20.25" hidden="false" customHeight="false" outlineLevel="0" collapsed="false">
      <c r="A19" s="180"/>
      <c r="B19" s="147"/>
      <c r="C19" s="181"/>
      <c r="D19" s="181"/>
      <c r="E19" s="181"/>
      <c r="F19" s="181"/>
      <c r="I19" s="182" t="n">
        <v>45832</v>
      </c>
      <c r="J19" s="9"/>
      <c r="K19" s="9"/>
      <c r="L19" s="9" t="n">
        <v>1000</v>
      </c>
      <c r="M19" s="9"/>
      <c r="N19" s="9" t="s">
        <v>982</v>
      </c>
      <c r="O19" s="9" t="n">
        <v>2.72</v>
      </c>
      <c r="Q19" s="108" t="n">
        <v>1</v>
      </c>
      <c r="R19" s="11" t="n">
        <v>200</v>
      </c>
      <c r="S19" s="11" t="n">
        <f aca="false">R19*Q19</f>
        <v>200</v>
      </c>
      <c r="T19" s="11" t="s">
        <v>30</v>
      </c>
      <c r="U19" s="12" t="n">
        <f aca="false">S116*S19</f>
        <v>0</v>
      </c>
      <c r="V19" s="11" t="s">
        <v>31</v>
      </c>
      <c r="W19" s="11" t="n">
        <f aca="false">(S116*(R19/1000))*S19</f>
        <v>0</v>
      </c>
      <c r="X19" s="11" t="s">
        <v>32</v>
      </c>
    </row>
    <row r="20" customFormat="false" ht="20.25" hidden="false" customHeight="false" outlineLevel="0" collapsed="false">
      <c r="A20" s="180"/>
      <c r="B20" s="147"/>
      <c r="C20" s="181"/>
      <c r="D20" s="181"/>
      <c r="E20" s="181"/>
      <c r="F20" s="181"/>
      <c r="I20" s="182" t="n">
        <v>45832</v>
      </c>
      <c r="J20" s="9"/>
      <c r="K20" s="9"/>
      <c r="L20" s="9" t="n">
        <v>1000</v>
      </c>
      <c r="M20" s="9"/>
      <c r="N20" s="9" t="s">
        <v>982</v>
      </c>
      <c r="O20" s="9" t="n">
        <v>2.72</v>
      </c>
      <c r="Q20" s="108" t="n">
        <v>1</v>
      </c>
      <c r="R20" s="11" t="n">
        <v>210</v>
      </c>
      <c r="S20" s="11" t="n">
        <f aca="false">R20*Q20</f>
        <v>210</v>
      </c>
      <c r="T20" s="11" t="s">
        <v>30</v>
      </c>
      <c r="U20" s="12" t="n">
        <f aca="false">S117*S20</f>
        <v>0</v>
      </c>
      <c r="V20" s="11" t="s">
        <v>31</v>
      </c>
      <c r="W20" s="11" t="n">
        <f aca="false">(S117*(R20/1000))*S20</f>
        <v>0</v>
      </c>
      <c r="X20" s="11" t="s">
        <v>984</v>
      </c>
    </row>
    <row r="21" customFormat="false" ht="15.75" hidden="false" customHeight="true" outlineLevel="0" collapsed="false">
      <c r="I21" s="182" t="n">
        <v>45832</v>
      </c>
      <c r="J21" s="9"/>
      <c r="K21" s="9"/>
      <c r="L21" s="9" t="n">
        <v>1000</v>
      </c>
      <c r="M21" s="9"/>
      <c r="N21" s="9" t="s">
        <v>982</v>
      </c>
      <c r="O21" s="9" t="n">
        <v>2.45</v>
      </c>
      <c r="S21" s="1" t="n">
        <f aca="false">SUM(S12:S20)</f>
        <v>1020</v>
      </c>
    </row>
    <row r="22" customFormat="false" ht="15.75" hidden="false" customHeight="true" outlineLevel="0" collapsed="false">
      <c r="I22" s="182" t="n">
        <v>45832</v>
      </c>
      <c r="J22" s="9"/>
      <c r="K22" s="9"/>
      <c r="L22" s="9" t="n">
        <v>1000</v>
      </c>
      <c r="M22" s="9"/>
      <c r="N22" s="9" t="s">
        <v>982</v>
      </c>
      <c r="O22" s="9" t="n">
        <v>2.45</v>
      </c>
    </row>
    <row r="23" customFormat="false" ht="15.75" hidden="false" customHeight="true" outlineLevel="0" collapsed="false">
      <c r="I23" s="182" t="n">
        <v>45832</v>
      </c>
      <c r="J23" s="9"/>
      <c r="K23" s="9"/>
      <c r="L23" s="9" t="n">
        <v>1000</v>
      </c>
      <c r="M23" s="9"/>
      <c r="N23" s="9" t="s">
        <v>982</v>
      </c>
      <c r="O23" s="9" t="n">
        <v>2.45</v>
      </c>
    </row>
    <row r="24" customFormat="false" ht="15.75" hidden="false" customHeight="true" outlineLevel="0" collapsed="false">
      <c r="I24" s="182" t="n">
        <v>45832</v>
      </c>
      <c r="J24" s="9" t="n">
        <v>110</v>
      </c>
      <c r="K24" s="9" t="n">
        <v>20</v>
      </c>
      <c r="L24" s="9" t="n">
        <v>1000</v>
      </c>
      <c r="M24" s="9"/>
      <c r="N24" s="9" t="s">
        <v>982</v>
      </c>
      <c r="O24" s="9" t="n">
        <v>2.45</v>
      </c>
      <c r="Q24" s="185" t="s">
        <v>21</v>
      </c>
      <c r="R24" s="185" t="s">
        <v>52</v>
      </c>
      <c r="S24" s="185" t="s">
        <v>983</v>
      </c>
      <c r="T24" s="185"/>
      <c r="U24" s="19"/>
      <c r="V24" s="19"/>
      <c r="W24" s="19"/>
      <c r="X24" s="19"/>
    </row>
    <row r="25" customFormat="false" ht="15.75" hidden="false" customHeight="true" outlineLevel="0" collapsed="false">
      <c r="I25" s="182" t="n">
        <v>45832</v>
      </c>
      <c r="J25" s="9" t="n">
        <v>115</v>
      </c>
      <c r="K25" s="9" t="n">
        <v>5</v>
      </c>
      <c r="L25" s="9" t="n">
        <v>1000</v>
      </c>
      <c r="M25" s="9"/>
      <c r="N25" s="9" t="s">
        <v>982</v>
      </c>
      <c r="O25" s="9" t="n">
        <v>2.45</v>
      </c>
      <c r="Q25" s="108" t="n">
        <v>3</v>
      </c>
      <c r="R25" s="11" t="n">
        <v>80</v>
      </c>
      <c r="S25" s="11" t="n">
        <f aca="false">R25*Q25</f>
        <v>240</v>
      </c>
      <c r="T25" s="11" t="s">
        <v>30</v>
      </c>
      <c r="U25" s="12" t="n">
        <f aca="false">S122*S25</f>
        <v>0</v>
      </c>
      <c r="V25" s="11" t="s">
        <v>31</v>
      </c>
      <c r="W25" s="11" t="n">
        <f aca="false">(S122*(R25/1000))*S25</f>
        <v>0</v>
      </c>
      <c r="X25" s="11" t="s">
        <v>32</v>
      </c>
    </row>
    <row r="26" customFormat="false" ht="15.75" hidden="false" customHeight="true" outlineLevel="0" collapsed="false">
      <c r="I26" s="182" t="n">
        <v>45832</v>
      </c>
      <c r="J26" s="9" t="n">
        <v>120</v>
      </c>
      <c r="K26" s="9" t="n">
        <v>5</v>
      </c>
      <c r="L26" s="9" t="n">
        <v>1000</v>
      </c>
      <c r="M26" s="9"/>
      <c r="N26" s="9" t="s">
        <v>982</v>
      </c>
      <c r="O26" s="9" t="n">
        <v>2.45</v>
      </c>
      <c r="Q26" s="108" t="n">
        <v>4</v>
      </c>
      <c r="R26" s="11" t="n">
        <v>100</v>
      </c>
      <c r="S26" s="11" t="n">
        <f aca="false">R26*Q26</f>
        <v>400</v>
      </c>
      <c r="T26" s="11" t="s">
        <v>30</v>
      </c>
      <c r="U26" s="12" t="n">
        <f aca="false">S123*S26</f>
        <v>0</v>
      </c>
      <c r="V26" s="11" t="s">
        <v>31</v>
      </c>
      <c r="W26" s="11" t="n">
        <f aca="false">(S123*(R26/1000))*S26</f>
        <v>0</v>
      </c>
      <c r="X26" s="11" t="s">
        <v>32</v>
      </c>
    </row>
    <row r="27" customFormat="false" ht="15.75" hidden="false" customHeight="true" outlineLevel="0" collapsed="false">
      <c r="I27" s="182" t="n">
        <v>45832</v>
      </c>
      <c r="J27" s="9" t="n">
        <v>125</v>
      </c>
      <c r="K27" s="9" t="n">
        <v>5</v>
      </c>
      <c r="L27" s="9" t="n">
        <v>1000</v>
      </c>
      <c r="M27" s="9"/>
      <c r="N27" s="9" t="s">
        <v>982</v>
      </c>
      <c r="O27" s="9" t="n">
        <v>2.45</v>
      </c>
      <c r="Q27" s="108" t="n">
        <v>2</v>
      </c>
      <c r="R27" s="11" t="n">
        <v>110</v>
      </c>
      <c r="S27" s="11" t="n">
        <f aca="false">R27*Q27</f>
        <v>220</v>
      </c>
      <c r="T27" s="11" t="s">
        <v>30</v>
      </c>
      <c r="U27" s="12" t="n">
        <f aca="false">S124*S27</f>
        <v>0</v>
      </c>
      <c r="V27" s="11" t="s">
        <v>31</v>
      </c>
      <c r="W27" s="11" t="n">
        <f aca="false">(S124*(R27/1000))*S27</f>
        <v>0</v>
      </c>
      <c r="X27" s="11" t="s">
        <v>32</v>
      </c>
    </row>
    <row r="28" customFormat="false" ht="15.75" hidden="false" customHeight="true" outlineLevel="0" collapsed="false">
      <c r="I28" s="182" t="n">
        <v>45832</v>
      </c>
      <c r="J28" s="9" t="n">
        <v>130</v>
      </c>
      <c r="K28" s="9" t="n">
        <v>5</v>
      </c>
      <c r="L28" s="9" t="n">
        <v>1000</v>
      </c>
      <c r="M28" s="9"/>
      <c r="N28" s="9" t="s">
        <v>982</v>
      </c>
      <c r="O28" s="9" t="n">
        <v>2.45</v>
      </c>
      <c r="Q28" s="108" t="n">
        <v>1</v>
      </c>
      <c r="R28" s="11" t="n">
        <v>160</v>
      </c>
      <c r="S28" s="11" t="n">
        <f aca="false">R28*Q28</f>
        <v>160</v>
      </c>
      <c r="T28" s="11" t="s">
        <v>30</v>
      </c>
      <c r="U28" s="12" t="n">
        <f aca="false">S125*S28</f>
        <v>0</v>
      </c>
      <c r="V28" s="11" t="s">
        <v>31</v>
      </c>
      <c r="W28" s="11" t="n">
        <f aca="false">(S125*(R28/1000))*S28</f>
        <v>0</v>
      </c>
      <c r="X28" s="11" t="s">
        <v>32</v>
      </c>
    </row>
    <row r="29" customFormat="false" ht="15.75" hidden="false" customHeight="true" outlineLevel="0" collapsed="false">
      <c r="I29" s="182" t="n">
        <v>45832</v>
      </c>
      <c r="J29" s="9" t="n">
        <v>135</v>
      </c>
      <c r="K29" s="9" t="n">
        <v>5</v>
      </c>
      <c r="L29" s="9" t="n">
        <v>1000</v>
      </c>
      <c r="M29" s="9"/>
      <c r="N29" s="9" t="s">
        <v>982</v>
      </c>
      <c r="O29" s="9" t="n">
        <v>2.45</v>
      </c>
      <c r="S29" s="187" t="n">
        <f aca="false">SUM(S25:S28)</f>
        <v>1020</v>
      </c>
    </row>
    <row r="30" customFormat="false" ht="15.75" hidden="false" customHeight="true" outlineLevel="0" collapsed="false">
      <c r="I30" s="182" t="n">
        <v>45832</v>
      </c>
      <c r="J30" s="9" t="n">
        <v>140</v>
      </c>
      <c r="K30" s="9" t="n">
        <v>5</v>
      </c>
      <c r="L30" s="9" t="n">
        <v>1000</v>
      </c>
      <c r="M30" s="9"/>
      <c r="N30" s="9" t="s">
        <v>982</v>
      </c>
      <c r="O30" s="9" t="n">
        <v>2.45</v>
      </c>
    </row>
    <row r="31" customFormat="false" ht="15.75" hidden="false" customHeight="true" outlineLevel="0" collapsed="false">
      <c r="I31" s="182" t="n">
        <v>45338</v>
      </c>
      <c r="J31" s="9" t="n">
        <v>210</v>
      </c>
      <c r="K31" s="9" t="n">
        <v>30</v>
      </c>
      <c r="L31" s="9" t="n">
        <v>1000</v>
      </c>
      <c r="M31" s="9"/>
      <c r="N31" s="9" t="s">
        <v>982</v>
      </c>
      <c r="O31" s="9" t="n">
        <v>2.45</v>
      </c>
      <c r="Q31" s="108" t="n">
        <v>1</v>
      </c>
      <c r="R31" s="11" t="n">
        <v>110</v>
      </c>
      <c r="S31" s="11" t="n">
        <f aca="false">R31*Q31</f>
        <v>110</v>
      </c>
      <c r="T31" s="11" t="s">
        <v>30</v>
      </c>
      <c r="U31" s="12" t="n">
        <f aca="false">S128*S31</f>
        <v>0</v>
      </c>
      <c r="V31" s="11" t="s">
        <v>31</v>
      </c>
      <c r="W31" s="11" t="n">
        <f aca="false">(S128*(R31/1000))*S31</f>
        <v>0</v>
      </c>
      <c r="X31" s="11" t="s">
        <v>32</v>
      </c>
    </row>
    <row r="32" customFormat="false" ht="15.75" hidden="false" customHeight="true" outlineLevel="0" collapsed="false">
      <c r="Q32" s="108" t="n">
        <v>1</v>
      </c>
      <c r="R32" s="11" t="n">
        <v>130</v>
      </c>
      <c r="S32" s="11" t="n">
        <f aca="false">R32*Q32</f>
        <v>130</v>
      </c>
      <c r="T32" s="11" t="s">
        <v>30</v>
      </c>
      <c r="U32" s="12" t="n">
        <f aca="false">S130*S32</f>
        <v>0</v>
      </c>
      <c r="V32" s="11" t="s">
        <v>31</v>
      </c>
      <c r="W32" s="11" t="n">
        <f aca="false">(S130*(R32/1000))*S32</f>
        <v>0</v>
      </c>
      <c r="X32" s="11" t="s">
        <v>32</v>
      </c>
    </row>
    <row r="33" customFormat="false" ht="15.75" hidden="false" customHeight="true" outlineLevel="0" collapsed="false">
      <c r="I33" s="182" t="n">
        <v>45338</v>
      </c>
      <c r="J33" s="9" t="n">
        <v>220</v>
      </c>
      <c r="K33" s="9" t="n">
        <v>3</v>
      </c>
      <c r="L33" s="9" t="n">
        <v>1000</v>
      </c>
      <c r="M33" s="9"/>
      <c r="N33" s="9" t="s">
        <v>985</v>
      </c>
      <c r="Q33" s="108" t="n">
        <v>1</v>
      </c>
      <c r="R33" s="11" t="n">
        <v>160</v>
      </c>
      <c r="S33" s="11" t="n">
        <f aca="false">R33*Q33</f>
        <v>160</v>
      </c>
      <c r="T33" s="11" t="s">
        <v>30</v>
      </c>
      <c r="U33" s="12" t="n">
        <f aca="false">S132*S33</f>
        <v>0</v>
      </c>
      <c r="V33" s="11" t="s">
        <v>31</v>
      </c>
      <c r="W33" s="11" t="n">
        <f aca="false">(S132*(R33/1000))*S33</f>
        <v>0</v>
      </c>
      <c r="X33" s="11" t="s">
        <v>32</v>
      </c>
    </row>
    <row r="34" customFormat="false" ht="15.75" hidden="false" customHeight="true" outlineLevel="0" collapsed="false">
      <c r="I34" s="182" t="n">
        <v>45338</v>
      </c>
      <c r="J34" s="9" t="n">
        <v>210</v>
      </c>
      <c r="K34" s="9" t="n">
        <v>4</v>
      </c>
      <c r="L34" s="9" t="n">
        <v>1000</v>
      </c>
      <c r="M34" s="9"/>
      <c r="N34" s="9" t="s">
        <v>985</v>
      </c>
      <c r="Q34" s="108" t="n">
        <v>1</v>
      </c>
      <c r="R34" s="11" t="n">
        <v>200</v>
      </c>
      <c r="S34" s="11" t="n">
        <f aca="false">R34*Q34</f>
        <v>200</v>
      </c>
      <c r="T34" s="11" t="s">
        <v>30</v>
      </c>
      <c r="U34" s="12" t="n">
        <f aca="false">S133*S34</f>
        <v>0</v>
      </c>
      <c r="V34" s="11" t="s">
        <v>31</v>
      </c>
      <c r="W34" s="11" t="n">
        <f aca="false">(S133*(R34/1000))*S34</f>
        <v>0</v>
      </c>
      <c r="X34" s="11" t="s">
        <v>32</v>
      </c>
    </row>
    <row r="35" customFormat="false" ht="15.75" hidden="false" customHeight="true" outlineLevel="0" collapsed="false">
      <c r="Q35" s="108" t="n">
        <v>2</v>
      </c>
      <c r="R35" s="11" t="n">
        <v>210</v>
      </c>
      <c r="S35" s="11" t="n">
        <f aca="false">R35*Q35</f>
        <v>420</v>
      </c>
      <c r="T35" s="11" t="s">
        <v>30</v>
      </c>
      <c r="U35" s="12" t="n">
        <f aca="false">S134*S35</f>
        <v>0</v>
      </c>
      <c r="V35" s="11" t="s">
        <v>31</v>
      </c>
      <c r="W35" s="11" t="n">
        <f aca="false">(S134*(R35/1000))*S35</f>
        <v>0</v>
      </c>
      <c r="X35" s="11" t="s">
        <v>984</v>
      </c>
    </row>
    <row r="36" customFormat="false" ht="15.75" hidden="false" customHeight="true" outlineLevel="0" collapsed="false">
      <c r="S36" s="1" t="n">
        <v>1020</v>
      </c>
    </row>
    <row r="37" customFormat="false" ht="15.75" hidden="false" customHeight="true" outlineLevel="0" collapsed="false">
      <c r="I37" s="9" t="s">
        <v>76</v>
      </c>
      <c r="J37" s="9" t="s">
        <v>77</v>
      </c>
      <c r="K37" s="9" t="s">
        <v>78</v>
      </c>
      <c r="L37" s="9" t="s">
        <v>79</v>
      </c>
      <c r="M37" s="9"/>
    </row>
    <row r="38" customFormat="false" ht="15.75" hidden="false" customHeight="true" outlineLevel="0" collapsed="false">
      <c r="I38" s="182" t="n">
        <v>44973</v>
      </c>
      <c r="J38" s="9" t="n">
        <v>110</v>
      </c>
      <c r="K38" s="9" t="n">
        <v>8</v>
      </c>
      <c r="L38" s="9" t="n">
        <v>1000</v>
      </c>
      <c r="M38" s="9"/>
      <c r="N38" s="9" t="s">
        <v>986</v>
      </c>
      <c r="Q38" s="108" t="n">
        <v>1</v>
      </c>
      <c r="R38" s="11" t="n">
        <v>120</v>
      </c>
      <c r="S38" s="11" t="n">
        <f aca="false">R38*Q38</f>
        <v>120</v>
      </c>
      <c r="T38" s="11" t="s">
        <v>30</v>
      </c>
      <c r="U38" s="12" t="n">
        <f aca="false">S135*S38</f>
        <v>0</v>
      </c>
      <c r="V38" s="11" t="s">
        <v>31</v>
      </c>
      <c r="W38" s="11" t="n">
        <f aca="false">(S135*(R38/1000))*S38</f>
        <v>0</v>
      </c>
      <c r="X38" s="11" t="s">
        <v>32</v>
      </c>
    </row>
    <row r="39" customFormat="false" ht="15.75" hidden="false" customHeight="true" outlineLevel="0" collapsed="false">
      <c r="I39" s="182" t="n">
        <v>44973</v>
      </c>
      <c r="J39" s="9" t="n">
        <v>120</v>
      </c>
      <c r="K39" s="9" t="n">
        <v>1</v>
      </c>
      <c r="L39" s="9" t="n">
        <v>1000</v>
      </c>
      <c r="M39" s="9"/>
      <c r="N39" s="9" t="s">
        <v>986</v>
      </c>
      <c r="Q39" s="108" t="n">
        <v>3</v>
      </c>
      <c r="R39" s="11" t="n">
        <v>130</v>
      </c>
      <c r="S39" s="11" t="n">
        <f aca="false">R39*Q39</f>
        <v>390</v>
      </c>
      <c r="T39" s="11" t="s">
        <v>30</v>
      </c>
      <c r="U39" s="12" t="n">
        <f aca="false">S136*S39</f>
        <v>0</v>
      </c>
      <c r="V39" s="11" t="s">
        <v>31</v>
      </c>
      <c r="W39" s="11" t="n">
        <f aca="false">(S136*(R39/1000))*S39</f>
        <v>0</v>
      </c>
      <c r="X39" s="11" t="s">
        <v>32</v>
      </c>
    </row>
    <row r="40" customFormat="false" ht="15.75" hidden="false" customHeight="true" outlineLevel="0" collapsed="false">
      <c r="Q40" s="108" t="n">
        <v>2</v>
      </c>
      <c r="R40" s="11" t="n">
        <v>150</v>
      </c>
      <c r="S40" s="11" t="n">
        <f aca="false">R40*Q40</f>
        <v>300</v>
      </c>
      <c r="T40" s="11" t="s">
        <v>30</v>
      </c>
      <c r="U40" s="12" t="n">
        <f aca="false">S137*S40</f>
        <v>0</v>
      </c>
      <c r="V40" s="11" t="s">
        <v>31</v>
      </c>
      <c r="W40" s="11" t="n">
        <f aca="false">(S137*(R40/1000))*S40</f>
        <v>0</v>
      </c>
      <c r="X40" s="11" t="s">
        <v>32</v>
      </c>
    </row>
    <row r="41" customFormat="false" ht="15.75" hidden="false" customHeight="true" outlineLevel="0" collapsed="false">
      <c r="I41" s="10" t="s">
        <v>76</v>
      </c>
      <c r="J41" s="10" t="s">
        <v>77</v>
      </c>
      <c r="K41" s="10" t="s">
        <v>78</v>
      </c>
      <c r="L41" s="10" t="s">
        <v>79</v>
      </c>
      <c r="M41" s="10" t="s">
        <v>80</v>
      </c>
      <c r="N41" s="108"/>
      <c r="Q41" s="108" t="n">
        <v>1</v>
      </c>
      <c r="R41" s="11" t="n">
        <v>210</v>
      </c>
      <c r="S41" s="11" t="n">
        <f aca="false">R41*Q41</f>
        <v>210</v>
      </c>
      <c r="T41" s="11" t="s">
        <v>30</v>
      </c>
      <c r="U41" s="12" t="n">
        <f aca="false">S140*S41</f>
        <v>0</v>
      </c>
      <c r="V41" s="11" t="s">
        <v>31</v>
      </c>
      <c r="W41" s="11" t="n">
        <f aca="false">(S140*(R41/1000))*S41</f>
        <v>0</v>
      </c>
      <c r="X41" s="11" t="s">
        <v>984</v>
      </c>
    </row>
    <row r="42" customFormat="false" ht="15.75" hidden="false" customHeight="true" outlineLevel="0" collapsed="false">
      <c r="I42" s="115" t="n">
        <v>45854</v>
      </c>
      <c r="J42" s="10" t="n">
        <v>95</v>
      </c>
      <c r="K42" s="10" t="n">
        <v>2</v>
      </c>
      <c r="L42" s="10" t="n">
        <v>1000</v>
      </c>
      <c r="M42" s="10" t="n">
        <f aca="false">J42*K42</f>
        <v>190</v>
      </c>
      <c r="N42" s="10" t="s">
        <v>987</v>
      </c>
      <c r="S42" s="1" t="n">
        <v>1020</v>
      </c>
    </row>
    <row r="43" customFormat="false" ht="15.75" hidden="false" customHeight="true" outlineLevel="0" collapsed="false">
      <c r="I43" s="115" t="n">
        <v>45854</v>
      </c>
      <c r="J43" s="10" t="n">
        <v>100</v>
      </c>
      <c r="K43" s="10" t="n">
        <v>2</v>
      </c>
      <c r="L43" s="10" t="n">
        <v>1000</v>
      </c>
      <c r="M43" s="10" t="n">
        <f aca="false">J43*K43</f>
        <v>200</v>
      </c>
      <c r="N43" s="10" t="s">
        <v>987</v>
      </c>
    </row>
    <row r="44" customFormat="false" ht="15.75" hidden="false" customHeight="true" outlineLevel="0" collapsed="false">
      <c r="I44" s="115" t="n">
        <v>45854</v>
      </c>
      <c r="J44" s="10" t="n">
        <v>180</v>
      </c>
      <c r="K44" s="10" t="n">
        <v>1</v>
      </c>
      <c r="L44" s="10" t="n">
        <v>1000</v>
      </c>
      <c r="M44" s="10" t="n">
        <f aca="false">J44*K44</f>
        <v>180</v>
      </c>
      <c r="N44" s="10" t="s">
        <v>987</v>
      </c>
      <c r="Q44" s="108" t="n">
        <v>1</v>
      </c>
      <c r="R44" s="11" t="n">
        <v>130</v>
      </c>
      <c r="S44" s="11" t="n">
        <f aca="false">R44*Q44</f>
        <v>130</v>
      </c>
      <c r="T44" s="11" t="s">
        <v>30</v>
      </c>
      <c r="U44" s="12" t="n">
        <f aca="false">S141*S44</f>
        <v>0</v>
      </c>
      <c r="V44" s="11" t="s">
        <v>31</v>
      </c>
      <c r="W44" s="11" t="n">
        <f aca="false">(S141*(R44/1000))*S44</f>
        <v>0</v>
      </c>
      <c r="X44" s="11" t="s">
        <v>32</v>
      </c>
    </row>
    <row r="45" customFormat="false" ht="15.75" hidden="false" customHeight="true" outlineLevel="0" collapsed="false">
      <c r="I45" s="115" t="n">
        <v>45854</v>
      </c>
      <c r="J45" s="10" t="n">
        <v>210</v>
      </c>
      <c r="K45" s="10" t="n">
        <v>1</v>
      </c>
      <c r="L45" s="10" t="n">
        <v>1000</v>
      </c>
      <c r="M45" s="10" t="n">
        <f aca="false">J45*K45</f>
        <v>210</v>
      </c>
      <c r="N45" s="10" t="s">
        <v>987</v>
      </c>
      <c r="Q45" s="108" t="n">
        <v>3</v>
      </c>
      <c r="R45" s="11" t="n">
        <v>160</v>
      </c>
      <c r="S45" s="11" t="n">
        <f aca="false">R45*Q45</f>
        <v>480</v>
      </c>
      <c r="T45" s="11" t="s">
        <v>30</v>
      </c>
      <c r="U45" s="12" t="n">
        <f aca="false">S143*S45</f>
        <v>0</v>
      </c>
      <c r="V45" s="11" t="s">
        <v>31</v>
      </c>
      <c r="W45" s="11" t="n">
        <f aca="false">(S143*(R45/1000))*S45</f>
        <v>0</v>
      </c>
      <c r="X45" s="11" t="s">
        <v>32</v>
      </c>
    </row>
    <row r="46" customFormat="false" ht="15.75" hidden="false" customHeight="true" outlineLevel="0" collapsed="false">
      <c r="I46" s="115" t="n">
        <v>45854</v>
      </c>
      <c r="J46" s="10" t="n">
        <v>220</v>
      </c>
      <c r="K46" s="10" t="n">
        <v>1</v>
      </c>
      <c r="L46" s="10" t="n">
        <v>1000</v>
      </c>
      <c r="M46" s="10" t="n">
        <f aca="false">J46*K46</f>
        <v>220</v>
      </c>
      <c r="N46" s="10" t="s">
        <v>987</v>
      </c>
      <c r="Q46" s="108" t="n">
        <v>1</v>
      </c>
      <c r="R46" s="11" t="n">
        <v>200</v>
      </c>
      <c r="S46" s="11" t="n">
        <f aca="false">R46*Q46</f>
        <v>200</v>
      </c>
      <c r="T46" s="11" t="s">
        <v>30</v>
      </c>
      <c r="U46" s="12" t="n">
        <f aca="false">S144*S46</f>
        <v>0</v>
      </c>
      <c r="V46" s="11" t="s">
        <v>31</v>
      </c>
      <c r="W46" s="11" t="n">
        <f aca="false">(S144*(R46/1000))*S46</f>
        <v>0</v>
      </c>
      <c r="X46" s="11" t="s">
        <v>32</v>
      </c>
    </row>
    <row r="47" customFormat="false" ht="15.75" hidden="false" customHeight="true" outlineLevel="0" collapsed="false">
      <c r="I47" s="55"/>
      <c r="J47" s="55"/>
      <c r="K47" s="55"/>
      <c r="L47" s="55"/>
      <c r="M47" s="117" t="n">
        <f aca="false">SUM(M42:M46)</f>
        <v>1000</v>
      </c>
      <c r="N47" s="55"/>
      <c r="Q47" s="108" t="n">
        <v>1</v>
      </c>
      <c r="R47" s="11" t="n">
        <v>210</v>
      </c>
      <c r="S47" s="11" t="n">
        <f aca="false">R47*Q47</f>
        <v>210</v>
      </c>
      <c r="T47" s="11" t="s">
        <v>30</v>
      </c>
      <c r="U47" s="12" t="n">
        <f aca="false">S145*S47</f>
        <v>0</v>
      </c>
      <c r="V47" s="11" t="s">
        <v>31</v>
      </c>
      <c r="W47" s="11" t="n">
        <f aca="false">(S145*(R47/1000))*S47</f>
        <v>0</v>
      </c>
      <c r="X47" s="11" t="s">
        <v>984</v>
      </c>
    </row>
    <row r="48" customFormat="false" ht="15.75" hidden="false" customHeight="true" outlineLevel="0" collapsed="false">
      <c r="I48" s="55"/>
      <c r="J48" s="55"/>
      <c r="K48" s="55"/>
      <c r="L48" s="55"/>
      <c r="M48" s="55"/>
      <c r="N48" s="55"/>
      <c r="S48" s="1" t="n">
        <v>1020</v>
      </c>
    </row>
    <row r="51" customFormat="false" ht="15.75" hidden="false" customHeight="true" outlineLevel="0" collapsed="false">
      <c r="I51" s="10" t="s">
        <v>76</v>
      </c>
      <c r="J51" s="10" t="s">
        <v>77</v>
      </c>
      <c r="K51" s="10" t="s">
        <v>78</v>
      </c>
      <c r="L51" s="10" t="s">
        <v>79</v>
      </c>
      <c r="M51" s="10" t="s">
        <v>80</v>
      </c>
      <c r="N51" s="108"/>
    </row>
    <row r="52" customFormat="false" ht="15.75" hidden="false" customHeight="true" outlineLevel="0" collapsed="false">
      <c r="I52" s="115" t="n">
        <v>45854</v>
      </c>
      <c r="J52" s="10" t="n">
        <v>220</v>
      </c>
      <c r="K52" s="10" t="n">
        <v>3</v>
      </c>
      <c r="L52" s="10" t="n">
        <v>1000</v>
      </c>
      <c r="M52" s="10" t="n">
        <f aca="false">J52*K52</f>
        <v>660</v>
      </c>
      <c r="N52" s="10" t="s">
        <v>987</v>
      </c>
      <c r="Q52" s="108" t="s">
        <v>988</v>
      </c>
      <c r="R52" s="108" t="s">
        <v>989</v>
      </c>
      <c r="S52" s="108" t="s">
        <v>990</v>
      </c>
      <c r="T52" s="108"/>
      <c r="U52" s="108"/>
      <c r="V52" s="108"/>
      <c r="W52" s="108"/>
      <c r="X52" s="108" t="s">
        <v>991</v>
      </c>
    </row>
    <row r="53" customFormat="false" ht="15.75" hidden="false" customHeight="true" outlineLevel="0" collapsed="false">
      <c r="I53" s="115" t="n">
        <v>45854</v>
      </c>
      <c r="J53" s="10" t="n">
        <v>250</v>
      </c>
      <c r="K53" s="10" t="n">
        <v>1</v>
      </c>
      <c r="L53" s="10" t="n">
        <v>1000</v>
      </c>
      <c r="M53" s="10" t="n">
        <f aca="false">J53*K53</f>
        <v>250</v>
      </c>
      <c r="N53" s="10" t="s">
        <v>987</v>
      </c>
      <c r="Q53" s="108" t="n">
        <v>3</v>
      </c>
      <c r="R53" s="11" t="n">
        <v>100</v>
      </c>
      <c r="S53" s="11" t="n">
        <f aca="false">R53*Q53</f>
        <v>300</v>
      </c>
      <c r="T53" s="11" t="s">
        <v>19</v>
      </c>
      <c r="U53" s="12" t="n">
        <f aca="false">S149*S53</f>
        <v>0</v>
      </c>
      <c r="V53" s="11" t="s">
        <v>31</v>
      </c>
      <c r="W53" s="11" t="n">
        <f aca="false">(S149*(R53/1000))*S53</f>
        <v>0</v>
      </c>
      <c r="X53" s="188" t="s">
        <v>16</v>
      </c>
    </row>
    <row r="54" customFormat="false" ht="15.75" hidden="false" customHeight="true" outlineLevel="0" collapsed="false">
      <c r="I54" s="115" t="n">
        <v>45854</v>
      </c>
      <c r="J54" s="10" t="n">
        <v>90</v>
      </c>
      <c r="K54" s="10" t="n">
        <v>1</v>
      </c>
      <c r="L54" s="10" t="n">
        <v>1000</v>
      </c>
      <c r="M54" s="10" t="n">
        <f aca="false">J54*K54</f>
        <v>90</v>
      </c>
      <c r="N54" s="10" t="s">
        <v>987</v>
      </c>
      <c r="Q54" s="108" t="n">
        <v>2</v>
      </c>
      <c r="R54" s="11" t="n">
        <v>105</v>
      </c>
      <c r="S54" s="11" t="n">
        <f aca="false">R54*Q54</f>
        <v>210</v>
      </c>
      <c r="T54" s="11" t="s">
        <v>19</v>
      </c>
      <c r="U54" s="12" t="n">
        <f aca="false">S151*S54</f>
        <v>0</v>
      </c>
      <c r="V54" s="11" t="s">
        <v>31</v>
      </c>
      <c r="W54" s="11" t="n">
        <f aca="false">(S151*(R54/1000))*S54</f>
        <v>0</v>
      </c>
      <c r="X54" s="188" t="s">
        <v>16</v>
      </c>
    </row>
    <row r="55" customFormat="false" ht="15.75" hidden="false" customHeight="true" outlineLevel="0" collapsed="false">
      <c r="I55" s="55"/>
      <c r="J55" s="55"/>
      <c r="K55" s="55"/>
      <c r="L55" s="55"/>
      <c r="M55" s="117" t="n">
        <f aca="false">SUM(M52:M54)</f>
        <v>1000</v>
      </c>
      <c r="N55" s="55"/>
      <c r="Q55" s="108" t="n">
        <v>3</v>
      </c>
      <c r="R55" s="11" t="n">
        <v>120</v>
      </c>
      <c r="S55" s="11" t="n">
        <f aca="false">R55*Q55</f>
        <v>360</v>
      </c>
      <c r="T55" s="11" t="s">
        <v>19</v>
      </c>
      <c r="U55" s="12" t="n">
        <f aca="false">S152*S55</f>
        <v>0</v>
      </c>
      <c r="V55" s="11" t="s">
        <v>31</v>
      </c>
      <c r="W55" s="11" t="n">
        <f aca="false">(S152*(R55/1000))*S55</f>
        <v>0</v>
      </c>
      <c r="X55" s="188" t="s">
        <v>16</v>
      </c>
    </row>
    <row r="56" customFormat="false" ht="15.75" hidden="false" customHeight="true" outlineLevel="0" collapsed="false">
      <c r="I56" s="55"/>
      <c r="J56" s="55"/>
      <c r="K56" s="55"/>
      <c r="L56" s="55"/>
      <c r="M56" s="117"/>
      <c r="N56" s="55"/>
      <c r="Q56" s="108" t="n">
        <v>1</v>
      </c>
      <c r="R56" s="11" t="n">
        <v>130</v>
      </c>
      <c r="S56" s="11" t="n">
        <f aca="false">R56*Q56</f>
        <v>130</v>
      </c>
      <c r="T56" s="11" t="s">
        <v>19</v>
      </c>
      <c r="U56" s="12" t="n">
        <f aca="false">S153*S56</f>
        <v>0</v>
      </c>
      <c r="V56" s="11" t="s">
        <v>31</v>
      </c>
      <c r="W56" s="11" t="n">
        <f aca="false">(S153*(R56/1000))*S56</f>
        <v>0</v>
      </c>
      <c r="X56" s="188" t="s">
        <v>16</v>
      </c>
    </row>
    <row r="57" customFormat="false" ht="15.75" hidden="false" customHeight="true" outlineLevel="0" collapsed="false">
      <c r="Q57" s="108"/>
      <c r="R57" s="108"/>
      <c r="S57" s="11" t="n">
        <f aca="false">SUM(S53:S56)</f>
        <v>1000</v>
      </c>
      <c r="T57" s="11"/>
      <c r="U57" s="108"/>
      <c r="V57" s="108"/>
      <c r="W57" s="108"/>
      <c r="X57" s="108"/>
    </row>
    <row r="58" customFormat="false" ht="15.75" hidden="false" customHeight="true" outlineLevel="0" collapsed="false"/>
    <row r="59" customFormat="false" ht="15.75" hidden="false" customHeight="true" outlineLevel="0" collapsed="false">
      <c r="I59" s="10" t="s">
        <v>76</v>
      </c>
      <c r="J59" s="10" t="s">
        <v>77</v>
      </c>
      <c r="K59" s="10" t="s">
        <v>78</v>
      </c>
      <c r="L59" s="10" t="s">
        <v>79</v>
      </c>
      <c r="M59" s="10" t="s">
        <v>80</v>
      </c>
      <c r="N59" s="19"/>
    </row>
    <row r="60" customFormat="false" ht="15.75" hidden="false" customHeight="true" outlineLevel="0" collapsed="false">
      <c r="I60" s="186" t="n">
        <v>45806</v>
      </c>
      <c r="J60" s="18" t="n">
        <v>65</v>
      </c>
      <c r="K60" s="18" t="n">
        <v>2</v>
      </c>
      <c r="L60" s="18" t="n">
        <v>1000</v>
      </c>
      <c r="M60" s="18" t="n">
        <f aca="false">J60*K60</f>
        <v>130</v>
      </c>
      <c r="N60" s="11" t="s">
        <v>113</v>
      </c>
    </row>
    <row r="61" customFormat="false" ht="15.75" hidden="false" customHeight="true" outlineLevel="0" collapsed="false">
      <c r="I61" s="186" t="n">
        <v>45806</v>
      </c>
      <c r="J61" s="18" t="n">
        <v>100</v>
      </c>
      <c r="K61" s="18" t="n">
        <v>3</v>
      </c>
      <c r="L61" s="18" t="n">
        <v>1000</v>
      </c>
      <c r="M61" s="18" t="n">
        <f aca="false">J61*K61</f>
        <v>300</v>
      </c>
      <c r="N61" s="11" t="s">
        <v>113</v>
      </c>
    </row>
    <row r="62" customFormat="false" ht="15.75" hidden="false" customHeight="true" outlineLevel="0" collapsed="false">
      <c r="I62" s="186" t="n">
        <v>45806</v>
      </c>
      <c r="J62" s="18" t="n">
        <v>110</v>
      </c>
      <c r="K62" s="18" t="n">
        <v>4</v>
      </c>
      <c r="L62" s="18" t="n">
        <v>1000</v>
      </c>
      <c r="M62" s="18" t="n">
        <f aca="false">J62*K62</f>
        <v>440</v>
      </c>
      <c r="N62" s="11" t="s">
        <v>113</v>
      </c>
    </row>
    <row r="63" customFormat="false" ht="15.75" hidden="false" customHeight="true" outlineLevel="0" collapsed="false">
      <c r="I63" s="186" t="n">
        <v>45806</v>
      </c>
      <c r="J63" s="18" t="n">
        <v>130</v>
      </c>
      <c r="K63" s="18" t="n">
        <v>1</v>
      </c>
      <c r="L63" s="18" t="n">
        <v>1000</v>
      </c>
      <c r="M63" s="18" t="n">
        <f aca="false">J63*K63</f>
        <v>130</v>
      </c>
      <c r="N63" s="11" t="s">
        <v>113</v>
      </c>
    </row>
    <row r="64" customFormat="false" ht="15.75" hidden="false" customHeight="true" outlineLevel="0" collapsed="false">
      <c r="I64" s="186" t="n">
        <v>45806</v>
      </c>
      <c r="J64" s="18"/>
      <c r="K64" s="18"/>
      <c r="L64" s="18" t="n">
        <v>1000</v>
      </c>
      <c r="M64" s="18" t="n">
        <f aca="false">J64*K64</f>
        <v>0</v>
      </c>
      <c r="N64" s="11" t="s">
        <v>113</v>
      </c>
    </row>
    <row r="65" customFormat="false" ht="15.75" hidden="false" customHeight="true" outlineLevel="0" collapsed="false">
      <c r="I65" s="186" t="n">
        <v>45806</v>
      </c>
      <c r="J65" s="18"/>
      <c r="K65" s="18"/>
      <c r="L65" s="18" t="n">
        <v>1000</v>
      </c>
      <c r="M65" s="18" t="n">
        <f aca="false">J65*K65</f>
        <v>0</v>
      </c>
      <c r="N65" s="11" t="s">
        <v>113</v>
      </c>
    </row>
    <row r="66" customFormat="false" ht="15.75" hidden="false" customHeight="true" outlineLevel="0" collapsed="false">
      <c r="M66" s="174" t="n">
        <f aca="false">SUM(M60:M65)</f>
        <v>1000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>
      <c r="I69" s="10" t="s">
        <v>76</v>
      </c>
      <c r="J69" s="10" t="s">
        <v>77</v>
      </c>
      <c r="K69" s="10" t="s">
        <v>78</v>
      </c>
      <c r="L69" s="10" t="s">
        <v>79</v>
      </c>
      <c r="M69" s="10" t="s">
        <v>80</v>
      </c>
      <c r="N69" s="19"/>
    </row>
    <row r="70" customFormat="false" ht="15.75" hidden="false" customHeight="true" outlineLevel="0" collapsed="false">
      <c r="I70" s="186" t="n">
        <v>45806</v>
      </c>
      <c r="J70" s="18" t="n">
        <v>85</v>
      </c>
      <c r="K70" s="18" t="n">
        <v>2</v>
      </c>
      <c r="L70" s="18" t="n">
        <v>1000</v>
      </c>
      <c r="M70" s="18" t="n">
        <f aca="false">J70*K70</f>
        <v>170</v>
      </c>
      <c r="N70" s="11" t="s">
        <v>113</v>
      </c>
    </row>
    <row r="71" customFormat="false" ht="15.75" hidden="false" customHeight="true" outlineLevel="0" collapsed="false">
      <c r="I71" s="186" t="n">
        <v>45806</v>
      </c>
      <c r="J71" s="18" t="n">
        <v>120</v>
      </c>
      <c r="K71" s="18" t="n">
        <v>3</v>
      </c>
      <c r="L71" s="18" t="n">
        <v>1000</v>
      </c>
      <c r="M71" s="18" t="n">
        <f aca="false">J71*K71</f>
        <v>360</v>
      </c>
      <c r="N71" s="11" t="s">
        <v>113</v>
      </c>
    </row>
    <row r="72" customFormat="false" ht="15.75" hidden="false" customHeight="true" outlineLevel="0" collapsed="false">
      <c r="I72" s="186" t="n">
        <v>45806</v>
      </c>
      <c r="J72" s="18" t="n">
        <v>130</v>
      </c>
      <c r="K72" s="18" t="n">
        <v>2</v>
      </c>
      <c r="L72" s="18" t="n">
        <v>1000</v>
      </c>
      <c r="M72" s="18" t="n">
        <f aca="false">J72*K72</f>
        <v>260</v>
      </c>
      <c r="N72" s="11" t="s">
        <v>113</v>
      </c>
    </row>
    <row r="73" customFormat="false" ht="15.75" hidden="false" customHeight="true" outlineLevel="0" collapsed="false">
      <c r="I73" s="186" t="n">
        <v>45806</v>
      </c>
      <c r="J73" s="18" t="n">
        <v>110</v>
      </c>
      <c r="K73" s="18" t="n">
        <v>1</v>
      </c>
      <c r="L73" s="18" t="n">
        <v>1000</v>
      </c>
      <c r="M73" s="18" t="n">
        <f aca="false">J73*K73</f>
        <v>110</v>
      </c>
      <c r="N73" s="11" t="s">
        <v>113</v>
      </c>
    </row>
    <row r="74" customFormat="false" ht="15.75" hidden="false" customHeight="true" outlineLevel="0" collapsed="false">
      <c r="I74" s="186" t="n">
        <v>45806</v>
      </c>
      <c r="J74" s="18" t="n">
        <v>100</v>
      </c>
      <c r="K74" s="18" t="n">
        <v>1</v>
      </c>
      <c r="L74" s="18" t="n">
        <v>1000</v>
      </c>
      <c r="M74" s="18" t="n">
        <f aca="false">J74*K74</f>
        <v>100</v>
      </c>
      <c r="N74" s="11" t="s">
        <v>113</v>
      </c>
    </row>
    <row r="75" customFormat="false" ht="15.75" hidden="false" customHeight="true" outlineLevel="0" collapsed="false">
      <c r="I75" s="186" t="n">
        <v>45806</v>
      </c>
      <c r="J75" s="18"/>
      <c r="K75" s="18"/>
      <c r="L75" s="18" t="n">
        <v>1000</v>
      </c>
      <c r="M75" s="18" t="n">
        <f aca="false">J75*K75</f>
        <v>0</v>
      </c>
      <c r="N75" s="11" t="s">
        <v>113</v>
      </c>
    </row>
    <row r="76" customFormat="false" ht="15.75" hidden="false" customHeight="true" outlineLevel="0" collapsed="false">
      <c r="M76" s="174" t="n">
        <f aca="false">SUM(M70:M75)</f>
        <v>1000</v>
      </c>
    </row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>
      <c r="I79" s="10" t="s">
        <v>76</v>
      </c>
      <c r="J79" s="10" t="s">
        <v>77</v>
      </c>
      <c r="K79" s="10" t="s">
        <v>78</v>
      </c>
      <c r="L79" s="10" t="s">
        <v>79</v>
      </c>
      <c r="M79" s="10" t="s">
        <v>80</v>
      </c>
      <c r="N79" s="19"/>
    </row>
    <row r="80" customFormat="false" ht="15.75" hidden="false" customHeight="true" outlineLevel="0" collapsed="false">
      <c r="I80" s="186" t="n">
        <v>45847</v>
      </c>
      <c r="J80" s="18" t="n">
        <v>110</v>
      </c>
      <c r="K80" s="18" t="n">
        <v>8</v>
      </c>
      <c r="L80" s="18" t="n">
        <v>1000</v>
      </c>
      <c r="M80" s="18" t="n">
        <f aca="false">J80*K80</f>
        <v>880</v>
      </c>
      <c r="N80" s="11" t="s">
        <v>113</v>
      </c>
    </row>
    <row r="81" customFormat="false" ht="15.75" hidden="false" customHeight="true" outlineLevel="0" collapsed="false">
      <c r="I81" s="186" t="n">
        <v>45847</v>
      </c>
      <c r="J81" s="18" t="n">
        <v>1</v>
      </c>
      <c r="K81" s="18" t="n">
        <v>120</v>
      </c>
      <c r="L81" s="18" t="n">
        <v>1000</v>
      </c>
      <c r="M81" s="18" t="n">
        <f aca="false">J81*K81</f>
        <v>120</v>
      </c>
      <c r="N81" s="11" t="s">
        <v>113</v>
      </c>
    </row>
    <row r="82" customFormat="false" ht="15.75" hidden="false" customHeight="true" outlineLevel="0" collapsed="false">
      <c r="I82" s="186" t="n">
        <v>45847</v>
      </c>
      <c r="J82" s="18"/>
      <c r="K82" s="18"/>
      <c r="L82" s="18" t="n">
        <v>1000</v>
      </c>
      <c r="M82" s="18" t="n">
        <f aca="false">J82*K82</f>
        <v>0</v>
      </c>
      <c r="N82" s="11" t="s">
        <v>113</v>
      </c>
    </row>
    <row r="83" customFormat="false" ht="15.75" hidden="false" customHeight="true" outlineLevel="0" collapsed="false">
      <c r="I83" s="186" t="n">
        <v>45847</v>
      </c>
      <c r="J83" s="18"/>
      <c r="K83" s="18"/>
      <c r="L83" s="18" t="n">
        <v>1000</v>
      </c>
      <c r="M83" s="18" t="n">
        <f aca="false">J83*K83</f>
        <v>0</v>
      </c>
      <c r="N83" s="11" t="s">
        <v>113</v>
      </c>
    </row>
    <row r="84" customFormat="false" ht="15.75" hidden="false" customHeight="true" outlineLevel="0" collapsed="false">
      <c r="I84" s="186" t="n">
        <v>45847</v>
      </c>
      <c r="J84" s="18"/>
      <c r="K84" s="18"/>
      <c r="L84" s="18" t="n">
        <v>1000</v>
      </c>
      <c r="M84" s="18" t="n">
        <f aca="false">J84*K84</f>
        <v>0</v>
      </c>
      <c r="N84" s="11" t="s">
        <v>113</v>
      </c>
    </row>
    <row r="85" customFormat="false" ht="15.75" hidden="false" customHeight="true" outlineLevel="0" collapsed="false">
      <c r="I85" s="186" t="n">
        <v>45847</v>
      </c>
      <c r="J85" s="18"/>
      <c r="K85" s="18"/>
      <c r="L85" s="18" t="n">
        <v>1000</v>
      </c>
      <c r="M85" s="18" t="n">
        <f aca="false">J85*K85</f>
        <v>0</v>
      </c>
      <c r="N85" s="11" t="s">
        <v>113</v>
      </c>
    </row>
    <row r="86" customFormat="false" ht="15.75" hidden="false" customHeight="true" outlineLevel="0" collapsed="false">
      <c r="M86" s="174" t="n">
        <f aca="false">SUM(M80:M85)</f>
        <v>1000</v>
      </c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>
      <c r="I89" s="10" t="s">
        <v>76</v>
      </c>
      <c r="J89" s="10" t="s">
        <v>77</v>
      </c>
      <c r="K89" s="10" t="s">
        <v>78</v>
      </c>
      <c r="L89" s="10" t="s">
        <v>79</v>
      </c>
      <c r="M89" s="10" t="s">
        <v>80</v>
      </c>
      <c r="N89" s="19"/>
    </row>
    <row r="90" customFormat="false" ht="15.75" hidden="false" customHeight="true" outlineLevel="0" collapsed="false">
      <c r="I90" s="186" t="n">
        <v>45847</v>
      </c>
      <c r="J90" s="18" t="n">
        <v>110</v>
      </c>
      <c r="K90" s="18" t="n">
        <v>8</v>
      </c>
      <c r="L90" s="18" t="n">
        <v>1000</v>
      </c>
      <c r="M90" s="18" t="n">
        <f aca="false">J90*K90</f>
        <v>880</v>
      </c>
      <c r="N90" s="11" t="s">
        <v>113</v>
      </c>
    </row>
    <row r="91" customFormat="false" ht="15.75" hidden="false" customHeight="true" outlineLevel="0" collapsed="false">
      <c r="I91" s="186" t="n">
        <v>45847</v>
      </c>
      <c r="J91" s="18" t="n">
        <v>1</v>
      </c>
      <c r="K91" s="18" t="n">
        <v>120</v>
      </c>
      <c r="L91" s="18" t="n">
        <v>1000</v>
      </c>
      <c r="M91" s="18" t="n">
        <f aca="false">J91*K91</f>
        <v>120</v>
      </c>
      <c r="N91" s="11" t="s">
        <v>113</v>
      </c>
    </row>
    <row r="92" customFormat="false" ht="15.75" hidden="false" customHeight="true" outlineLevel="0" collapsed="false">
      <c r="I92" s="186" t="n">
        <v>45847</v>
      </c>
      <c r="J92" s="18"/>
      <c r="K92" s="18"/>
      <c r="L92" s="18" t="n">
        <v>1000</v>
      </c>
      <c r="M92" s="18" t="n">
        <f aca="false">J92*K92</f>
        <v>0</v>
      </c>
      <c r="N92" s="11" t="s">
        <v>113</v>
      </c>
    </row>
    <row r="93" customFormat="false" ht="15.75" hidden="false" customHeight="true" outlineLevel="0" collapsed="false">
      <c r="I93" s="186" t="n">
        <v>45847</v>
      </c>
      <c r="J93" s="18"/>
      <c r="K93" s="18"/>
      <c r="L93" s="18" t="n">
        <v>1000</v>
      </c>
      <c r="M93" s="18" t="n">
        <f aca="false">J93*K93</f>
        <v>0</v>
      </c>
      <c r="N93" s="11" t="s">
        <v>113</v>
      </c>
    </row>
    <row r="94" customFormat="false" ht="15.75" hidden="false" customHeight="true" outlineLevel="0" collapsed="false">
      <c r="I94" s="186" t="n">
        <v>45847</v>
      </c>
      <c r="J94" s="18"/>
      <c r="K94" s="18"/>
      <c r="L94" s="18" t="n">
        <v>1000</v>
      </c>
      <c r="M94" s="18" t="n">
        <f aca="false">J94*K94</f>
        <v>0</v>
      </c>
      <c r="N94" s="11" t="s">
        <v>113</v>
      </c>
    </row>
    <row r="95" customFormat="false" ht="15.75" hidden="false" customHeight="true" outlineLevel="0" collapsed="false">
      <c r="I95" s="186" t="n">
        <v>45847</v>
      </c>
      <c r="J95" s="18"/>
      <c r="K95" s="18"/>
      <c r="L95" s="18" t="n">
        <v>1000</v>
      </c>
      <c r="M95" s="18" t="n">
        <f aca="false">J95*K95</f>
        <v>0</v>
      </c>
      <c r="N95" s="11" t="s">
        <v>113</v>
      </c>
    </row>
    <row r="96" customFormat="false" ht="15.75" hidden="false" customHeight="true" outlineLevel="0" collapsed="false">
      <c r="M96" s="174" t="n">
        <f aca="false">SUM(M90:M95)</f>
        <v>1000</v>
      </c>
    </row>
    <row r="99" customFormat="false" ht="15.75" hidden="false" customHeight="true" outlineLevel="0" collapsed="false">
      <c r="I99" s="10" t="s">
        <v>76</v>
      </c>
      <c r="J99" s="10" t="s">
        <v>77</v>
      </c>
      <c r="K99" s="10" t="s">
        <v>78</v>
      </c>
      <c r="L99" s="10" t="s">
        <v>79</v>
      </c>
      <c r="M99" s="10" t="s">
        <v>80</v>
      </c>
      <c r="N99" s="19"/>
    </row>
    <row r="100" customFormat="false" ht="15.75" hidden="false" customHeight="true" outlineLevel="0" collapsed="false">
      <c r="I100" s="186" t="n">
        <v>45847</v>
      </c>
      <c r="J100" s="18" t="n">
        <v>120</v>
      </c>
      <c r="K100" s="18" t="n">
        <v>2</v>
      </c>
      <c r="L100" s="18" t="n">
        <v>1000</v>
      </c>
      <c r="M100" s="18" t="n">
        <f aca="false">J100*K100</f>
        <v>240</v>
      </c>
      <c r="N100" s="11" t="s">
        <v>113</v>
      </c>
    </row>
    <row r="101" customFormat="false" ht="15.75" hidden="false" customHeight="true" outlineLevel="0" collapsed="false">
      <c r="I101" s="186" t="n">
        <v>45847</v>
      </c>
      <c r="J101" s="18" t="n">
        <v>135</v>
      </c>
      <c r="K101" s="18" t="n">
        <v>3</v>
      </c>
      <c r="L101" s="18" t="n">
        <v>1000</v>
      </c>
      <c r="M101" s="18" t="n">
        <f aca="false">J101*K101</f>
        <v>405</v>
      </c>
      <c r="N101" s="11" t="s">
        <v>113</v>
      </c>
    </row>
    <row r="102" customFormat="false" ht="15.75" hidden="false" customHeight="true" outlineLevel="0" collapsed="false">
      <c r="I102" s="186" t="n">
        <v>45847</v>
      </c>
      <c r="J102" s="18" t="n">
        <v>65</v>
      </c>
      <c r="K102" s="18" t="n">
        <v>2</v>
      </c>
      <c r="L102" s="18" t="n">
        <v>1000</v>
      </c>
      <c r="M102" s="18" t="n">
        <f aca="false">J102*K102</f>
        <v>130</v>
      </c>
      <c r="N102" s="11" t="s">
        <v>113</v>
      </c>
    </row>
    <row r="103" customFormat="false" ht="15.75" hidden="false" customHeight="true" outlineLevel="0" collapsed="false">
      <c r="I103" s="186" t="n">
        <v>45847</v>
      </c>
      <c r="J103" s="18" t="n">
        <v>110</v>
      </c>
      <c r="K103" s="18" t="n">
        <v>1</v>
      </c>
      <c r="L103" s="18" t="n">
        <v>1000</v>
      </c>
      <c r="M103" s="18" t="n">
        <f aca="false">J103*K103</f>
        <v>110</v>
      </c>
      <c r="N103" s="11" t="s">
        <v>113</v>
      </c>
    </row>
    <row r="104" customFormat="false" ht="15.75" hidden="false" customHeight="true" outlineLevel="0" collapsed="false">
      <c r="I104" s="186" t="n">
        <v>45847</v>
      </c>
      <c r="J104" s="18" t="n">
        <v>115</v>
      </c>
      <c r="K104" s="18" t="n">
        <v>1</v>
      </c>
      <c r="L104" s="18" t="n">
        <v>1000</v>
      </c>
      <c r="M104" s="18" t="n">
        <f aca="false">J104*K104</f>
        <v>115</v>
      </c>
      <c r="N104" s="11" t="s">
        <v>113</v>
      </c>
    </row>
    <row r="105" customFormat="false" ht="15.75" hidden="false" customHeight="true" outlineLevel="0" collapsed="false">
      <c r="I105" s="186" t="n">
        <v>45847</v>
      </c>
      <c r="J105" s="18"/>
      <c r="K105" s="18"/>
      <c r="L105" s="18" t="n">
        <v>1000</v>
      </c>
      <c r="M105" s="18" t="n">
        <f aca="false">J105*K105</f>
        <v>0</v>
      </c>
      <c r="N105" s="11" t="s">
        <v>113</v>
      </c>
    </row>
    <row r="106" customFormat="false" ht="15.75" hidden="false" customHeight="true" outlineLevel="0" collapsed="false">
      <c r="M106" s="174" t="n">
        <f aca="false">SUM(M100:M105)</f>
        <v>1000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46"/>
    <col collapsed="false" customWidth="true" hidden="false" outlineLevel="0" max="3" min="3" style="1" width="15.57"/>
    <col collapsed="false" customWidth="true" hidden="false" outlineLevel="0" max="4" min="4" style="1" width="64.57"/>
    <col collapsed="false" customWidth="true" hidden="false" outlineLevel="0" max="5" min="5" style="1" width="37.14"/>
    <col collapsed="false" customWidth="true" hidden="false" outlineLevel="0" max="26" min="6" style="1" width="8.57"/>
    <col collapsed="false" customWidth="false" hidden="false" outlineLevel="0" max="16384" min="27" style="1" width="14.43"/>
  </cols>
  <sheetData>
    <row r="1" customFormat="false" ht="20.25" hidden="false" customHeight="false" outlineLevel="0" collapsed="false">
      <c r="A1" s="189" t="s">
        <v>992</v>
      </c>
      <c r="B1" s="189" t="s">
        <v>993</v>
      </c>
      <c r="C1" s="189" t="s">
        <v>994</v>
      </c>
      <c r="D1" s="189" t="s">
        <v>995</v>
      </c>
      <c r="E1" s="189" t="s">
        <v>996</v>
      </c>
    </row>
    <row r="2" customFormat="false" ht="20.25" hidden="false" customHeight="false" outlineLevel="0" collapsed="false">
      <c r="A2" s="190" t="s">
        <v>15</v>
      </c>
      <c r="B2" s="190" t="s">
        <v>997</v>
      </c>
      <c r="C2" s="190" t="s">
        <v>17</v>
      </c>
      <c r="D2" s="190" t="s">
        <v>144</v>
      </c>
      <c r="E2" s="190" t="s">
        <v>998</v>
      </c>
    </row>
    <row r="3" customFormat="false" ht="20.25" hidden="false" customHeight="false" outlineLevel="0" collapsed="false">
      <c r="A3" s="190" t="s">
        <v>15</v>
      </c>
      <c r="B3" s="190" t="s">
        <v>999</v>
      </c>
      <c r="C3" s="190" t="s">
        <v>17</v>
      </c>
      <c r="D3" s="190" t="s">
        <v>1000</v>
      </c>
      <c r="E3" s="190" t="s">
        <v>1001</v>
      </c>
    </row>
    <row r="4" customFormat="false" ht="20.25" hidden="false" customHeight="false" outlineLevel="0" collapsed="false">
      <c r="A4" s="190" t="s">
        <v>15</v>
      </c>
      <c r="B4" s="190" t="s">
        <v>1002</v>
      </c>
      <c r="C4" s="190" t="s">
        <v>17</v>
      </c>
      <c r="D4" s="190" t="s">
        <v>1003</v>
      </c>
      <c r="E4" s="190" t="s">
        <v>1004</v>
      </c>
    </row>
    <row r="5" customFormat="false" ht="20.25" hidden="false" customHeight="false" outlineLevel="0" collapsed="false">
      <c r="A5" s="190" t="s">
        <v>15</v>
      </c>
      <c r="B5" s="190" t="s">
        <v>1005</v>
      </c>
      <c r="C5" s="190" t="s">
        <v>17</v>
      </c>
      <c r="D5" s="190" t="s">
        <v>113</v>
      </c>
      <c r="E5" s="190" t="s">
        <v>1001</v>
      </c>
    </row>
    <row r="6" customFormat="false" ht="20.25" hidden="false" customHeight="false" outlineLevel="0" collapsed="false">
      <c r="A6" s="190" t="s">
        <v>58</v>
      </c>
      <c r="B6" s="190" t="s">
        <v>116</v>
      </c>
      <c r="C6" s="190" t="s">
        <v>17</v>
      </c>
      <c r="D6" s="190" t="s">
        <v>90</v>
      </c>
      <c r="E6" s="190" t="s">
        <v>1006</v>
      </c>
    </row>
    <row r="7" customFormat="false" ht="20.25" hidden="false" customHeight="false" outlineLevel="0" collapsed="false">
      <c r="A7" s="190" t="s">
        <v>58</v>
      </c>
      <c r="B7" s="190" t="s">
        <v>1007</v>
      </c>
      <c r="C7" s="190" t="s">
        <v>56</v>
      </c>
      <c r="D7" s="190" t="s">
        <v>1008</v>
      </c>
      <c r="E7" s="190" t="s">
        <v>1001</v>
      </c>
    </row>
    <row r="8" customFormat="false" ht="20.25" hidden="false" customHeight="false" outlineLevel="0" collapsed="false">
      <c r="A8" s="190" t="s">
        <v>67</v>
      </c>
      <c r="B8" s="190" t="s">
        <v>117</v>
      </c>
      <c r="C8" s="190" t="s">
        <v>17</v>
      </c>
      <c r="D8" s="190" t="s">
        <v>1009</v>
      </c>
      <c r="E8" s="190" t="s">
        <v>998</v>
      </c>
    </row>
    <row r="9" customFormat="false" ht="20.25" hidden="false" customHeight="false" outlineLevel="0" collapsed="false">
      <c r="A9" s="190" t="s">
        <v>67</v>
      </c>
      <c r="B9" s="190" t="s">
        <v>1010</v>
      </c>
      <c r="C9" s="190" t="s">
        <v>17</v>
      </c>
      <c r="D9" s="190" t="s">
        <v>1011</v>
      </c>
      <c r="E9" s="190" t="s">
        <v>1001</v>
      </c>
    </row>
    <row r="10" customFormat="false" ht="20.25" hidden="false" customHeight="false" outlineLevel="0" collapsed="false">
      <c r="A10" s="190" t="s">
        <v>62</v>
      </c>
      <c r="B10" s="190" t="s">
        <v>1012</v>
      </c>
      <c r="C10" s="190" t="s">
        <v>17</v>
      </c>
      <c r="D10" s="190" t="s">
        <v>1013</v>
      </c>
      <c r="E10" s="190" t="s">
        <v>1001</v>
      </c>
    </row>
    <row r="11" customFormat="false" ht="20.25" hidden="false" customHeight="false" outlineLevel="0" collapsed="false">
      <c r="A11" s="190" t="s">
        <v>67</v>
      </c>
      <c r="B11" s="190" t="s">
        <v>1014</v>
      </c>
      <c r="C11" s="190" t="s">
        <v>17</v>
      </c>
      <c r="D11" s="190" t="s">
        <v>1015</v>
      </c>
      <c r="E11" s="190" t="s">
        <v>1001</v>
      </c>
    </row>
    <row r="12" customFormat="false" ht="20.25" hidden="false" customHeight="false" outlineLevel="0" collapsed="false">
      <c r="A12" s="190" t="s">
        <v>15</v>
      </c>
      <c r="B12" s="190" t="s">
        <v>1016</v>
      </c>
      <c r="C12" s="190" t="s">
        <v>17</v>
      </c>
      <c r="D12" s="190" t="s">
        <v>1017</v>
      </c>
      <c r="E12" s="190" t="s">
        <v>1001</v>
      </c>
    </row>
    <row r="13" customFormat="false" ht="20.25" hidden="false" customHeight="false" outlineLevel="0" collapsed="false">
      <c r="A13" s="190" t="s">
        <v>67</v>
      </c>
      <c r="B13" s="190" t="s">
        <v>138</v>
      </c>
      <c r="C13" s="190" t="s">
        <v>17</v>
      </c>
      <c r="D13" s="190" t="s">
        <v>1018</v>
      </c>
      <c r="E13" s="190" t="s">
        <v>998</v>
      </c>
    </row>
    <row r="14" customFormat="false" ht="20.25" hidden="false" customHeight="false" outlineLevel="0" collapsed="false">
      <c r="A14" s="190" t="s">
        <v>1019</v>
      </c>
      <c r="B14" s="190" t="s">
        <v>1020</v>
      </c>
      <c r="C14" s="190" t="s">
        <v>17</v>
      </c>
      <c r="D14" s="190" t="s">
        <v>1021</v>
      </c>
      <c r="E14" s="190" t="s">
        <v>998</v>
      </c>
    </row>
    <row r="15" customFormat="false" ht="20.25" hidden="false" customHeight="false" outlineLevel="0" collapsed="false">
      <c r="A15" s="190" t="s">
        <v>62</v>
      </c>
      <c r="B15" s="190" t="s">
        <v>63</v>
      </c>
      <c r="C15" s="190" t="s">
        <v>17</v>
      </c>
      <c r="D15" s="190" t="s">
        <v>64</v>
      </c>
      <c r="E15" s="190" t="s">
        <v>998</v>
      </c>
    </row>
    <row r="16" customFormat="false" ht="20.25" hidden="false" customHeight="false" outlineLevel="0" collapsed="false">
      <c r="A16" s="190" t="s">
        <v>15</v>
      </c>
      <c r="B16" s="190" t="s">
        <v>16</v>
      </c>
      <c r="C16" s="190" t="s">
        <v>17</v>
      </c>
      <c r="D16" s="190" t="s">
        <v>16</v>
      </c>
      <c r="E16" s="190" t="s">
        <v>998</v>
      </c>
    </row>
    <row r="17" customFormat="false" ht="20.25" hidden="false" customHeight="false" outlineLevel="0" collapsed="false">
      <c r="A17" s="190" t="s">
        <v>58</v>
      </c>
      <c r="B17" s="190" t="s">
        <v>1022</v>
      </c>
      <c r="C17" s="190" t="s">
        <v>17</v>
      </c>
      <c r="D17" s="190" t="s">
        <v>1023</v>
      </c>
      <c r="E17" s="190" t="s">
        <v>998</v>
      </c>
    </row>
    <row r="18" customFormat="false" ht="20.25" hidden="false" customHeight="false" outlineLevel="0" collapsed="false">
      <c r="A18" s="191" t="s">
        <v>54</v>
      </c>
      <c r="B18" s="191" t="s">
        <v>55</v>
      </c>
      <c r="C18" s="191" t="s">
        <v>56</v>
      </c>
      <c r="D18" s="191" t="s">
        <v>57</v>
      </c>
      <c r="E18" s="191" t="s">
        <v>1024</v>
      </c>
    </row>
    <row r="19" customFormat="false" ht="15" hidden="false" customHeight="true" outlineLevel="0" collapsed="false">
      <c r="A19" s="18" t="s">
        <v>15</v>
      </c>
      <c r="B19" s="18" t="s">
        <v>997</v>
      </c>
      <c r="C19" s="18" t="s">
        <v>17</v>
      </c>
      <c r="D19" s="18" t="s">
        <v>1025</v>
      </c>
      <c r="E19" s="18" t="s">
        <v>998</v>
      </c>
    </row>
    <row r="20" customFormat="false" ht="15.75" hidden="false" customHeight="true" outlineLevel="0" collapsed="false">
      <c r="A20" s="18" t="s">
        <v>15</v>
      </c>
      <c r="B20" s="18" t="s">
        <v>999</v>
      </c>
      <c r="C20" s="18" t="s">
        <v>17</v>
      </c>
      <c r="D20" s="18" t="s">
        <v>1026</v>
      </c>
      <c r="E20" s="18" t="s">
        <v>1001</v>
      </c>
    </row>
    <row r="21" customFormat="false" ht="15.75" hidden="false" customHeight="true" outlineLevel="0" collapsed="false">
      <c r="A21" s="18" t="s">
        <v>15</v>
      </c>
      <c r="B21" s="18" t="s">
        <v>1002</v>
      </c>
      <c r="C21" s="18" t="s">
        <v>17</v>
      </c>
      <c r="D21" s="18" t="s">
        <v>1027</v>
      </c>
      <c r="E21" s="18" t="s">
        <v>998</v>
      </c>
    </row>
    <row r="22" customFormat="false" ht="15.75" hidden="false" customHeight="true" outlineLevel="0" collapsed="false">
      <c r="A22" s="18" t="s">
        <v>15</v>
      </c>
      <c r="B22" s="18" t="s">
        <v>1005</v>
      </c>
      <c r="C22" s="18" t="s">
        <v>17</v>
      </c>
      <c r="D22" s="18" t="s">
        <v>1028</v>
      </c>
      <c r="E22" s="18" t="s">
        <v>1001</v>
      </c>
    </row>
    <row r="23" customFormat="false" ht="15.75" hidden="false" customHeight="true" outlineLevel="0" collapsed="false">
      <c r="A23" s="18" t="s">
        <v>62</v>
      </c>
      <c r="B23" s="18" t="s">
        <v>1012</v>
      </c>
      <c r="C23" s="18" t="s">
        <v>17</v>
      </c>
      <c r="D23" s="18" t="s">
        <v>1013</v>
      </c>
      <c r="E23" s="18" t="s">
        <v>1001</v>
      </c>
    </row>
    <row r="24" customFormat="false" ht="15.75" hidden="false" customHeight="true" outlineLevel="0" collapsed="false">
      <c r="A24" s="18" t="s">
        <v>15</v>
      </c>
      <c r="B24" s="18" t="s">
        <v>1016</v>
      </c>
      <c r="C24" s="18" t="s">
        <v>17</v>
      </c>
      <c r="D24" s="18" t="s">
        <v>1017</v>
      </c>
      <c r="E24" s="18" t="s">
        <v>1001</v>
      </c>
    </row>
    <row r="25" customFormat="false" ht="15.75" hidden="false" customHeight="true" outlineLevel="0" collapsed="false">
      <c r="A25" s="18" t="s">
        <v>62</v>
      </c>
      <c r="B25" s="18" t="s">
        <v>63</v>
      </c>
      <c r="C25" s="18" t="s">
        <v>17</v>
      </c>
      <c r="D25" s="18" t="s">
        <v>64</v>
      </c>
      <c r="E25" s="18" t="s">
        <v>998</v>
      </c>
    </row>
    <row r="26" customFormat="false" ht="15.75" hidden="false" customHeight="true" outlineLevel="0" collapsed="false">
      <c r="A26" s="18" t="s">
        <v>15</v>
      </c>
      <c r="B26" s="18" t="s">
        <v>16</v>
      </c>
      <c r="C26" s="18" t="s">
        <v>17</v>
      </c>
      <c r="D26" s="18" t="s">
        <v>16</v>
      </c>
      <c r="E26" s="18" t="s">
        <v>998</v>
      </c>
    </row>
    <row r="27" customFormat="false" ht="15.75" hidden="false" customHeight="true" outlineLevel="0" collapsed="false">
      <c r="A27" s="18" t="s">
        <v>58</v>
      </c>
      <c r="B27" s="18" t="s">
        <v>116</v>
      </c>
      <c r="C27" s="18" t="s">
        <v>17</v>
      </c>
      <c r="D27" s="18" t="s">
        <v>90</v>
      </c>
      <c r="E27" s="18" t="s">
        <v>1006</v>
      </c>
    </row>
    <row r="28" customFormat="false" ht="15.75" hidden="false" customHeight="true" outlineLevel="0" collapsed="false">
      <c r="A28" s="18" t="s">
        <v>58</v>
      </c>
      <c r="B28" s="18" t="s">
        <v>1007</v>
      </c>
      <c r="C28" s="18" t="s">
        <v>56</v>
      </c>
      <c r="D28" s="18" t="s">
        <v>1008</v>
      </c>
      <c r="E28" s="18" t="s">
        <v>1001</v>
      </c>
    </row>
    <row r="29" customFormat="false" ht="15.75" hidden="false" customHeight="true" outlineLevel="0" collapsed="false">
      <c r="A29" s="18" t="s">
        <v>58</v>
      </c>
      <c r="B29" s="18" t="s">
        <v>1029</v>
      </c>
      <c r="C29" s="18" t="s">
        <v>17</v>
      </c>
      <c r="D29" s="18" t="s">
        <v>982</v>
      </c>
      <c r="E29" s="18" t="s">
        <v>998</v>
      </c>
    </row>
    <row r="30" customFormat="false" ht="15.75" hidden="false" customHeight="true" outlineLevel="0" collapsed="false">
      <c r="A30" s="18" t="s">
        <v>58</v>
      </c>
      <c r="B30" s="18" t="s">
        <v>1022</v>
      </c>
      <c r="C30" s="18" t="s">
        <v>17</v>
      </c>
      <c r="D30" s="18" t="s">
        <v>1023</v>
      </c>
      <c r="E30" s="18" t="s">
        <v>998</v>
      </c>
    </row>
    <row r="31" customFormat="false" ht="15.75" hidden="false" customHeight="true" outlineLevel="0" collapsed="false">
      <c r="A31" s="18" t="s">
        <v>67</v>
      </c>
      <c r="B31" s="18" t="s">
        <v>117</v>
      </c>
      <c r="C31" s="18" t="s">
        <v>17</v>
      </c>
      <c r="D31" s="18" t="s">
        <v>1009</v>
      </c>
      <c r="E31" s="18" t="s">
        <v>998</v>
      </c>
    </row>
    <row r="32" customFormat="false" ht="15.75" hidden="false" customHeight="true" outlineLevel="0" collapsed="false">
      <c r="A32" s="18" t="s">
        <v>67</v>
      </c>
      <c r="B32" s="18" t="s">
        <v>1010</v>
      </c>
      <c r="C32" s="18" t="s">
        <v>17</v>
      </c>
      <c r="D32" s="18" t="s">
        <v>1011</v>
      </c>
      <c r="E32" s="18" t="s">
        <v>1001</v>
      </c>
    </row>
    <row r="33" customFormat="false" ht="15.75" hidden="false" customHeight="true" outlineLevel="0" collapsed="false">
      <c r="A33" s="18" t="s">
        <v>67</v>
      </c>
      <c r="B33" s="18" t="s">
        <v>1014</v>
      </c>
      <c r="C33" s="18" t="s">
        <v>17</v>
      </c>
      <c r="D33" s="18" t="s">
        <v>1015</v>
      </c>
      <c r="E33" s="18" t="s">
        <v>1001</v>
      </c>
    </row>
    <row r="34" customFormat="false" ht="15.75" hidden="false" customHeight="true" outlineLevel="0" collapsed="false">
      <c r="A34" s="18" t="s">
        <v>67</v>
      </c>
      <c r="B34" s="18" t="s">
        <v>138</v>
      </c>
      <c r="C34" s="18" t="s">
        <v>17</v>
      </c>
      <c r="D34" s="18" t="s">
        <v>1018</v>
      </c>
      <c r="E34" s="18" t="s">
        <v>998</v>
      </c>
    </row>
    <row r="35" customFormat="false" ht="15.75" hidden="false" customHeight="true" outlineLevel="0" collapsed="false">
      <c r="A35" s="18" t="s">
        <v>54</v>
      </c>
      <c r="B35" s="18" t="s">
        <v>55</v>
      </c>
      <c r="C35" s="18" t="s">
        <v>56</v>
      </c>
      <c r="D35" s="18" t="s">
        <v>57</v>
      </c>
      <c r="E35" s="18" t="s">
        <v>1030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24.43"/>
    <col collapsed="false" customWidth="true" hidden="false" outlineLevel="0" max="5" min="3" style="1" width="8.57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8.57"/>
    <col collapsed="false" customWidth="true" hidden="false" outlineLevel="0" max="9" min="9" style="1" width="11.57"/>
    <col collapsed="false" customWidth="true" hidden="false" outlineLevel="0" max="10" min="10" style="1" width="8.57"/>
    <col collapsed="false" customWidth="true" hidden="false" outlineLevel="0" max="11" min="11" style="1" width="11.86"/>
    <col collapsed="false" customWidth="true" hidden="false" outlineLevel="0" max="13" min="12" style="1" width="8.57"/>
    <col collapsed="false" customWidth="true" hidden="false" outlineLevel="0" max="14" min="14" style="1" width="22.43"/>
    <col collapsed="false" customWidth="true" hidden="false" outlineLevel="0" max="26" min="15" style="1" width="8.57"/>
    <col collapsed="false" customWidth="false" hidden="false" outlineLevel="0" max="16384" min="27" style="1" width="14.43"/>
  </cols>
  <sheetData>
    <row r="1" customFormat="false" ht="20.25" hidden="false" customHeight="false" outlineLevel="0" collapsed="false">
      <c r="A1" s="192" t="s">
        <v>1031</v>
      </c>
      <c r="B1" s="192"/>
      <c r="C1" s="192"/>
      <c r="D1" s="192"/>
      <c r="E1" s="192"/>
      <c r="F1" s="192"/>
      <c r="G1" s="9" t="s">
        <v>1032</v>
      </c>
      <c r="H1" s="9" t="s">
        <v>1033</v>
      </c>
      <c r="I1" s="182" t="n">
        <v>40902</v>
      </c>
      <c r="J1" s="9"/>
      <c r="K1" s="9"/>
    </row>
    <row r="2" customFormat="false" ht="41.75" hidden="false" customHeight="false" outlineLevel="0" collapsed="false">
      <c r="A2" s="128" t="s">
        <v>1034</v>
      </c>
      <c r="B2" s="128" t="s">
        <v>1035</v>
      </c>
      <c r="C2" s="128" t="s">
        <v>1036</v>
      </c>
      <c r="D2" s="128" t="s">
        <v>1037</v>
      </c>
      <c r="E2" s="128" t="s">
        <v>1038</v>
      </c>
      <c r="F2" s="128" t="s">
        <v>197</v>
      </c>
      <c r="G2" s="128" t="s">
        <v>1039</v>
      </c>
      <c r="H2" s="128" t="s">
        <v>1040</v>
      </c>
      <c r="I2" s="128" t="s">
        <v>1041</v>
      </c>
      <c r="J2" s="193" t="s">
        <v>1042</v>
      </c>
      <c r="K2" s="128" t="s">
        <v>1043</v>
      </c>
      <c r="N2" s="194"/>
    </row>
    <row r="3" customFormat="false" ht="20.25" hidden="false" customHeight="false" outlineLevel="0" collapsed="false">
      <c r="A3" s="195" t="n">
        <v>1</v>
      </c>
      <c r="B3" s="195" t="s">
        <v>1044</v>
      </c>
      <c r="C3" s="195" t="n">
        <v>196</v>
      </c>
      <c r="D3" s="195" t="n">
        <v>10</v>
      </c>
      <c r="E3" s="195"/>
      <c r="F3" s="195"/>
      <c r="G3" s="195" t="n">
        <f aca="false">(C3*E3*D3)-(F3*D3*C3)</f>
        <v>0</v>
      </c>
      <c r="H3" s="196" t="n">
        <v>9</v>
      </c>
      <c r="I3" s="197" t="n">
        <f aca="false">((H3+(H3*18%))+(H3+(H3*18%))*4%)</f>
        <v>11.0448</v>
      </c>
      <c r="J3" s="197" t="n">
        <f aca="false">I3/C3</f>
        <v>0.0563510204081633</v>
      </c>
      <c r="K3" s="198" t="n">
        <f aca="false">G3*J3</f>
        <v>0</v>
      </c>
    </row>
    <row r="4" customFormat="false" ht="20.25" hidden="false" customHeight="false" outlineLevel="0" collapsed="false">
      <c r="A4" s="195" t="n">
        <v>2</v>
      </c>
      <c r="B4" s="195" t="s">
        <v>1045</v>
      </c>
      <c r="C4" s="195" t="n">
        <v>196</v>
      </c>
      <c r="D4" s="195" t="n">
        <v>10</v>
      </c>
      <c r="E4" s="195"/>
      <c r="F4" s="195"/>
      <c r="G4" s="195" t="n">
        <f aca="false">(C4*E4*D4)-(F4*D4*C4)</f>
        <v>0</v>
      </c>
      <c r="H4" s="196" t="n">
        <v>9</v>
      </c>
      <c r="I4" s="197" t="n">
        <f aca="false">((H4+(H4*18%))+(H4+(H4*18%))*4%)</f>
        <v>11.0448</v>
      </c>
      <c r="J4" s="197" t="n">
        <f aca="false">I4/C4</f>
        <v>0.0563510204081633</v>
      </c>
      <c r="K4" s="198" t="n">
        <f aca="false">G4*J4</f>
        <v>0</v>
      </c>
      <c r="O4" s="195" t="s">
        <v>1046</v>
      </c>
    </row>
    <row r="5" customFormat="false" ht="20.25" hidden="false" customHeight="false" outlineLevel="0" collapsed="false">
      <c r="A5" s="195" t="n">
        <v>3</v>
      </c>
      <c r="B5" s="195" t="s">
        <v>1047</v>
      </c>
      <c r="C5" s="195" t="n">
        <v>201</v>
      </c>
      <c r="D5" s="195" t="n">
        <v>10</v>
      </c>
      <c r="E5" s="195" t="n">
        <v>4</v>
      </c>
      <c r="F5" s="195"/>
      <c r="G5" s="195" t="n">
        <f aca="false">(C5*E5*D5)-(F5*D5*C5)</f>
        <v>8040</v>
      </c>
      <c r="H5" s="196" t="n">
        <v>9</v>
      </c>
      <c r="I5" s="197" t="n">
        <f aca="false">((H5+(H5*18%))+(H5+(H5*18%))*4%)</f>
        <v>11.0448</v>
      </c>
      <c r="J5" s="197" t="n">
        <f aca="false">I5/C5</f>
        <v>0.0549492537313433</v>
      </c>
      <c r="K5" s="198" t="n">
        <f aca="false">G5*J5</f>
        <v>441.792</v>
      </c>
      <c r="N5" s="195" t="s">
        <v>1048</v>
      </c>
      <c r="O5" s="195" t="n">
        <v>2</v>
      </c>
    </row>
    <row r="6" customFormat="false" ht="20.25" hidden="false" customHeight="false" outlineLevel="0" collapsed="false">
      <c r="A6" s="195" t="n">
        <v>4</v>
      </c>
      <c r="B6" s="195" t="s">
        <v>1049</v>
      </c>
      <c r="C6" s="195" t="n">
        <v>201</v>
      </c>
      <c r="D6" s="195" t="n">
        <v>10</v>
      </c>
      <c r="E6" s="195"/>
      <c r="F6" s="195"/>
      <c r="G6" s="195" t="n">
        <f aca="false">(C6*E6*D6)-(F6*D6*C6)</f>
        <v>0</v>
      </c>
      <c r="H6" s="196" t="n">
        <v>9</v>
      </c>
      <c r="I6" s="197" t="n">
        <f aca="false">((H6+(H6*18%))+(H6+(H6*18%))*4%)</f>
        <v>11.0448</v>
      </c>
      <c r="J6" s="197" t="n">
        <f aca="false">I6/C6</f>
        <v>0.0549492537313433</v>
      </c>
      <c r="K6" s="198" t="n">
        <f aca="false">G6*J6</f>
        <v>0</v>
      </c>
      <c r="N6" s="195" t="s">
        <v>1050</v>
      </c>
      <c r="O6" s="195" t="n">
        <v>6</v>
      </c>
    </row>
    <row r="7" customFormat="false" ht="20.25" hidden="false" customHeight="false" outlineLevel="0" collapsed="false">
      <c r="A7" s="195" t="n">
        <v>5</v>
      </c>
      <c r="B7" s="195" t="s">
        <v>1051</v>
      </c>
      <c r="C7" s="195" t="n">
        <v>191</v>
      </c>
      <c r="D7" s="195" t="n">
        <v>10</v>
      </c>
      <c r="E7" s="195"/>
      <c r="F7" s="195"/>
      <c r="G7" s="195" t="n">
        <f aca="false">(C7*E7*D7)-(F7*D7*C7)</f>
        <v>0</v>
      </c>
      <c r="H7" s="196" t="n">
        <v>9</v>
      </c>
      <c r="I7" s="197" t="n">
        <f aca="false">((H7+(H7*18%))+(H7+(H7*18%))*4%)</f>
        <v>11.0448</v>
      </c>
      <c r="J7" s="197" t="n">
        <f aca="false">I7/C7</f>
        <v>0.0578261780104712</v>
      </c>
      <c r="K7" s="198" t="n">
        <f aca="false">G7*J7</f>
        <v>0</v>
      </c>
      <c r="N7" s="195" t="s">
        <v>1052</v>
      </c>
      <c r="O7" s="195" t="n">
        <v>6</v>
      </c>
    </row>
    <row r="8" customFormat="false" ht="20.25" hidden="false" customHeight="false" outlineLevel="0" collapsed="false">
      <c r="A8" s="195" t="n">
        <v>6</v>
      </c>
      <c r="B8" s="195" t="s">
        <v>1053</v>
      </c>
      <c r="C8" s="195" t="n">
        <v>191</v>
      </c>
      <c r="D8" s="195" t="n">
        <v>10</v>
      </c>
      <c r="E8" s="195"/>
      <c r="F8" s="195"/>
      <c r="G8" s="195" t="n">
        <f aca="false">(C8*E8*D8)-(F8*D8*C8)</f>
        <v>0</v>
      </c>
      <c r="H8" s="196" t="n">
        <v>9</v>
      </c>
      <c r="I8" s="197" t="n">
        <f aca="false">((H8+(H8*18%))+(H8+(H8*18%))*4%)</f>
        <v>11.0448</v>
      </c>
      <c r="J8" s="197" t="n">
        <f aca="false">I8/C8</f>
        <v>0.0578261780104712</v>
      </c>
      <c r="K8" s="198" t="n">
        <f aca="false">G8*J8</f>
        <v>0</v>
      </c>
      <c r="N8" s="199" t="s">
        <v>1054</v>
      </c>
      <c r="O8" s="199" t="n">
        <v>1</v>
      </c>
    </row>
    <row r="9" customFormat="false" ht="20.25" hidden="false" customHeight="false" outlineLevel="0" collapsed="false">
      <c r="A9" s="195" t="n">
        <v>7</v>
      </c>
      <c r="B9" s="195" t="s">
        <v>1055</v>
      </c>
      <c r="C9" s="195" t="n">
        <v>182</v>
      </c>
      <c r="D9" s="195" t="n">
        <v>12</v>
      </c>
      <c r="E9" s="195" t="n">
        <v>9</v>
      </c>
      <c r="F9" s="195"/>
      <c r="G9" s="195" t="n">
        <f aca="false">(C9*E9*D9)-(F9*D9*C9)</f>
        <v>19656</v>
      </c>
      <c r="H9" s="196" t="n">
        <v>9</v>
      </c>
      <c r="I9" s="197" t="n">
        <f aca="false">((H9+(H9*18%))+(H9+(H9*18%))*4%)</f>
        <v>11.0448</v>
      </c>
      <c r="J9" s="197" t="n">
        <f aca="false">I9/C9</f>
        <v>0.0606857142857143</v>
      </c>
      <c r="K9" s="198" t="n">
        <f aca="false">G9*J9</f>
        <v>1192.8384</v>
      </c>
      <c r="N9" s="199" t="s">
        <v>1056</v>
      </c>
      <c r="O9" s="199" t="n">
        <v>3</v>
      </c>
    </row>
    <row r="10" customFormat="false" ht="20.25" hidden="false" customHeight="false" outlineLevel="0" collapsed="false">
      <c r="A10" s="195" t="n">
        <v>8</v>
      </c>
      <c r="B10" s="195" t="s">
        <v>1048</v>
      </c>
      <c r="C10" s="195" t="n">
        <v>153</v>
      </c>
      <c r="D10" s="195" t="n">
        <v>10</v>
      </c>
      <c r="E10" s="195" t="n">
        <v>3</v>
      </c>
      <c r="F10" s="195"/>
      <c r="G10" s="195" t="n">
        <f aca="false">(C10*E10*D10)-(F10*D10*C10)</f>
        <v>4590</v>
      </c>
      <c r="H10" s="196" t="n">
        <v>9</v>
      </c>
      <c r="I10" s="197" t="n">
        <f aca="false">((H10+(H10*18%))+(H10+(H10*18%))*4%)</f>
        <v>11.0448</v>
      </c>
      <c r="J10" s="197" t="n">
        <f aca="false">I10/C10</f>
        <v>0.0721882352941176</v>
      </c>
      <c r="K10" s="198" t="n">
        <f aca="false">G10*J10</f>
        <v>331.344</v>
      </c>
      <c r="N10" s="199" t="s">
        <v>1057</v>
      </c>
      <c r="O10" s="199" t="n">
        <v>1</v>
      </c>
    </row>
    <row r="11" customFormat="false" ht="20.25" hidden="false" customHeight="false" outlineLevel="0" collapsed="false">
      <c r="A11" s="195" t="n">
        <v>8</v>
      </c>
      <c r="B11" s="195" t="s">
        <v>1050</v>
      </c>
      <c r="C11" s="195" t="n">
        <v>153</v>
      </c>
      <c r="D11" s="195" t="n">
        <v>10</v>
      </c>
      <c r="E11" s="195" t="n">
        <v>3</v>
      </c>
      <c r="F11" s="195"/>
      <c r="G11" s="195" t="n">
        <f aca="false">(C11*E11*D11)-(F11*D11*C11)</f>
        <v>4590</v>
      </c>
      <c r="H11" s="196" t="n">
        <v>9</v>
      </c>
      <c r="I11" s="197" t="n">
        <f aca="false">((H11+(H11*18%))+(H11+(H11*18%))*4%)</f>
        <v>11.0448</v>
      </c>
      <c r="J11" s="197" t="n">
        <f aca="false">I11/C11</f>
        <v>0.0721882352941176</v>
      </c>
      <c r="K11" s="198" t="n">
        <f aca="false">G11*J11</f>
        <v>331.344</v>
      </c>
      <c r="N11" s="199" t="s">
        <v>1058</v>
      </c>
      <c r="O11" s="199" t="n">
        <v>2</v>
      </c>
    </row>
    <row r="12" customFormat="false" ht="20.25" hidden="false" customHeight="false" outlineLevel="0" collapsed="false">
      <c r="A12" s="195" t="n">
        <v>8</v>
      </c>
      <c r="B12" s="195" t="s">
        <v>1050</v>
      </c>
      <c r="C12" s="195" t="n">
        <v>153</v>
      </c>
      <c r="D12" s="195" t="n">
        <v>10</v>
      </c>
      <c r="E12" s="195"/>
      <c r="F12" s="195"/>
      <c r="G12" s="195" t="n">
        <f aca="false">(C12*E12*D12)-(F12*D12*C12)</f>
        <v>0</v>
      </c>
      <c r="H12" s="196" t="n">
        <v>9</v>
      </c>
      <c r="I12" s="197" t="n">
        <f aca="false">((H12+(H12*18%))+(H12+(H12*18%))*4%)</f>
        <v>11.0448</v>
      </c>
      <c r="J12" s="197" t="n">
        <f aca="false">I12/C12</f>
        <v>0.0721882352941176</v>
      </c>
      <c r="K12" s="198" t="n">
        <f aca="false">G12*J12</f>
        <v>0</v>
      </c>
      <c r="N12" s="195"/>
      <c r="O12" s="195"/>
    </row>
    <row r="13" customFormat="false" ht="20.25" hidden="false" customHeight="false" outlineLevel="0" collapsed="false">
      <c r="A13" s="195" t="n">
        <v>9</v>
      </c>
      <c r="B13" s="195" t="s">
        <v>1059</v>
      </c>
      <c r="C13" s="195" t="n">
        <v>123</v>
      </c>
      <c r="D13" s="195" t="n">
        <v>10</v>
      </c>
      <c r="E13" s="195" t="n">
        <v>6</v>
      </c>
      <c r="F13" s="195"/>
      <c r="G13" s="195" t="n">
        <f aca="false">(C13*E13*D13)-(F13*D13*C13)</f>
        <v>7380</v>
      </c>
      <c r="H13" s="196" t="n">
        <v>9</v>
      </c>
      <c r="I13" s="197" t="n">
        <f aca="false">((H13+(H13*18%))+(H13+(H13*18%))*4%)</f>
        <v>11.0448</v>
      </c>
      <c r="J13" s="197" t="n">
        <f aca="false">I13/C13</f>
        <v>0.0897951219512195</v>
      </c>
      <c r="K13" s="198" t="n">
        <f aca="false">G13*J13</f>
        <v>662.688</v>
      </c>
      <c r="N13" s="195"/>
      <c r="O13" s="195"/>
    </row>
    <row r="14" customFormat="false" ht="20.25" hidden="false" customHeight="false" outlineLevel="0" collapsed="false">
      <c r="A14" s="195" t="n">
        <v>10</v>
      </c>
      <c r="B14" s="195" t="s">
        <v>1052</v>
      </c>
      <c r="C14" s="195" t="n">
        <v>123</v>
      </c>
      <c r="D14" s="195" t="n">
        <v>10</v>
      </c>
      <c r="E14" s="20" t="n">
        <v>13</v>
      </c>
      <c r="F14" s="195"/>
      <c r="G14" s="195" t="n">
        <f aca="false">(C14*E14*D14)-(F14*D14*C14)</f>
        <v>15990</v>
      </c>
      <c r="H14" s="196" t="n">
        <v>9</v>
      </c>
      <c r="I14" s="197" t="n">
        <f aca="false">((H14+(H14*18%))+(H14+(H14*18%))*4%)</f>
        <v>11.0448</v>
      </c>
      <c r="J14" s="197" t="n">
        <f aca="false">I14/C14</f>
        <v>0.0897951219512195</v>
      </c>
      <c r="K14" s="198" t="n">
        <f aca="false">G14*J14</f>
        <v>1435.824</v>
      </c>
      <c r="N14" s="199" t="s">
        <v>1054</v>
      </c>
      <c r="O14" s="199" t="n">
        <v>1</v>
      </c>
    </row>
    <row r="15" customFormat="false" ht="20.25" hidden="false" customHeight="false" outlineLevel="0" collapsed="false">
      <c r="A15" s="195" t="n">
        <v>11</v>
      </c>
      <c r="B15" s="195" t="s">
        <v>1060</v>
      </c>
      <c r="C15" s="195" t="n">
        <v>123</v>
      </c>
      <c r="D15" s="195" t="n">
        <v>10</v>
      </c>
      <c r="E15" s="195"/>
      <c r="F15" s="195"/>
      <c r="G15" s="195" t="n">
        <f aca="false">(C15*E15*D15)-(F15*D15*C15)</f>
        <v>0</v>
      </c>
      <c r="H15" s="196" t="n">
        <v>9</v>
      </c>
      <c r="I15" s="197" t="n">
        <f aca="false">((H15+(H15*18%))+(H15+(H15*18%))*4%)</f>
        <v>11.0448</v>
      </c>
      <c r="J15" s="197" t="n">
        <f aca="false">I15/C15</f>
        <v>0.0897951219512195</v>
      </c>
      <c r="K15" s="198" t="n">
        <f aca="false">G15*J15</f>
        <v>0</v>
      </c>
      <c r="N15" s="199" t="s">
        <v>1056</v>
      </c>
      <c r="O15" s="199" t="n">
        <v>3</v>
      </c>
    </row>
    <row r="16" customFormat="false" ht="20.25" hidden="false" customHeight="false" outlineLevel="0" collapsed="false">
      <c r="A16" s="195" t="n">
        <v>12</v>
      </c>
      <c r="B16" s="195" t="s">
        <v>1061</v>
      </c>
      <c r="C16" s="195" t="n">
        <v>85</v>
      </c>
      <c r="D16" s="195" t="n">
        <v>10</v>
      </c>
      <c r="E16" s="195"/>
      <c r="F16" s="195"/>
      <c r="G16" s="195" t="n">
        <f aca="false">(C16*E16*D16)-(F16*D16*C16)</f>
        <v>0</v>
      </c>
      <c r="H16" s="196" t="n">
        <v>9</v>
      </c>
      <c r="I16" s="197" t="n">
        <f aca="false">((H16+(H16*18%))+(H16+(H16*18%))*4%)</f>
        <v>11.0448</v>
      </c>
      <c r="J16" s="197" t="n">
        <f aca="false">I16/C16</f>
        <v>0.129938823529412</v>
      </c>
      <c r="K16" s="198" t="n">
        <f aca="false">G16*J16</f>
        <v>0</v>
      </c>
      <c r="N16" s="199" t="s">
        <v>1057</v>
      </c>
      <c r="O16" s="199" t="n">
        <v>1</v>
      </c>
    </row>
    <row r="17" customFormat="false" ht="20.25" hidden="false" customHeight="false" outlineLevel="0" collapsed="false">
      <c r="A17" s="195" t="n">
        <v>13</v>
      </c>
      <c r="B17" s="195" t="s">
        <v>1062</v>
      </c>
      <c r="C17" s="195" t="n">
        <v>80</v>
      </c>
      <c r="D17" s="195" t="n">
        <v>10</v>
      </c>
      <c r="E17" s="195"/>
      <c r="F17" s="195"/>
      <c r="G17" s="195" t="n">
        <f aca="false">(C17*E17*D17)-(F17*D17*C17)</f>
        <v>0</v>
      </c>
      <c r="H17" s="196" t="n">
        <v>9</v>
      </c>
      <c r="I17" s="197" t="n">
        <f aca="false">((H17+(H17*18%))+(H17+(H17*18%))*4%)</f>
        <v>11.0448</v>
      </c>
      <c r="J17" s="197" t="n">
        <f aca="false">I17/C17</f>
        <v>0.13806</v>
      </c>
      <c r="K17" s="198" t="n">
        <f aca="false">G17*J17</f>
        <v>0</v>
      </c>
      <c r="N17" s="199" t="s">
        <v>1058</v>
      </c>
      <c r="O17" s="199" t="n">
        <v>2</v>
      </c>
    </row>
    <row r="18" customFormat="false" ht="20.25" hidden="false" customHeight="false" outlineLevel="0" collapsed="false">
      <c r="A18" s="195" t="n">
        <v>14</v>
      </c>
      <c r="B18" s="195" t="s">
        <v>1063</v>
      </c>
      <c r="C18" s="195" t="n">
        <v>80</v>
      </c>
      <c r="D18" s="195" t="n">
        <v>10</v>
      </c>
      <c r="E18" s="195" t="n">
        <v>1</v>
      </c>
      <c r="F18" s="195"/>
      <c r="G18" s="195" t="n">
        <f aca="false">(C18*E18*D18)-(F18*D18*C18)</f>
        <v>800</v>
      </c>
      <c r="H18" s="196" t="n">
        <v>9</v>
      </c>
      <c r="I18" s="197" t="n">
        <f aca="false">((H18+(H18*18%))+(H18+(H18*18%))*4%)</f>
        <v>11.0448</v>
      </c>
      <c r="J18" s="197" t="n">
        <f aca="false">I18/C18</f>
        <v>0.13806</v>
      </c>
      <c r="K18" s="198" t="n">
        <f aca="false">G18*J18</f>
        <v>110.448</v>
      </c>
      <c r="N18" s="199"/>
      <c r="O18" s="199" t="n">
        <f aca="false">SUM(O5:O17)</f>
        <v>28</v>
      </c>
    </row>
    <row r="19" customFormat="false" ht="20.25" hidden="false" customHeight="false" outlineLevel="0" collapsed="false">
      <c r="A19" s="195" t="n">
        <v>15</v>
      </c>
      <c r="B19" s="195" t="s">
        <v>1064</v>
      </c>
      <c r="C19" s="195" t="n">
        <v>85</v>
      </c>
      <c r="D19" s="195" t="n">
        <v>10</v>
      </c>
      <c r="E19" s="195"/>
      <c r="F19" s="195"/>
      <c r="G19" s="195" t="n">
        <f aca="false">(C19*E19*D19)-(F19*D19*C19)</f>
        <v>0</v>
      </c>
      <c r="H19" s="196" t="n">
        <v>9</v>
      </c>
      <c r="I19" s="197" t="n">
        <f aca="false">((H19+(H19*18%))+(H19+(H19*18%))*4%)</f>
        <v>11.0448</v>
      </c>
      <c r="J19" s="197" t="n">
        <f aca="false">I19/C19</f>
        <v>0.129938823529412</v>
      </c>
      <c r="K19" s="198" t="n">
        <f aca="false">G19*J19</f>
        <v>0</v>
      </c>
      <c r="N19" s="200"/>
      <c r="O19" s="200"/>
    </row>
    <row r="20" customFormat="false" ht="13.5" hidden="false" customHeight="true" outlineLevel="0" collapsed="false">
      <c r="A20" s="195" t="n">
        <v>16</v>
      </c>
      <c r="B20" s="195" t="s">
        <v>1065</v>
      </c>
      <c r="C20" s="195" t="n">
        <v>85</v>
      </c>
      <c r="D20" s="195" t="n">
        <v>10</v>
      </c>
      <c r="E20" s="195"/>
      <c r="F20" s="195"/>
      <c r="G20" s="195" t="n">
        <f aca="false">(C20*E20*D20)-(F20*D20*C20)</f>
        <v>0</v>
      </c>
      <c r="H20" s="196" t="n">
        <v>9</v>
      </c>
      <c r="I20" s="197" t="n">
        <f aca="false">((H20+(H20*18%))+(H20+(H20*18%))*4%)</f>
        <v>11.0448</v>
      </c>
      <c r="J20" s="197" t="n">
        <f aca="false">I20/C20</f>
        <v>0.129938823529412</v>
      </c>
      <c r="K20" s="198" t="n">
        <f aca="false">G20*J20</f>
        <v>0</v>
      </c>
    </row>
    <row r="21" customFormat="false" ht="20.25" hidden="false" customHeight="false" outlineLevel="0" collapsed="false">
      <c r="A21" s="195" t="n">
        <v>16</v>
      </c>
      <c r="B21" s="195" t="s">
        <v>1066</v>
      </c>
      <c r="C21" s="195" t="n">
        <v>76</v>
      </c>
      <c r="D21" s="195" t="n">
        <v>10</v>
      </c>
      <c r="E21" s="20"/>
      <c r="F21" s="195"/>
      <c r="G21" s="195" t="n">
        <f aca="false">(C21*E21*D21)-(F21*D21*C21)</f>
        <v>0</v>
      </c>
      <c r="H21" s="196" t="n">
        <v>9</v>
      </c>
      <c r="I21" s="197" t="n">
        <f aca="false">((H21+(H21*18%))+(H21+(H21*18%))*4%)</f>
        <v>11.0448</v>
      </c>
      <c r="J21" s="197" t="n">
        <f aca="false">I21/C21</f>
        <v>0.145326315789474</v>
      </c>
      <c r="K21" s="198" t="n">
        <f aca="false">G21*J21</f>
        <v>0</v>
      </c>
    </row>
    <row r="22" customFormat="false" ht="20.25" hidden="false" customHeight="false" outlineLevel="0" collapsed="false">
      <c r="A22" s="195" t="n">
        <v>17</v>
      </c>
      <c r="B22" s="195" t="s">
        <v>1067</v>
      </c>
      <c r="C22" s="195" t="n">
        <v>75</v>
      </c>
      <c r="D22" s="195" t="n">
        <v>10</v>
      </c>
      <c r="E22" s="195" t="n">
        <v>3</v>
      </c>
      <c r="F22" s="195"/>
      <c r="G22" s="195" t="n">
        <f aca="false">(C22*E22*D22)-(F22*D22*C22)</f>
        <v>2250</v>
      </c>
      <c r="H22" s="196" t="n">
        <v>9</v>
      </c>
      <c r="I22" s="197" t="n">
        <f aca="false">((H22+(H22*18%))+(H22+(H22*18%))*4%)</f>
        <v>11.0448</v>
      </c>
      <c r="J22" s="197" t="n">
        <f aca="false">I22/C22</f>
        <v>0.147264</v>
      </c>
      <c r="K22" s="198" t="n">
        <f aca="false">G22*J22</f>
        <v>331.344</v>
      </c>
    </row>
    <row r="23" customFormat="false" ht="20.25" hidden="false" customHeight="false" outlineLevel="0" collapsed="false">
      <c r="A23" s="195" t="n">
        <v>18</v>
      </c>
      <c r="B23" s="195" t="s">
        <v>1068</v>
      </c>
      <c r="C23" s="195" t="n">
        <v>75</v>
      </c>
      <c r="D23" s="195" t="n">
        <v>10</v>
      </c>
      <c r="E23" s="195"/>
      <c r="F23" s="195"/>
      <c r="G23" s="195" t="n">
        <f aca="false">(C23*E23*D23)-(F23*D23*C23)</f>
        <v>0</v>
      </c>
      <c r="H23" s="196" t="n">
        <v>9</v>
      </c>
      <c r="I23" s="197" t="n">
        <f aca="false">((H23+(H23*18%))+(H23+(H23*18%))*4%)</f>
        <v>11.0448</v>
      </c>
      <c r="J23" s="197" t="n">
        <f aca="false">I23/C23</f>
        <v>0.147264</v>
      </c>
      <c r="K23" s="198" t="n">
        <f aca="false">G23*J23</f>
        <v>0</v>
      </c>
    </row>
    <row r="24" customFormat="false" ht="20.25" hidden="false" customHeight="false" outlineLevel="0" collapsed="false">
      <c r="A24" s="195" t="n">
        <v>19</v>
      </c>
      <c r="B24" s="195" t="s">
        <v>1069</v>
      </c>
      <c r="C24" s="195" t="n">
        <v>71</v>
      </c>
      <c r="D24" s="195" t="n">
        <v>10</v>
      </c>
      <c r="E24" s="195" t="n">
        <v>2</v>
      </c>
      <c r="F24" s="195"/>
      <c r="G24" s="195" t="n">
        <f aca="false">(C24*E24*D24)-(F24*D24*C24)</f>
        <v>1420</v>
      </c>
      <c r="H24" s="196" t="n">
        <v>9</v>
      </c>
      <c r="I24" s="197" t="n">
        <f aca="false">((H24+(H24*18%))+(H24+(H24*18%))*4%)</f>
        <v>11.0448</v>
      </c>
      <c r="J24" s="197" t="n">
        <f aca="false">I24/C24</f>
        <v>0.155560563380282</v>
      </c>
      <c r="K24" s="198" t="n">
        <f aca="false">G24*J24</f>
        <v>220.896</v>
      </c>
    </row>
    <row r="25" customFormat="false" ht="20.25" hidden="false" customHeight="false" outlineLevel="0" collapsed="false">
      <c r="A25" s="195" t="n">
        <v>20</v>
      </c>
      <c r="B25" s="195" t="s">
        <v>1070</v>
      </c>
      <c r="C25" s="195" t="n">
        <v>71</v>
      </c>
      <c r="D25" s="195" t="n">
        <v>10</v>
      </c>
      <c r="E25" s="195" t="n">
        <v>8</v>
      </c>
      <c r="F25" s="195"/>
      <c r="G25" s="195" t="n">
        <f aca="false">(C25*E25*D25)-(F25*D25*C25)</f>
        <v>5680</v>
      </c>
      <c r="H25" s="196" t="n">
        <v>9</v>
      </c>
      <c r="I25" s="197" t="n">
        <f aca="false">((H25+(H25*18%))+(H25+(H25*18%))*4%)</f>
        <v>11.0448</v>
      </c>
      <c r="J25" s="197" t="n">
        <f aca="false">I25/C25</f>
        <v>0.155560563380282</v>
      </c>
      <c r="K25" s="198" t="n">
        <f aca="false">G25*J25</f>
        <v>883.584</v>
      </c>
      <c r="N25" s="195" t="s">
        <v>1050</v>
      </c>
      <c r="O25" s="195" t="n">
        <v>6</v>
      </c>
    </row>
    <row r="26" customFormat="false" ht="15.75" hidden="false" customHeight="true" outlineLevel="0" collapsed="false">
      <c r="A26" s="195" t="n">
        <v>19</v>
      </c>
      <c r="B26" s="195" t="s">
        <v>1071</v>
      </c>
      <c r="C26" s="195" t="n">
        <v>71</v>
      </c>
      <c r="D26" s="195" t="n">
        <v>10</v>
      </c>
      <c r="E26" s="195"/>
      <c r="F26" s="195"/>
      <c r="G26" s="195" t="n">
        <f aca="false">(C26*E26*D26)-(F26*D26*C26)</f>
        <v>0</v>
      </c>
      <c r="H26" s="196" t="n">
        <v>9</v>
      </c>
      <c r="I26" s="197" t="n">
        <f aca="false">((H26+(H26*18%))+(H26+(H26*18%))*4%)</f>
        <v>11.0448</v>
      </c>
      <c r="J26" s="197" t="n">
        <f aca="false">I26/C26</f>
        <v>0.155560563380282</v>
      </c>
      <c r="K26" s="198" t="n">
        <f aca="false">G26*J26</f>
        <v>0</v>
      </c>
      <c r="N26" s="195" t="s">
        <v>1052</v>
      </c>
      <c r="O26" s="195" t="n">
        <v>6</v>
      </c>
    </row>
    <row r="27" customFormat="false" ht="15.75" hidden="false" customHeight="true" outlineLevel="0" collapsed="false">
      <c r="A27" s="173" t="n">
        <v>20</v>
      </c>
      <c r="B27" s="173" t="s">
        <v>1072</v>
      </c>
      <c r="C27" s="173" t="n">
        <v>169</v>
      </c>
      <c r="D27" s="173" t="n">
        <v>10</v>
      </c>
      <c r="E27" s="173"/>
      <c r="F27" s="173"/>
      <c r="G27" s="173" t="n">
        <f aca="false">(C27*E27*D27)-(F27*D27*C27)</f>
        <v>0</v>
      </c>
      <c r="H27" s="196" t="n">
        <v>9</v>
      </c>
      <c r="I27" s="197" t="n">
        <f aca="false">((H27+(H27*18%))+(H27+(H27*18%))*4%)</f>
        <v>11.0448</v>
      </c>
      <c r="J27" s="197" t="n">
        <f aca="false">I27/C27</f>
        <v>0.0653538461538462</v>
      </c>
      <c r="K27" s="198" t="n">
        <f aca="false">G27*J27</f>
        <v>0</v>
      </c>
      <c r="N27" s="195" t="s">
        <v>1066</v>
      </c>
      <c r="O27" s="195" t="n">
        <v>3</v>
      </c>
    </row>
    <row r="28" customFormat="false" ht="15.75" hidden="false" customHeight="true" outlineLevel="0" collapsed="false">
      <c r="A28" s="173" t="n">
        <v>21</v>
      </c>
      <c r="B28" s="173" t="s">
        <v>1073</v>
      </c>
      <c r="C28" s="173" t="n">
        <v>160</v>
      </c>
      <c r="D28" s="173" t="n">
        <v>10</v>
      </c>
      <c r="E28" s="173" t="n">
        <v>1</v>
      </c>
      <c r="F28" s="173"/>
      <c r="G28" s="173" t="n">
        <f aca="false">(C28*E28*D28)-(F28*D28*C28)</f>
        <v>1600</v>
      </c>
      <c r="H28" s="196" t="n">
        <v>9</v>
      </c>
      <c r="I28" s="197" t="n">
        <f aca="false">((H28+(H28*18%))+(H28+(H28*18%))*4%)</f>
        <v>11.0448</v>
      </c>
      <c r="J28" s="197" t="n">
        <f aca="false">I28/C28</f>
        <v>0.06903</v>
      </c>
      <c r="K28" s="198" t="n">
        <f aca="false">G28*J28</f>
        <v>110.448</v>
      </c>
      <c r="N28" s="195" t="s">
        <v>1067</v>
      </c>
      <c r="O28" s="195" t="n">
        <v>5</v>
      </c>
    </row>
    <row r="29" customFormat="false" ht="15.75" hidden="false" customHeight="true" outlineLevel="0" collapsed="false">
      <c r="A29" s="173" t="n">
        <v>22</v>
      </c>
      <c r="B29" s="173" t="s">
        <v>1074</v>
      </c>
      <c r="C29" s="173" t="n">
        <v>65</v>
      </c>
      <c r="D29" s="173" t="n">
        <v>10</v>
      </c>
      <c r="E29" s="173" t="n">
        <v>1</v>
      </c>
      <c r="F29" s="173"/>
      <c r="G29" s="173" t="n">
        <f aca="false">(C29*E29*D29)-(F29*D29*C29)</f>
        <v>650</v>
      </c>
      <c r="H29" s="196" t="n">
        <v>9</v>
      </c>
      <c r="I29" s="197" t="n">
        <f aca="false">((H29+(H29*18%))+(H29+(H29*18%))*4%)</f>
        <v>11.0448</v>
      </c>
      <c r="J29" s="197" t="n">
        <f aca="false">I29/C29</f>
        <v>0.16992</v>
      </c>
      <c r="K29" s="198" t="n">
        <f aca="false">G29*J29</f>
        <v>110.448</v>
      </c>
      <c r="N29" s="199" t="s">
        <v>1054</v>
      </c>
      <c r="O29" s="199" t="n">
        <v>10</v>
      </c>
    </row>
    <row r="30" customFormat="false" ht="15.75" hidden="false" customHeight="true" outlineLevel="0" collapsed="false">
      <c r="A30" s="173" t="n">
        <v>23</v>
      </c>
      <c r="B30" s="173" t="s">
        <v>1075</v>
      </c>
      <c r="C30" s="173" t="n">
        <v>65</v>
      </c>
      <c r="D30" s="173" t="n">
        <v>10</v>
      </c>
      <c r="E30" s="173"/>
      <c r="F30" s="173"/>
      <c r="G30" s="173" t="n">
        <f aca="false">(C30*E30*D30)-(F30*D30*C30)</f>
        <v>0</v>
      </c>
      <c r="H30" s="196" t="n">
        <v>9</v>
      </c>
      <c r="I30" s="197" t="n">
        <f aca="false">((H30+(H30*18%))+(H30+(H30*18%))*4%)</f>
        <v>11.0448</v>
      </c>
      <c r="J30" s="197" t="n">
        <f aca="false">I30/C30</f>
        <v>0.16992</v>
      </c>
      <c r="K30" s="198" t="n">
        <f aca="false">G30*J30</f>
        <v>0</v>
      </c>
      <c r="N30" s="199" t="s">
        <v>1056</v>
      </c>
      <c r="O30" s="199" t="n">
        <v>12</v>
      </c>
    </row>
    <row r="31" customFormat="false" ht="15.75" hidden="false" customHeight="true" outlineLevel="0" collapsed="false">
      <c r="A31" s="173" t="n">
        <v>24</v>
      </c>
      <c r="B31" s="173" t="s">
        <v>1076</v>
      </c>
      <c r="C31" s="173" t="n">
        <v>51</v>
      </c>
      <c r="D31" s="173" t="n">
        <v>10</v>
      </c>
      <c r="E31" s="173" t="n">
        <v>1</v>
      </c>
      <c r="F31" s="173"/>
      <c r="G31" s="173" t="n">
        <f aca="false">(C31*E31*D31)-(F31*D31*C31)</f>
        <v>510</v>
      </c>
      <c r="H31" s="196" t="n">
        <v>9</v>
      </c>
      <c r="I31" s="197" t="n">
        <f aca="false">((H31+(H31*18%))+(H31+(H31*18%))*4%)</f>
        <v>11.0448</v>
      </c>
      <c r="J31" s="197" t="n">
        <f aca="false">I31/C31</f>
        <v>0.216564705882353</v>
      </c>
      <c r="K31" s="198" t="n">
        <f aca="false">G31*J31</f>
        <v>110.448</v>
      </c>
      <c r="N31" s="199"/>
      <c r="O31" s="199"/>
    </row>
    <row r="32" customFormat="false" ht="15.75" hidden="false" customHeight="true" outlineLevel="0" collapsed="false">
      <c r="A32" s="173" t="n">
        <v>25</v>
      </c>
      <c r="B32" s="173" t="s">
        <v>1077</v>
      </c>
      <c r="C32" s="173" t="n">
        <v>51</v>
      </c>
      <c r="D32" s="173" t="n">
        <v>10</v>
      </c>
      <c r="E32" s="173"/>
      <c r="F32" s="173"/>
      <c r="G32" s="173" t="n">
        <f aca="false">(C32*E32*D32)-(F32*D32*C32)</f>
        <v>0</v>
      </c>
      <c r="H32" s="196" t="n">
        <v>9</v>
      </c>
      <c r="I32" s="197" t="n">
        <f aca="false">((H32+(H32*18%))+(H32+(H32*18%))*4%)</f>
        <v>11.0448</v>
      </c>
      <c r="J32" s="197" t="n">
        <f aca="false">I32/C32</f>
        <v>0.216564705882353</v>
      </c>
      <c r="K32" s="198" t="n">
        <f aca="false">G32*J32</f>
        <v>0</v>
      </c>
      <c r="N32" s="199"/>
      <c r="O32" s="199"/>
    </row>
    <row r="33" customFormat="false" ht="15.75" hidden="false" customHeight="true" outlineLevel="0" collapsed="false">
      <c r="A33" s="173" t="n">
        <v>26</v>
      </c>
      <c r="B33" s="173" t="s">
        <v>1078</v>
      </c>
      <c r="C33" s="173" t="n">
        <v>71</v>
      </c>
      <c r="D33" s="173" t="n">
        <v>10</v>
      </c>
      <c r="E33" s="173" t="n">
        <v>2</v>
      </c>
      <c r="F33" s="173"/>
      <c r="G33" s="173" t="n">
        <f aca="false">(C33*E33*D33)-(F33*D33*C33)</f>
        <v>1420</v>
      </c>
      <c r="H33" s="196" t="n">
        <v>9</v>
      </c>
      <c r="I33" s="197" t="n">
        <f aca="false">((H33+(H33*18%))+(H33+(H33*18%))*4%)</f>
        <v>11.0448</v>
      </c>
      <c r="J33" s="197" t="n">
        <f aca="false">I33/C33</f>
        <v>0.155560563380282</v>
      </c>
      <c r="K33" s="198" t="n">
        <f aca="false">G33*J33</f>
        <v>220.896</v>
      </c>
    </row>
    <row r="34" customFormat="false" ht="15.75" hidden="false" customHeight="true" outlineLevel="0" collapsed="false">
      <c r="A34" s="173" t="n">
        <v>27</v>
      </c>
      <c r="B34" s="173" t="s">
        <v>1079</v>
      </c>
      <c r="C34" s="173" t="n">
        <v>71</v>
      </c>
      <c r="D34" s="173" t="n">
        <v>10</v>
      </c>
      <c r="E34" s="173" t="n">
        <v>1</v>
      </c>
      <c r="F34" s="173"/>
      <c r="G34" s="173" t="n">
        <f aca="false">(C34*E34*D34)-(F34*D34*C34)</f>
        <v>710</v>
      </c>
      <c r="H34" s="196" t="n">
        <v>9</v>
      </c>
      <c r="I34" s="197" t="n">
        <f aca="false">((H34+(H34*18%))+(H34+(H34*18%))*4%)</f>
        <v>11.0448</v>
      </c>
      <c r="J34" s="197" t="n">
        <f aca="false">I34/C34</f>
        <v>0.155560563380282</v>
      </c>
      <c r="K34" s="198" t="n">
        <f aca="false">G34*J34</f>
        <v>110.448</v>
      </c>
    </row>
    <row r="35" customFormat="false" ht="15.75" hidden="false" customHeight="true" outlineLevel="0" collapsed="false">
      <c r="A35" s="173" t="n">
        <v>28</v>
      </c>
      <c r="B35" s="173" t="s">
        <v>1080</v>
      </c>
      <c r="C35" s="173" t="n">
        <v>71</v>
      </c>
      <c r="D35" s="173" t="n">
        <v>10</v>
      </c>
      <c r="E35" s="173"/>
      <c r="F35" s="173"/>
      <c r="G35" s="173" t="n">
        <f aca="false">(C35*E35*D35)-(F35*D35*C35)</f>
        <v>0</v>
      </c>
      <c r="H35" s="196" t="n">
        <v>9</v>
      </c>
      <c r="I35" s="197" t="n">
        <f aca="false">((H35+(H35*18%))+(H35+(H35*18%))*4%)</f>
        <v>11.0448</v>
      </c>
      <c r="J35" s="197" t="n">
        <f aca="false">I35/C35</f>
        <v>0.155560563380282</v>
      </c>
      <c r="K35" s="198" t="n">
        <f aca="false">G35*J35</f>
        <v>0</v>
      </c>
    </row>
    <row r="36" customFormat="false" ht="15.75" hidden="false" customHeight="true" outlineLevel="0" collapsed="false">
      <c r="A36" s="173" t="n">
        <v>27</v>
      </c>
      <c r="B36" s="173" t="s">
        <v>1081</v>
      </c>
      <c r="C36" s="173" t="n">
        <v>44</v>
      </c>
      <c r="D36" s="173" t="n">
        <v>10</v>
      </c>
      <c r="E36" s="173"/>
      <c r="F36" s="173"/>
      <c r="G36" s="173" t="n">
        <f aca="false">(C36*E36*D36)-(F36*D36*C36)</f>
        <v>0</v>
      </c>
      <c r="H36" s="196" t="n">
        <v>9</v>
      </c>
      <c r="I36" s="197" t="n">
        <f aca="false">((H36+(H36*18%))+(H36+(H36*18%))*4%)</f>
        <v>11.0448</v>
      </c>
      <c r="J36" s="197" t="n">
        <f aca="false">I36/C36</f>
        <v>0.251018181818182</v>
      </c>
      <c r="K36" s="198" t="n">
        <f aca="false">G36*J36</f>
        <v>0</v>
      </c>
    </row>
    <row r="37" customFormat="false" ht="15.75" hidden="false" customHeight="true" outlineLevel="0" collapsed="false">
      <c r="A37" s="199" t="n">
        <v>28</v>
      </c>
      <c r="B37" s="199" t="s">
        <v>1082</v>
      </c>
      <c r="C37" s="199" t="n">
        <v>175</v>
      </c>
      <c r="D37" s="199" t="n">
        <v>10</v>
      </c>
      <c r="E37" s="199"/>
      <c r="F37" s="199"/>
      <c r="G37" s="199" t="n">
        <f aca="false">(C37*E37*D37)-(F37*D37*C37)</f>
        <v>0</v>
      </c>
      <c r="H37" s="196" t="n">
        <v>9</v>
      </c>
      <c r="I37" s="197" t="n">
        <f aca="false">((H37+(H37*18%))+(H37+(H37*18%))*4%)</f>
        <v>11.0448</v>
      </c>
      <c r="J37" s="197" t="n">
        <f aca="false">I37/C37</f>
        <v>0.0631131428571429</v>
      </c>
      <c r="K37" s="198" t="n">
        <f aca="false">G37*J37</f>
        <v>0</v>
      </c>
    </row>
    <row r="38" customFormat="false" ht="15.75" hidden="false" customHeight="true" outlineLevel="0" collapsed="false">
      <c r="A38" s="199" t="n">
        <v>29</v>
      </c>
      <c r="B38" s="199" t="s">
        <v>1083</v>
      </c>
      <c r="C38" s="199" t="n">
        <v>175</v>
      </c>
      <c r="D38" s="199" t="n">
        <v>10</v>
      </c>
      <c r="E38" s="199" t="n">
        <v>2</v>
      </c>
      <c r="F38" s="199"/>
      <c r="G38" s="199" t="n">
        <f aca="false">(C38*E38*D38)-(F38*D38*C38)</f>
        <v>3500</v>
      </c>
      <c r="H38" s="196" t="n">
        <v>9</v>
      </c>
      <c r="I38" s="197" t="n">
        <f aca="false">((H38+(H38*18%))+(H38+(H38*18%))*4%)</f>
        <v>11.0448</v>
      </c>
      <c r="J38" s="197" t="n">
        <f aca="false">I38/C38</f>
        <v>0.0631131428571429</v>
      </c>
      <c r="K38" s="198" t="n">
        <f aca="false">G38*J38</f>
        <v>220.896</v>
      </c>
    </row>
    <row r="39" customFormat="false" ht="15.75" hidden="false" customHeight="true" outlineLevel="0" collapsed="false">
      <c r="A39" s="199" t="n">
        <v>30</v>
      </c>
      <c r="B39" s="199" t="s">
        <v>1084</v>
      </c>
      <c r="C39" s="199" t="n">
        <v>175</v>
      </c>
      <c r="D39" s="199" t="n">
        <v>10</v>
      </c>
      <c r="E39" s="199"/>
      <c r="F39" s="199"/>
      <c r="G39" s="199" t="n">
        <f aca="false">(C39*E39*D39)-(F39*D39*C39)</f>
        <v>0</v>
      </c>
      <c r="H39" s="196" t="n">
        <v>9</v>
      </c>
      <c r="I39" s="197" t="n">
        <f aca="false">((H39+(H39*18%))+(H39+(H39*18%))*4%)</f>
        <v>11.0448</v>
      </c>
      <c r="J39" s="197" t="n">
        <f aca="false">I39/C39</f>
        <v>0.0631131428571429</v>
      </c>
      <c r="K39" s="198" t="n">
        <f aca="false">G39*J39</f>
        <v>0</v>
      </c>
    </row>
    <row r="40" customFormat="false" ht="15.75" hidden="false" customHeight="true" outlineLevel="0" collapsed="false">
      <c r="A40" s="199" t="n">
        <v>30</v>
      </c>
      <c r="B40" s="199" t="s">
        <v>1054</v>
      </c>
      <c r="C40" s="199" t="n">
        <v>88</v>
      </c>
      <c r="D40" s="199" t="n">
        <v>10</v>
      </c>
      <c r="E40" s="20" t="n">
        <v>7</v>
      </c>
      <c r="F40" s="199"/>
      <c r="G40" s="199" t="n">
        <f aca="false">(C40*E40*D40)-(F40*D40*C40)</f>
        <v>6160</v>
      </c>
      <c r="H40" s="196" t="n">
        <v>9</v>
      </c>
      <c r="I40" s="197" t="n">
        <f aca="false">((H40+(H40*18%))+(H40+(H40*18%))*4%)</f>
        <v>11.0448</v>
      </c>
      <c r="J40" s="197" t="n">
        <f aca="false">I40/C40</f>
        <v>0.125509090909091</v>
      </c>
      <c r="K40" s="198" t="n">
        <f aca="false">G40*J40</f>
        <v>773.136</v>
      </c>
    </row>
    <row r="41" customFormat="false" ht="15.75" hidden="false" customHeight="true" outlineLevel="0" collapsed="false">
      <c r="A41" s="199" t="n">
        <v>31</v>
      </c>
      <c r="B41" s="199" t="s">
        <v>1056</v>
      </c>
      <c r="C41" s="199" t="n">
        <v>80</v>
      </c>
      <c r="D41" s="199" t="n">
        <v>10</v>
      </c>
      <c r="E41" s="20" t="n">
        <v>11</v>
      </c>
      <c r="F41" s="199"/>
      <c r="G41" s="199" t="n">
        <f aca="false">(C41*E41*D41)-(F41*D41*C41)</f>
        <v>8800</v>
      </c>
      <c r="H41" s="196" t="n">
        <v>9</v>
      </c>
      <c r="I41" s="197" t="n">
        <f aca="false">((H41+(H41*18%))+(H41+(H41*18%))*4%)</f>
        <v>11.0448</v>
      </c>
      <c r="J41" s="197" t="n">
        <f aca="false">I41/C41</f>
        <v>0.13806</v>
      </c>
      <c r="K41" s="198" t="n">
        <f aca="false">G41*J41</f>
        <v>1214.928</v>
      </c>
    </row>
    <row r="42" customFormat="false" ht="15.75" hidden="false" customHeight="true" outlineLevel="0" collapsed="false">
      <c r="A42" s="199" t="n">
        <v>32</v>
      </c>
      <c r="B42" s="199" t="s">
        <v>1057</v>
      </c>
      <c r="C42" s="199" t="n">
        <v>80</v>
      </c>
      <c r="D42" s="199" t="n">
        <v>10</v>
      </c>
      <c r="E42" s="199"/>
      <c r="F42" s="199"/>
      <c r="G42" s="199" t="n">
        <f aca="false">(C42*E42*D42)-(F42*D42*C42)</f>
        <v>0</v>
      </c>
      <c r="H42" s="196" t="n">
        <v>9</v>
      </c>
      <c r="I42" s="197" t="n">
        <f aca="false">((H42+(H42*18%))+(H42+(H42*18%))*4%)</f>
        <v>11.0448</v>
      </c>
      <c r="J42" s="197" t="n">
        <f aca="false">I42/C42</f>
        <v>0.13806</v>
      </c>
      <c r="K42" s="198" t="n">
        <f aca="false">G42*J42</f>
        <v>0</v>
      </c>
    </row>
    <row r="43" customFormat="false" ht="15.75" hidden="false" customHeight="true" outlineLevel="0" collapsed="false">
      <c r="A43" s="199" t="n">
        <v>35</v>
      </c>
      <c r="B43" s="199" t="s">
        <v>1085</v>
      </c>
      <c r="C43" s="199" t="n">
        <v>27</v>
      </c>
      <c r="D43" s="199" t="n">
        <v>12.5</v>
      </c>
      <c r="E43" s="199" t="n">
        <v>1</v>
      </c>
      <c r="F43" s="199"/>
      <c r="G43" s="199" t="n">
        <f aca="false">(C43*E43*D43)-(F43*D43*C43)</f>
        <v>337.5</v>
      </c>
      <c r="H43" s="196"/>
      <c r="I43" s="197"/>
      <c r="J43" s="197"/>
      <c r="K43" s="198"/>
    </row>
    <row r="44" customFormat="false" ht="15.75" hidden="false" customHeight="true" outlineLevel="0" collapsed="false">
      <c r="A44" s="199" t="n">
        <v>33</v>
      </c>
      <c r="B44" s="199" t="s">
        <v>1086</v>
      </c>
      <c r="C44" s="199" t="n">
        <v>27</v>
      </c>
      <c r="D44" s="199" t="n">
        <v>12.5</v>
      </c>
      <c r="E44" s="199" t="n">
        <v>1</v>
      </c>
      <c r="F44" s="199"/>
      <c r="G44" s="199" t="n">
        <f aca="false">(C44*E44*D44)-(F44*D44*C44)</f>
        <v>337.5</v>
      </c>
      <c r="H44" s="196" t="n">
        <v>9</v>
      </c>
      <c r="I44" s="197" t="n">
        <f aca="false">((H44+(H44*18%))+(H44+(H44*18%))*4%)</f>
        <v>11.0448</v>
      </c>
      <c r="J44" s="197" t="n">
        <f aca="false">I44/C44</f>
        <v>0.409066666666667</v>
      </c>
      <c r="K44" s="198" t="n">
        <f aca="false">G44*J44</f>
        <v>138.06</v>
      </c>
    </row>
    <row r="45" customFormat="false" ht="15.75" hidden="false" customHeight="true" outlineLevel="0" collapsed="false">
      <c r="A45" s="199" t="n">
        <v>34</v>
      </c>
      <c r="B45" s="199" t="s">
        <v>1087</v>
      </c>
      <c r="C45" s="199" t="n">
        <v>27</v>
      </c>
      <c r="D45" s="199" t="n">
        <v>12.5</v>
      </c>
      <c r="E45" s="199" t="n">
        <v>2</v>
      </c>
      <c r="F45" s="199"/>
      <c r="G45" s="199" t="n">
        <f aca="false">(C45*E45*D45)-(F45*D45*C45)</f>
        <v>675</v>
      </c>
      <c r="H45" s="196" t="n">
        <v>9</v>
      </c>
      <c r="I45" s="197" t="n">
        <f aca="false">((H45+(H45*18%))+(H45+(H45*18%))*4%)</f>
        <v>11.0448</v>
      </c>
      <c r="J45" s="197" t="n">
        <f aca="false">I45/C45</f>
        <v>0.409066666666667</v>
      </c>
      <c r="K45" s="198" t="n">
        <f aca="false">G45*J45</f>
        <v>276.12</v>
      </c>
    </row>
    <row r="46" customFormat="false" ht="15.75" hidden="false" customHeight="true" outlineLevel="0" collapsed="false">
      <c r="A46" s="199" t="n">
        <v>35</v>
      </c>
      <c r="B46" s="199" t="s">
        <v>1088</v>
      </c>
      <c r="C46" s="199" t="n">
        <v>27</v>
      </c>
      <c r="D46" s="199" t="n">
        <v>12.5</v>
      </c>
      <c r="E46" s="199"/>
      <c r="F46" s="199"/>
      <c r="G46" s="199" t="n">
        <f aca="false">(C46*E46*D46)-(F46*D46*C46)</f>
        <v>0</v>
      </c>
      <c r="H46" s="196" t="n">
        <v>9</v>
      </c>
      <c r="I46" s="197" t="n">
        <f aca="false">((H46+(H46*18%))+(H46+(H46*18%))*4%)</f>
        <v>11.0448</v>
      </c>
      <c r="J46" s="197" t="n">
        <f aca="false">I46/C46</f>
        <v>0.409066666666667</v>
      </c>
      <c r="K46" s="198" t="n">
        <f aca="false">G46*J46</f>
        <v>0</v>
      </c>
    </row>
    <row r="47" customFormat="false" ht="15.75" hidden="false" customHeight="true" outlineLevel="0" collapsed="false">
      <c r="A47" s="199" t="n">
        <v>36</v>
      </c>
      <c r="B47" s="199" t="s">
        <v>1089</v>
      </c>
      <c r="C47" s="199" t="n">
        <v>95</v>
      </c>
      <c r="D47" s="199" t="n">
        <v>12.5</v>
      </c>
      <c r="E47" s="199" t="n">
        <v>3</v>
      </c>
      <c r="F47" s="199"/>
      <c r="G47" s="199" t="n">
        <f aca="false">(C47*E47*D47)-(F47*D47*C47)</f>
        <v>3562.5</v>
      </c>
      <c r="H47" s="196" t="n">
        <v>9</v>
      </c>
      <c r="I47" s="197" t="n">
        <f aca="false">((H47+(H47*18%))+(H47+(H47*18%))*4%)</f>
        <v>11.0448</v>
      </c>
      <c r="J47" s="197" t="n">
        <f aca="false">I47/C47</f>
        <v>0.116261052631579</v>
      </c>
      <c r="K47" s="198" t="n">
        <f aca="false">G47*J47</f>
        <v>414.18</v>
      </c>
    </row>
    <row r="48" customFormat="false" ht="15.75" hidden="false" customHeight="true" outlineLevel="0" collapsed="false">
      <c r="A48" s="199" t="n">
        <v>37</v>
      </c>
      <c r="B48" s="199" t="s">
        <v>1090</v>
      </c>
      <c r="C48" s="199" t="n">
        <v>18</v>
      </c>
      <c r="D48" s="199" t="n">
        <v>8</v>
      </c>
      <c r="E48" s="199" t="n">
        <v>7</v>
      </c>
      <c r="F48" s="199"/>
      <c r="G48" s="199" t="n">
        <f aca="false">(C48*E48*D48)-(F48*D48*C48)</f>
        <v>1008</v>
      </c>
      <c r="H48" s="196" t="n">
        <v>9</v>
      </c>
      <c r="I48" s="197" t="n">
        <f aca="false">((H48+(H48*18%))+(H48+(H48*18%))*4%)</f>
        <v>11.0448</v>
      </c>
      <c r="J48" s="197" t="n">
        <f aca="false">I48/C48</f>
        <v>0.6136</v>
      </c>
      <c r="K48" s="198" t="n">
        <f aca="false">G48*J48</f>
        <v>618.5088</v>
      </c>
    </row>
    <row r="49" customFormat="false" ht="15.75" hidden="false" customHeight="true" outlineLevel="0" collapsed="false">
      <c r="A49" s="199" t="n">
        <v>38</v>
      </c>
      <c r="B49" s="199" t="s">
        <v>1091</v>
      </c>
      <c r="C49" s="199" t="n">
        <v>18</v>
      </c>
      <c r="D49" s="199" t="n">
        <v>8</v>
      </c>
      <c r="E49" s="199"/>
      <c r="F49" s="199"/>
      <c r="G49" s="199" t="n">
        <f aca="false">(C49*E49*D49)-(F49*D49*C49)</f>
        <v>0</v>
      </c>
      <c r="H49" s="196" t="n">
        <v>9</v>
      </c>
      <c r="I49" s="197" t="n">
        <f aca="false">((H49+(H49*18%))+(H49+(H49*18%))*4%)</f>
        <v>11.0448</v>
      </c>
      <c r="J49" s="197" t="n">
        <f aca="false">I49/C49</f>
        <v>0.6136</v>
      </c>
      <c r="K49" s="198" t="n">
        <f aca="false">G49*J49</f>
        <v>0</v>
      </c>
    </row>
    <row r="50" customFormat="false" ht="15.75" hidden="false" customHeight="true" outlineLevel="0" collapsed="false">
      <c r="A50" s="199" t="n">
        <v>38</v>
      </c>
      <c r="B50" s="199" t="s">
        <v>1058</v>
      </c>
      <c r="C50" s="199" t="n">
        <v>17</v>
      </c>
      <c r="D50" s="199" t="n">
        <v>8</v>
      </c>
      <c r="E50" s="199" t="n">
        <v>5</v>
      </c>
      <c r="F50" s="199"/>
      <c r="G50" s="199" t="n">
        <f aca="false">(C50*E50*D50)-(F50*D50*C50)</f>
        <v>680</v>
      </c>
      <c r="H50" s="196" t="n">
        <v>9</v>
      </c>
      <c r="I50" s="197" t="n">
        <f aca="false">((H50+(H50*18%))+(H50+(H50*18%))*4%)</f>
        <v>11.0448</v>
      </c>
      <c r="J50" s="197" t="n">
        <f aca="false">I50/C50</f>
        <v>0.649694117647059</v>
      </c>
      <c r="K50" s="198" t="n">
        <f aca="false">G50*J50</f>
        <v>441.792</v>
      </c>
    </row>
    <row r="51" customFormat="false" ht="15.75" hidden="false" customHeight="true" outlineLevel="0" collapsed="false">
      <c r="A51" s="199" t="n">
        <v>39</v>
      </c>
      <c r="B51" s="199" t="s">
        <v>1092</v>
      </c>
      <c r="C51" s="199" t="n">
        <v>17</v>
      </c>
      <c r="D51" s="199" t="n">
        <v>8</v>
      </c>
      <c r="E51" s="199"/>
      <c r="F51" s="199"/>
      <c r="G51" s="199" t="n">
        <f aca="false">(C51*E51*D51)-(F51*D51*C51)</f>
        <v>0</v>
      </c>
      <c r="H51" s="196" t="n">
        <v>9</v>
      </c>
      <c r="I51" s="197" t="n">
        <f aca="false">((H51+(H51*18%))+(H51+(H51*18%))*4%)</f>
        <v>11.0448</v>
      </c>
      <c r="J51" s="197" t="n">
        <f aca="false">I51/C51</f>
        <v>0.649694117647059</v>
      </c>
      <c r="K51" s="198" t="n">
        <f aca="false">G51*J51</f>
        <v>0</v>
      </c>
    </row>
    <row r="52" customFormat="false" ht="15.75" hidden="false" customHeight="true" outlineLevel="0" collapsed="false">
      <c r="A52" s="199" t="n">
        <v>39</v>
      </c>
      <c r="B52" s="199" t="s">
        <v>1093</v>
      </c>
      <c r="C52" s="199" t="n">
        <v>16</v>
      </c>
      <c r="D52" s="199" t="n">
        <v>10</v>
      </c>
      <c r="E52" s="199" t="n">
        <v>1</v>
      </c>
      <c r="F52" s="199"/>
      <c r="G52" s="199" t="n">
        <f aca="false">(C52*E52*D52)-(F52*D52*C52)</f>
        <v>160</v>
      </c>
      <c r="H52" s="196" t="n">
        <v>9</v>
      </c>
      <c r="I52" s="197" t="n">
        <f aca="false">((H52+(H52*18%))+(H52+(H52*18%))*4%)</f>
        <v>11.0448</v>
      </c>
      <c r="J52" s="197" t="n">
        <f aca="false">I52/C52</f>
        <v>0.6903</v>
      </c>
      <c r="K52" s="198" t="n">
        <f aca="false">G52*J52</f>
        <v>110.448</v>
      </c>
    </row>
    <row r="53" customFormat="false" ht="15.75" hidden="false" customHeight="true" outlineLevel="0" collapsed="false">
      <c r="A53" s="199" t="n">
        <v>40</v>
      </c>
      <c r="B53" s="199" t="s">
        <v>1094</v>
      </c>
      <c r="C53" s="199" t="n">
        <v>16</v>
      </c>
      <c r="D53" s="199" t="n">
        <v>10</v>
      </c>
      <c r="E53" s="199"/>
      <c r="F53" s="199"/>
      <c r="G53" s="199" t="n">
        <f aca="false">(C53*E53*D53)-(F53*D53*C53)</f>
        <v>0</v>
      </c>
      <c r="H53" s="196" t="n">
        <v>9</v>
      </c>
      <c r="I53" s="197" t="n">
        <f aca="false">((H53+(H53*18%))+(H53+(H53*18%))*4%)</f>
        <v>11.0448</v>
      </c>
      <c r="J53" s="197" t="n">
        <f aca="false">I53/C53</f>
        <v>0.6903</v>
      </c>
      <c r="K53" s="198" t="n">
        <f aca="false">G53*J53</f>
        <v>0</v>
      </c>
    </row>
    <row r="54" customFormat="false" ht="15.75" hidden="false" customHeight="true" outlineLevel="0" collapsed="false">
      <c r="A54" s="199" t="n">
        <v>41</v>
      </c>
      <c r="B54" s="199" t="s">
        <v>1095</v>
      </c>
      <c r="C54" s="199" t="n">
        <v>16</v>
      </c>
      <c r="D54" s="199" t="n">
        <v>10</v>
      </c>
      <c r="E54" s="199"/>
      <c r="F54" s="199"/>
      <c r="G54" s="199" t="n">
        <f aca="false">(C54*E54*D54)-(F54*D54*C54)</f>
        <v>0</v>
      </c>
      <c r="H54" s="196" t="n">
        <v>9</v>
      </c>
      <c r="I54" s="197" t="n">
        <f aca="false">((H54+(H54*18%))+(H54+(H54*18%))*4%)</f>
        <v>11.0448</v>
      </c>
      <c r="J54" s="197" t="n">
        <f aca="false">I54/C54</f>
        <v>0.6903</v>
      </c>
      <c r="K54" s="198" t="n">
        <f aca="false">G54*J54</f>
        <v>0</v>
      </c>
    </row>
    <row r="55" customFormat="false" ht="15.75" hidden="false" customHeight="true" outlineLevel="0" collapsed="false">
      <c r="A55" s="199" t="n">
        <v>42</v>
      </c>
      <c r="B55" s="199" t="s">
        <v>1096</v>
      </c>
      <c r="C55" s="199" t="n">
        <v>16</v>
      </c>
      <c r="D55" s="199" t="n">
        <v>10</v>
      </c>
      <c r="E55" s="199" t="n">
        <v>11</v>
      </c>
      <c r="F55" s="199"/>
      <c r="G55" s="199" t="n">
        <f aca="false">(C55*E55*D55)-(F55*D55*C55)</f>
        <v>1760</v>
      </c>
      <c r="H55" s="196" t="n">
        <v>9</v>
      </c>
      <c r="I55" s="197" t="n">
        <f aca="false">((H55+(H55*18%))+(H55+(H55*18%))*4%)</f>
        <v>11.0448</v>
      </c>
      <c r="J55" s="197" t="n">
        <f aca="false">I55/C55</f>
        <v>0.6903</v>
      </c>
      <c r="K55" s="198" t="n">
        <f aca="false">G55*J55</f>
        <v>1214.928</v>
      </c>
    </row>
    <row r="56" customFormat="false" ht="15.75" hidden="false" customHeight="true" outlineLevel="0" collapsed="false">
      <c r="A56" s="199" t="n">
        <v>43</v>
      </c>
      <c r="B56" s="199" t="s">
        <v>1094</v>
      </c>
      <c r="C56" s="199" t="n">
        <v>16</v>
      </c>
      <c r="D56" s="199" t="n">
        <v>10</v>
      </c>
      <c r="E56" s="199" t="n">
        <v>2</v>
      </c>
      <c r="F56" s="199"/>
      <c r="G56" s="199" t="n">
        <f aca="false">(C56*E56*D56)-(F56*D56*C56)</f>
        <v>320</v>
      </c>
      <c r="H56" s="196" t="n">
        <v>9</v>
      </c>
      <c r="I56" s="197" t="n">
        <f aca="false">((H56+(H56*18%))+(H56+(H56*18%))*4%)</f>
        <v>11.0448</v>
      </c>
      <c r="J56" s="197" t="n">
        <f aca="false">I56/C56</f>
        <v>0.6903</v>
      </c>
      <c r="K56" s="198" t="n">
        <f aca="false">G56*J56</f>
        <v>220.896</v>
      </c>
    </row>
    <row r="57" customFormat="false" ht="15.75" hidden="false" customHeight="true" outlineLevel="0" collapsed="false">
      <c r="A57" s="199" t="n">
        <v>44</v>
      </c>
      <c r="B57" s="199" t="s">
        <v>1093</v>
      </c>
      <c r="C57" s="199" t="n">
        <v>16</v>
      </c>
      <c r="D57" s="199" t="n">
        <v>10</v>
      </c>
      <c r="E57" s="199"/>
      <c r="F57" s="199"/>
      <c r="G57" s="199" t="n">
        <f aca="false">(C57*E57*D57)-(F57*D57*C57)</f>
        <v>0</v>
      </c>
      <c r="H57" s="196" t="n">
        <v>9</v>
      </c>
      <c r="I57" s="197" t="n">
        <f aca="false">((H57+(H57*18%))+(H57+(H57*18%))*4%)</f>
        <v>11.0448</v>
      </c>
      <c r="J57" s="197" t="n">
        <f aca="false">I57/C57</f>
        <v>0.6903</v>
      </c>
      <c r="K57" s="198" t="n">
        <f aca="false">G57*J57</f>
        <v>0</v>
      </c>
    </row>
    <row r="58" customFormat="false" ht="15.75" hidden="false" customHeight="true" outlineLevel="0" collapsed="false">
      <c r="B58" s="1" t="s">
        <v>1097</v>
      </c>
      <c r="K58" s="201" t="n">
        <f aca="false">SUM(K3:K57)</f>
        <v>12248.6832</v>
      </c>
    </row>
  </sheetData>
  <mergeCells count="1">
    <mergeCell ref="A1:F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4" activeCellId="0" sqref="B4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14.7"/>
    <col collapsed="false" customWidth="true" hidden="false" outlineLevel="0" max="2" min="2" style="1" width="15.86"/>
    <col collapsed="false" customWidth="true" hidden="false" outlineLevel="0" max="4" min="3" style="1" width="13.57"/>
    <col collapsed="false" customWidth="true" hidden="false" outlineLevel="0" max="5" min="5" style="1" width="16.86"/>
    <col collapsed="false" customWidth="true" hidden="false" outlineLevel="0" max="6" min="6" style="1" width="18.86"/>
    <col collapsed="false" customWidth="true" hidden="false" outlineLevel="0" max="27" min="7" style="1" width="8.57"/>
    <col collapsed="false" customWidth="false" hidden="false" outlineLevel="0" max="16384" min="28" style="1" width="14.43"/>
  </cols>
  <sheetData>
    <row r="1" customFormat="false" ht="20.25" hidden="false" customHeight="false" outlineLevel="0" collapsed="false">
      <c r="A1" s="9" t="s">
        <v>1098</v>
      </c>
      <c r="B1" s="183" t="n">
        <v>46184</v>
      </c>
    </row>
    <row r="4" customFormat="false" ht="20.25" hidden="false" customHeight="false" outlineLevel="0" collapsed="false">
      <c r="A4" s="130" t="s">
        <v>1099</v>
      </c>
      <c r="B4" s="202" t="s">
        <v>1100</v>
      </c>
      <c r="C4" s="202" t="s">
        <v>10</v>
      </c>
      <c r="D4" s="202" t="s">
        <v>1101</v>
      </c>
      <c r="E4" s="202" t="s">
        <v>1102</v>
      </c>
      <c r="F4" s="130" t="s">
        <v>1103</v>
      </c>
    </row>
    <row r="5" customFormat="false" ht="20.25" hidden="false" customHeight="false" outlineLevel="0" collapsed="false">
      <c r="A5" s="121" t="n">
        <v>1</v>
      </c>
      <c r="B5" s="203" t="s">
        <v>1104</v>
      </c>
      <c r="C5" s="203" t="n">
        <v>325</v>
      </c>
      <c r="D5" s="203" t="n">
        <v>0</v>
      </c>
      <c r="E5" s="204" t="n">
        <v>0</v>
      </c>
      <c r="F5" s="158" t="n">
        <f aca="false">C5*E5</f>
        <v>0</v>
      </c>
    </row>
    <row r="6" customFormat="false" ht="20.25" hidden="false" customHeight="false" outlineLevel="0" collapsed="false">
      <c r="A6" s="121" t="n">
        <v>2</v>
      </c>
      <c r="B6" s="203" t="s">
        <v>1105</v>
      </c>
      <c r="C6" s="203" t="n">
        <v>575</v>
      </c>
      <c r="D6" s="203" t="n">
        <v>2.33</v>
      </c>
      <c r="E6" s="204" t="n">
        <v>2.5</v>
      </c>
      <c r="F6" s="158" t="n">
        <f aca="false">C6*E6</f>
        <v>1437.5</v>
      </c>
    </row>
    <row r="7" customFormat="false" ht="20.25" hidden="false" customHeight="false" outlineLevel="0" collapsed="false">
      <c r="A7" s="121" t="n">
        <v>3</v>
      </c>
      <c r="B7" s="203" t="s">
        <v>1106</v>
      </c>
      <c r="C7" s="203" t="n">
        <v>250</v>
      </c>
      <c r="D7" s="203" t="n">
        <v>2.73</v>
      </c>
      <c r="E7" s="204" t="n">
        <v>2.99</v>
      </c>
      <c r="F7" s="158" t="n">
        <f aca="false">C7*E7</f>
        <v>747.5</v>
      </c>
    </row>
    <row r="8" customFormat="false" ht="20.25" hidden="false" customHeight="false" outlineLevel="0" collapsed="false">
      <c r="A8" s="121" t="n">
        <v>4</v>
      </c>
      <c r="B8" s="203" t="s">
        <v>1107</v>
      </c>
      <c r="C8" s="203" t="n">
        <v>670</v>
      </c>
      <c r="D8" s="203" t="n">
        <v>0</v>
      </c>
      <c r="E8" s="205" t="n">
        <v>0</v>
      </c>
      <c r="F8" s="158" t="n">
        <f aca="false">C8*E8</f>
        <v>0</v>
      </c>
    </row>
    <row r="9" customFormat="false" ht="20.25" hidden="false" customHeight="false" outlineLevel="0" collapsed="false">
      <c r="A9" s="121" t="n">
        <v>5</v>
      </c>
      <c r="B9" s="203" t="s">
        <v>1108</v>
      </c>
      <c r="C9" s="203" t="n">
        <v>350</v>
      </c>
      <c r="D9" s="203" t="n">
        <v>4.42</v>
      </c>
      <c r="E9" s="204" t="n">
        <v>4.1</v>
      </c>
      <c r="F9" s="158" t="n">
        <f aca="false">C9*E9</f>
        <v>1435</v>
      </c>
    </row>
    <row r="10" customFormat="false" ht="20.25" hidden="false" customHeight="false" outlineLevel="0" collapsed="false">
      <c r="A10" s="121" t="n">
        <v>6</v>
      </c>
      <c r="B10" s="203" t="s">
        <v>1109</v>
      </c>
      <c r="C10" s="203" t="n">
        <v>550</v>
      </c>
      <c r="D10" s="203" t="n">
        <v>5.37</v>
      </c>
      <c r="E10" s="205" t="n">
        <v>5.18</v>
      </c>
      <c r="F10" s="158" t="n">
        <f aca="false">C10*E10</f>
        <v>2849</v>
      </c>
    </row>
    <row r="11" customFormat="false" ht="20.25" hidden="false" customHeight="false" outlineLevel="0" collapsed="false">
      <c r="A11" s="121" t="n">
        <v>7</v>
      </c>
      <c r="B11" s="203" t="s">
        <v>1110</v>
      </c>
      <c r="C11" s="203" t="n">
        <v>540</v>
      </c>
      <c r="D11" s="203" t="n">
        <v>6.4</v>
      </c>
      <c r="E11" s="204" t="n">
        <v>6.03</v>
      </c>
      <c r="F11" s="158" t="n">
        <f aca="false">C11*E11</f>
        <v>3256.2</v>
      </c>
    </row>
    <row r="12" customFormat="false" ht="20.25" hidden="false" customHeight="false" outlineLevel="0" collapsed="false">
      <c r="A12" s="121" t="n">
        <v>8</v>
      </c>
      <c r="B12" s="203" t="s">
        <v>1111</v>
      </c>
      <c r="C12" s="203" t="n">
        <v>460</v>
      </c>
      <c r="D12" s="203"/>
      <c r="E12" s="204" t="n">
        <v>0</v>
      </c>
      <c r="F12" s="158" t="n">
        <f aca="false">C12*E12</f>
        <v>0</v>
      </c>
    </row>
    <row r="13" customFormat="false" ht="20.25" hidden="false" customHeight="false" outlineLevel="0" collapsed="false">
      <c r="A13" s="121" t="n">
        <v>9</v>
      </c>
      <c r="B13" s="203" t="s">
        <v>1112</v>
      </c>
      <c r="C13" s="203" t="s">
        <v>1113</v>
      </c>
      <c r="D13" s="203"/>
      <c r="E13" s="203" t="s">
        <v>1113</v>
      </c>
      <c r="F13" s="203" t="s">
        <v>1114</v>
      </c>
    </row>
    <row r="14" customFormat="false" ht="20.25" hidden="false" customHeight="false" outlineLevel="0" collapsed="false">
      <c r="A14" s="206"/>
      <c r="B14" s="206"/>
      <c r="C14" s="206" t="n">
        <v>2055</v>
      </c>
      <c r="D14" s="206"/>
      <c r="E14" s="206"/>
      <c r="F14" s="207" t="n">
        <f aca="false">SUM(F5:F13)</f>
        <v>9725.2</v>
      </c>
    </row>
    <row r="16" customFormat="false" ht="15" hidden="false" customHeight="true" outlineLevel="0" collapsed="false">
      <c r="A16" s="1" t="s">
        <v>1115</v>
      </c>
    </row>
    <row r="22" customFormat="false" ht="15" hidden="false" customHeight="true" outlineLevel="0" collapsed="false">
      <c r="B22" s="1" t="s">
        <v>1116</v>
      </c>
    </row>
    <row r="24" customFormat="false" ht="15" hidden="false" customHeight="true" outlineLevel="0" collapsed="false">
      <c r="A24" s="130" t="s">
        <v>1099</v>
      </c>
      <c r="B24" s="202" t="s">
        <v>1100</v>
      </c>
      <c r="C24" s="202" t="s">
        <v>10</v>
      </c>
      <c r="D24" s="202" t="s">
        <v>1101</v>
      </c>
      <c r="E24" s="202" t="s">
        <v>1102</v>
      </c>
      <c r="F24" s="130" t="s">
        <v>1103</v>
      </c>
    </row>
    <row r="25" customFormat="false" ht="15" hidden="false" customHeight="true" outlineLevel="0" collapsed="false">
      <c r="A25" s="121" t="n">
        <v>1</v>
      </c>
      <c r="B25" s="203" t="s">
        <v>1104</v>
      </c>
      <c r="C25" s="203" t="n">
        <v>200</v>
      </c>
      <c r="D25" s="203"/>
      <c r="E25" s="204" t="n">
        <v>1.5</v>
      </c>
      <c r="F25" s="158" t="n">
        <f aca="false">C25*E25</f>
        <v>300</v>
      </c>
    </row>
    <row r="26" customFormat="false" ht="15" hidden="false" customHeight="true" outlineLevel="0" collapsed="false">
      <c r="A26" s="121" t="n">
        <v>2</v>
      </c>
      <c r="B26" s="203" t="s">
        <v>1105</v>
      </c>
      <c r="C26" s="203" t="n">
        <v>250</v>
      </c>
      <c r="D26" s="203"/>
      <c r="E26" s="204" t="n">
        <v>2.5</v>
      </c>
      <c r="F26" s="158" t="n">
        <f aca="false">C26*E26</f>
        <v>625</v>
      </c>
    </row>
    <row r="27" customFormat="false" ht="15" hidden="false" customHeight="true" outlineLevel="0" collapsed="false">
      <c r="A27" s="121" t="n">
        <v>3</v>
      </c>
      <c r="B27" s="203" t="s">
        <v>1106</v>
      </c>
      <c r="C27" s="203" t="n">
        <v>250</v>
      </c>
      <c r="D27" s="203"/>
      <c r="E27" s="204" t="n">
        <v>2.97</v>
      </c>
      <c r="F27" s="158" t="n">
        <f aca="false">C27*E27</f>
        <v>742.5</v>
      </c>
    </row>
    <row r="28" customFormat="false" ht="15" hidden="false" customHeight="true" outlineLevel="0" collapsed="false">
      <c r="A28" s="121" t="n">
        <v>4</v>
      </c>
      <c r="B28" s="203" t="s">
        <v>1107</v>
      </c>
      <c r="C28" s="203" t="n">
        <v>600</v>
      </c>
      <c r="D28" s="203"/>
      <c r="E28" s="205" t="n">
        <v>3.84</v>
      </c>
      <c r="F28" s="158" t="n">
        <f aca="false">C28*E28</f>
        <v>2304</v>
      </c>
    </row>
    <row r="29" customFormat="false" ht="15" hidden="false" customHeight="true" outlineLevel="0" collapsed="false">
      <c r="A29" s="121" t="n">
        <v>5</v>
      </c>
      <c r="B29" s="203" t="s">
        <v>1108</v>
      </c>
      <c r="C29" s="203" t="n">
        <v>300</v>
      </c>
      <c r="D29" s="203"/>
      <c r="E29" s="204" t="n">
        <v>4.59</v>
      </c>
      <c r="F29" s="158" t="n">
        <f aca="false">C29*E29</f>
        <v>1377</v>
      </c>
    </row>
    <row r="30" customFormat="false" ht="15" hidden="false" customHeight="true" outlineLevel="0" collapsed="false">
      <c r="A30" s="121" t="n">
        <v>6</v>
      </c>
      <c r="B30" s="203" t="s">
        <v>1109</v>
      </c>
      <c r="C30" s="203" t="n">
        <v>400</v>
      </c>
      <c r="D30" s="203"/>
      <c r="E30" s="205" t="n">
        <v>5.8</v>
      </c>
      <c r="F30" s="158" t="n">
        <f aca="false">C30*E30</f>
        <v>2320</v>
      </c>
    </row>
    <row r="31" customFormat="false" ht="15" hidden="false" customHeight="true" outlineLevel="0" collapsed="false">
      <c r="A31" s="121" t="n">
        <v>7</v>
      </c>
      <c r="B31" s="203" t="s">
        <v>1110</v>
      </c>
      <c r="C31" s="203" t="n">
        <v>300</v>
      </c>
      <c r="D31" s="203"/>
      <c r="E31" s="204" t="n">
        <v>6.75</v>
      </c>
      <c r="F31" s="158" t="n">
        <f aca="false">C31*E31</f>
        <v>2025</v>
      </c>
    </row>
    <row r="32" customFormat="false" ht="15" hidden="false" customHeight="true" outlineLevel="0" collapsed="false">
      <c r="A32" s="121" t="n">
        <v>8</v>
      </c>
      <c r="B32" s="203" t="s">
        <v>1111</v>
      </c>
      <c r="C32" s="203" t="n">
        <v>300</v>
      </c>
      <c r="D32" s="203"/>
      <c r="E32" s="204" t="n">
        <v>7.2</v>
      </c>
      <c r="F32" s="158" t="n">
        <f aca="false">C32*E32</f>
        <v>2160</v>
      </c>
    </row>
    <row r="33" customFormat="false" ht="15" hidden="false" customHeight="true" outlineLevel="0" collapsed="false">
      <c r="A33" s="121" t="n">
        <v>9</v>
      </c>
      <c r="B33" s="203" t="s">
        <v>1112</v>
      </c>
      <c r="C33" s="203" t="s">
        <v>1113</v>
      </c>
      <c r="D33" s="203"/>
      <c r="E33" s="203" t="s">
        <v>1113</v>
      </c>
      <c r="F33" s="203" t="s">
        <v>1114</v>
      </c>
    </row>
    <row r="34" customFormat="false" ht="15" hidden="false" customHeight="true" outlineLevel="0" collapsed="false">
      <c r="A34" s="206"/>
      <c r="B34" s="206"/>
      <c r="C34" s="206" t="n">
        <v>2055</v>
      </c>
      <c r="D34" s="206"/>
      <c r="E34" s="206"/>
      <c r="F34" s="207" t="n">
        <f aca="false">SUM(F25:F33)</f>
        <v>11853.5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4.4296875" defaultRowHeight="20.25" zeroHeight="false" outlineLevelRow="0" outlineLevelCol="0"/>
  <cols>
    <col collapsed="false" customWidth="true" hidden="false" outlineLevel="0" max="3" min="1" style="1" width="8.57"/>
    <col collapsed="false" customWidth="true" hidden="false" outlineLevel="0" max="4" min="4" style="1" width="12"/>
    <col collapsed="false" customWidth="true" hidden="false" outlineLevel="0" max="5" min="5" style="1" width="11.57"/>
    <col collapsed="false" customWidth="true" hidden="false" outlineLevel="0" max="18" min="6" style="1" width="8.57"/>
    <col collapsed="false" customWidth="false" hidden="false" outlineLevel="0" max="16384" min="19" style="1" width="14.43"/>
  </cols>
  <sheetData>
    <row r="1" customFormat="false" ht="20.25" hidden="false" customHeight="false" outlineLevel="0" collapsed="false">
      <c r="A1" s="9"/>
      <c r="B1" s="9" t="s">
        <v>1117</v>
      </c>
      <c r="C1" s="9"/>
      <c r="D1" s="15" t="s">
        <v>1118</v>
      </c>
      <c r="E1" s="182" t="n">
        <v>45686</v>
      </c>
    </row>
    <row r="2" customFormat="false" ht="28.35" hidden="false" customHeight="false" outlineLevel="0" collapsed="false">
      <c r="A2" s="208" t="s">
        <v>52</v>
      </c>
      <c r="B2" s="208" t="s">
        <v>983</v>
      </c>
      <c r="C2" s="208" t="s">
        <v>21</v>
      </c>
      <c r="D2" s="208" t="s">
        <v>84</v>
      </c>
      <c r="E2" s="9" t="s">
        <v>1119</v>
      </c>
      <c r="H2" s="1" t="n">
        <v>2.61</v>
      </c>
    </row>
    <row r="3" customFormat="false" ht="20.25" hidden="false" customHeight="false" outlineLevel="0" collapsed="false">
      <c r="A3" s="10" t="n">
        <v>220</v>
      </c>
      <c r="B3" s="10" t="n">
        <v>1000</v>
      </c>
      <c r="C3" s="209" t="n">
        <v>1</v>
      </c>
      <c r="D3" s="210" t="s">
        <v>1120</v>
      </c>
      <c r="E3" s="9"/>
    </row>
    <row r="4" customFormat="false" ht="20.25" hidden="false" customHeight="false" outlineLevel="0" collapsed="false">
      <c r="A4" s="10" t="n">
        <v>210</v>
      </c>
      <c r="B4" s="10" t="n">
        <v>800</v>
      </c>
      <c r="C4" s="209" t="n">
        <v>1</v>
      </c>
      <c r="D4" s="210" t="s">
        <v>1120</v>
      </c>
      <c r="E4" s="9"/>
    </row>
    <row r="5" customFormat="false" ht="20.25" hidden="false" customHeight="false" outlineLevel="0" collapsed="false">
      <c r="A5" s="10" t="n">
        <v>150</v>
      </c>
      <c r="B5" s="10" t="n">
        <v>1000</v>
      </c>
      <c r="C5" s="209" t="n">
        <v>2</v>
      </c>
      <c r="D5" s="210" t="s">
        <v>1120</v>
      </c>
      <c r="E5" s="9"/>
    </row>
    <row r="6" customFormat="false" ht="20.25" hidden="false" customHeight="false" outlineLevel="0" collapsed="false">
      <c r="A6" s="10" t="n">
        <v>138</v>
      </c>
      <c r="B6" s="10" t="n">
        <v>1000</v>
      </c>
      <c r="C6" s="209" t="n">
        <v>1</v>
      </c>
      <c r="D6" s="210" t="s">
        <v>1120</v>
      </c>
      <c r="E6" s="9"/>
    </row>
    <row r="7" customFormat="false" ht="20.25" hidden="false" customHeight="false" outlineLevel="0" collapsed="false">
      <c r="A7" s="10" t="n">
        <v>136</v>
      </c>
      <c r="B7" s="10" t="n">
        <v>1000</v>
      </c>
      <c r="C7" s="209" t="n">
        <v>3</v>
      </c>
      <c r="D7" s="210" t="s">
        <v>1120</v>
      </c>
      <c r="E7" s="9"/>
    </row>
    <row r="8" customFormat="false" ht="20.25" hidden="false" customHeight="false" outlineLevel="0" collapsed="false">
      <c r="A8" s="10" t="n">
        <v>120</v>
      </c>
      <c r="B8" s="10" t="n">
        <v>1000</v>
      </c>
      <c r="C8" s="209" t="n">
        <v>2</v>
      </c>
      <c r="D8" s="210" t="s">
        <v>1120</v>
      </c>
      <c r="E8" s="9"/>
    </row>
    <row r="9" customFormat="false" ht="20.25" hidden="false" customHeight="false" outlineLevel="0" collapsed="false">
      <c r="A9" s="10" t="n">
        <v>35</v>
      </c>
      <c r="B9" s="10" t="n">
        <v>1000</v>
      </c>
      <c r="C9" s="209" t="n">
        <v>2</v>
      </c>
      <c r="D9" s="210" t="s">
        <v>1120</v>
      </c>
      <c r="E9" s="9"/>
    </row>
    <row r="10" customFormat="false" ht="20.25" hidden="false" customHeight="false" outlineLevel="0" collapsed="false">
      <c r="A10" s="10" t="n">
        <v>40</v>
      </c>
      <c r="B10" s="10" t="n">
        <v>1000</v>
      </c>
      <c r="C10" s="209" t="n">
        <v>1</v>
      </c>
      <c r="D10" s="210" t="s">
        <v>1120</v>
      </c>
      <c r="E10" s="9"/>
    </row>
    <row r="11" customFormat="false" ht="20.25" hidden="false" customHeight="false" outlineLevel="0" collapsed="false">
      <c r="A11" s="10" t="n">
        <v>110</v>
      </c>
      <c r="B11" s="10" t="n">
        <v>1000</v>
      </c>
      <c r="C11" s="209" t="n">
        <v>0</v>
      </c>
      <c r="D11" s="210" t="s">
        <v>1120</v>
      </c>
      <c r="E11" s="9"/>
    </row>
    <row r="12" customFormat="false" ht="20.25" hidden="false" customHeight="false" outlineLevel="0" collapsed="false">
      <c r="A12" s="10" t="n">
        <v>110</v>
      </c>
      <c r="B12" s="10" t="n">
        <v>700</v>
      </c>
      <c r="C12" s="209" t="n">
        <v>0</v>
      </c>
      <c r="D12" s="210" t="s">
        <v>1120</v>
      </c>
      <c r="E12" s="9"/>
    </row>
    <row r="13" customFormat="false" ht="20.25" hidden="false" customHeight="false" outlineLevel="0" collapsed="false">
      <c r="A13" s="10" t="n">
        <v>105</v>
      </c>
      <c r="B13" s="10" t="n">
        <v>1000</v>
      </c>
      <c r="C13" s="209" t="n">
        <v>1</v>
      </c>
      <c r="D13" s="210" t="s">
        <v>1120</v>
      </c>
      <c r="E13" s="9"/>
    </row>
    <row r="14" customFormat="false" ht="20.25" hidden="false" customHeight="false" outlineLevel="0" collapsed="false">
      <c r="A14" s="10" t="n">
        <v>100</v>
      </c>
      <c r="B14" s="10" t="n">
        <v>1000</v>
      </c>
      <c r="C14" s="209" t="n">
        <v>3</v>
      </c>
      <c r="D14" s="210" t="s">
        <v>1120</v>
      </c>
      <c r="E14" s="9"/>
    </row>
    <row r="15" customFormat="false" ht="20.25" hidden="false" customHeight="false" outlineLevel="0" collapsed="false">
      <c r="A15" s="10" t="n">
        <v>71</v>
      </c>
      <c r="B15" s="10" t="n">
        <v>1000</v>
      </c>
      <c r="C15" s="209" t="n">
        <v>1</v>
      </c>
      <c r="D15" s="210" t="s">
        <v>1120</v>
      </c>
      <c r="E15" s="9"/>
    </row>
    <row r="16" customFormat="false" ht="20.25" hidden="false" customHeight="false" outlineLevel="0" collapsed="false">
      <c r="A16" s="10" t="n">
        <v>105</v>
      </c>
      <c r="B16" s="10" t="n">
        <v>1000</v>
      </c>
      <c r="C16" s="209" t="n">
        <v>2</v>
      </c>
      <c r="D16" s="210" t="s">
        <v>1120</v>
      </c>
      <c r="E16" s="9"/>
    </row>
    <row r="17" customFormat="false" ht="20.25" hidden="false" customHeight="false" outlineLevel="0" collapsed="false">
      <c r="A17" s="10" t="n">
        <v>110</v>
      </c>
      <c r="B17" s="10" t="n">
        <v>1000</v>
      </c>
      <c r="C17" s="209" t="n">
        <v>3</v>
      </c>
      <c r="D17" s="210" t="s">
        <v>1120</v>
      </c>
      <c r="E17" s="9"/>
    </row>
    <row r="18" customFormat="false" ht="20.25" hidden="false" customHeight="false" outlineLevel="0" collapsed="false">
      <c r="A18" s="10" t="n">
        <v>50</v>
      </c>
      <c r="B18" s="10" t="n">
        <v>1000</v>
      </c>
      <c r="C18" s="211" t="n">
        <v>0</v>
      </c>
      <c r="D18" s="210" t="s">
        <v>1120</v>
      </c>
      <c r="E18" s="212"/>
    </row>
    <row r="19" customFormat="false" ht="15" hidden="false" customHeight="true" outlineLevel="0" collapsed="false">
      <c r="A19" s="10"/>
      <c r="B19" s="10"/>
      <c r="C19" s="209"/>
      <c r="D19" s="210"/>
    </row>
    <row r="20" customFormat="false" ht="15" hidden="false" customHeight="true" outlineLevel="0" collapsed="false">
      <c r="A20" s="10"/>
      <c r="B20" s="10"/>
      <c r="C20" s="209"/>
      <c r="D20" s="210"/>
    </row>
    <row r="21" customFormat="false" ht="15" hidden="false" customHeight="true" outlineLevel="0" collapsed="false">
      <c r="A21" s="10" t="n">
        <v>110</v>
      </c>
      <c r="B21" s="10" t="n">
        <v>1000</v>
      </c>
      <c r="C21" s="209" t="n">
        <v>1</v>
      </c>
      <c r="D21" s="210" t="s">
        <v>1121</v>
      </c>
    </row>
    <row r="22" customFormat="false" ht="15.75" hidden="false" customHeight="true" outlineLevel="0" collapsed="false">
      <c r="A22" s="10" t="n">
        <v>75</v>
      </c>
      <c r="B22" s="10" t="n">
        <v>1000</v>
      </c>
      <c r="C22" s="209" t="n">
        <v>2</v>
      </c>
      <c r="D22" s="210" t="s">
        <v>1121</v>
      </c>
    </row>
    <row r="23" customFormat="false" ht="15.75" hidden="false" customHeight="true" outlineLevel="0" collapsed="false">
      <c r="A23" s="10" t="n">
        <v>55</v>
      </c>
      <c r="B23" s="10" t="n">
        <v>1000</v>
      </c>
      <c r="C23" s="209" t="n">
        <v>1</v>
      </c>
      <c r="D23" s="210" t="s">
        <v>1121</v>
      </c>
    </row>
    <row r="24" customFormat="false" ht="15.75" hidden="false" customHeight="true" outlineLevel="0" collapsed="false">
      <c r="A24" s="10" t="n">
        <v>50</v>
      </c>
      <c r="B24" s="10" t="n">
        <v>1000</v>
      </c>
      <c r="C24" s="209" t="n">
        <v>1</v>
      </c>
      <c r="D24" s="210" t="s">
        <v>1121</v>
      </c>
    </row>
    <row r="25" customFormat="false" ht="15.75" hidden="false" customHeight="true" outlineLevel="0" collapsed="false">
      <c r="A25" s="10" t="n">
        <v>35</v>
      </c>
      <c r="B25" s="10" t="n">
        <v>1000</v>
      </c>
      <c r="C25" s="209" t="n">
        <v>2</v>
      </c>
      <c r="D25" s="210" t="s">
        <v>1121</v>
      </c>
    </row>
    <row r="26" customFormat="false" ht="15.75" hidden="false" customHeight="true" outlineLevel="0" collapsed="false">
      <c r="A26" s="10" t="n">
        <v>110</v>
      </c>
      <c r="B26" s="10" t="n">
        <v>500</v>
      </c>
      <c r="C26" s="209" t="n">
        <v>1</v>
      </c>
      <c r="D26" s="210" t="s">
        <v>1121</v>
      </c>
    </row>
    <row r="27" customFormat="false" ht="15.75" hidden="false" customHeight="true" outlineLevel="0" collapsed="false">
      <c r="A27" s="10"/>
      <c r="B27" s="10"/>
      <c r="C27" s="209"/>
      <c r="D27" s="210"/>
    </row>
    <row r="28" customFormat="false" ht="15.75" hidden="false" customHeight="true" outlineLevel="0" collapsed="false">
      <c r="A28" s="10"/>
      <c r="B28" s="10"/>
      <c r="C28" s="209"/>
      <c r="D28" s="210"/>
    </row>
    <row r="29" customFormat="false" ht="15.75" hidden="false" customHeight="true" outlineLevel="0" collapsed="false">
      <c r="A29" s="10"/>
      <c r="B29" s="10"/>
      <c r="C29" s="209"/>
      <c r="D29" s="210"/>
    </row>
    <row r="30" customFormat="false" ht="15.75" hidden="false" customHeight="true" outlineLevel="0" collapsed="false">
      <c r="A30" s="10"/>
      <c r="B30" s="10"/>
      <c r="C30" s="209"/>
      <c r="D30" s="210"/>
    </row>
    <row r="31" customFormat="false" ht="15.75" hidden="false" customHeight="true" outlineLevel="0" collapsed="false">
      <c r="A31" s="10"/>
      <c r="B31" s="10"/>
      <c r="C31" s="209"/>
      <c r="D31" s="2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0" activeCellId="0" sqref="B70"/>
    </sheetView>
  </sheetViews>
  <sheetFormatPr defaultColWidth="14.4296875" defaultRowHeight="20.25" zeroHeight="false" outlineLevelRow="0" outlineLevelCol="0"/>
  <cols>
    <col collapsed="false" customWidth="false" hidden="false" outlineLevel="0" max="1" min="1" style="1" width="14.43"/>
    <col collapsed="false" customWidth="true" hidden="false" outlineLevel="0" max="2" min="2" style="1" width="19.15"/>
    <col collapsed="false" customWidth="true" hidden="false" outlineLevel="0" max="3" min="3" style="1" width="9.14"/>
    <col collapsed="false" customWidth="true" hidden="false" outlineLevel="0" max="4" min="4" style="1" width="10"/>
    <col collapsed="false" customWidth="true" hidden="false" outlineLevel="0" max="5" min="5" style="1" width="14.57"/>
    <col collapsed="false" customWidth="true" hidden="false" outlineLevel="0" max="7" min="6" style="1" width="9.14"/>
    <col collapsed="false" customWidth="true" hidden="false" outlineLevel="0" max="8" min="8" style="1" width="9.57"/>
    <col collapsed="false" customWidth="true" hidden="false" outlineLevel="0" max="9" min="9" style="1" width="11"/>
    <col collapsed="false" customWidth="true" hidden="false" outlineLevel="0" max="10" min="10" style="1" width="19.15"/>
    <col collapsed="false" customWidth="true" hidden="false" outlineLevel="0" max="11" min="11" style="1" width="14"/>
    <col collapsed="false" customWidth="true" hidden="false" outlineLevel="0" max="12" min="12" style="1" width="16.14"/>
    <col collapsed="false" customWidth="true" hidden="false" outlineLevel="0" max="13" min="13" style="1" width="12.43"/>
    <col collapsed="false" customWidth="true" hidden="false" outlineLevel="0" max="14" min="14" style="1" width="16.29"/>
    <col collapsed="false" customWidth="true" hidden="false" outlineLevel="0" max="26" min="15" style="1" width="8.57"/>
    <col collapsed="false" customWidth="false" hidden="false" outlineLevel="0" max="16384" min="27" style="1" width="14.43"/>
  </cols>
  <sheetData>
    <row r="1" customFormat="false" ht="20.25" hidden="false" customHeight="false" outlineLevel="0" collapsed="false">
      <c r="B1" s="213" t="n">
        <v>46198</v>
      </c>
      <c r="C1" s="213"/>
      <c r="D1" s="213"/>
      <c r="E1" s="213"/>
      <c r="F1" s="213"/>
      <c r="G1" s="213"/>
      <c r="H1" s="213"/>
      <c r="I1" s="15"/>
      <c r="J1" s="15" t="s">
        <v>1118</v>
      </c>
      <c r="K1" s="9"/>
    </row>
    <row r="2" customFormat="false" ht="28.35" hidden="false" customHeight="false" outlineLevel="0" collapsed="false">
      <c r="B2" s="151" t="s">
        <v>4</v>
      </c>
      <c r="C2" s="151" t="s">
        <v>2</v>
      </c>
      <c r="D2" s="151" t="s">
        <v>3</v>
      </c>
      <c r="E2" s="151" t="s">
        <v>1122</v>
      </c>
      <c r="F2" s="153" t="s">
        <v>1123</v>
      </c>
      <c r="G2" s="153" t="s">
        <v>197</v>
      </c>
      <c r="H2" s="214" t="s">
        <v>12</v>
      </c>
      <c r="I2" s="153" t="s">
        <v>990</v>
      </c>
      <c r="J2" s="153" t="s">
        <v>1124</v>
      </c>
      <c r="K2" s="9" t="s">
        <v>1125</v>
      </c>
      <c r="L2" s="1" t="n">
        <v>1.55</v>
      </c>
    </row>
    <row r="3" customFormat="false" ht="20.25" hidden="false" customHeight="false" outlineLevel="0" collapsed="false">
      <c r="B3" s="10" t="s">
        <v>1126</v>
      </c>
      <c r="C3" s="10" t="n">
        <v>25</v>
      </c>
      <c r="D3" s="10" t="n">
        <v>1000</v>
      </c>
      <c r="E3" s="10" t="s">
        <v>1127</v>
      </c>
      <c r="F3" s="215" t="n">
        <v>4</v>
      </c>
      <c r="G3" s="10"/>
      <c r="H3" s="216" t="n">
        <f aca="false">F3-G3</f>
        <v>4</v>
      </c>
      <c r="I3" s="209" t="n">
        <v>100</v>
      </c>
      <c r="J3" s="210" t="n">
        <f aca="false">I3*$L$2</f>
        <v>155</v>
      </c>
      <c r="K3" s="9"/>
    </row>
    <row r="4" customFormat="false" ht="20.25" hidden="false" customHeight="false" outlineLevel="0" collapsed="false">
      <c r="B4" s="10" t="s">
        <v>1126</v>
      </c>
      <c r="C4" s="10" t="n">
        <v>32</v>
      </c>
      <c r="D4" s="10" t="n">
        <v>1500</v>
      </c>
      <c r="E4" s="10" t="s">
        <v>1127</v>
      </c>
      <c r="F4" s="215" t="n">
        <v>2</v>
      </c>
      <c r="G4" s="10"/>
      <c r="H4" s="216" t="n">
        <f aca="false">F4-G4</f>
        <v>2</v>
      </c>
      <c r="I4" s="209" t="n">
        <v>96</v>
      </c>
      <c r="J4" s="210" t="n">
        <f aca="false">I4*$L$2</f>
        <v>148.8</v>
      </c>
      <c r="K4" s="9"/>
    </row>
    <row r="5" customFormat="false" ht="20.25" hidden="false" customHeight="false" outlineLevel="0" collapsed="false">
      <c r="B5" s="10" t="s">
        <v>1126</v>
      </c>
      <c r="C5" s="10" t="n">
        <v>35</v>
      </c>
      <c r="D5" s="10" t="n">
        <v>2000</v>
      </c>
      <c r="E5" s="10" t="s">
        <v>1127</v>
      </c>
      <c r="F5" s="215" t="n">
        <v>1</v>
      </c>
      <c r="G5" s="10"/>
      <c r="H5" s="216" t="n">
        <f aca="false">F5-G5</f>
        <v>1</v>
      </c>
      <c r="I5" s="209" t="n">
        <v>280</v>
      </c>
      <c r="J5" s="210" t="n">
        <f aca="false">I5*$L$2</f>
        <v>434</v>
      </c>
      <c r="K5" s="9"/>
    </row>
    <row r="6" customFormat="false" ht="20.25" hidden="false" customHeight="false" outlineLevel="0" collapsed="false">
      <c r="B6" s="10" t="s">
        <v>1126</v>
      </c>
      <c r="C6" s="10" t="n">
        <v>30</v>
      </c>
      <c r="D6" s="10" t="n">
        <v>1500</v>
      </c>
      <c r="E6" s="10" t="s">
        <v>1127</v>
      </c>
      <c r="F6" s="215" t="n">
        <v>3</v>
      </c>
      <c r="G6" s="10"/>
      <c r="H6" s="216" t="n">
        <f aca="false">F6-G6</f>
        <v>3</v>
      </c>
      <c r="I6" s="209" t="n">
        <v>54</v>
      </c>
      <c r="J6" s="210" t="n">
        <f aca="false">I6*$L$2</f>
        <v>83.7</v>
      </c>
      <c r="K6" s="9"/>
    </row>
    <row r="7" customFormat="false" ht="20.25" hidden="false" customHeight="false" outlineLevel="0" collapsed="false">
      <c r="B7" s="10" t="s">
        <v>1126</v>
      </c>
      <c r="C7" s="10" t="n">
        <v>38</v>
      </c>
      <c r="D7" s="10" t="n">
        <v>1000</v>
      </c>
      <c r="E7" s="10" t="s">
        <v>1127</v>
      </c>
      <c r="F7" s="215" t="n">
        <v>4</v>
      </c>
      <c r="G7" s="10"/>
      <c r="H7" s="216" t="n">
        <f aca="false">F7-G7</f>
        <v>4</v>
      </c>
      <c r="I7" s="209" t="n">
        <v>114</v>
      </c>
      <c r="J7" s="210" t="n">
        <f aca="false">I7*$L$2</f>
        <v>176.7</v>
      </c>
      <c r="K7" s="9"/>
    </row>
    <row r="8" customFormat="false" ht="20.25" hidden="false" customHeight="false" outlineLevel="0" collapsed="false">
      <c r="B8" s="10" t="s">
        <v>1126</v>
      </c>
      <c r="C8" s="10" t="n">
        <v>41</v>
      </c>
      <c r="D8" s="10" t="n">
        <v>2000</v>
      </c>
      <c r="E8" s="10" t="s">
        <v>1127</v>
      </c>
      <c r="F8" s="215" t="n">
        <v>2</v>
      </c>
      <c r="G8" s="10"/>
      <c r="H8" s="216" t="n">
        <f aca="false">F8-G8</f>
        <v>2</v>
      </c>
      <c r="I8" s="209" t="n">
        <v>0</v>
      </c>
      <c r="J8" s="210" t="n">
        <f aca="false">I8*$L$2</f>
        <v>0</v>
      </c>
      <c r="K8" s="9"/>
    </row>
    <row r="9" customFormat="false" ht="20.25" hidden="false" customHeight="false" outlineLevel="0" collapsed="false">
      <c r="B9" s="10" t="s">
        <v>1126</v>
      </c>
      <c r="C9" s="10" t="n">
        <v>43</v>
      </c>
      <c r="D9" s="10" t="n">
        <v>2000</v>
      </c>
      <c r="E9" s="10" t="s">
        <v>1127</v>
      </c>
      <c r="F9" s="215" t="n">
        <v>3</v>
      </c>
      <c r="G9" s="10"/>
      <c r="H9" s="216" t="n">
        <f aca="false">F9-G9</f>
        <v>3</v>
      </c>
      <c r="I9" s="209" t="n">
        <v>0</v>
      </c>
      <c r="J9" s="210" t="n">
        <f aca="false">I9*$L$2</f>
        <v>0</v>
      </c>
      <c r="K9" s="9"/>
    </row>
    <row r="10" customFormat="false" ht="20.25" hidden="false" customHeight="false" outlineLevel="0" collapsed="false">
      <c r="B10" s="10" t="s">
        <v>1126</v>
      </c>
      <c r="C10" s="10" t="n">
        <v>45</v>
      </c>
      <c r="D10" s="10" t="n">
        <v>1500</v>
      </c>
      <c r="E10" s="10" t="s">
        <v>1127</v>
      </c>
      <c r="F10" s="215" t="n">
        <v>2</v>
      </c>
      <c r="G10" s="10"/>
      <c r="H10" s="216" t="n">
        <f aca="false">F10-G10</f>
        <v>2</v>
      </c>
      <c r="I10" s="209" t="n">
        <v>270</v>
      </c>
      <c r="J10" s="210" t="n">
        <f aca="false">I10*$L$2</f>
        <v>418.5</v>
      </c>
      <c r="K10" s="9"/>
    </row>
    <row r="11" customFormat="false" ht="20.25" hidden="false" customHeight="false" outlineLevel="0" collapsed="false">
      <c r="B11" s="10" t="s">
        <v>1126</v>
      </c>
      <c r="C11" s="10" t="n">
        <v>48</v>
      </c>
      <c r="D11" s="10" t="n">
        <v>1500</v>
      </c>
      <c r="E11" s="10" t="s">
        <v>1127</v>
      </c>
      <c r="F11" s="215" t="n">
        <v>4</v>
      </c>
      <c r="G11" s="10"/>
      <c r="H11" s="216" t="n">
        <f aca="false">F11-G11</f>
        <v>4</v>
      </c>
      <c r="I11" s="209" t="n">
        <v>0</v>
      </c>
      <c r="J11" s="210" t="n">
        <f aca="false">I11*$L$2</f>
        <v>0</v>
      </c>
      <c r="K11" s="9"/>
    </row>
    <row r="12" customFormat="false" ht="20.25" hidden="false" customHeight="false" outlineLevel="0" collapsed="false">
      <c r="B12" s="10" t="s">
        <v>1128</v>
      </c>
      <c r="C12" s="10" t="n">
        <v>48</v>
      </c>
      <c r="D12" s="10" t="n">
        <v>1500</v>
      </c>
      <c r="E12" s="10" t="s">
        <v>1127</v>
      </c>
      <c r="F12" s="215" t="n">
        <v>1</v>
      </c>
      <c r="G12" s="10"/>
      <c r="H12" s="216" t="n">
        <f aca="false">F12-G12</f>
        <v>1</v>
      </c>
      <c r="I12" s="209" t="n">
        <v>582</v>
      </c>
      <c r="J12" s="210" t="n">
        <f aca="false">I12*$L$2</f>
        <v>902.1</v>
      </c>
      <c r="K12" s="9"/>
    </row>
    <row r="13" customFormat="false" ht="20.25" hidden="false" customHeight="false" outlineLevel="0" collapsed="false">
      <c r="B13" s="10" t="s">
        <v>1126</v>
      </c>
      <c r="C13" s="10" t="n">
        <v>50</v>
      </c>
      <c r="D13" s="10" t="n">
        <v>1500</v>
      </c>
      <c r="E13" s="10" t="s">
        <v>1127</v>
      </c>
      <c r="F13" s="215" t="n">
        <v>3</v>
      </c>
      <c r="G13" s="10"/>
      <c r="H13" s="216" t="n">
        <f aca="false">F13-G13</f>
        <v>3</v>
      </c>
      <c r="I13" s="209" t="n">
        <v>200</v>
      </c>
      <c r="J13" s="210" t="n">
        <f aca="false">I13*$L$2</f>
        <v>310</v>
      </c>
      <c r="K13" s="9"/>
    </row>
    <row r="14" customFormat="false" ht="20.25" hidden="false" customHeight="false" outlineLevel="0" collapsed="false">
      <c r="B14" s="10" t="s">
        <v>1126</v>
      </c>
      <c r="C14" s="10" t="n">
        <v>53</v>
      </c>
      <c r="D14" s="10" t="n">
        <v>2000</v>
      </c>
      <c r="E14" s="10" t="s">
        <v>1127</v>
      </c>
      <c r="F14" s="215" t="n">
        <v>5</v>
      </c>
      <c r="G14" s="10"/>
      <c r="H14" s="216" t="n">
        <f aca="false">F14-G14</f>
        <v>5</v>
      </c>
      <c r="I14" s="209" t="n">
        <v>212</v>
      </c>
      <c r="J14" s="210" t="n">
        <f aca="false">I14*$L$2</f>
        <v>328.6</v>
      </c>
      <c r="K14" s="9"/>
    </row>
    <row r="15" customFormat="false" ht="20.25" hidden="false" customHeight="false" outlineLevel="0" collapsed="false">
      <c r="B15" s="10" t="s">
        <v>1128</v>
      </c>
      <c r="C15" s="10" t="n">
        <v>58</v>
      </c>
      <c r="D15" s="10" t="n">
        <v>1500</v>
      </c>
      <c r="E15" s="10" t="s">
        <v>1127</v>
      </c>
      <c r="F15" s="215" t="n">
        <v>2</v>
      </c>
      <c r="G15" s="10" t="n">
        <v>2</v>
      </c>
      <c r="H15" s="216" t="n">
        <f aca="false">F15-G15</f>
        <v>0</v>
      </c>
      <c r="I15" s="209" t="n">
        <v>582</v>
      </c>
      <c r="J15" s="210" t="n">
        <f aca="false">I15*$L$2</f>
        <v>902.1</v>
      </c>
      <c r="K15" s="9"/>
    </row>
    <row r="16" customFormat="false" ht="20.25" hidden="false" customHeight="false" outlineLevel="0" collapsed="false">
      <c r="B16" s="10" t="s">
        <v>1126</v>
      </c>
      <c r="C16" s="10" t="n">
        <v>60</v>
      </c>
      <c r="D16" s="10" t="n">
        <v>1000</v>
      </c>
      <c r="E16" s="10" t="s">
        <v>1127</v>
      </c>
      <c r="F16" s="215" t="n">
        <v>1</v>
      </c>
      <c r="G16" s="10"/>
      <c r="H16" s="216" t="n">
        <f aca="false">F16-G16</f>
        <v>1</v>
      </c>
      <c r="I16" s="209" t="n">
        <v>213</v>
      </c>
      <c r="J16" s="210" t="n">
        <f aca="false">I16*$L$2</f>
        <v>330.15</v>
      </c>
      <c r="K16" s="9"/>
    </row>
    <row r="17" customFormat="false" ht="20.25" hidden="false" customHeight="false" outlineLevel="0" collapsed="false">
      <c r="B17" s="10" t="s">
        <v>1128</v>
      </c>
      <c r="C17" s="10" t="n">
        <v>60</v>
      </c>
      <c r="D17" s="10" t="n">
        <v>2000</v>
      </c>
      <c r="E17" s="10" t="s">
        <v>1127</v>
      </c>
      <c r="F17" s="215" t="n">
        <v>1</v>
      </c>
      <c r="G17" s="10"/>
      <c r="H17" s="216" t="n">
        <f aca="false">F17-G17</f>
        <v>1</v>
      </c>
      <c r="I17" s="209" t="n">
        <v>582</v>
      </c>
      <c r="J17" s="210" t="n">
        <f aca="false">I17*$L$2</f>
        <v>902.1</v>
      </c>
      <c r="K17" s="9"/>
    </row>
    <row r="18" customFormat="false" ht="20.25" hidden="false" customHeight="false" outlineLevel="0" collapsed="false">
      <c r="B18" s="10" t="s">
        <v>1126</v>
      </c>
      <c r="C18" s="10" t="n">
        <v>62</v>
      </c>
      <c r="D18" s="10" t="n">
        <v>2000</v>
      </c>
      <c r="E18" s="10" t="s">
        <v>1127</v>
      </c>
      <c r="F18" s="215" t="n">
        <v>1</v>
      </c>
      <c r="G18" s="10"/>
      <c r="H18" s="216" t="n">
        <f aca="false">F18-G18</f>
        <v>1</v>
      </c>
      <c r="I18" s="209" t="n">
        <v>124</v>
      </c>
      <c r="J18" s="210" t="n">
        <f aca="false">I18*$L$2</f>
        <v>192.2</v>
      </c>
      <c r="K18" s="9"/>
    </row>
    <row r="19" customFormat="false" ht="20.25" hidden="false" customHeight="false" outlineLevel="0" collapsed="false">
      <c r="B19" s="10" t="s">
        <v>1126</v>
      </c>
      <c r="C19" s="10" t="n">
        <v>63</v>
      </c>
      <c r="D19" s="10" t="n">
        <v>1500</v>
      </c>
      <c r="E19" s="10" t="s">
        <v>1127</v>
      </c>
      <c r="F19" s="215" t="n">
        <v>4</v>
      </c>
      <c r="G19" s="10"/>
      <c r="H19" s="216" t="n">
        <f aca="false">F19-G19</f>
        <v>4</v>
      </c>
      <c r="I19" s="209" t="n">
        <v>441</v>
      </c>
      <c r="J19" s="210" t="n">
        <f aca="false">I19*$L$2</f>
        <v>683.55</v>
      </c>
      <c r="K19" s="9"/>
    </row>
    <row r="20" customFormat="false" ht="20.25" hidden="false" customHeight="false" outlineLevel="0" collapsed="false">
      <c r="B20" s="10" t="s">
        <v>1126</v>
      </c>
      <c r="C20" s="20" t="n">
        <v>65</v>
      </c>
      <c r="D20" s="10" t="n">
        <v>1000</v>
      </c>
      <c r="E20" s="10" t="s">
        <v>1127</v>
      </c>
      <c r="F20" s="215" t="n">
        <v>1</v>
      </c>
      <c r="G20" s="10"/>
      <c r="H20" s="216" t="n">
        <f aca="false">F20-G20</f>
        <v>1</v>
      </c>
      <c r="I20" s="209" t="n">
        <v>65</v>
      </c>
      <c r="J20" s="210" t="n">
        <f aca="false">I20*$L$2</f>
        <v>100.75</v>
      </c>
      <c r="K20" s="9"/>
    </row>
    <row r="21" customFormat="false" ht="20.25" hidden="false" customHeight="false" outlineLevel="0" collapsed="false">
      <c r="B21" s="10" t="s">
        <v>1126</v>
      </c>
      <c r="C21" s="10" t="n">
        <v>68</v>
      </c>
      <c r="D21" s="10" t="n">
        <v>2000</v>
      </c>
      <c r="E21" s="10" t="s">
        <v>1127</v>
      </c>
      <c r="F21" s="215"/>
      <c r="G21" s="10"/>
      <c r="H21" s="216" t="n">
        <f aca="false">F21-G21</f>
        <v>0</v>
      </c>
      <c r="I21" s="209" t="n">
        <v>136</v>
      </c>
      <c r="J21" s="210" t="n">
        <f aca="false">I21*$L$2</f>
        <v>210.8</v>
      </c>
      <c r="K21" s="9"/>
    </row>
    <row r="22" customFormat="false" ht="20.25" hidden="false" customHeight="false" outlineLevel="0" collapsed="false">
      <c r="B22" s="10" t="s">
        <v>1128</v>
      </c>
      <c r="C22" s="10" t="n">
        <v>68</v>
      </c>
      <c r="D22" s="10" t="n">
        <v>1500</v>
      </c>
      <c r="E22" s="10" t="s">
        <v>1127</v>
      </c>
      <c r="F22" s="215" t="n">
        <v>1</v>
      </c>
      <c r="G22" s="10" t="n">
        <v>1</v>
      </c>
      <c r="H22" s="216" t="n">
        <f aca="false">F22-G22</f>
        <v>0</v>
      </c>
      <c r="I22" s="209" t="n">
        <v>582</v>
      </c>
      <c r="J22" s="210" t="n">
        <f aca="false">I22*$L$2</f>
        <v>902.1</v>
      </c>
      <c r="K22" s="9"/>
    </row>
    <row r="23" customFormat="false" ht="20.25" hidden="false" customHeight="false" outlineLevel="0" collapsed="false">
      <c r="B23" s="10" t="s">
        <v>1126</v>
      </c>
      <c r="C23" s="10" t="n">
        <v>72</v>
      </c>
      <c r="D23" s="10" t="n">
        <v>1500</v>
      </c>
      <c r="E23" s="10" t="s">
        <v>1127</v>
      </c>
      <c r="F23" s="215" t="n">
        <v>3</v>
      </c>
      <c r="G23" s="10"/>
      <c r="H23" s="216" t="n">
        <f aca="false">F23-G23</f>
        <v>3</v>
      </c>
      <c r="I23" s="209" t="n">
        <v>432</v>
      </c>
      <c r="J23" s="210" t="n">
        <f aca="false">I23*$L$2</f>
        <v>669.6</v>
      </c>
      <c r="K23" s="9"/>
    </row>
    <row r="24" customFormat="false" ht="15.75" hidden="false" customHeight="true" outlineLevel="0" collapsed="false">
      <c r="B24" s="10" t="s">
        <v>1126</v>
      </c>
      <c r="C24" s="10" t="n">
        <v>75</v>
      </c>
      <c r="D24" s="10" t="n">
        <v>1000</v>
      </c>
      <c r="E24" s="10" t="s">
        <v>1127</v>
      </c>
      <c r="F24" s="215" t="n">
        <v>2</v>
      </c>
      <c r="G24" s="10"/>
      <c r="H24" s="216" t="n">
        <f aca="false">F24-G24</f>
        <v>2</v>
      </c>
      <c r="I24" s="209" t="n">
        <v>0</v>
      </c>
      <c r="J24" s="210" t="n">
        <f aca="false">I24*$L$2</f>
        <v>0</v>
      </c>
      <c r="K24" s="9"/>
    </row>
    <row r="25" customFormat="false" ht="15.75" hidden="false" customHeight="true" outlineLevel="0" collapsed="false">
      <c r="B25" s="10" t="s">
        <v>1126</v>
      </c>
      <c r="C25" s="10" t="n">
        <v>76</v>
      </c>
      <c r="D25" s="10" t="n">
        <v>1000</v>
      </c>
      <c r="E25" s="10" t="s">
        <v>1127</v>
      </c>
      <c r="F25" s="215" t="n">
        <v>1</v>
      </c>
      <c r="G25" s="10"/>
      <c r="H25" s="216" t="n">
        <f aca="false">F25-G25</f>
        <v>1</v>
      </c>
      <c r="I25" s="209" t="n">
        <v>304</v>
      </c>
      <c r="J25" s="210" t="n">
        <f aca="false">I25*$L$2</f>
        <v>471.2</v>
      </c>
      <c r="K25" s="9"/>
    </row>
    <row r="26" customFormat="false" ht="15.75" hidden="false" customHeight="true" outlineLevel="0" collapsed="false">
      <c r="B26" s="10" t="s">
        <v>1126</v>
      </c>
      <c r="C26" s="10" t="n">
        <v>78</v>
      </c>
      <c r="D26" s="10" t="n">
        <v>2000</v>
      </c>
      <c r="E26" s="10" t="s">
        <v>1127</v>
      </c>
      <c r="F26" s="215" t="n">
        <v>2</v>
      </c>
      <c r="G26" s="10" t="n">
        <v>1</v>
      </c>
      <c r="H26" s="216" t="n">
        <f aca="false">F26-G26</f>
        <v>1</v>
      </c>
      <c r="I26" s="209" t="n">
        <v>0</v>
      </c>
      <c r="J26" s="210" t="n">
        <f aca="false">I26*$L$2</f>
        <v>0</v>
      </c>
      <c r="K26" s="9"/>
    </row>
    <row r="27" customFormat="false" ht="15.75" hidden="false" customHeight="true" outlineLevel="0" collapsed="false">
      <c r="B27" s="10" t="s">
        <v>1128</v>
      </c>
      <c r="C27" s="10" t="n">
        <v>78</v>
      </c>
      <c r="D27" s="20" t="n">
        <v>200</v>
      </c>
      <c r="E27" s="10" t="s">
        <v>1127</v>
      </c>
      <c r="F27" s="215" t="n">
        <v>1</v>
      </c>
      <c r="G27" s="10"/>
      <c r="H27" s="216" t="n">
        <f aca="false">F27-G27</f>
        <v>1</v>
      </c>
      <c r="I27" s="209" t="n">
        <v>582</v>
      </c>
      <c r="J27" s="210" t="n">
        <f aca="false">I27*$L$2</f>
        <v>902.1</v>
      </c>
      <c r="K27" s="9"/>
    </row>
    <row r="28" customFormat="false" ht="15.75" hidden="false" customHeight="true" outlineLevel="0" collapsed="false">
      <c r="B28" s="10" t="s">
        <v>1126</v>
      </c>
      <c r="C28" s="10" t="n">
        <v>80</v>
      </c>
      <c r="D28" s="10" t="n">
        <v>2000</v>
      </c>
      <c r="E28" s="10" t="s">
        <v>1127</v>
      </c>
      <c r="F28" s="215" t="n">
        <v>7</v>
      </c>
      <c r="G28" s="10"/>
      <c r="H28" s="216" t="n">
        <f aca="false">F28-G28</f>
        <v>7</v>
      </c>
      <c r="I28" s="209" t="n">
        <v>0</v>
      </c>
      <c r="J28" s="210" t="n">
        <f aca="false">I28*$L$2</f>
        <v>0</v>
      </c>
      <c r="K28" s="9"/>
    </row>
    <row r="29" customFormat="false" ht="15.75" hidden="false" customHeight="true" outlineLevel="0" collapsed="false">
      <c r="B29" s="10" t="s">
        <v>1126</v>
      </c>
      <c r="C29" s="10" t="n">
        <v>82</v>
      </c>
      <c r="D29" s="10" t="n">
        <v>2000</v>
      </c>
      <c r="E29" s="10" t="s">
        <v>1127</v>
      </c>
      <c r="F29" s="215" t="n">
        <v>2</v>
      </c>
      <c r="G29" s="10"/>
      <c r="H29" s="216" t="n">
        <f aca="false">F29-G29</f>
        <v>2</v>
      </c>
      <c r="I29" s="209" t="n">
        <v>164</v>
      </c>
      <c r="J29" s="210" t="n">
        <f aca="false">I29*$L$2</f>
        <v>254.2</v>
      </c>
      <c r="K29" s="9"/>
    </row>
    <row r="30" customFormat="false" ht="15.75" hidden="false" customHeight="true" outlineLevel="0" collapsed="false">
      <c r="B30" s="10" t="s">
        <v>1126</v>
      </c>
      <c r="C30" s="20" t="n">
        <v>83</v>
      </c>
      <c r="D30" s="10" t="n">
        <v>1500</v>
      </c>
      <c r="E30" s="10" t="s">
        <v>1127</v>
      </c>
      <c r="F30" s="215" t="n">
        <v>5</v>
      </c>
      <c r="G30" s="10"/>
      <c r="H30" s="216" t="n">
        <f aca="false">F30-G30</f>
        <v>5</v>
      </c>
      <c r="I30" s="209" t="n">
        <v>332</v>
      </c>
      <c r="J30" s="210" t="n">
        <f aca="false">I30*$L$2</f>
        <v>514.6</v>
      </c>
      <c r="K30" s="9"/>
    </row>
    <row r="31" customFormat="false" ht="15.75" hidden="false" customHeight="true" outlineLevel="0" collapsed="false">
      <c r="B31" s="10" t="s">
        <v>1126</v>
      </c>
      <c r="C31" s="10" t="n">
        <v>84</v>
      </c>
      <c r="D31" s="10" t="n">
        <v>2000</v>
      </c>
      <c r="E31" s="10" t="s">
        <v>1127</v>
      </c>
      <c r="F31" s="215"/>
      <c r="G31" s="10"/>
      <c r="H31" s="216" t="n">
        <f aca="false">F31-G31</f>
        <v>0</v>
      </c>
      <c r="I31" s="209" t="n">
        <v>168</v>
      </c>
      <c r="J31" s="210" t="n">
        <f aca="false">I31*$L$2</f>
        <v>260.4</v>
      </c>
      <c r="K31" s="9"/>
    </row>
    <row r="32" customFormat="false" ht="15.75" hidden="false" customHeight="true" outlineLevel="0" collapsed="false">
      <c r="B32" s="10" t="s">
        <v>1126</v>
      </c>
      <c r="C32" s="10" t="n">
        <v>84</v>
      </c>
      <c r="D32" s="10" t="n">
        <v>1000</v>
      </c>
      <c r="E32" s="10" t="s">
        <v>1127</v>
      </c>
      <c r="F32" s="215"/>
      <c r="G32" s="10"/>
      <c r="H32" s="216" t="n">
        <f aca="false">F32-G32</f>
        <v>0</v>
      </c>
      <c r="I32" s="209" t="n">
        <v>0</v>
      </c>
      <c r="J32" s="210" t="n">
        <f aca="false">I32*$L$2</f>
        <v>0</v>
      </c>
      <c r="K32" s="9"/>
    </row>
    <row r="33" customFormat="false" ht="15.75" hidden="false" customHeight="true" outlineLevel="0" collapsed="false">
      <c r="B33" s="10" t="s">
        <v>1128</v>
      </c>
      <c r="C33" s="10" t="n">
        <v>85</v>
      </c>
      <c r="D33" s="10" t="n">
        <v>1500</v>
      </c>
      <c r="E33" s="10" t="s">
        <v>1127</v>
      </c>
      <c r="F33" s="215" t="n">
        <v>3</v>
      </c>
      <c r="G33" s="10"/>
      <c r="H33" s="216" t="n">
        <f aca="false">F33-G33</f>
        <v>3</v>
      </c>
      <c r="I33" s="209" t="n">
        <v>582</v>
      </c>
      <c r="J33" s="210" t="n">
        <f aca="false">I33*$L$2</f>
        <v>902.1</v>
      </c>
      <c r="K33" s="9"/>
    </row>
    <row r="34" customFormat="false" ht="15.75" hidden="false" customHeight="true" outlineLevel="0" collapsed="false">
      <c r="B34" s="10" t="s">
        <v>1126</v>
      </c>
      <c r="C34" s="10" t="n">
        <v>89</v>
      </c>
      <c r="D34" s="10" t="n">
        <v>1500</v>
      </c>
      <c r="E34" s="10" t="s">
        <v>1127</v>
      </c>
      <c r="F34" s="215" t="n">
        <v>4</v>
      </c>
      <c r="G34" s="10"/>
      <c r="H34" s="216" t="n">
        <f aca="false">F34-G34</f>
        <v>4</v>
      </c>
      <c r="I34" s="209" t="n">
        <v>712</v>
      </c>
      <c r="J34" s="210" t="n">
        <f aca="false">I34*$L$2</f>
        <v>1103.6</v>
      </c>
      <c r="K34" s="9"/>
    </row>
    <row r="35" customFormat="false" ht="15.75" hidden="false" customHeight="true" outlineLevel="0" collapsed="false">
      <c r="B35" s="10" t="s">
        <v>1126</v>
      </c>
      <c r="C35" s="10" t="n">
        <v>93</v>
      </c>
      <c r="D35" s="10" t="n">
        <v>1500</v>
      </c>
      <c r="E35" s="10" t="s">
        <v>1127</v>
      </c>
      <c r="F35" s="215" t="n">
        <v>3</v>
      </c>
      <c r="G35" s="10"/>
      <c r="H35" s="216" t="n">
        <f aca="false">F35-G35</f>
        <v>3</v>
      </c>
      <c r="I35" s="209" t="n">
        <v>0</v>
      </c>
      <c r="J35" s="210" t="n">
        <f aca="false">I35*$L$2</f>
        <v>0</v>
      </c>
      <c r="K35" s="9"/>
    </row>
    <row r="36" customFormat="false" ht="15.75" hidden="false" customHeight="true" outlineLevel="0" collapsed="false">
      <c r="B36" s="10" t="s">
        <v>1126</v>
      </c>
      <c r="C36" s="10" t="n">
        <v>93</v>
      </c>
      <c r="D36" s="10" t="n">
        <v>2000</v>
      </c>
      <c r="E36" s="10" t="s">
        <v>1127</v>
      </c>
      <c r="F36" s="215"/>
      <c r="G36" s="10"/>
      <c r="H36" s="216" t="n">
        <f aca="false">F36-G36</f>
        <v>0</v>
      </c>
      <c r="I36" s="209" t="n">
        <v>744</v>
      </c>
      <c r="J36" s="210" t="n">
        <f aca="false">I36*$L$2</f>
        <v>1153.2</v>
      </c>
      <c r="K36" s="9"/>
    </row>
    <row r="37" customFormat="false" ht="15.75" hidden="false" customHeight="true" outlineLevel="0" collapsed="false">
      <c r="B37" s="10" t="s">
        <v>1126</v>
      </c>
      <c r="C37" s="10" t="n">
        <v>94</v>
      </c>
      <c r="D37" s="10" t="n">
        <v>2000</v>
      </c>
      <c r="E37" s="10" t="s">
        <v>1127</v>
      </c>
      <c r="F37" s="215" t="n">
        <v>5</v>
      </c>
      <c r="G37" s="10"/>
      <c r="H37" s="216" t="n">
        <f aca="false">F37-G37</f>
        <v>5</v>
      </c>
      <c r="I37" s="209" t="n">
        <v>94</v>
      </c>
      <c r="J37" s="210" t="n">
        <f aca="false">I37*$L$2</f>
        <v>145.7</v>
      </c>
      <c r="K37" s="9"/>
    </row>
    <row r="38" customFormat="false" ht="15.75" hidden="false" customHeight="true" outlineLevel="0" collapsed="false">
      <c r="B38" s="10" t="s">
        <v>1128</v>
      </c>
      <c r="C38" s="10" t="n">
        <v>95</v>
      </c>
      <c r="D38" s="10" t="n">
        <v>1500</v>
      </c>
      <c r="E38" s="10" t="s">
        <v>1127</v>
      </c>
      <c r="F38" s="215" t="n">
        <v>1</v>
      </c>
      <c r="G38" s="10" t="n">
        <v>1</v>
      </c>
      <c r="H38" s="216" t="n">
        <f aca="false">F38-G38</f>
        <v>0</v>
      </c>
      <c r="I38" s="209" t="n">
        <v>582</v>
      </c>
      <c r="J38" s="210" t="n">
        <f aca="false">I38*$L$2</f>
        <v>902.1</v>
      </c>
      <c r="K38" s="9"/>
    </row>
    <row r="39" customFormat="false" ht="15.75" hidden="false" customHeight="true" outlineLevel="0" collapsed="false">
      <c r="B39" s="10" t="s">
        <v>1126</v>
      </c>
      <c r="C39" s="10" t="n">
        <v>96</v>
      </c>
      <c r="D39" s="10" t="n">
        <v>1000</v>
      </c>
      <c r="E39" s="10" t="s">
        <v>1127</v>
      </c>
      <c r="F39" s="215" t="n">
        <v>3</v>
      </c>
      <c r="G39" s="10"/>
      <c r="H39" s="216" t="n">
        <f aca="false">F39-G39</f>
        <v>3</v>
      </c>
      <c r="I39" s="209" t="n">
        <v>192</v>
      </c>
      <c r="J39" s="210" t="n">
        <f aca="false">I39*$L$2</f>
        <v>297.6</v>
      </c>
      <c r="K39" s="9"/>
    </row>
    <row r="40" customFormat="false" ht="15.75" hidden="false" customHeight="true" outlineLevel="0" collapsed="false">
      <c r="B40" s="10" t="s">
        <v>1126</v>
      </c>
      <c r="C40" s="20" t="n">
        <v>98</v>
      </c>
      <c r="D40" s="10" t="n">
        <v>2000</v>
      </c>
      <c r="E40" s="10" t="s">
        <v>1127</v>
      </c>
      <c r="F40" s="215" t="n">
        <v>0</v>
      </c>
      <c r="G40" s="10"/>
      <c r="H40" s="216" t="n">
        <f aca="false">F40-G40</f>
        <v>0</v>
      </c>
      <c r="I40" s="209" t="n">
        <v>0</v>
      </c>
      <c r="J40" s="210" t="n">
        <f aca="false">I40*$L$2</f>
        <v>0</v>
      </c>
      <c r="K40" s="9"/>
    </row>
    <row r="41" customFormat="false" ht="15.75" hidden="false" customHeight="true" outlineLevel="0" collapsed="false">
      <c r="B41" s="10" t="s">
        <v>1126</v>
      </c>
      <c r="C41" s="10" t="n">
        <v>100</v>
      </c>
      <c r="D41" s="10" t="n">
        <v>2000</v>
      </c>
      <c r="E41" s="10" t="s">
        <v>1127</v>
      </c>
      <c r="F41" s="215" t="n">
        <v>3</v>
      </c>
      <c r="G41" s="10"/>
      <c r="H41" s="216" t="n">
        <f aca="false">F41-G41</f>
        <v>3</v>
      </c>
      <c r="I41" s="209" t="n">
        <v>0</v>
      </c>
      <c r="J41" s="210" t="n">
        <f aca="false">I41*$L$2</f>
        <v>0</v>
      </c>
      <c r="K41" s="9"/>
      <c r="L41" s="154"/>
    </row>
    <row r="42" customFormat="false" ht="15.75" hidden="false" customHeight="true" outlineLevel="0" collapsed="false">
      <c r="B42" s="10" t="s">
        <v>1126</v>
      </c>
      <c r="C42" s="10" t="n">
        <v>100</v>
      </c>
      <c r="D42" s="10" t="n">
        <v>2000</v>
      </c>
      <c r="E42" s="10" t="s">
        <v>1127</v>
      </c>
      <c r="F42" s="215"/>
      <c r="G42" s="10"/>
      <c r="H42" s="216" t="n">
        <f aca="false">F42-G42</f>
        <v>0</v>
      </c>
      <c r="I42" s="209" t="n">
        <v>1</v>
      </c>
      <c r="J42" s="210" t="n">
        <f aca="false">I42*$L$2</f>
        <v>1.55</v>
      </c>
      <c r="K42" s="9"/>
      <c r="L42" s="154"/>
    </row>
    <row r="43" customFormat="false" ht="15.75" hidden="false" customHeight="true" outlineLevel="0" collapsed="false">
      <c r="B43" s="10" t="s">
        <v>1126</v>
      </c>
      <c r="C43" s="10" t="n">
        <v>102</v>
      </c>
      <c r="D43" s="10" t="n">
        <v>1000</v>
      </c>
      <c r="E43" s="10" t="s">
        <v>1127</v>
      </c>
      <c r="F43" s="215" t="n">
        <v>1</v>
      </c>
      <c r="G43" s="10"/>
      <c r="H43" s="216" t="n">
        <f aca="false">F43-G43</f>
        <v>1</v>
      </c>
      <c r="I43" s="209" t="n">
        <v>621.792</v>
      </c>
      <c r="J43" s="210" t="n">
        <f aca="false">I43*$L$2</f>
        <v>963.7776</v>
      </c>
      <c r="K43" s="9"/>
      <c r="L43" s="151" t="s">
        <v>4</v>
      </c>
      <c r="M43" s="151" t="s">
        <v>2</v>
      </c>
      <c r="N43" s="151" t="s">
        <v>21</v>
      </c>
    </row>
    <row r="44" customFormat="false" ht="15.75" hidden="false" customHeight="true" outlineLevel="0" collapsed="false">
      <c r="B44" s="10" t="s">
        <v>1126</v>
      </c>
      <c r="C44" s="10" t="n">
        <v>110</v>
      </c>
      <c r="D44" s="10" t="n">
        <v>1500</v>
      </c>
      <c r="E44" s="10" t="s">
        <v>1127</v>
      </c>
      <c r="F44" s="215"/>
      <c r="G44" s="10"/>
      <c r="H44" s="216" t="n">
        <f aca="false">F44-G44</f>
        <v>0</v>
      </c>
      <c r="I44" s="209" t="n">
        <v>0</v>
      </c>
      <c r="J44" s="210" t="n">
        <f aca="false">I44*$L$2</f>
        <v>0</v>
      </c>
      <c r="K44" s="9"/>
      <c r="L44" s="10" t="s">
        <v>1129</v>
      </c>
      <c r="M44" s="10" t="n">
        <v>58</v>
      </c>
      <c r="N44" s="10" t="n">
        <v>6</v>
      </c>
    </row>
    <row r="45" customFormat="false" ht="15.75" hidden="false" customHeight="true" outlineLevel="0" collapsed="false">
      <c r="B45" s="10" t="s">
        <v>1126</v>
      </c>
      <c r="C45" s="10" t="n">
        <v>107</v>
      </c>
      <c r="D45" s="10" t="n">
        <v>1000</v>
      </c>
      <c r="E45" s="10" t="s">
        <v>1127</v>
      </c>
      <c r="F45" s="215" t="n">
        <v>2</v>
      </c>
      <c r="G45" s="10"/>
      <c r="H45" s="216" t="n">
        <f aca="false">F45-G45</f>
        <v>2</v>
      </c>
      <c r="I45" s="209" t="n">
        <v>1070</v>
      </c>
      <c r="J45" s="210" t="n">
        <f aca="false">I45*$L$2</f>
        <v>1658.5</v>
      </c>
      <c r="K45" s="9"/>
      <c r="L45" s="10" t="s">
        <v>1129</v>
      </c>
      <c r="M45" s="10" t="n">
        <v>48</v>
      </c>
      <c r="N45" s="10" t="n">
        <v>2</v>
      </c>
    </row>
    <row r="46" customFormat="false" ht="15.75" hidden="false" customHeight="true" outlineLevel="0" collapsed="false">
      <c r="B46" s="10" t="s">
        <v>1126</v>
      </c>
      <c r="C46" s="10" t="n">
        <v>108</v>
      </c>
      <c r="D46" s="10" t="n">
        <v>2000</v>
      </c>
      <c r="E46" s="10" t="s">
        <v>1127</v>
      </c>
      <c r="F46" s="215" t="n">
        <v>4</v>
      </c>
      <c r="G46" s="10"/>
      <c r="H46" s="216" t="n">
        <f aca="false">F46-G46</f>
        <v>4</v>
      </c>
      <c r="I46" s="209" t="n">
        <v>0</v>
      </c>
      <c r="J46" s="210" t="n">
        <f aca="false">I46*$L$2</f>
        <v>0</v>
      </c>
      <c r="K46" s="9"/>
      <c r="L46" s="10" t="s">
        <v>1129</v>
      </c>
      <c r="M46" s="10" t="n">
        <v>65</v>
      </c>
      <c r="N46" s="10" t="n">
        <v>1</v>
      </c>
    </row>
    <row r="47" customFormat="false" ht="15.75" hidden="false" customHeight="true" outlineLevel="0" collapsed="false">
      <c r="B47" s="10" t="s">
        <v>1128</v>
      </c>
      <c r="C47" s="10" t="n">
        <v>108</v>
      </c>
      <c r="D47" s="10" t="n">
        <v>700</v>
      </c>
      <c r="E47" s="10" t="s">
        <v>1127</v>
      </c>
      <c r="F47" s="215" t="n">
        <v>1</v>
      </c>
      <c r="G47" s="10"/>
      <c r="H47" s="216" t="n">
        <f aca="false">F47-G47</f>
        <v>1</v>
      </c>
      <c r="I47" s="209" t="n">
        <v>582</v>
      </c>
      <c r="J47" s="210" t="n">
        <f aca="false">I47*$L$2</f>
        <v>902.1</v>
      </c>
      <c r="K47" s="9"/>
      <c r="L47" s="10" t="s">
        <v>1129</v>
      </c>
      <c r="M47" s="10" t="n">
        <v>78</v>
      </c>
      <c r="N47" s="10" t="n">
        <v>1</v>
      </c>
    </row>
    <row r="48" customFormat="false" ht="15.75" hidden="false" customHeight="true" outlineLevel="0" collapsed="false">
      <c r="B48" s="10" t="s">
        <v>1126</v>
      </c>
      <c r="C48" s="10" t="n">
        <v>110</v>
      </c>
      <c r="D48" s="10" t="n">
        <v>1500</v>
      </c>
      <c r="E48" s="10" t="s">
        <v>1127</v>
      </c>
      <c r="F48" s="215" t="n">
        <v>4</v>
      </c>
      <c r="G48" s="10"/>
      <c r="H48" s="216" t="n">
        <f aca="false">F48-G48</f>
        <v>4</v>
      </c>
      <c r="I48" s="209" t="n">
        <v>324</v>
      </c>
      <c r="J48" s="210" t="n">
        <f aca="false">I48*$L$2</f>
        <v>502.2</v>
      </c>
      <c r="K48" s="9"/>
      <c r="L48" s="10" t="s">
        <v>1129</v>
      </c>
      <c r="M48" s="10" t="n">
        <v>84</v>
      </c>
      <c r="N48" s="10" t="n">
        <v>1</v>
      </c>
    </row>
    <row r="49" customFormat="false" ht="15.75" hidden="false" customHeight="true" outlineLevel="0" collapsed="false">
      <c r="B49" s="10" t="s">
        <v>1128</v>
      </c>
      <c r="C49" s="10" t="n">
        <v>110</v>
      </c>
      <c r="D49" s="10" t="n">
        <v>1500</v>
      </c>
      <c r="E49" s="10" t="s">
        <v>1127</v>
      </c>
      <c r="F49" s="215" t="n">
        <v>2</v>
      </c>
      <c r="G49" s="10"/>
      <c r="H49" s="216" t="n">
        <f aca="false">F49-G49</f>
        <v>2</v>
      </c>
      <c r="I49" s="209" t="n">
        <v>582</v>
      </c>
      <c r="J49" s="210" t="n">
        <f aca="false">I49*$L$2</f>
        <v>902.1</v>
      </c>
      <c r="K49" s="9"/>
      <c r="L49" s="10" t="s">
        <v>1129</v>
      </c>
      <c r="M49" s="10" t="n">
        <v>98</v>
      </c>
      <c r="N49" s="10" t="n">
        <v>1</v>
      </c>
    </row>
    <row r="50" customFormat="false" ht="15.75" hidden="false" customHeight="true" outlineLevel="0" collapsed="false">
      <c r="B50" s="10" t="s">
        <v>1126</v>
      </c>
      <c r="C50" s="10" t="n">
        <v>112</v>
      </c>
      <c r="D50" s="10" t="n">
        <v>1000</v>
      </c>
      <c r="E50" s="10" t="s">
        <v>1127</v>
      </c>
      <c r="F50" s="215" t="n">
        <v>2</v>
      </c>
      <c r="G50" s="10"/>
      <c r="H50" s="216" t="n">
        <f aca="false">F50-G50</f>
        <v>2</v>
      </c>
      <c r="I50" s="209" t="n">
        <v>560</v>
      </c>
      <c r="J50" s="210" t="n">
        <f aca="false">I50*$L$2</f>
        <v>868</v>
      </c>
      <c r="K50" s="9"/>
      <c r="L50" s="10" t="s">
        <v>1129</v>
      </c>
      <c r="M50" s="10" t="n">
        <v>148</v>
      </c>
      <c r="N50" s="10" t="n">
        <v>3</v>
      </c>
    </row>
    <row r="51" customFormat="false" ht="15.75" hidden="false" customHeight="true" outlineLevel="0" collapsed="false">
      <c r="B51" s="10" t="s">
        <v>1126</v>
      </c>
      <c r="C51" s="10" t="n">
        <v>118</v>
      </c>
      <c r="D51" s="10" t="n">
        <v>1500</v>
      </c>
      <c r="E51" s="10" t="s">
        <v>1127</v>
      </c>
      <c r="F51" s="215" t="n">
        <v>4</v>
      </c>
      <c r="G51" s="10"/>
      <c r="H51" s="216" t="n">
        <f aca="false">F51-G51</f>
        <v>4</v>
      </c>
      <c r="I51" s="209" t="n">
        <v>177</v>
      </c>
      <c r="J51" s="210" t="n">
        <f aca="false">I51*$L$2</f>
        <v>274.35</v>
      </c>
      <c r="K51" s="9"/>
      <c r="L51" s="10" t="s">
        <v>1129</v>
      </c>
      <c r="M51" s="10" t="n">
        <v>153</v>
      </c>
      <c r="N51" s="10" t="n">
        <v>3</v>
      </c>
    </row>
    <row r="52" customFormat="false" ht="15.75" hidden="false" customHeight="true" outlineLevel="0" collapsed="false">
      <c r="B52" s="10" t="s">
        <v>1128</v>
      </c>
      <c r="C52" s="10" t="n">
        <v>118</v>
      </c>
      <c r="D52" s="10" t="n">
        <v>2000</v>
      </c>
      <c r="E52" s="10" t="s">
        <v>1127</v>
      </c>
      <c r="F52" s="215" t="n">
        <v>1</v>
      </c>
      <c r="G52" s="10"/>
      <c r="H52" s="216" t="n">
        <f aca="false">F52-G52</f>
        <v>1</v>
      </c>
      <c r="I52" s="209" t="n">
        <v>582</v>
      </c>
      <c r="J52" s="210" t="n">
        <f aca="false">I52*$L$2</f>
        <v>902.1</v>
      </c>
      <c r="K52" s="9"/>
      <c r="L52" s="10"/>
      <c r="M52" s="10"/>
      <c r="N52" s="10"/>
    </row>
    <row r="53" customFormat="false" ht="15.75" hidden="false" customHeight="true" outlineLevel="0" collapsed="false">
      <c r="B53" s="10" t="s">
        <v>1126</v>
      </c>
      <c r="C53" s="10" t="n">
        <v>122</v>
      </c>
      <c r="D53" s="10" t="n">
        <v>1000</v>
      </c>
      <c r="E53" s="10" t="s">
        <v>1127</v>
      </c>
      <c r="F53" s="215" t="n">
        <v>4</v>
      </c>
      <c r="G53" s="10"/>
      <c r="H53" s="216" t="n">
        <f aca="false">F53-G53</f>
        <v>4</v>
      </c>
      <c r="I53" s="209" t="n">
        <v>0</v>
      </c>
      <c r="J53" s="210" t="n">
        <f aca="false">I53*$L$2</f>
        <v>0</v>
      </c>
      <c r="K53" s="9"/>
      <c r="L53" s="10" t="s">
        <v>1129</v>
      </c>
      <c r="M53" s="10"/>
      <c r="N53" s="10"/>
    </row>
    <row r="54" customFormat="false" ht="15.75" hidden="false" customHeight="true" outlineLevel="0" collapsed="false">
      <c r="B54" s="10" t="s">
        <v>1126</v>
      </c>
      <c r="C54" s="10" t="n">
        <v>123</v>
      </c>
      <c r="D54" s="10" t="n">
        <v>1524</v>
      </c>
      <c r="E54" s="10" t="s">
        <v>1127</v>
      </c>
      <c r="F54" s="215" t="n">
        <v>3</v>
      </c>
      <c r="G54" s="10" t="n">
        <v>1</v>
      </c>
      <c r="H54" s="216" t="n">
        <f aca="false">F54-G54</f>
        <v>2</v>
      </c>
      <c r="I54" s="209" t="n">
        <v>562.356</v>
      </c>
      <c r="J54" s="210" t="n">
        <f aca="false">I54*$L$2</f>
        <v>871.6518</v>
      </c>
      <c r="K54" s="9"/>
      <c r="L54" s="10" t="s">
        <v>1129</v>
      </c>
      <c r="M54" s="10"/>
      <c r="N54" s="10"/>
    </row>
    <row r="55" customFormat="false" ht="15.75" hidden="false" customHeight="true" outlineLevel="0" collapsed="false">
      <c r="B55" s="10" t="s">
        <v>1126</v>
      </c>
      <c r="C55" s="10" t="n">
        <v>125</v>
      </c>
      <c r="D55" s="10" t="n">
        <v>1524</v>
      </c>
      <c r="E55" s="10" t="s">
        <v>1127</v>
      </c>
      <c r="F55" s="215"/>
      <c r="G55" s="10"/>
      <c r="H55" s="216" t="n">
        <f aca="false">F55-G55</f>
        <v>0</v>
      </c>
      <c r="I55" s="209" t="n">
        <v>571.5</v>
      </c>
      <c r="J55" s="210" t="n">
        <f aca="false">I55*$L$2</f>
        <v>885.825</v>
      </c>
      <c r="K55" s="9"/>
      <c r="L55" s="10"/>
      <c r="M55" s="10"/>
      <c r="N55" s="10"/>
    </row>
    <row r="56" customFormat="false" ht="15.75" hidden="false" customHeight="true" outlineLevel="0" collapsed="false">
      <c r="B56" s="10" t="s">
        <v>1126</v>
      </c>
      <c r="C56" s="10" t="n">
        <v>128</v>
      </c>
      <c r="D56" s="10" t="n">
        <v>2000</v>
      </c>
      <c r="E56" s="10" t="s">
        <v>1127</v>
      </c>
      <c r="F56" s="215"/>
      <c r="G56" s="10"/>
      <c r="H56" s="216" t="n">
        <f aca="false">F56-G56</f>
        <v>0</v>
      </c>
      <c r="I56" s="209" t="n">
        <v>768</v>
      </c>
      <c r="J56" s="210" t="n">
        <f aca="false">I56*$L$2</f>
        <v>1190.4</v>
      </c>
      <c r="K56" s="9" t="s">
        <v>1130</v>
      </c>
      <c r="L56" s="10"/>
      <c r="M56" s="10"/>
      <c r="N56" s="10"/>
    </row>
    <row r="57" customFormat="false" ht="15.75" hidden="false" customHeight="true" outlineLevel="0" collapsed="false">
      <c r="B57" s="10" t="s">
        <v>1126</v>
      </c>
      <c r="C57" s="10" t="n">
        <v>128</v>
      </c>
      <c r="D57" s="10" t="n">
        <v>1500</v>
      </c>
      <c r="E57" s="10" t="s">
        <v>1127</v>
      </c>
      <c r="F57" s="215"/>
      <c r="G57" s="10"/>
      <c r="H57" s="216" t="n">
        <f aca="false">F57-G57</f>
        <v>0</v>
      </c>
      <c r="I57" s="209" t="n">
        <v>0</v>
      </c>
      <c r="J57" s="210" t="n">
        <f aca="false">I57*$L$2</f>
        <v>0</v>
      </c>
      <c r="K57" s="9"/>
      <c r="L57" s="10"/>
      <c r="M57" s="10"/>
      <c r="N57" s="10"/>
    </row>
    <row r="58" customFormat="false" ht="15.75" hidden="false" customHeight="true" outlineLevel="0" collapsed="false">
      <c r="B58" s="10" t="s">
        <v>1126</v>
      </c>
      <c r="C58" s="10" t="n">
        <v>134</v>
      </c>
      <c r="D58" s="10" t="n">
        <v>1500</v>
      </c>
      <c r="E58" s="10" t="s">
        <v>1127</v>
      </c>
      <c r="F58" s="215" t="n">
        <v>3</v>
      </c>
      <c r="G58" s="10"/>
      <c r="H58" s="216" t="n">
        <f aca="false">F58-G58</f>
        <v>3</v>
      </c>
      <c r="I58" s="209" t="n">
        <v>536</v>
      </c>
      <c r="J58" s="210" t="n">
        <f aca="false">I58*$L$2</f>
        <v>830.8</v>
      </c>
      <c r="K58" s="9"/>
      <c r="L58" s="10"/>
      <c r="M58" s="10"/>
      <c r="N58" s="10"/>
    </row>
    <row r="59" customFormat="false" ht="15.75" hidden="false" customHeight="true" outlineLevel="0" collapsed="false">
      <c r="B59" s="10" t="s">
        <v>1126</v>
      </c>
      <c r="C59" s="10" t="n">
        <v>137</v>
      </c>
      <c r="D59" s="10" t="n">
        <v>1000</v>
      </c>
      <c r="E59" s="10" t="s">
        <v>1127</v>
      </c>
      <c r="F59" s="215" t="n">
        <v>1</v>
      </c>
      <c r="G59" s="10"/>
      <c r="H59" s="216" t="n">
        <f aca="false">F59-G59</f>
        <v>1</v>
      </c>
      <c r="I59" s="209" t="n">
        <v>411</v>
      </c>
      <c r="J59" s="210" t="n">
        <f aca="false">I59*$L$2</f>
        <v>637.05</v>
      </c>
      <c r="K59" s="9"/>
      <c r="L59" s="10"/>
      <c r="M59" s="10"/>
      <c r="N59" s="10"/>
    </row>
    <row r="60" customFormat="false" ht="15.75" hidden="false" customHeight="true" outlineLevel="0" collapsed="false">
      <c r="B60" s="10" t="s">
        <v>1126</v>
      </c>
      <c r="C60" s="10" t="n">
        <v>138</v>
      </c>
      <c r="D60" s="10" t="n">
        <v>500</v>
      </c>
      <c r="E60" s="10" t="s">
        <v>1127</v>
      </c>
      <c r="F60" s="215" t="n">
        <v>1</v>
      </c>
      <c r="G60" s="10"/>
      <c r="H60" s="216" t="n">
        <f aca="false">F60-G60</f>
        <v>1</v>
      </c>
      <c r="I60" s="209" t="n">
        <v>414</v>
      </c>
      <c r="J60" s="210" t="n">
        <f aca="false">I60*$L$2</f>
        <v>641.7</v>
      </c>
      <c r="K60" s="9"/>
    </row>
    <row r="61" customFormat="false" ht="15.75" hidden="false" customHeight="true" outlineLevel="0" collapsed="false">
      <c r="B61" s="10" t="s">
        <v>1126</v>
      </c>
      <c r="C61" s="10" t="n">
        <v>138</v>
      </c>
      <c r="D61" s="10" t="n">
        <v>2000</v>
      </c>
      <c r="E61" s="10" t="s">
        <v>1127</v>
      </c>
      <c r="F61" s="215"/>
      <c r="G61" s="10"/>
      <c r="H61" s="216" t="n">
        <f aca="false">F61-G61</f>
        <v>0</v>
      </c>
      <c r="I61" s="209" t="n">
        <v>415</v>
      </c>
      <c r="J61" s="210" t="n">
        <f aca="false">I61*$L$2</f>
        <v>643.25</v>
      </c>
      <c r="K61" s="9"/>
    </row>
    <row r="62" customFormat="false" ht="15.75" hidden="false" customHeight="true" outlineLevel="0" collapsed="false">
      <c r="B62" s="10" t="s">
        <v>1126</v>
      </c>
      <c r="C62" s="10" t="n">
        <v>142</v>
      </c>
      <c r="D62" s="10" t="n">
        <v>2000</v>
      </c>
      <c r="E62" s="10" t="s">
        <v>1127</v>
      </c>
      <c r="F62" s="215" t="n">
        <v>2</v>
      </c>
      <c r="G62" s="10"/>
      <c r="H62" s="216" t="n">
        <f aca="false">F62-G62</f>
        <v>2</v>
      </c>
      <c r="I62" s="209" t="n">
        <v>568</v>
      </c>
      <c r="J62" s="210" t="n">
        <f aca="false">I62*$L$2</f>
        <v>880.4</v>
      </c>
      <c r="K62" s="9"/>
    </row>
    <row r="63" customFormat="false" ht="15.75" hidden="false" customHeight="true" outlineLevel="0" collapsed="false">
      <c r="B63" s="10" t="s">
        <v>1128</v>
      </c>
      <c r="C63" s="10" t="n">
        <v>143</v>
      </c>
      <c r="D63" s="10" t="n">
        <v>2000</v>
      </c>
      <c r="E63" s="10" t="s">
        <v>1127</v>
      </c>
      <c r="F63" s="215" t="n">
        <v>1</v>
      </c>
      <c r="G63" s="10"/>
      <c r="H63" s="216" t="n">
        <f aca="false">F63-G63</f>
        <v>1</v>
      </c>
      <c r="I63" s="209" t="n">
        <v>582</v>
      </c>
      <c r="J63" s="210" t="n">
        <f aca="false">I63*$L$2</f>
        <v>902.1</v>
      </c>
      <c r="K63" s="9"/>
    </row>
    <row r="64" customFormat="false" ht="15.75" hidden="false" customHeight="true" outlineLevel="0" collapsed="false">
      <c r="B64" s="10" t="s">
        <v>1126</v>
      </c>
      <c r="C64" s="10" t="n">
        <v>148</v>
      </c>
      <c r="D64" s="10" t="n">
        <v>1500</v>
      </c>
      <c r="E64" s="10" t="s">
        <v>1127</v>
      </c>
      <c r="F64" s="215" t="n">
        <v>2</v>
      </c>
      <c r="G64" s="10" t="n">
        <v>2</v>
      </c>
      <c r="H64" s="216" t="n">
        <f aca="false">F64-G64</f>
        <v>0</v>
      </c>
      <c r="I64" s="209" t="n">
        <v>569</v>
      </c>
      <c r="J64" s="210" t="n">
        <f aca="false">I64*$L$2</f>
        <v>881.95</v>
      </c>
      <c r="K64" s="9"/>
    </row>
    <row r="65" customFormat="false" ht="15.75" hidden="false" customHeight="true" outlineLevel="0" collapsed="false">
      <c r="B65" s="10" t="s">
        <v>1126</v>
      </c>
      <c r="C65" s="10" t="n">
        <v>145</v>
      </c>
      <c r="D65" s="10" t="n">
        <v>1500</v>
      </c>
      <c r="E65" s="10" t="s">
        <v>1127</v>
      </c>
      <c r="F65" s="215" t="n">
        <v>3</v>
      </c>
      <c r="G65" s="10"/>
      <c r="H65" s="216" t="n">
        <f aca="false">F65-G65</f>
        <v>3</v>
      </c>
      <c r="I65" s="209" t="n">
        <v>580</v>
      </c>
      <c r="J65" s="210" t="n">
        <f aca="false">I65*$L$2</f>
        <v>899</v>
      </c>
      <c r="K65" s="9" t="s">
        <v>1130</v>
      </c>
      <c r="L65" s="1" t="s">
        <v>1131</v>
      </c>
    </row>
    <row r="66" customFormat="false" ht="15.75" hidden="false" customHeight="true" outlineLevel="0" collapsed="false">
      <c r="B66" s="10" t="s">
        <v>1126</v>
      </c>
      <c r="C66" s="10" t="n">
        <v>150</v>
      </c>
      <c r="D66" s="10" t="n">
        <v>2000</v>
      </c>
      <c r="E66" s="10" t="s">
        <v>1127</v>
      </c>
      <c r="F66" s="215"/>
      <c r="G66" s="10"/>
      <c r="H66" s="216" t="n">
        <f aca="false">F66-G66</f>
        <v>0</v>
      </c>
      <c r="I66" s="209" t="n">
        <v>581</v>
      </c>
      <c r="J66" s="210" t="n">
        <f aca="false">I66*$L$2</f>
        <v>900.55</v>
      </c>
      <c r="K66" s="9"/>
    </row>
    <row r="67" customFormat="false" ht="15.75" hidden="false" customHeight="true" outlineLevel="0" collapsed="false">
      <c r="B67" s="10" t="s">
        <v>1128</v>
      </c>
      <c r="C67" s="10" t="n">
        <v>150</v>
      </c>
      <c r="D67" s="10" t="n">
        <v>2000</v>
      </c>
      <c r="E67" s="10" t="s">
        <v>1127</v>
      </c>
      <c r="F67" s="215" t="n">
        <v>1</v>
      </c>
      <c r="G67" s="10"/>
      <c r="H67" s="216" t="n">
        <f aca="false">F67-G67</f>
        <v>1</v>
      </c>
      <c r="I67" s="209" t="n">
        <v>582</v>
      </c>
      <c r="J67" s="210" t="n">
        <f aca="false">I67*$L$2</f>
        <v>902.1</v>
      </c>
      <c r="K67" s="9"/>
    </row>
    <row r="68" customFormat="false" ht="15.75" hidden="false" customHeight="true" outlineLevel="0" collapsed="false">
      <c r="B68" s="10" t="s">
        <v>1126</v>
      </c>
      <c r="C68" s="10" t="n">
        <v>153</v>
      </c>
      <c r="D68" s="10" t="n">
        <v>2000</v>
      </c>
      <c r="E68" s="10" t="s">
        <v>1127</v>
      </c>
      <c r="F68" s="215" t="n">
        <v>5</v>
      </c>
      <c r="G68" s="10"/>
      <c r="H68" s="216" t="n">
        <f aca="false">F68-G68</f>
        <v>5</v>
      </c>
      <c r="I68" s="209" t="n">
        <v>0</v>
      </c>
      <c r="J68" s="210" t="n">
        <f aca="false">I68*$L$2</f>
        <v>0</v>
      </c>
      <c r="K68" s="9" t="s">
        <v>1132</v>
      </c>
      <c r="L68" s="1" t="s">
        <v>1131</v>
      </c>
    </row>
    <row r="69" customFormat="false" ht="15.75" hidden="false" customHeight="true" outlineLevel="0" collapsed="false">
      <c r="B69" s="10" t="s">
        <v>1126</v>
      </c>
      <c r="C69" s="10" t="n">
        <v>153</v>
      </c>
      <c r="D69" s="10" t="n">
        <v>1500</v>
      </c>
      <c r="E69" s="10" t="s">
        <v>1127</v>
      </c>
      <c r="F69" s="215"/>
      <c r="G69" s="10"/>
      <c r="H69" s="216" t="n">
        <f aca="false">F69-G69</f>
        <v>0</v>
      </c>
      <c r="I69" s="209" t="n">
        <v>0</v>
      </c>
      <c r="J69" s="210" t="n">
        <f aca="false">I69*$L$2</f>
        <v>0</v>
      </c>
      <c r="K69" s="9"/>
    </row>
    <row r="70" customFormat="false" ht="15.75" hidden="false" customHeight="true" outlineLevel="0" collapsed="false">
      <c r="B70" s="10" t="s">
        <v>1126</v>
      </c>
      <c r="C70" s="10" t="n">
        <v>158</v>
      </c>
      <c r="D70" s="10" t="n">
        <v>1000</v>
      </c>
      <c r="E70" s="10" t="s">
        <v>1127</v>
      </c>
      <c r="F70" s="215" t="n">
        <v>1</v>
      </c>
      <c r="G70" s="10"/>
      <c r="H70" s="216" t="n">
        <f aca="false">F70-G70</f>
        <v>1</v>
      </c>
      <c r="I70" s="209" t="n">
        <v>790</v>
      </c>
      <c r="J70" s="210" t="n">
        <f aca="false">I70*$L$2</f>
        <v>1224.5</v>
      </c>
      <c r="K70" s="9"/>
    </row>
    <row r="71" customFormat="false" ht="15.75" hidden="false" customHeight="true" outlineLevel="0" collapsed="false">
      <c r="B71" s="15"/>
      <c r="C71" s="15"/>
      <c r="D71" s="15"/>
      <c r="E71" s="15"/>
      <c r="F71" s="15"/>
      <c r="G71" s="15"/>
      <c r="H71" s="15"/>
      <c r="I71" s="15"/>
      <c r="J71" s="15"/>
    </row>
    <row r="72" customFormat="false" ht="15.75" hidden="false" customHeight="true" outlineLevel="0" collapsed="false">
      <c r="B72" s="15"/>
      <c r="C72" s="15"/>
      <c r="D72" s="15"/>
      <c r="E72" s="15"/>
      <c r="F72" s="15"/>
      <c r="G72" s="15"/>
      <c r="H72" s="15"/>
      <c r="I72" s="15"/>
      <c r="J72" s="15"/>
    </row>
    <row r="73" customFormat="false" ht="15.75" hidden="false" customHeight="true" outlineLevel="0" collapsed="false">
      <c r="B73" s="15"/>
      <c r="C73" s="15"/>
      <c r="D73" s="15"/>
      <c r="E73" s="15"/>
      <c r="F73" s="15"/>
      <c r="G73" s="15"/>
      <c r="H73" s="15"/>
      <c r="I73" s="15"/>
      <c r="J73" s="15"/>
    </row>
    <row r="74" customFormat="false" ht="15.75" hidden="false" customHeight="true" outlineLevel="0" collapsed="false">
      <c r="B74" s="15"/>
      <c r="C74" s="15"/>
      <c r="D74" s="15"/>
      <c r="E74" s="15"/>
      <c r="F74" s="15"/>
      <c r="G74" s="15"/>
      <c r="H74" s="15"/>
      <c r="I74" s="15"/>
      <c r="J74" s="15"/>
    </row>
    <row r="75" customFormat="false" ht="15.75" hidden="false" customHeight="true" outlineLevel="0" collapsed="false">
      <c r="B75" s="15"/>
      <c r="C75" s="15"/>
      <c r="D75" s="15"/>
      <c r="E75" s="15"/>
      <c r="F75" s="15"/>
      <c r="G75" s="15"/>
      <c r="H75" s="15"/>
      <c r="I75" s="15"/>
      <c r="J75" s="15"/>
    </row>
    <row r="76" customFormat="false" ht="15.75" hidden="false" customHeight="true" outlineLevel="0" collapsed="false">
      <c r="B76" s="15"/>
      <c r="C76" s="15"/>
      <c r="D76" s="15"/>
      <c r="E76" s="15"/>
      <c r="F76" s="15"/>
      <c r="G76" s="15"/>
      <c r="H76" s="15"/>
      <c r="I76" s="15"/>
      <c r="J76" s="15"/>
    </row>
    <row r="77" customFormat="false" ht="15.75" hidden="false" customHeight="true" outlineLevel="0" collapsed="false">
      <c r="B77" s="15"/>
      <c r="C77" s="15"/>
      <c r="D77" s="15"/>
      <c r="E77" s="15"/>
      <c r="F77" s="15"/>
      <c r="G77" s="15"/>
      <c r="H77" s="15"/>
      <c r="I77" s="15"/>
      <c r="J77" s="15"/>
    </row>
    <row r="78" customFormat="false" ht="15.75" hidden="false" customHeight="true" outlineLevel="0" collapsed="false">
      <c r="B78" s="15"/>
      <c r="C78" s="15"/>
      <c r="D78" s="15"/>
      <c r="E78" s="15"/>
      <c r="F78" s="15"/>
      <c r="G78" s="15"/>
      <c r="H78" s="15"/>
      <c r="I78" s="15"/>
      <c r="J78" s="15"/>
    </row>
    <row r="79" customFormat="false" ht="15.75" hidden="false" customHeight="true" outlineLevel="0" collapsed="false">
      <c r="A79" s="1" t="s">
        <v>21</v>
      </c>
      <c r="B79" s="15"/>
      <c r="C79" s="15"/>
      <c r="D79" s="15"/>
      <c r="E79" s="15"/>
      <c r="F79" s="15"/>
      <c r="G79" s="15"/>
      <c r="H79" s="15"/>
      <c r="I79" s="15"/>
      <c r="J79" s="15"/>
    </row>
    <row r="80" customFormat="false" ht="15.75" hidden="false" customHeight="true" outlineLevel="0" collapsed="false">
      <c r="A80" s="19" t="n">
        <v>3</v>
      </c>
      <c r="B80" s="217" t="s">
        <v>1129</v>
      </c>
      <c r="C80" s="10" t="n">
        <v>50</v>
      </c>
      <c r="D80" s="10" t="n">
        <v>2000</v>
      </c>
      <c r="E80" s="10" t="s">
        <v>1127</v>
      </c>
    </row>
    <row r="81" customFormat="false" ht="15.75" hidden="false" customHeight="true" outlineLevel="0" collapsed="false">
      <c r="A81" s="19" t="n">
        <v>3</v>
      </c>
      <c r="B81" s="217" t="s">
        <v>1129</v>
      </c>
      <c r="C81" s="10" t="n">
        <v>65</v>
      </c>
      <c r="D81" s="10" t="n">
        <v>2000</v>
      </c>
      <c r="E81" s="10" t="s">
        <v>1127</v>
      </c>
    </row>
    <row r="82" customFormat="false" ht="15.75" hidden="false" customHeight="true" outlineLevel="0" collapsed="false">
      <c r="A82" s="19" t="n">
        <v>2</v>
      </c>
      <c r="B82" s="217" t="s">
        <v>1129</v>
      </c>
      <c r="C82" s="10" t="n">
        <v>72</v>
      </c>
      <c r="D82" s="10" t="n">
        <v>2000</v>
      </c>
      <c r="E82" s="10" t="s">
        <v>1127</v>
      </c>
    </row>
    <row r="83" customFormat="false" ht="15.75" hidden="false" customHeight="true" outlineLevel="0" collapsed="false">
      <c r="A83" s="19" t="n">
        <v>2</v>
      </c>
      <c r="B83" s="217" t="s">
        <v>1129</v>
      </c>
      <c r="C83" s="10" t="n">
        <v>78</v>
      </c>
      <c r="D83" s="10" t="n">
        <v>2000</v>
      </c>
      <c r="E83" s="10" t="s">
        <v>1127</v>
      </c>
    </row>
    <row r="84" customFormat="false" ht="15.75" hidden="false" customHeight="true" outlineLevel="0" collapsed="false">
      <c r="A84" s="19" t="n">
        <v>6</v>
      </c>
      <c r="B84" s="217" t="s">
        <v>1129</v>
      </c>
      <c r="C84" s="10" t="n">
        <v>83</v>
      </c>
      <c r="D84" s="10" t="n">
        <v>2000</v>
      </c>
      <c r="E84" s="10" t="s">
        <v>1127</v>
      </c>
    </row>
    <row r="85" customFormat="false" ht="15.75" hidden="false" customHeight="true" outlineLevel="0" collapsed="false">
      <c r="A85" s="19" t="n">
        <v>2</v>
      </c>
      <c r="B85" s="217" t="s">
        <v>1129</v>
      </c>
      <c r="C85" s="10" t="n">
        <v>118</v>
      </c>
      <c r="D85" s="10" t="n">
        <v>2000</v>
      </c>
      <c r="E85" s="10" t="s">
        <v>1127</v>
      </c>
    </row>
    <row r="86" customFormat="false" ht="15.75" hidden="false" customHeight="true" outlineLevel="0" collapsed="false">
      <c r="A86" s="19" t="n">
        <v>1</v>
      </c>
      <c r="B86" s="217" t="s">
        <v>1129</v>
      </c>
      <c r="C86" s="10" t="n">
        <v>128</v>
      </c>
      <c r="D86" s="10" t="n">
        <v>2000</v>
      </c>
      <c r="E86" s="10" t="s">
        <v>1127</v>
      </c>
    </row>
    <row r="87" customFormat="false" ht="15.75" hidden="false" customHeight="true" outlineLevel="0" collapsed="false">
      <c r="A87" s="19" t="n">
        <v>1</v>
      </c>
      <c r="B87" s="217" t="s">
        <v>1129</v>
      </c>
      <c r="C87" s="10" t="n">
        <v>137</v>
      </c>
      <c r="D87" s="10" t="n">
        <v>2000</v>
      </c>
      <c r="E87" s="10" t="s">
        <v>1127</v>
      </c>
    </row>
    <row r="88" customFormat="false" ht="15.75" hidden="false" customHeight="true" outlineLevel="0" collapsed="false">
      <c r="A88" s="19" t="n">
        <v>3</v>
      </c>
      <c r="B88" s="217" t="s">
        <v>1129</v>
      </c>
      <c r="C88" s="10" t="n">
        <v>142</v>
      </c>
      <c r="D88" s="10" t="n">
        <v>2000</v>
      </c>
      <c r="E88" s="10" t="s">
        <v>1127</v>
      </c>
    </row>
    <row r="89" customFormat="false" ht="15.75" hidden="false" customHeight="true" outlineLevel="0" collapsed="false">
      <c r="B89" s="10" t="s">
        <v>1129</v>
      </c>
      <c r="C89" s="10"/>
      <c r="D89" s="10" t="n">
        <v>2000</v>
      </c>
      <c r="E89" s="10" t="s">
        <v>1127</v>
      </c>
    </row>
    <row r="90" customFormat="false" ht="15.75" hidden="false" customHeight="true" outlineLevel="0" collapsed="false">
      <c r="B90" s="10" t="s">
        <v>1129</v>
      </c>
      <c r="C90" s="10"/>
      <c r="D90" s="10" t="n">
        <v>2000</v>
      </c>
      <c r="E90" s="10" t="s">
        <v>1127</v>
      </c>
    </row>
  </sheetData>
  <mergeCells count="1">
    <mergeCell ref="B1:H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4.4296875" defaultRowHeight="20.25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16.05"/>
    <col collapsed="false" customWidth="true" hidden="false" outlineLevel="0" max="3" min="3" style="1" width="28.57"/>
    <col collapsed="false" customWidth="true" hidden="false" outlineLevel="0" max="4" min="4" style="1" width="23"/>
    <col collapsed="false" customWidth="true" hidden="false" outlineLevel="0" max="6" min="5" style="1" width="8.57"/>
    <col collapsed="false" customWidth="true" hidden="false" outlineLevel="0" max="7" min="7" style="1" width="15.15"/>
    <col collapsed="false" customWidth="false" hidden="false" outlineLevel="0" max="8" min="8" style="1" width="14.43"/>
    <col collapsed="false" customWidth="true" hidden="false" outlineLevel="0" max="9" min="9" style="1" width="12.5"/>
    <col collapsed="false" customWidth="true" hidden="false" outlineLevel="0" max="25" min="10" style="1" width="8.57"/>
    <col collapsed="false" customWidth="false" hidden="false" outlineLevel="0" max="16384" min="26" style="1" width="14.43"/>
  </cols>
  <sheetData>
    <row r="2" customFormat="false" ht="20.25" hidden="false" customHeight="false" outlineLevel="0" collapsed="false">
      <c r="A2" s="218" t="s">
        <v>1133</v>
      </c>
      <c r="B2" s="219"/>
      <c r="C2" s="219"/>
      <c r="D2" s="219"/>
      <c r="E2" s="219"/>
      <c r="F2" s="218"/>
      <c r="G2" s="220" t="n">
        <v>45681</v>
      </c>
      <c r="H2" s="221"/>
      <c r="I2" s="221" t="s">
        <v>1134</v>
      </c>
    </row>
    <row r="3" customFormat="false" ht="20.2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</row>
    <row r="4" customFormat="false" ht="20.25" hidden="false" customHeight="false" outlineLevel="0" collapsed="false">
      <c r="A4" s="222" t="s">
        <v>1135</v>
      </c>
      <c r="B4" s="223"/>
      <c r="C4" s="223"/>
      <c r="D4" s="224"/>
      <c r="E4" s="9"/>
      <c r="F4" s="9"/>
      <c r="G4" s="9"/>
      <c r="H4" s="9"/>
      <c r="I4" s="9"/>
    </row>
    <row r="5" customFormat="false" ht="20.25" hidden="false" customHeight="false" outlineLevel="0" collapsed="false">
      <c r="A5" s="225" t="s">
        <v>1136</v>
      </c>
      <c r="B5" s="226" t="s">
        <v>1137</v>
      </c>
      <c r="C5" s="226"/>
      <c r="D5" s="227" t="s">
        <v>1100</v>
      </c>
      <c r="E5" s="227" t="s">
        <v>10</v>
      </c>
      <c r="F5" s="227" t="s">
        <v>1138</v>
      </c>
      <c r="G5" s="227" t="s">
        <v>1139</v>
      </c>
      <c r="H5" s="227" t="s">
        <v>1140</v>
      </c>
      <c r="I5" s="227" t="s">
        <v>1141</v>
      </c>
    </row>
    <row r="6" customFormat="false" ht="20.25" hidden="false" customHeight="false" outlineLevel="0" collapsed="false">
      <c r="A6" s="228" t="s">
        <v>1142</v>
      </c>
      <c r="B6" s="229" t="s">
        <v>1143</v>
      </c>
      <c r="C6" s="229"/>
      <c r="D6" s="229" t="s">
        <v>1144</v>
      </c>
      <c r="E6" s="230" t="n">
        <v>0</v>
      </c>
      <c r="F6" s="230"/>
      <c r="G6" s="230" t="n">
        <v>0</v>
      </c>
      <c r="H6" s="231"/>
      <c r="I6" s="232" t="n">
        <v>0</v>
      </c>
    </row>
    <row r="7" customFormat="false" ht="20.25" hidden="false" customHeight="false" outlineLevel="0" collapsed="false">
      <c r="A7" s="107" t="s">
        <v>1145</v>
      </c>
      <c r="B7" s="18" t="s">
        <v>1143</v>
      </c>
      <c r="C7" s="18"/>
      <c r="D7" s="18" t="s">
        <v>1146</v>
      </c>
      <c r="E7" s="10" t="n">
        <v>0</v>
      </c>
      <c r="F7" s="10"/>
      <c r="G7" s="10" t="n">
        <v>0</v>
      </c>
      <c r="H7" s="158"/>
      <c r="I7" s="233" t="n">
        <v>0</v>
      </c>
    </row>
    <row r="8" customFormat="false" ht="20.25" hidden="false" customHeight="false" outlineLevel="0" collapsed="false">
      <c r="A8" s="107" t="s">
        <v>1147</v>
      </c>
      <c r="B8" s="18" t="s">
        <v>1143</v>
      </c>
      <c r="C8" s="18"/>
      <c r="D8" s="18" t="s">
        <v>1148</v>
      </c>
      <c r="E8" s="10" t="n">
        <v>0</v>
      </c>
      <c r="F8" s="10"/>
      <c r="G8" s="10" t="n">
        <v>0</v>
      </c>
      <c r="H8" s="158"/>
      <c r="I8" s="233" t="n">
        <v>0</v>
      </c>
    </row>
    <row r="9" customFormat="false" ht="20.25" hidden="false" customHeight="false" outlineLevel="0" collapsed="false">
      <c r="A9" s="107" t="s">
        <v>1149</v>
      </c>
      <c r="B9" s="18" t="s">
        <v>1143</v>
      </c>
      <c r="C9" s="18"/>
      <c r="D9" s="18" t="s">
        <v>1150</v>
      </c>
      <c r="E9" s="10" t="n">
        <v>0</v>
      </c>
      <c r="F9" s="10"/>
      <c r="G9" s="10" t="n">
        <v>0</v>
      </c>
      <c r="H9" s="158"/>
      <c r="I9" s="233" t="n">
        <v>0</v>
      </c>
    </row>
    <row r="10" customFormat="false" ht="20.25" hidden="false" customHeight="false" outlineLevel="0" collapsed="false">
      <c r="A10" s="107"/>
      <c r="B10" s="18" t="s">
        <v>1143</v>
      </c>
      <c r="C10" s="18"/>
      <c r="D10" s="18" t="s">
        <v>1151</v>
      </c>
      <c r="E10" s="10" t="n">
        <v>0</v>
      </c>
      <c r="F10" s="10"/>
      <c r="G10" s="10" t="n">
        <v>0</v>
      </c>
      <c r="H10" s="158"/>
      <c r="I10" s="233" t="n">
        <v>0</v>
      </c>
    </row>
    <row r="11" customFormat="false" ht="20.25" hidden="false" customHeight="false" outlineLevel="0" collapsed="false">
      <c r="A11" s="107"/>
      <c r="B11" s="18" t="s">
        <v>1143</v>
      </c>
      <c r="C11" s="18"/>
      <c r="D11" s="18" t="s">
        <v>1152</v>
      </c>
      <c r="E11" s="10" t="n">
        <v>0</v>
      </c>
      <c r="F11" s="10"/>
      <c r="G11" s="10" t="n">
        <v>0</v>
      </c>
      <c r="H11" s="158"/>
      <c r="I11" s="233" t="n">
        <v>0</v>
      </c>
    </row>
    <row r="12" customFormat="false" ht="20.25" hidden="false" customHeight="false" outlineLevel="0" collapsed="false">
      <c r="A12" s="107"/>
      <c r="B12" s="18" t="s">
        <v>1143</v>
      </c>
      <c r="C12" s="18"/>
      <c r="D12" s="18" t="s">
        <v>1153</v>
      </c>
      <c r="E12" s="10" t="n">
        <v>0</v>
      </c>
      <c r="F12" s="10"/>
      <c r="G12" s="10" t="n">
        <v>0</v>
      </c>
      <c r="H12" s="158"/>
      <c r="I12" s="233" t="n">
        <v>0</v>
      </c>
    </row>
    <row r="13" customFormat="false" ht="20.25" hidden="false" customHeight="false" outlineLevel="0" collapsed="false">
      <c r="A13" s="107" t="s">
        <v>1154</v>
      </c>
      <c r="B13" s="18"/>
      <c r="C13" s="18"/>
      <c r="D13" s="18" t="s">
        <v>1155</v>
      </c>
      <c r="E13" s="10" t="n">
        <v>0</v>
      </c>
      <c r="F13" s="10"/>
      <c r="G13" s="10" t="n">
        <v>0</v>
      </c>
      <c r="H13" s="158"/>
      <c r="I13" s="233" t="n">
        <v>0</v>
      </c>
    </row>
    <row r="14" customFormat="false" ht="20.25" hidden="false" customHeight="false" outlineLevel="0" collapsed="false">
      <c r="A14" s="107" t="s">
        <v>1156</v>
      </c>
      <c r="B14" s="18" t="s">
        <v>1143</v>
      </c>
      <c r="C14" s="18"/>
      <c r="D14" s="18" t="s">
        <v>1157</v>
      </c>
      <c r="E14" s="10" t="n">
        <v>0</v>
      </c>
      <c r="F14" s="10"/>
      <c r="G14" s="10" t="n">
        <v>0</v>
      </c>
      <c r="H14" s="158"/>
      <c r="I14" s="233" t="n">
        <v>0</v>
      </c>
    </row>
    <row r="15" customFormat="false" ht="20.25" hidden="false" customHeight="false" outlineLevel="0" collapsed="false">
      <c r="A15" s="234" t="s">
        <v>1158</v>
      </c>
      <c r="B15" s="235" t="s">
        <v>1143</v>
      </c>
      <c r="C15" s="235"/>
      <c r="D15" s="235" t="s">
        <v>1159</v>
      </c>
      <c r="E15" s="178" t="n">
        <v>0</v>
      </c>
      <c r="F15" s="178"/>
      <c r="G15" s="178" t="n">
        <v>0</v>
      </c>
      <c r="H15" s="236"/>
      <c r="I15" s="237"/>
    </row>
    <row r="16" customFormat="false" ht="20.25" hidden="false" customHeight="false" outlineLevel="0" collapsed="false">
      <c r="A16" s="228" t="s">
        <v>1160</v>
      </c>
      <c r="B16" s="229" t="s">
        <v>1161</v>
      </c>
      <c r="C16" s="229"/>
      <c r="D16" s="238" t="s">
        <v>1162</v>
      </c>
      <c r="E16" s="230" t="n">
        <v>0</v>
      </c>
      <c r="F16" s="230"/>
      <c r="G16" s="230" t="n">
        <v>0</v>
      </c>
      <c r="H16" s="231"/>
      <c r="I16" s="232"/>
    </row>
    <row r="17" customFormat="false" ht="20.25" hidden="false" customHeight="false" outlineLevel="0" collapsed="false">
      <c r="A17" s="107" t="s">
        <v>1163</v>
      </c>
      <c r="B17" s="18" t="s">
        <v>1161</v>
      </c>
      <c r="C17" s="18"/>
      <c r="D17" s="239" t="s">
        <v>1164</v>
      </c>
      <c r="E17" s="10" t="n">
        <v>0</v>
      </c>
      <c r="F17" s="10"/>
      <c r="G17" s="10" t="n">
        <v>0</v>
      </c>
      <c r="H17" s="158"/>
      <c r="I17" s="233" t="n">
        <v>0</v>
      </c>
    </row>
    <row r="18" customFormat="false" ht="20.25" hidden="false" customHeight="false" outlineLevel="0" collapsed="false">
      <c r="A18" s="107" t="s">
        <v>1165</v>
      </c>
      <c r="B18" s="18" t="s">
        <v>1161</v>
      </c>
      <c r="C18" s="18"/>
      <c r="D18" s="239" t="s">
        <v>1166</v>
      </c>
      <c r="E18" s="10" t="n">
        <v>0</v>
      </c>
      <c r="F18" s="10"/>
      <c r="G18" s="10" t="n">
        <v>0</v>
      </c>
      <c r="H18" s="158"/>
      <c r="I18" s="233" t="n">
        <v>0</v>
      </c>
    </row>
    <row r="19" customFormat="false" ht="20.25" hidden="false" customHeight="false" outlineLevel="0" collapsed="false">
      <c r="A19" s="107" t="s">
        <v>1167</v>
      </c>
      <c r="B19" s="18" t="s">
        <v>1161</v>
      </c>
      <c r="C19" s="18"/>
      <c r="D19" s="239" t="s">
        <v>1168</v>
      </c>
      <c r="E19" s="10" t="n">
        <v>0</v>
      </c>
      <c r="F19" s="10"/>
      <c r="G19" s="10" t="n">
        <v>0</v>
      </c>
      <c r="H19" s="158"/>
      <c r="I19" s="233" t="n">
        <v>0</v>
      </c>
    </row>
    <row r="20" customFormat="false" ht="20.25" hidden="false" customHeight="false" outlineLevel="0" collapsed="false">
      <c r="A20" s="107" t="s">
        <v>1169</v>
      </c>
      <c r="B20" s="18" t="s">
        <v>1161</v>
      </c>
      <c r="C20" s="18"/>
      <c r="D20" s="239" t="s">
        <v>1170</v>
      </c>
      <c r="E20" s="10" t="n">
        <v>0</v>
      </c>
      <c r="F20" s="10"/>
      <c r="G20" s="10" t="n">
        <v>0</v>
      </c>
      <c r="H20" s="240"/>
      <c r="I20" s="233" t="n">
        <v>0</v>
      </c>
    </row>
    <row r="21" customFormat="false" ht="15.75" hidden="false" customHeight="true" outlineLevel="0" collapsed="false">
      <c r="A21" s="107" t="s">
        <v>1171</v>
      </c>
      <c r="B21" s="18" t="s">
        <v>1161</v>
      </c>
      <c r="C21" s="18"/>
      <c r="D21" s="18" t="s">
        <v>1172</v>
      </c>
      <c r="E21" s="10" t="n">
        <v>0</v>
      </c>
      <c r="F21" s="10"/>
      <c r="G21" s="10" t="n">
        <v>0</v>
      </c>
      <c r="H21" s="158"/>
      <c r="I21" s="233" t="n">
        <v>0</v>
      </c>
    </row>
    <row r="22" customFormat="false" ht="15.75" hidden="false" customHeight="true" outlineLevel="0" collapsed="false">
      <c r="A22" s="234" t="s">
        <v>1173</v>
      </c>
      <c r="B22" s="235" t="s">
        <v>1161</v>
      </c>
      <c r="C22" s="235"/>
      <c r="D22" s="235" t="s">
        <v>1174</v>
      </c>
      <c r="E22" s="178" t="n">
        <v>0</v>
      </c>
      <c r="F22" s="178"/>
      <c r="G22" s="178" t="n">
        <v>0</v>
      </c>
      <c r="H22" s="236"/>
      <c r="I22" s="237" t="n">
        <v>0</v>
      </c>
    </row>
    <row r="23" customFormat="false" ht="15.75" hidden="false" customHeight="true" outlineLevel="0" collapsed="false">
      <c r="A23" s="241"/>
      <c r="B23" s="229" t="s">
        <v>1175</v>
      </c>
      <c r="C23" s="229" t="s">
        <v>1176</v>
      </c>
      <c r="D23" s="229" t="s">
        <v>1176</v>
      </c>
      <c r="E23" s="230"/>
      <c r="F23" s="230"/>
      <c r="G23" s="230" t="n">
        <v>0</v>
      </c>
      <c r="H23" s="231"/>
      <c r="I23" s="232" t="n">
        <v>0</v>
      </c>
    </row>
    <row r="24" customFormat="false" ht="15.75" hidden="false" customHeight="true" outlineLevel="0" collapsed="false">
      <c r="A24" s="242" t="s">
        <v>1177</v>
      </c>
      <c r="B24" s="18" t="s">
        <v>1175</v>
      </c>
      <c r="C24" s="18" t="s">
        <v>1178</v>
      </c>
      <c r="D24" s="18" t="s">
        <v>1179</v>
      </c>
      <c r="E24" s="10"/>
      <c r="F24" s="10"/>
      <c r="G24" s="10" t="n">
        <v>0</v>
      </c>
      <c r="H24" s="158"/>
      <c r="I24" s="233" t="n">
        <v>0</v>
      </c>
    </row>
    <row r="25" customFormat="false" ht="15.75" hidden="false" customHeight="true" outlineLevel="0" collapsed="false">
      <c r="A25" s="242" t="s">
        <v>1180</v>
      </c>
      <c r="B25" s="18" t="s">
        <v>1175</v>
      </c>
      <c r="C25" s="18" t="s">
        <v>1181</v>
      </c>
      <c r="D25" s="18" t="s">
        <v>1182</v>
      </c>
      <c r="E25" s="10"/>
      <c r="F25" s="10"/>
      <c r="G25" s="10" t="n">
        <v>0</v>
      </c>
      <c r="H25" s="158"/>
      <c r="I25" s="233" t="n">
        <v>0</v>
      </c>
    </row>
    <row r="26" customFormat="false" ht="15.75" hidden="false" customHeight="true" outlineLevel="0" collapsed="false">
      <c r="A26" s="242" t="s">
        <v>1183</v>
      </c>
      <c r="B26" s="18" t="s">
        <v>1175</v>
      </c>
      <c r="C26" s="18" t="s">
        <v>1184</v>
      </c>
      <c r="D26" s="243" t="s">
        <v>1185</v>
      </c>
      <c r="E26" s="10"/>
      <c r="F26" s="10"/>
      <c r="G26" s="10" t="n">
        <v>0</v>
      </c>
      <c r="H26" s="158"/>
      <c r="I26" s="233" t="n">
        <v>0</v>
      </c>
    </row>
    <row r="27" customFormat="false" ht="15.75" hidden="false" customHeight="true" outlineLevel="0" collapsed="false">
      <c r="A27" s="242" t="s">
        <v>1186</v>
      </c>
      <c r="B27" s="18" t="s">
        <v>1175</v>
      </c>
      <c r="C27" s="18" t="s">
        <v>1187</v>
      </c>
      <c r="D27" s="243" t="s">
        <v>1188</v>
      </c>
      <c r="E27" s="10"/>
      <c r="F27" s="10"/>
      <c r="G27" s="10" t="n">
        <v>0</v>
      </c>
      <c r="H27" s="158"/>
      <c r="I27" s="233" t="n">
        <v>0</v>
      </c>
    </row>
    <row r="28" customFormat="false" ht="15.75" hidden="false" customHeight="true" outlineLevel="0" collapsed="false">
      <c r="A28" s="242" t="s">
        <v>1189</v>
      </c>
      <c r="B28" s="18" t="s">
        <v>1175</v>
      </c>
      <c r="C28" s="18" t="s">
        <v>1190</v>
      </c>
      <c r="D28" s="18" t="s">
        <v>1157</v>
      </c>
      <c r="E28" s="10"/>
      <c r="F28" s="10"/>
      <c r="G28" s="10" t="n">
        <v>0</v>
      </c>
      <c r="H28" s="240"/>
      <c r="I28" s="233" t="n">
        <v>0</v>
      </c>
    </row>
    <row r="29" customFormat="false" ht="15.75" hidden="false" customHeight="true" outlineLevel="0" collapsed="false">
      <c r="A29" s="107" t="s">
        <v>1191</v>
      </c>
      <c r="B29" s="18" t="s">
        <v>1175</v>
      </c>
      <c r="C29" s="18" t="s">
        <v>1192</v>
      </c>
      <c r="D29" s="18" t="s">
        <v>1193</v>
      </c>
      <c r="E29" s="10"/>
      <c r="F29" s="10"/>
      <c r="G29" s="10" t="n">
        <v>0</v>
      </c>
      <c r="H29" s="240"/>
      <c r="I29" s="233" t="n">
        <v>0</v>
      </c>
    </row>
    <row r="30" customFormat="false" ht="15.75" hidden="false" customHeight="true" outlineLevel="0" collapsed="false">
      <c r="A30" s="107" t="s">
        <v>1194</v>
      </c>
      <c r="B30" s="18" t="s">
        <v>1175</v>
      </c>
      <c r="C30" s="18" t="s">
        <v>1195</v>
      </c>
      <c r="D30" s="18" t="s">
        <v>1182</v>
      </c>
      <c r="E30" s="10"/>
      <c r="F30" s="10"/>
      <c r="G30" s="10" t="n">
        <v>0</v>
      </c>
      <c r="H30" s="240"/>
      <c r="I30" s="233" t="n">
        <v>0</v>
      </c>
    </row>
    <row r="31" customFormat="false" ht="15.75" hidden="false" customHeight="true" outlineLevel="0" collapsed="false">
      <c r="A31" s="244" t="s">
        <v>1196</v>
      </c>
      <c r="B31" s="235" t="s">
        <v>1175</v>
      </c>
      <c r="C31" s="235" t="s">
        <v>1197</v>
      </c>
      <c r="D31" s="235" t="s">
        <v>1198</v>
      </c>
      <c r="E31" s="178"/>
      <c r="F31" s="178"/>
      <c r="G31" s="178" t="n">
        <v>0</v>
      </c>
      <c r="H31" s="236"/>
      <c r="I31" s="237" t="n">
        <v>0</v>
      </c>
    </row>
    <row r="32" customFormat="false" ht="15.75" hidden="false" customHeight="true" outlineLevel="0" collapsed="false">
      <c r="A32" s="228" t="s">
        <v>1199</v>
      </c>
      <c r="B32" s="229" t="s">
        <v>1200</v>
      </c>
      <c r="C32" s="229" t="s">
        <v>1201</v>
      </c>
      <c r="D32" s="229" t="s">
        <v>1179</v>
      </c>
      <c r="E32" s="230"/>
      <c r="F32" s="230"/>
      <c r="G32" s="230" t="n">
        <v>0</v>
      </c>
      <c r="H32" s="245"/>
      <c r="I32" s="232" t="n">
        <v>0</v>
      </c>
    </row>
    <row r="33" customFormat="false" ht="15.75" hidden="false" customHeight="true" outlineLevel="0" collapsed="false">
      <c r="A33" s="107" t="s">
        <v>1202</v>
      </c>
      <c r="B33" s="18" t="s">
        <v>1200</v>
      </c>
      <c r="C33" s="18" t="s">
        <v>1203</v>
      </c>
      <c r="D33" s="18" t="s">
        <v>1182</v>
      </c>
      <c r="E33" s="10"/>
      <c r="F33" s="10"/>
      <c r="G33" s="10" t="n">
        <v>0</v>
      </c>
      <c r="H33" s="246"/>
      <c r="I33" s="233" t="n">
        <v>0</v>
      </c>
    </row>
    <row r="34" customFormat="false" ht="15.75" hidden="false" customHeight="true" outlineLevel="0" collapsed="false">
      <c r="A34" s="107" t="s">
        <v>1204</v>
      </c>
      <c r="B34" s="18" t="s">
        <v>1200</v>
      </c>
      <c r="C34" s="18" t="s">
        <v>1205</v>
      </c>
      <c r="D34" s="18" t="s">
        <v>1185</v>
      </c>
      <c r="E34" s="10"/>
      <c r="F34" s="10"/>
      <c r="G34" s="10" t="n">
        <v>0</v>
      </c>
      <c r="H34" s="240"/>
      <c r="I34" s="233" t="n">
        <v>0</v>
      </c>
    </row>
    <row r="35" customFormat="false" ht="15.75" hidden="false" customHeight="true" outlineLevel="0" collapsed="false">
      <c r="A35" s="107" t="s">
        <v>1206</v>
      </c>
      <c r="B35" s="18" t="s">
        <v>1200</v>
      </c>
      <c r="C35" s="18"/>
      <c r="D35" s="18" t="s">
        <v>1188</v>
      </c>
      <c r="E35" s="10"/>
      <c r="F35" s="10"/>
      <c r="G35" s="10" t="n">
        <v>0</v>
      </c>
      <c r="H35" s="240"/>
      <c r="I35" s="233" t="n">
        <v>0</v>
      </c>
    </row>
    <row r="36" customFormat="false" ht="15.75" hidden="false" customHeight="true" outlineLevel="0" collapsed="false">
      <c r="A36" s="107" t="s">
        <v>1207</v>
      </c>
      <c r="B36" s="18" t="s">
        <v>1200</v>
      </c>
      <c r="C36" s="18" t="s">
        <v>1208</v>
      </c>
      <c r="D36" s="18" t="s">
        <v>1209</v>
      </c>
      <c r="E36" s="10"/>
      <c r="F36" s="10"/>
      <c r="G36" s="10" t="n">
        <v>0</v>
      </c>
      <c r="H36" s="240"/>
      <c r="I36" s="233" t="n">
        <v>0</v>
      </c>
    </row>
    <row r="37" customFormat="false" ht="15.75" hidden="false" customHeight="true" outlineLevel="0" collapsed="false">
      <c r="A37" s="107"/>
      <c r="B37" s="18" t="s">
        <v>1200</v>
      </c>
      <c r="C37" s="18"/>
      <c r="D37" s="18" t="s">
        <v>1157</v>
      </c>
      <c r="E37" s="10"/>
      <c r="F37" s="10"/>
      <c r="G37" s="10" t="n">
        <v>0</v>
      </c>
      <c r="H37" s="240"/>
      <c r="I37" s="233" t="n">
        <v>0</v>
      </c>
    </row>
    <row r="38" customFormat="false" ht="15.75" hidden="false" customHeight="true" outlineLevel="0" collapsed="false">
      <c r="A38" s="107" t="s">
        <v>1210</v>
      </c>
      <c r="B38" s="18" t="s">
        <v>1200</v>
      </c>
      <c r="C38" s="18" t="s">
        <v>1211</v>
      </c>
      <c r="D38" s="18" t="s">
        <v>1193</v>
      </c>
      <c r="E38" s="10"/>
      <c r="F38" s="10"/>
      <c r="G38" s="10" t="n">
        <v>0</v>
      </c>
      <c r="H38" s="240"/>
      <c r="I38" s="233" t="n">
        <v>0</v>
      </c>
    </row>
    <row r="39" customFormat="false" ht="15.75" hidden="false" customHeight="true" outlineLevel="0" collapsed="false">
      <c r="A39" s="107" t="s">
        <v>1212</v>
      </c>
      <c r="B39" s="18" t="s">
        <v>1200</v>
      </c>
      <c r="C39" s="18" t="s">
        <v>1213</v>
      </c>
      <c r="D39" s="18" t="s">
        <v>1153</v>
      </c>
      <c r="E39" s="10"/>
      <c r="F39" s="10"/>
      <c r="G39" s="10" t="n">
        <v>0</v>
      </c>
      <c r="H39" s="240"/>
      <c r="I39" s="233" t="n">
        <v>0</v>
      </c>
    </row>
    <row r="40" customFormat="false" ht="15.75" hidden="false" customHeight="true" outlineLevel="0" collapsed="false">
      <c r="A40" s="107"/>
      <c r="B40" s="18" t="s">
        <v>1200</v>
      </c>
      <c r="C40" s="18" t="s">
        <v>1214</v>
      </c>
      <c r="D40" s="18" t="s">
        <v>1153</v>
      </c>
      <c r="E40" s="10"/>
      <c r="F40" s="10"/>
      <c r="G40" s="10" t="n">
        <v>0</v>
      </c>
      <c r="H40" s="240"/>
      <c r="I40" s="233" t="n">
        <v>0</v>
      </c>
    </row>
    <row r="41" customFormat="false" ht="15.75" hidden="false" customHeight="true" outlineLevel="0" collapsed="false">
      <c r="A41" s="107" t="s">
        <v>1215</v>
      </c>
      <c r="B41" s="18" t="s">
        <v>1200</v>
      </c>
      <c r="C41" s="18" t="s">
        <v>1216</v>
      </c>
      <c r="D41" s="18" t="s">
        <v>1216</v>
      </c>
      <c r="E41" s="10"/>
      <c r="F41" s="10"/>
      <c r="G41" s="10" t="n">
        <v>0</v>
      </c>
      <c r="H41" s="240"/>
      <c r="I41" s="233" t="n">
        <v>0</v>
      </c>
    </row>
    <row r="42" customFormat="false" ht="15.75" hidden="false" customHeight="true" outlineLevel="0" collapsed="false">
      <c r="A42" s="107"/>
      <c r="B42" s="18" t="s">
        <v>1200</v>
      </c>
      <c r="C42" s="18" t="s">
        <v>1217</v>
      </c>
      <c r="D42" s="18" t="s">
        <v>1153</v>
      </c>
      <c r="E42" s="10"/>
      <c r="F42" s="10"/>
      <c r="G42" s="10" t="n">
        <v>0</v>
      </c>
      <c r="H42" s="240"/>
      <c r="I42" s="233" t="n">
        <v>0</v>
      </c>
    </row>
    <row r="43" customFormat="false" ht="15.75" hidden="false" customHeight="true" outlineLevel="0" collapsed="false">
      <c r="A43" s="107" t="s">
        <v>1218</v>
      </c>
      <c r="B43" s="18" t="s">
        <v>1200</v>
      </c>
      <c r="C43" s="18" t="s">
        <v>1219</v>
      </c>
      <c r="D43" s="18" t="s">
        <v>1157</v>
      </c>
      <c r="E43" s="10"/>
      <c r="F43" s="10"/>
      <c r="G43" s="10" t="n">
        <v>0</v>
      </c>
      <c r="H43" s="240"/>
      <c r="I43" s="233" t="n">
        <v>0</v>
      </c>
    </row>
    <row r="44" customFormat="false" ht="15.75" hidden="false" customHeight="true" outlineLevel="0" collapsed="false">
      <c r="A44" s="107" t="s">
        <v>1220</v>
      </c>
      <c r="B44" s="18" t="s">
        <v>1200</v>
      </c>
      <c r="C44" s="18" t="s">
        <v>1221</v>
      </c>
      <c r="D44" s="18" t="s">
        <v>1176</v>
      </c>
      <c r="E44" s="10"/>
      <c r="F44" s="10"/>
      <c r="G44" s="10" t="n">
        <v>0</v>
      </c>
      <c r="H44" s="240"/>
      <c r="I44" s="233" t="n">
        <v>0</v>
      </c>
    </row>
    <row r="45" customFormat="false" ht="15.75" hidden="false" customHeight="true" outlineLevel="0" collapsed="false">
      <c r="A45" s="234" t="s">
        <v>1222</v>
      </c>
      <c r="B45" s="18" t="s">
        <v>1200</v>
      </c>
      <c r="C45" s="18" t="s">
        <v>1223</v>
      </c>
      <c r="D45" s="229" t="s">
        <v>1179</v>
      </c>
      <c r="E45" s="178"/>
      <c r="F45" s="178"/>
      <c r="G45" s="10" t="n">
        <v>0</v>
      </c>
      <c r="H45" s="247"/>
      <c r="I45" s="233" t="n">
        <v>0</v>
      </c>
    </row>
    <row r="46" customFormat="false" ht="15.75" hidden="false" customHeight="true" outlineLevel="0" collapsed="false">
      <c r="A46" s="234" t="s">
        <v>1224</v>
      </c>
      <c r="B46" s="18" t="s">
        <v>1200</v>
      </c>
      <c r="C46" s="235" t="s">
        <v>1225</v>
      </c>
      <c r="D46" s="235" t="s">
        <v>1226</v>
      </c>
      <c r="E46" s="178"/>
      <c r="F46" s="178"/>
      <c r="G46" s="10" t="n">
        <v>0</v>
      </c>
      <c r="H46" s="247"/>
      <c r="I46" s="233" t="n">
        <v>0</v>
      </c>
    </row>
    <row r="47" customFormat="false" ht="15.75" hidden="false" customHeight="true" outlineLevel="0" collapsed="false">
      <c r="A47" s="234" t="s">
        <v>1227</v>
      </c>
      <c r="B47" s="18" t="s">
        <v>1200</v>
      </c>
      <c r="C47" s="235" t="s">
        <v>1228</v>
      </c>
      <c r="D47" s="235" t="s">
        <v>1229</v>
      </c>
      <c r="E47" s="178"/>
      <c r="F47" s="178"/>
      <c r="G47" s="10" t="n">
        <v>0</v>
      </c>
      <c r="H47" s="247"/>
      <c r="I47" s="233" t="n">
        <v>0</v>
      </c>
    </row>
    <row r="48" customFormat="false" ht="15.75" hidden="false" customHeight="true" outlineLevel="0" collapsed="false">
      <c r="A48" s="234" t="s">
        <v>1230</v>
      </c>
      <c r="B48" s="18" t="s">
        <v>1200</v>
      </c>
      <c r="C48" s="235" t="s">
        <v>1231</v>
      </c>
      <c r="D48" s="235" t="s">
        <v>1188</v>
      </c>
      <c r="E48" s="178"/>
      <c r="F48" s="178"/>
      <c r="G48" s="10" t="n">
        <v>0</v>
      </c>
      <c r="H48" s="247"/>
      <c r="I48" s="233" t="n">
        <v>0</v>
      </c>
    </row>
    <row r="49" customFormat="false" ht="15.75" hidden="false" customHeight="true" outlineLevel="0" collapsed="false">
      <c r="A49" s="248" t="s">
        <v>1232</v>
      </c>
      <c r="B49" s="249" t="s">
        <v>1200</v>
      </c>
      <c r="C49" s="249" t="s">
        <v>1233</v>
      </c>
      <c r="D49" s="249" t="s">
        <v>1198</v>
      </c>
      <c r="E49" s="250"/>
      <c r="F49" s="250"/>
      <c r="G49" s="250" t="n">
        <v>0</v>
      </c>
      <c r="H49" s="251"/>
      <c r="I49" s="252" t="n">
        <v>0</v>
      </c>
    </row>
    <row r="50" customFormat="false" ht="15.7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253" t="n"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34" activeCellId="0" sqref="F34"/>
    </sheetView>
  </sheetViews>
  <sheetFormatPr defaultColWidth="8.58984375" defaultRowHeight="20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7.3"/>
    <col collapsed="false" customWidth="true" hidden="false" outlineLevel="0" max="3" min="3" style="1" width="11.86"/>
    <col collapsed="false" customWidth="true" hidden="false" outlineLevel="0" max="4" min="4" style="1" width="15.43"/>
    <col collapsed="false" customWidth="true" hidden="false" outlineLevel="0" max="5" min="5" style="1" width="16.43"/>
    <col collapsed="false" customWidth="true" hidden="false" outlineLevel="0" max="6" min="6" style="1" width="13.57"/>
    <col collapsed="false" customWidth="false" hidden="false" outlineLevel="0" max="16384" min="7" style="1" width="8.59"/>
  </cols>
  <sheetData>
    <row r="1" customFormat="false" ht="20.25" hidden="false" customHeight="false" outlineLevel="0" collapsed="false">
      <c r="A1" s="218" t="s">
        <v>1234</v>
      </c>
      <c r="B1" s="218"/>
      <c r="C1" s="218"/>
      <c r="D1" s="218"/>
      <c r="E1" s="218"/>
      <c r="F1" s="218"/>
      <c r="G1" s="218"/>
    </row>
    <row r="2" customFormat="false" ht="20.25" hidden="false" customHeight="false" outlineLevel="0" collapsed="false">
      <c r="F2" s="1" t="s">
        <v>1235</v>
      </c>
    </row>
    <row r="3" customFormat="false" ht="20.25" hidden="false" customHeight="false" outlineLevel="0" collapsed="false">
      <c r="A3" s="254" t="s">
        <v>1135</v>
      </c>
      <c r="B3" s="255" t="n">
        <v>45686</v>
      </c>
      <c r="C3" s="256" t="s">
        <v>1236</v>
      </c>
      <c r="D3" s="256"/>
      <c r="E3" s="257"/>
    </row>
    <row r="4" customFormat="false" ht="20.25" hidden="false" customHeight="false" outlineLevel="0" collapsed="false">
      <c r="A4" s="258" t="s">
        <v>1136</v>
      </c>
      <c r="B4" s="259" t="s">
        <v>1100</v>
      </c>
      <c r="C4" s="108" t="s">
        <v>1237</v>
      </c>
      <c r="D4" s="108" t="s">
        <v>1238</v>
      </c>
      <c r="E4" s="260" t="s">
        <v>1141</v>
      </c>
    </row>
    <row r="5" customFormat="false" ht="20.25" hidden="false" customHeight="false" outlineLevel="0" collapsed="false">
      <c r="A5" s="261" t="n">
        <v>4880</v>
      </c>
      <c r="B5" s="100" t="s">
        <v>1239</v>
      </c>
      <c r="C5" s="177" t="n">
        <v>7</v>
      </c>
      <c r="D5" s="177" t="n">
        <v>82.9</v>
      </c>
      <c r="E5" s="262" t="n">
        <f aca="false">C5*D5</f>
        <v>580.3</v>
      </c>
    </row>
    <row r="6" customFormat="false" ht="20.25" hidden="false" customHeight="false" outlineLevel="0" collapsed="false">
      <c r="A6" s="263"/>
      <c r="B6" s="264"/>
      <c r="C6" s="265" t="n">
        <f aca="false">SUM(C5:C5)</f>
        <v>7</v>
      </c>
      <c r="D6" s="266"/>
      <c r="E6" s="267" t="n">
        <f aca="false">E5</f>
        <v>580.3</v>
      </c>
    </row>
    <row r="8" customFormat="false" ht="20.25" hidden="false" customHeight="false" outlineLevel="0" collapsed="false">
      <c r="A8" s="254" t="s">
        <v>1135</v>
      </c>
      <c r="B8" s="255" t="n">
        <v>45323</v>
      </c>
      <c r="C8" s="256" t="s">
        <v>1240</v>
      </c>
      <c r="D8" s="256"/>
      <c r="E8" s="257"/>
      <c r="F8" s="1" t="s">
        <v>1241</v>
      </c>
    </row>
    <row r="9" customFormat="false" ht="20.25" hidden="false" customHeight="false" outlineLevel="0" collapsed="false">
      <c r="A9" s="258" t="s">
        <v>1136</v>
      </c>
      <c r="B9" s="259" t="s">
        <v>1100</v>
      </c>
      <c r="C9" s="108" t="s">
        <v>1237</v>
      </c>
      <c r="D9" s="108" t="s">
        <v>1238</v>
      </c>
      <c r="E9" s="260" t="s">
        <v>1141</v>
      </c>
    </row>
    <row r="10" customFormat="false" ht="20.25" hidden="false" customHeight="false" outlineLevel="0" collapsed="false">
      <c r="A10" s="268" t="n">
        <v>52015</v>
      </c>
      <c r="B10" s="100" t="s">
        <v>1242</v>
      </c>
      <c r="C10" s="108" t="n">
        <v>1</v>
      </c>
      <c r="D10" s="108" t="n">
        <v>2100</v>
      </c>
      <c r="E10" s="260" t="n">
        <f aca="false">C10*D10</f>
        <v>2100</v>
      </c>
    </row>
    <row r="11" customFormat="false" ht="20.25" hidden="false" customHeight="false" outlineLevel="0" collapsed="false">
      <c r="A11" s="261" t="n">
        <v>52017</v>
      </c>
      <c r="B11" s="100" t="s">
        <v>1242</v>
      </c>
      <c r="C11" s="177" t="n">
        <v>1</v>
      </c>
      <c r="D11" s="177" t="n">
        <v>2100</v>
      </c>
      <c r="E11" s="262" t="n">
        <f aca="false">C11*D11</f>
        <v>2100</v>
      </c>
    </row>
    <row r="12" customFormat="false" ht="20.25" hidden="false" customHeight="false" outlineLevel="0" collapsed="false">
      <c r="A12" s="263"/>
      <c r="B12" s="264"/>
      <c r="C12" s="265" t="n">
        <v>3</v>
      </c>
      <c r="D12" s="266"/>
      <c r="E12" s="267" t="n">
        <f aca="false">SUM(E10:E11)</f>
        <v>4200</v>
      </c>
    </row>
    <row r="14" customFormat="false" ht="20.25" hidden="false" customHeight="false" outlineLevel="0" collapsed="false">
      <c r="A14" s="254" t="s">
        <v>1135</v>
      </c>
      <c r="B14" s="255" t="n">
        <v>45323</v>
      </c>
      <c r="C14" s="19" t="s">
        <v>1243</v>
      </c>
      <c r="D14" s="19"/>
      <c r="E14" s="19"/>
    </row>
    <row r="15" customFormat="false" ht="20.25" hidden="false" customHeight="false" outlineLevel="0" collapsed="false">
      <c r="A15" s="258" t="s">
        <v>1136</v>
      </c>
      <c r="B15" s="259" t="s">
        <v>1100</v>
      </c>
      <c r="C15" s="108" t="s">
        <v>1237</v>
      </c>
      <c r="D15" s="108" t="s">
        <v>1238</v>
      </c>
      <c r="E15" s="260" t="s">
        <v>1141</v>
      </c>
      <c r="G15" s="269"/>
    </row>
    <row r="16" customFormat="false" ht="20.25" hidden="false" customHeight="false" outlineLevel="0" collapsed="false">
      <c r="A16" s="100" t="s">
        <v>1244</v>
      </c>
      <c r="B16" s="100" t="s">
        <v>1245</v>
      </c>
      <c r="C16" s="108" t="n">
        <v>2</v>
      </c>
      <c r="D16" s="108" t="n">
        <v>1462.3</v>
      </c>
      <c r="E16" s="260" t="n">
        <f aca="false">C16*D16</f>
        <v>2924.6</v>
      </c>
      <c r="G16" s="269"/>
    </row>
    <row r="17" customFormat="false" ht="20.25" hidden="false" customHeight="false" outlineLevel="0" collapsed="false">
      <c r="A17" s="263"/>
      <c r="B17" s="264"/>
      <c r="C17" s="265" t="n">
        <f aca="false">SUM(C16:C16)</f>
        <v>2</v>
      </c>
      <c r="D17" s="266"/>
      <c r="E17" s="267" t="n">
        <f aca="false">SUM(E16)</f>
        <v>2924.6</v>
      </c>
    </row>
    <row r="19" customFormat="false" ht="20.25" hidden="false" customHeight="false" outlineLevel="0" collapsed="false">
      <c r="A19" s="218" t="s">
        <v>1246</v>
      </c>
      <c r="B19" s="218"/>
      <c r="C19" s="218"/>
      <c r="D19" s="218"/>
      <c r="E19" s="218"/>
      <c r="F19" s="218"/>
      <c r="G19" s="218"/>
    </row>
    <row r="21" customFormat="false" ht="20.25" hidden="false" customHeight="false" outlineLevel="0" collapsed="false">
      <c r="A21" s="254" t="s">
        <v>1135</v>
      </c>
      <c r="B21" s="255" t="n">
        <v>45323</v>
      </c>
      <c r="C21" s="1" t="s">
        <v>1247</v>
      </c>
    </row>
    <row r="22" customFormat="false" ht="20.25" hidden="false" customHeight="false" outlineLevel="0" collapsed="false">
      <c r="A22" s="258" t="s">
        <v>1136</v>
      </c>
      <c r="B22" s="259" t="s">
        <v>1100</v>
      </c>
      <c r="C22" s="108" t="s">
        <v>1237</v>
      </c>
      <c r="D22" s="108" t="s">
        <v>1238</v>
      </c>
      <c r="E22" s="260" t="s">
        <v>1141</v>
      </c>
    </row>
    <row r="23" customFormat="false" ht="20.25" hidden="false" customHeight="false" outlineLevel="0" collapsed="false">
      <c r="A23" s="261" t="s">
        <v>1248</v>
      </c>
      <c r="B23" s="100" t="s">
        <v>1249</v>
      </c>
      <c r="C23" s="177" t="n">
        <v>6</v>
      </c>
      <c r="D23" s="177" t="n">
        <v>4.5</v>
      </c>
      <c r="E23" s="262" t="n">
        <f aca="false">C23*D23</f>
        <v>27</v>
      </c>
    </row>
    <row r="24" customFormat="false" ht="20.25" hidden="false" customHeight="false" outlineLevel="0" collapsed="false">
      <c r="A24" s="263"/>
      <c r="B24" s="264"/>
      <c r="C24" s="265" t="n">
        <f aca="false">SUM(C23:C23)</f>
        <v>6</v>
      </c>
      <c r="D24" s="266"/>
      <c r="E24" s="267" t="n">
        <f aca="false">SUM(E23)</f>
        <v>27</v>
      </c>
    </row>
    <row r="28" customFormat="false" ht="20.25" hidden="false" customHeight="false" outlineLevel="0" collapsed="false">
      <c r="A28" s="254" t="s">
        <v>1135</v>
      </c>
      <c r="B28" s="255" t="n">
        <v>44928</v>
      </c>
      <c r="C28" s="256" t="s">
        <v>1247</v>
      </c>
      <c r="D28" s="270" t="s">
        <v>1250</v>
      </c>
      <c r="E28" s="257"/>
    </row>
    <row r="29" customFormat="false" ht="20.25" hidden="false" customHeight="false" outlineLevel="0" collapsed="false">
      <c r="A29" s="258" t="s">
        <v>1136</v>
      </c>
      <c r="B29" s="259" t="s">
        <v>1100</v>
      </c>
      <c r="C29" s="108" t="s">
        <v>1237</v>
      </c>
      <c r="D29" s="108" t="s">
        <v>1238</v>
      </c>
      <c r="E29" s="260" t="s">
        <v>1141</v>
      </c>
    </row>
    <row r="30" customFormat="false" ht="20.25" hidden="false" customHeight="false" outlineLevel="0" collapsed="false">
      <c r="A30" s="261" t="s">
        <v>1251</v>
      </c>
      <c r="B30" s="100" t="s">
        <v>1252</v>
      </c>
      <c r="C30" s="108" t="n">
        <v>0</v>
      </c>
      <c r="D30" s="108" t="n">
        <v>8.5</v>
      </c>
      <c r="E30" s="260" t="n">
        <f aca="false">C30*D30</f>
        <v>0</v>
      </c>
    </row>
    <row r="31" customFormat="false" ht="20.25" hidden="false" customHeight="false" outlineLevel="0" collapsed="false">
      <c r="A31" s="261" t="s">
        <v>1253</v>
      </c>
      <c r="B31" s="100" t="s">
        <v>1252</v>
      </c>
      <c r="C31" s="108" t="n">
        <v>0</v>
      </c>
      <c r="D31" s="108" t="n">
        <v>6.1</v>
      </c>
      <c r="E31" s="260" t="n">
        <f aca="false">C31*D31</f>
        <v>0</v>
      </c>
    </row>
    <row r="32" customFormat="false" ht="20.25" hidden="false" customHeight="false" outlineLevel="0" collapsed="false">
      <c r="A32" s="263"/>
      <c r="B32" s="264"/>
      <c r="C32" s="265" t="n">
        <f aca="false">SUM(C30:C30)</f>
        <v>0</v>
      </c>
      <c r="D32" s="266"/>
      <c r="E32" s="267" t="n">
        <f aca="false">SUM(E30)</f>
        <v>0</v>
      </c>
      <c r="F32" s="1" t="s">
        <v>1254</v>
      </c>
    </row>
    <row r="33" customFormat="false" ht="20.25" hidden="false" customHeight="false" outlineLevel="0" collapsed="false">
      <c r="F33" s="271" t="n">
        <f aca="false">E6+E32+E24+E17+E12</f>
        <v>7731.9</v>
      </c>
    </row>
  </sheetData>
  <mergeCells count="3">
    <mergeCell ref="A1:G1"/>
    <mergeCell ref="G15:G16"/>
    <mergeCell ref="A19:G1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58984375" defaultRowHeight="20.2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272" width="14.43"/>
    <col collapsed="false" customWidth="false" hidden="false" outlineLevel="0" max="5" min="3" style="1" width="8.59"/>
    <col collapsed="false" customWidth="true" hidden="false" outlineLevel="0" max="6" min="6" style="1" width="10.57"/>
    <col collapsed="false" customWidth="true" hidden="false" outlineLevel="0" max="7" min="7" style="272" width="14.43"/>
    <col collapsed="false" customWidth="false" hidden="false" outlineLevel="0" max="16384" min="8" style="1" width="8.59"/>
  </cols>
  <sheetData>
    <row r="1" customFormat="false" ht="20.25" hidden="false" customHeight="false" outlineLevel="0" collapsed="false">
      <c r="A1" s="18" t="s">
        <v>1255</v>
      </c>
      <c r="B1" s="273" t="e">
        <f aca="false">fosco!#ref!</f>
        <v>#NAME?</v>
      </c>
      <c r="F1" s="154" t="n">
        <v>45475</v>
      </c>
      <c r="G1" s="272" t="n">
        <v>429239</v>
      </c>
    </row>
    <row r="2" customFormat="false" ht="20.25" hidden="false" customHeight="false" outlineLevel="0" collapsed="false">
      <c r="A2" s="18" t="s">
        <v>1021</v>
      </c>
      <c r="B2" s="273" t="e">
        <f aca="false">couche!#ref!</f>
        <v>#NAME?</v>
      </c>
    </row>
    <row r="3" customFormat="false" ht="20.25" hidden="false" customHeight="false" outlineLevel="0" collapsed="false">
      <c r="A3" s="18" t="s">
        <v>1256</v>
      </c>
      <c r="B3" s="273" t="e">
        <f aca="false">termico!#ref!</f>
        <v>#NAME?</v>
      </c>
    </row>
    <row r="4" customFormat="false" ht="20.25" hidden="false" customHeight="false" outlineLevel="0" collapsed="false">
      <c r="A4" s="18" t="s">
        <v>1257</v>
      </c>
      <c r="B4" s="273" t="e">
        <f aca="false">'bopp '!#ref!</f>
        <v>#VALUE!</v>
      </c>
    </row>
    <row r="5" customFormat="false" ht="20.25" hidden="false" customHeight="false" outlineLevel="0" collapsed="false">
      <c r="B5" s="274" t="e">
        <f aca="false">SUM(B1:B4)</f>
        <v>#NAME?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7b2654-01df-4247-999b-db8d55a666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465057A12D95E45950B6389EB450FF7" ma:contentTypeVersion="11" ma:contentTypeDescription="新建文档。" ma:contentTypeScope="" ma:versionID="0df18c89a4a27e34ad440315c740849b">
  <xsd:schema xmlns:xsd="http://www.w3.org/2001/XMLSchema" xmlns:xs="http://www.w3.org/2001/XMLSchema" xmlns:p="http://schemas.microsoft.com/office/2006/metadata/properties" xmlns:ns3="977b2654-01df-4247-999b-db8d55a6662c" targetNamespace="http://schemas.microsoft.com/office/2006/metadata/properties" ma:root="true" ma:fieldsID="a14862c7cc9ce5de86e590d6244ff76c" ns3:_="">
    <xsd:import namespace="977b2654-01df-4247-999b-db8d55a666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b2654-01df-4247-999b-db8d55a666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27D7E5-C804-4F67-8258-61F74C461788}">
  <ds:schemaRefs>
    <ds:schemaRef ds:uri="http://schemas.microsoft.com/office/2006/metadata/properties"/>
    <ds:schemaRef ds:uri="http://schemas.microsoft.com/office/infopath/2007/PartnerControls"/>
    <ds:schemaRef ds:uri="977b2654-01df-4247-999b-db8d55a6662c"/>
  </ds:schemaRefs>
</ds:datastoreItem>
</file>

<file path=customXml/itemProps2.xml><?xml version="1.0" encoding="utf-8"?>
<ds:datastoreItem xmlns:ds="http://schemas.openxmlformats.org/officeDocument/2006/customXml" ds:itemID="{17D195D5-7BAA-44D6-8F76-41FED94C75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b2654-01df-4247-999b-db8d55a666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6B41CA-7DC9-43D1-9D78-902C52C95E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2020-06-24T12:00:01Z</dcterms:created>
  <dc:creator>Luana</dc:creator>
  <dc:description/>
  <dc:language>pt-BR</dc:language>
  <cp:lastModifiedBy/>
  <dcterms:modified xsi:type="dcterms:W3CDTF">2026-09-16T10:09:53Z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0x0101001465057A12D95E45950B6389EB450FF7</vt:lpwstr>
  </property>
</Properties>
</file>