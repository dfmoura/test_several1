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4.xml.rels" ContentType="application/vnd.openxmlformats-package.relationships+xml"/>
  <Override PartName="/xl/worksheets/_rels/sheet5.xml.rels" ContentType="application/vnd.openxmlformats-package.relationships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worksheets/sheet10.xml" ContentType="application/vnd.openxmlformats-officedocument.spreadsheetml.worksheet+xml"/>
  <Override PartName="/xl/worksheets/sheet5.xml" ContentType="application/vnd.openxmlformats-officedocument.spreadsheetml.worksheet+xml"/>
  <Override PartName="/xl/worksheets/sheet9.xml" ContentType="application/vnd.openxmlformats-officedocument.spreadsheetml.worksheet+xml"/>
  <Override PartName="/xl/worksheets/sheet14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18.xml" ContentType="application/vnd.openxmlformats-officedocument.spreadsheetml.worksheet+xml"/>
  <Override PartName="/xl/worksheets/sheet17.xml" ContentType="application/vnd.openxmlformats-officedocument.spreadsheetml.worksheet+xml"/>
  <Override PartName="/xl/worksheets/sheet16.xml" ContentType="application/vnd.openxmlformats-officedocument.spreadsheetml.worksheet+xml"/>
  <Override PartName="/xl/worksheets/sheet15.xml" ContentType="application/vnd.openxmlformats-officedocument.spreadsheetml.worksheet+xml"/>
  <Override PartName="/xl/worksheets/sheet4.xml" ContentType="application/vnd.openxmlformats-officedocument.spreadsheetml.worksheet+xml"/>
  <Override PartName="/xl/worksheets/sheet1.xml" ContentType="application/vnd.openxmlformats-officedocument.spreadsheetml.worksheet+xml"/>
  <Override PartName="/xl/worksheets/sheet7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8.xml" ContentType="application/vnd.openxmlformats-officedocument.spreadsheetml.worksheet+xml"/>
  <Override PartName="/xl/worksheets/sheet13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pivotCache/pivotCacheDefinition1.xml" ContentType="application/vnd.openxmlformats-officedocument.spreadsheetml.pivotCacheDefinition+xml"/>
  <Override PartName="/xl/pivotCache/_rels/pivotCacheDefinition1.xml.rels" ContentType="application/vnd.openxmlformats-package.relationships+xml"/>
  <Override PartName="/xl/pivotCache/pivotCacheRecords1.xml" ContentType="application/vnd.openxmlformats-officedocument.spreadsheetml.pivotCacheRecord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_rels/workbook.xml.rels" ContentType="application/vnd.openxmlformats-package.relationships+xml"/>
  <Override PartName="/xl/media/image1.png" ContentType="image/png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tables/table3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CONSOLIDADO" sheetId="1" state="visible" r:id="rId4"/>
    <sheet name="MAPA_DE_FACAS" sheetId="2" state="visible" r:id="rId5"/>
    <sheet name="ORÇAMENTO" sheetId="3" state="visible" r:id="rId6"/>
    <sheet name="MAPA DE FACAS 2026 -27 02 xlsm_" sheetId="4" state="hidden" r:id="rId7"/>
    <sheet name="MAPA DE FACAS 20260715 ATUAL" sheetId="5" state="visible" r:id="rId8"/>
    <sheet name="MATRIZ " sheetId="6" state="visible" r:id="rId9"/>
    <sheet name="HORA MÁQUINA " sheetId="7" state="visible" r:id="rId10"/>
    <sheet name="HORA PARADA" sheetId="8" state="visible" r:id="rId11"/>
    <sheet name="PAPEL" sheetId="9" state="visible" r:id="rId12"/>
    <sheet name="PERDA DE PAPEL" sheetId="10" state="visible" r:id="rId13"/>
    <sheet name="PERDA DE PAPEL ACERTO" sheetId="11" state="visible" r:id="rId14"/>
    <sheet name="PERDA DE ACABAMENTO" sheetId="12" state="visible" r:id="rId15"/>
    <sheet name="TUBETE" sheetId="13" state="visible" r:id="rId16"/>
    <sheet name="TINTA" sheetId="14" state="visible" r:id="rId17"/>
    <sheet name="ACABAMENTOS" sheetId="15" state="visible" r:id="rId18"/>
    <sheet name="MEDIDA_CAIXAS" sheetId="16" state="visible" r:id="rId19"/>
    <sheet name="CAIXAS" sheetId="17" state="visible" r:id="rId20"/>
    <sheet name="COMISSÃO" sheetId="18" state="visible" r:id="rId21"/>
    <sheet name="MÁQUINA" sheetId="19" state="visible" r:id="rId22"/>
    <sheet name="IMPOSTO" sheetId="20" state="visible" r:id="rId23"/>
  </sheets>
  <definedNames>
    <definedName function="false" hidden="false" localSheetId="2" name="_xlnm.Print_Area" vbProcedure="false">ORÇAMENTO!$A$7:$N$34</definedName>
    <definedName function="false" hidden="true" name="_xleta.AND" vbProcedure="false">#NAME?</definedName>
    <definedName function="false" hidden="true" name="_xleta.CEILING" vbProcedure="false">#NAME?</definedName>
    <definedName function="false" hidden="true" name="_xleta.HOUR" vbProcedure="false">#NAME?</definedName>
    <definedName function="false" hidden="true" name="_xleta.IF" vbProcedure="false">#NAME?</definedName>
    <definedName function="false" hidden="true" name="_xleta.VLOOKUP" vbProcedure="false">#NAME?</definedName>
    <definedName function="false" hidden="true" localSheetId="3" name="DadosExternos_1" vbProcedure="false">'MAPA DE FACAS 2026 -27 02 xlsm_'!$A$1:$P$492</definedName>
  </definedNames>
  <calcPr iterateCount="100" refMode="A1" iterate="false" iterateDelta="0.0001"/>
  <pivotCaches>
    <pivotCache cacheId="1" r:id="rId25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<sst xmlns="http://schemas.openxmlformats.org/spreadsheetml/2006/main" count="8495" uniqueCount="1006">
  <si>
    <t xml:space="preserve">CLIENTE</t>
  </si>
  <si>
    <t xml:space="preserve">MATERIAL</t>
  </si>
  <si>
    <t xml:space="preserve">ACABAMENTO</t>
  </si>
  <si>
    <t xml:space="preserve">ETIQ POR ROLO</t>
  </si>
  <si>
    <t xml:space="preserve">ROLOS</t>
  </si>
  <si>
    <t xml:space="preserve">ETIQUETAS</t>
  </si>
  <si>
    <t xml:space="preserve">TOTAL</t>
  </si>
  <si>
    <t xml:space="preserve">UNITÁRIO</t>
  </si>
  <si>
    <t xml:space="preserve">VALOR ROLO</t>
  </si>
  <si>
    <t xml:space="preserve">VALOR DA MATRIZ</t>
  </si>
  <si>
    <t xml:space="preserve">PRAZO DE ENTREGA</t>
  </si>
  <si>
    <t xml:space="preserve">12 DIAS ÚTEIS</t>
  </si>
  <si>
    <t xml:space="preserve">Validade da proposta: 7 dias.</t>
  </si>
  <si>
    <t xml:space="preserve">As quantidades poderão variar 20% para mais ou 20% para menos que serão devidamente faturadas para o cliente.</t>
  </si>
  <si>
    <t xml:space="preserve">TAMANHO</t>
  </si>
  <si>
    <t xml:space="preserve">9,5X3,5</t>
  </si>
  <si>
    <t xml:space="preserve">MAQUINA</t>
  </si>
  <si>
    <t xml:space="preserve">FORMATO</t>
  </si>
  <si>
    <t xml:space="preserve">PUXADA</t>
  </si>
  <si>
    <t xml:space="preserve">Z</t>
  </si>
  <si>
    <t xml:space="preserve">REP</t>
  </si>
  <si>
    <t xml:space="preserve">(empty)</t>
  </si>
  <si>
    <t xml:space="preserve">REFLEXO</t>
  </si>
  <si>
    <t xml:space="preserve">LACRE</t>
  </si>
  <si>
    <t xml:space="preserve">Total Result</t>
  </si>
  <si>
    <t xml:space="preserve">CÁLCULO ORÇAMENTO </t>
  </si>
  <si>
    <t xml:space="preserve">DATA</t>
  </si>
  <si>
    <t xml:space="preserve">VENDEDOR</t>
  </si>
  <si>
    <t xml:space="preserve">LEGENDA</t>
  </si>
  <si>
    <t xml:space="preserve">TEM QUE PREENCHER</t>
  </si>
  <si>
    <t xml:space="preserve">DESCRIÇÃO SERVIÇO</t>
  </si>
  <si>
    <t xml:space="preserve">MEDIDA</t>
  </si>
  <si>
    <t xml:space="preserve">LARGURA PAPEL </t>
  </si>
  <si>
    <t xml:space="preserve">PUXADA MAQUINA </t>
  </si>
  <si>
    <t xml:space="preserve">CORES</t>
  </si>
  <si>
    <t xml:space="preserve">PAPEL</t>
  </si>
  <si>
    <t xml:space="preserve">ACAB.
LAM/VERN</t>
  </si>
  <si>
    <t xml:space="preserve">QDADE MODELOS</t>
  </si>
  <si>
    <t xml:space="preserve">QDADE COLUNAS</t>
  </si>
  <si>
    <t xml:space="preserve">QUANT ETIQ ROLO</t>
  </si>
  <si>
    <t xml:space="preserve">COUCHE FASSON 20G </t>
  </si>
  <si>
    <t xml:space="preserve">LAMINAÇÃO BRILHO</t>
  </si>
  <si>
    <t xml:space="preserve">TAMANHO TUBETE</t>
  </si>
  <si>
    <t xml:space="preserve">Z - REPETIÇÃO DEIXAR EM BRANCO</t>
  </si>
  <si>
    <t xml:space="preserve">FACA</t>
  </si>
  <si>
    <t xml:space="preserve">REPETIÇÃO</t>
  </si>
  <si>
    <t xml:space="preserve">MAQUINA RODA SERVIÇO</t>
  </si>
  <si>
    <t xml:space="preserve">MAQUINA </t>
  </si>
  <si>
    <t xml:space="preserve">IMPOSTO</t>
  </si>
  <si>
    <t xml:space="preserve">MATRIZ</t>
  </si>
  <si>
    <t xml:space="preserve">COLUNA REBOBINAÇÃO</t>
  </si>
  <si>
    <t xml:space="preserve">3"</t>
  </si>
  <si>
    <t xml:space="preserve">BETA / 160  / 250 / ETIRAMA</t>
  </si>
  <si>
    <t xml:space="preserve">SIM</t>
  </si>
  <si>
    <t xml:space="preserve"> </t>
  </si>
  <si>
    <t xml:space="preserve">CÁLCULO DOS VALORES</t>
  </si>
  <si>
    <t xml:space="preserve">QTDADE</t>
  </si>
  <si>
    <t xml:space="preserve">TROCA PRODUTO</t>
  </si>
  <si>
    <t xml:space="preserve">HORA MAQUINA </t>
  </si>
  <si>
    <t xml:space="preserve">HORA TROCA PRODUTO</t>
  </si>
  <si>
    <t xml:space="preserve">HORA TROCA BOBINA</t>
  </si>
  <si>
    <t xml:space="preserve">METRAGEM LINEAR         &lt;1000 É ZERO</t>
  </si>
  <si>
    <t xml:space="preserve">METRAGEM M2</t>
  </si>
  <si>
    <t xml:space="preserve">PERDA ACERTO</t>
  </si>
  <si>
    <t xml:space="preserve">PERDA ACERTO PRODUTO</t>
  </si>
  <si>
    <t xml:space="preserve">PERDA ACABAMENTO</t>
  </si>
  <si>
    <t xml:space="preserve">PERDA TROCA BOBINA M2</t>
  </si>
  <si>
    <t xml:space="preserve">QUANT ROLOS</t>
  </si>
  <si>
    <t xml:space="preserve">QUANT
CAIXAS</t>
  </si>
  <si>
    <t xml:space="preserve">MATRIZ </t>
  </si>
  <si>
    <t xml:space="preserve">SEM PARADA</t>
  </si>
  <si>
    <t xml:space="preserve">RPM MÁQ</t>
  </si>
  <si>
    <t xml:space="preserve">VALOR PAPEL</t>
  </si>
  <si>
    <t xml:space="preserve">VALOR MAQUINA </t>
  </si>
  <si>
    <t xml:space="preserve">VALOR TROCA PRODUTO</t>
  </si>
  <si>
    <t xml:space="preserve">VALOR TROCA BOBINA</t>
  </si>
  <si>
    <t xml:space="preserve">VALOR PAPEL TROCA PRODUTO</t>
  </si>
  <si>
    <t xml:space="preserve">TINTA</t>
  </si>
  <si>
    <t xml:space="preserve">REBOBINAÇÃO</t>
  </si>
  <si>
    <t xml:space="preserve">TUBETE</t>
  </si>
  <si>
    <t xml:space="preserve">VALOR CAIXA</t>
  </si>
  <si>
    <t xml:space="preserve">VALOR SERVIÇO</t>
  </si>
  <si>
    <t xml:space="preserve">% COMISSÃO</t>
  </si>
  <si>
    <t xml:space="preserve">COMISSÃO</t>
  </si>
  <si>
    <t xml:space="preserve">SERVIÇO + IMPOSTO + COMISSÃO </t>
  </si>
  <si>
    <t xml:space="preserve">VALOR DA ETIQUETA</t>
  </si>
  <si>
    <t xml:space="preserve">VALOR TOTAL </t>
  </si>
  <si>
    <t xml:space="preserve">Somente no 1º pedido</t>
  </si>
  <si>
    <t xml:space="preserve">CONJUGADA </t>
  </si>
  <si>
    <t xml:space="preserve">FORNECEDOR</t>
  </si>
  <si>
    <t xml:space="preserve">Nº FACAS </t>
  </si>
  <si>
    <t xml:space="preserve">LARGURA</t>
  </si>
  <si>
    <t xml:space="preserve">CIL</t>
  </si>
  <si>
    <t xml:space="preserve">COL</t>
  </si>
  <si>
    <t xml:space="preserve">CLIENTE </t>
  </si>
  <si>
    <t xml:space="preserve">MAQ</t>
  </si>
  <si>
    <t xml:space="preserve">Column15</t>
  </si>
  <si>
    <t xml:space="preserve">Column16</t>
  </si>
  <si>
    <t xml:space="preserve">BETAFLEX</t>
  </si>
  <si>
    <t xml:space="preserve">ESP. SYNGENTA </t>
  </si>
  <si>
    <t xml:space="preserve">QUALIFLEXO </t>
  </si>
  <si>
    <t xml:space="preserve">RETA</t>
  </si>
  <si>
    <t xml:space="preserve">*</t>
  </si>
  <si>
    <t xml:space="preserve">LAB. SÃO JOSE ACRED</t>
  </si>
  <si>
    <t xml:space="preserve">PERFIL</t>
  </si>
  <si>
    <t xml:space="preserve">NÃO USAR A FACA SÃO JOSE</t>
  </si>
  <si>
    <t xml:space="preserve">PERFIL </t>
  </si>
  <si>
    <t xml:space="preserve">REI DO BARALHO </t>
  </si>
  <si>
    <t xml:space="preserve">MLC</t>
  </si>
  <si>
    <t xml:space="preserve">PORTA FACAS</t>
  </si>
  <si>
    <t xml:space="preserve">ETI / REF</t>
  </si>
  <si>
    <t xml:space="preserve">RESINO</t>
  </si>
  <si>
    <t xml:space="preserve">REF</t>
  </si>
  <si>
    <t xml:space="preserve">VERDURAS </t>
  </si>
  <si>
    <t xml:space="preserve">CASA SHAMPOO</t>
  </si>
  <si>
    <t xml:space="preserve">MANSU</t>
  </si>
  <si>
    <t xml:space="preserve">REDONDA</t>
  </si>
  <si>
    <t xml:space="preserve">Ø 0,9</t>
  </si>
  <si>
    <t xml:space="preserve">Ø  2,0</t>
  </si>
  <si>
    <t xml:space="preserve">SOUZA CRUZ</t>
  </si>
  <si>
    <t xml:space="preserve">DES. MERCADO TABAJARAS</t>
  </si>
  <si>
    <t xml:space="preserve">Ø 3,2</t>
  </si>
  <si>
    <t xml:space="preserve">Ø 4,2</t>
  </si>
  <si>
    <t xml:space="preserve">SORVETERIAS</t>
  </si>
  <si>
    <t xml:space="preserve">Ø 4,5</t>
  </si>
  <si>
    <t xml:space="preserve">Ø 5,0</t>
  </si>
  <si>
    <t xml:space="preserve">2 COL 1 ESTRAGADA</t>
  </si>
  <si>
    <t xml:space="preserve">Ø 6,0</t>
  </si>
  <si>
    <t xml:space="preserve">SORVETERIAS 2 FACAS IGUAIS</t>
  </si>
  <si>
    <t xml:space="preserve">Ø  9,0</t>
  </si>
  <si>
    <t xml:space="preserve">OVAL 3,0X1,8 E 4,0X2,2</t>
  </si>
  <si>
    <t xml:space="preserve">OVAL</t>
  </si>
  <si>
    <t xml:space="preserve">2,4X1,4</t>
  </si>
  <si>
    <t xml:space="preserve">SELECTA </t>
  </si>
  <si>
    <t xml:space="preserve">DES. FLORIC. GABRIELA </t>
  </si>
  <si>
    <t xml:space="preserve">2,7X4,6</t>
  </si>
  <si>
    <t xml:space="preserve">MEGA FRUTAS - PIC NA FACA</t>
  </si>
  <si>
    <t xml:space="preserve">OVAL 2,4X1,4 E 4,0X2,2</t>
  </si>
  <si>
    <t xml:space="preserve">3,0X1,8</t>
  </si>
  <si>
    <t xml:space="preserve">OVAL 3,0X1,8 E 2,4X1,4 </t>
  </si>
  <si>
    <t xml:space="preserve">4,0X2,2</t>
  </si>
  <si>
    <t xml:space="preserve">DES. COOPERVALE</t>
  </si>
  <si>
    <t xml:space="preserve">4,2X2,5</t>
  </si>
  <si>
    <t xml:space="preserve">OVAL CALU</t>
  </si>
  <si>
    <t xml:space="preserve">4,3X3,4</t>
  </si>
  <si>
    <t xml:space="preserve">LC MILHO</t>
  </si>
  <si>
    <t xml:space="preserve">4,8X6,8</t>
  </si>
  <si>
    <t xml:space="preserve">CHÃO DE MINAS</t>
  </si>
  <si>
    <t xml:space="preserve">OVAL LC MILHO</t>
  </si>
  <si>
    <t xml:space="preserve">5,8X3,8</t>
  </si>
  <si>
    <t xml:space="preserve">CALU</t>
  </si>
  <si>
    <t xml:space="preserve">ESP. 6,0X3,0 TÉRMICA</t>
  </si>
  <si>
    <t xml:space="preserve">6,3X3,5</t>
  </si>
  <si>
    <t xml:space="preserve">MERC TABAJARAS</t>
  </si>
  <si>
    <t xml:space="preserve">6,4X9,4</t>
  </si>
  <si>
    <t xml:space="preserve">BISC REI </t>
  </si>
  <si>
    <t xml:space="preserve">QUALIFLEXO</t>
  </si>
  <si>
    <t xml:space="preserve">ESPECIAL </t>
  </si>
  <si>
    <t xml:space="preserve">2,0X1,5</t>
  </si>
  <si>
    <t xml:space="preserve">IMUNO VIDA </t>
  </si>
  <si>
    <t xml:space="preserve">ESPECIAL</t>
  </si>
  <si>
    <t xml:space="preserve">2,5X5,0</t>
  </si>
  <si>
    <t xml:space="preserve"> 2 COL 1COL ESTRAGADA</t>
  </si>
  <si>
    <t xml:space="preserve">3,0X2,0</t>
  </si>
  <si>
    <t xml:space="preserve">D VILLE</t>
  </si>
  <si>
    <t xml:space="preserve">CIG</t>
  </si>
  <si>
    <t xml:space="preserve">3,0X2,5</t>
  </si>
  <si>
    <t xml:space="preserve">LOJA DOCE 2 FACAS </t>
  </si>
  <si>
    <t xml:space="preserve">3,2X1,8</t>
  </si>
  <si>
    <t xml:space="preserve">SANTA CLARA</t>
  </si>
  <si>
    <t xml:space="preserve">3,2X1,2</t>
  </si>
  <si>
    <t xml:space="preserve">3,3,X2,2</t>
  </si>
  <si>
    <t xml:space="preserve">REDE LUCAS</t>
  </si>
  <si>
    <t xml:space="preserve">3,95X2,0</t>
  </si>
  <si>
    <t xml:space="preserve">JUNCO S/ INTERV</t>
  </si>
  <si>
    <t xml:space="preserve">ESP. 6,0X4,0 TÉRMICA</t>
  </si>
  <si>
    <t xml:space="preserve">4,0X4,0</t>
  </si>
  <si>
    <t xml:space="preserve">TERMICA</t>
  </si>
  <si>
    <t xml:space="preserve">SUPER MAXI LACRE</t>
  </si>
  <si>
    <t xml:space="preserve">5,0x3,0</t>
  </si>
  <si>
    <t xml:space="preserve">INDUSAT sem intervalo</t>
  </si>
  <si>
    <t xml:space="preserve">5,3X3,2</t>
  </si>
  <si>
    <t xml:space="preserve">VULCAFLEX</t>
  </si>
  <si>
    <t xml:space="preserve">6,0x1,5</t>
  </si>
  <si>
    <t xml:space="preserve">D VILLE / LOS PALOCOS</t>
  </si>
  <si>
    <t xml:space="preserve">OVAL 6,5X3,5  ETIR/REF</t>
  </si>
  <si>
    <t xml:space="preserve">6,0X3,0</t>
  </si>
  <si>
    <t xml:space="preserve">6,0X3,3</t>
  </si>
  <si>
    <t xml:space="preserve">LOGISTICA</t>
  </si>
  <si>
    <t xml:space="preserve">ESP. 4,0X4,0 - REFLEXO</t>
  </si>
  <si>
    <t xml:space="preserve">6,0X4,0</t>
  </si>
  <si>
    <t xml:space="preserve">PICOTE </t>
  </si>
  <si>
    <t xml:space="preserve">6,3X0,6</t>
  </si>
  <si>
    <t xml:space="preserve">SYNGENTA</t>
  </si>
  <si>
    <t xml:space="preserve">6,4x3,5</t>
  </si>
  <si>
    <t xml:space="preserve">ETIRAMA </t>
  </si>
  <si>
    <t xml:space="preserve">6,8x4,8</t>
  </si>
  <si>
    <t xml:space="preserve">CTBC</t>
  </si>
  <si>
    <t xml:space="preserve">6,7X0,9</t>
  </si>
  <si>
    <t xml:space="preserve">7,0x1,5</t>
  </si>
  <si>
    <t xml:space="preserve">EQUIPLEX</t>
  </si>
  <si>
    <t xml:space="preserve">7,0X3,48</t>
  </si>
  <si>
    <t xml:space="preserve">FERRO VELHO </t>
  </si>
  <si>
    <t xml:space="preserve">7,2X1,1</t>
  </si>
  <si>
    <t xml:space="preserve">SUMIRAM </t>
  </si>
  <si>
    <t xml:space="preserve">7,3x5,2</t>
  </si>
  <si>
    <t xml:space="preserve">7,4X3,4</t>
  </si>
  <si>
    <t xml:space="preserve">8,0X7,5</t>
  </si>
  <si>
    <t xml:space="preserve">TITA</t>
  </si>
  <si>
    <t xml:space="preserve">8,3x1,9</t>
  </si>
  <si>
    <t xml:space="preserve">8,5X4,3</t>
  </si>
  <si>
    <t xml:space="preserve">INDUSAT</t>
  </si>
  <si>
    <t xml:space="preserve">8,4X5,6</t>
  </si>
  <si>
    <t xml:space="preserve">8,5x6,0</t>
  </si>
  <si>
    <t xml:space="preserve">9,0x1,2</t>
  </si>
  <si>
    <t xml:space="preserve">AMPULHETA</t>
  </si>
  <si>
    <t xml:space="preserve">9,0X1,9</t>
  </si>
  <si>
    <t xml:space="preserve">10,0X4,5</t>
  </si>
  <si>
    <t xml:space="preserve">MAG OFERTÃO</t>
  </si>
  <si>
    <t xml:space="preserve">87 FACA LACRE / ETIRAMA </t>
  </si>
  <si>
    <t xml:space="preserve">METALFLEXO</t>
  </si>
  <si>
    <t xml:space="preserve">10,0X4,95</t>
  </si>
  <si>
    <t xml:space="preserve">CARTORIO + LACRE </t>
  </si>
  <si>
    <t xml:space="preserve">10,0X5,47</t>
  </si>
  <si>
    <t xml:space="preserve">10,0X5,5</t>
  </si>
  <si>
    <t xml:space="preserve">DAIWA</t>
  </si>
  <si>
    <t xml:space="preserve">ETI</t>
  </si>
  <si>
    <t xml:space="preserve">10,0X6,0</t>
  </si>
  <si>
    <t xml:space="preserve">PANSERVICE</t>
  </si>
  <si>
    <t xml:space="preserve">10,0x7,5</t>
  </si>
  <si>
    <t xml:space="preserve">VIVA ESQUADRIAS </t>
  </si>
  <si>
    <t xml:space="preserve">10,0X8,0</t>
  </si>
  <si>
    <t xml:space="preserve">PEIXOTO</t>
  </si>
  <si>
    <t xml:space="preserve">10,5x7,0</t>
  </si>
  <si>
    <t xml:space="preserve">SABOR DA ROÇA</t>
  </si>
  <si>
    <t xml:space="preserve">10,6X2,0</t>
  </si>
  <si>
    <t xml:space="preserve">11,0X9,0</t>
  </si>
  <si>
    <t xml:space="preserve">INOVAFIX</t>
  </si>
  <si>
    <t xml:space="preserve">11,5X10,0</t>
  </si>
  <si>
    <t xml:space="preserve">DESPACHO </t>
  </si>
  <si>
    <t xml:space="preserve">12,8X5,0</t>
  </si>
  <si>
    <t xml:space="preserve">12,6X8,0</t>
  </si>
  <si>
    <t xml:space="preserve">BIOPHARMA</t>
  </si>
  <si>
    <t xml:space="preserve">12,9X7,0</t>
  </si>
  <si>
    <t xml:space="preserve">CAFÉ DUBOM </t>
  </si>
  <si>
    <t xml:space="preserve">15,0X3,0</t>
  </si>
  <si>
    <t xml:space="preserve">C/ PICOTE SUNQ</t>
  </si>
  <si>
    <t xml:space="preserve">16,0X7,0</t>
  </si>
  <si>
    <t xml:space="preserve">REF UDIA </t>
  </si>
  <si>
    <t xml:space="preserve">18,9x5,0</t>
  </si>
  <si>
    <t xml:space="preserve">FRIGO FAVA</t>
  </si>
  <si>
    <t xml:space="preserve">19,8X10,0</t>
  </si>
  <si>
    <t xml:space="preserve">SUNQUIMICA</t>
  </si>
  <si>
    <t xml:space="preserve">22,7x10,5</t>
  </si>
  <si>
    <t xml:space="preserve">DES NOSSO PÃO</t>
  </si>
  <si>
    <t xml:space="preserve">DESENHADA</t>
  </si>
  <si>
    <t xml:space="preserve">3,4X1,4</t>
  </si>
  <si>
    <t xml:space="preserve">INDUSAT </t>
  </si>
  <si>
    <t xml:space="preserve">DES INDUSAT</t>
  </si>
  <si>
    <t xml:space="preserve">4,8X4,0</t>
  </si>
  <si>
    <t xml:space="preserve">NOSSO PÃO </t>
  </si>
  <si>
    <t xml:space="preserve">5,5X3,5</t>
  </si>
  <si>
    <t xml:space="preserve">COOPERVALE </t>
  </si>
  <si>
    <t xml:space="preserve">5,7X3,0</t>
  </si>
  <si>
    <t xml:space="preserve">GABRIELA FLORES</t>
  </si>
  <si>
    <t xml:space="preserve">RETA 1,3</t>
  </si>
  <si>
    <t xml:space="preserve">6,9X2,7</t>
  </si>
  <si>
    <t xml:space="preserve">SÃO JOSE</t>
  </si>
  <si>
    <t xml:space="preserve">8,7X7,5</t>
  </si>
  <si>
    <t xml:space="preserve">9,1X6,5</t>
  </si>
  <si>
    <t xml:space="preserve">MAX GAS</t>
  </si>
  <si>
    <t xml:space="preserve">17,7X3,5</t>
  </si>
  <si>
    <t xml:space="preserve">TABAJARAS</t>
  </si>
  <si>
    <t xml:space="preserve">GÔNDOLA</t>
  </si>
  <si>
    <t xml:space="preserve">16,2X5</t>
  </si>
  <si>
    <t xml:space="preserve">HORTIS</t>
  </si>
  <si>
    <t xml:space="preserve">10X4,5</t>
  </si>
  <si>
    <t xml:space="preserve">10X4,95</t>
  </si>
  <si>
    <t xml:space="preserve">AUTO SOCORRO PH</t>
  </si>
  <si>
    <t xml:space="preserve">10X7,5</t>
  </si>
  <si>
    <t xml:space="preserve">VIVA ESQUADRIAS</t>
  </si>
  <si>
    <t xml:space="preserve">CORTE LONG</t>
  </si>
  <si>
    <t xml:space="preserve">GAP</t>
  </si>
  <si>
    <t xml:space="preserve">DAIWA / ORTHOMED</t>
  </si>
  <si>
    <t xml:space="preserve">ETIRAMA</t>
  </si>
  <si>
    <t xml:space="preserve">ESP 3,6X5,5</t>
  </si>
  <si>
    <t xml:space="preserve">BET / REF</t>
  </si>
  <si>
    <t xml:space="preserve">DES 6,35X10,0</t>
  </si>
  <si>
    <t xml:space="preserve">DES 7,8X4,9</t>
  </si>
  <si>
    <t xml:space="preserve">ESP 9,8X6,0 usa reta </t>
  </si>
  <si>
    <t xml:space="preserve">RETA/ ESP</t>
  </si>
  <si>
    <t xml:space="preserve">MARICOTA</t>
  </si>
  <si>
    <t xml:space="preserve">SEM INTERVALO</t>
  </si>
  <si>
    <t xml:space="preserve">UBERTRATORES</t>
  </si>
  <si>
    <t xml:space="preserve">REDE INTEGRAÇÃO</t>
  </si>
  <si>
    <t xml:space="preserve">RED. 10,5 , OVAL 10,5X6,1</t>
  </si>
  <si>
    <t xml:space="preserve">SIGNO PLUS</t>
  </si>
  <si>
    <t xml:space="preserve">RED. 6,9, OVAL 10,5X6,1</t>
  </si>
  <si>
    <t xml:space="preserve">PRO SABOR</t>
  </si>
  <si>
    <t xml:space="preserve">DES 9,2X6,0, OVAL 4,5X2,2</t>
  </si>
  <si>
    <t xml:space="preserve">CREMOSINHO</t>
  </si>
  <si>
    <t xml:space="preserve">DES 9,2X6,0, RED 9,1</t>
  </si>
  <si>
    <t xml:space="preserve">4,5X2,0</t>
  </si>
  <si>
    <t xml:space="preserve">DES 4,7X7,5 / 4,7X3,8</t>
  </si>
  <si>
    <t xml:space="preserve">4,7X6,0</t>
  </si>
  <si>
    <t xml:space="preserve">SCALA</t>
  </si>
  <si>
    <t xml:space="preserve">RED. 10,5 , RED 6,9</t>
  </si>
  <si>
    <t xml:space="preserve">10,5X6,1</t>
  </si>
  <si>
    <t xml:space="preserve">ALVES E MORAES</t>
  </si>
  <si>
    <t xml:space="preserve">DES. 9X1,2</t>
  </si>
  <si>
    <t xml:space="preserve">MADRECOR</t>
  </si>
  <si>
    <t xml:space="preserve">HOSPITAIS</t>
  </si>
  <si>
    <t xml:space="preserve">C/ INTER 3 E 6 COL TEM 2 FACAS</t>
  </si>
  <si>
    <t xml:space="preserve">3,4X2,3</t>
  </si>
  <si>
    <t xml:space="preserve">ORTHOMED</t>
  </si>
  <si>
    <t xml:space="preserve">6,4X8,5 BETA</t>
  </si>
  <si>
    <t xml:space="preserve">RETA 4CM </t>
  </si>
  <si>
    <t xml:space="preserve">3,6X5,5</t>
  </si>
  <si>
    <t xml:space="preserve">NHO BENTO</t>
  </si>
  <si>
    <t xml:space="preserve">BETA</t>
  </si>
  <si>
    <t xml:space="preserve">C/ INTERVALO 2 FACAS</t>
  </si>
  <si>
    <t xml:space="preserve">4,0X3,9</t>
  </si>
  <si>
    <t xml:space="preserve">TÉRMICA</t>
  </si>
  <si>
    <t xml:space="preserve">4,0X6,0</t>
  </si>
  <si>
    <t xml:space="preserve">IPAC</t>
  </si>
  <si>
    <t xml:space="preserve">FACA </t>
  </si>
  <si>
    <t xml:space="preserve">C/ INTERVALO</t>
  </si>
  <si>
    <t xml:space="preserve">5,0x4,0</t>
  </si>
  <si>
    <t xml:space="preserve">REIMASSAS</t>
  </si>
  <si>
    <t xml:space="preserve">5,0X10</t>
  </si>
  <si>
    <t xml:space="preserve">sem int ALEX MUSSI</t>
  </si>
  <si>
    <t xml:space="preserve">5,0x15,9</t>
  </si>
  <si>
    <t xml:space="preserve">RESINO </t>
  </si>
  <si>
    <t xml:space="preserve">6,0x3,0</t>
  </si>
  <si>
    <t xml:space="preserve">TERMICA AMASSOU 1C</t>
  </si>
  <si>
    <t xml:space="preserve">6,0X7,0</t>
  </si>
  <si>
    <t xml:space="preserve">RETA 10CM</t>
  </si>
  <si>
    <t xml:space="preserve">6,0X9,8</t>
  </si>
  <si>
    <t xml:space="preserve">CASA FRANGO</t>
  </si>
  <si>
    <t xml:space="preserve">FACA 1</t>
  </si>
  <si>
    <t xml:space="preserve">6,0X11,5</t>
  </si>
  <si>
    <t xml:space="preserve">SUPER MAXI</t>
  </si>
  <si>
    <t xml:space="preserve">FACA 2</t>
  </si>
  <si>
    <t xml:space="preserve">7,5X2,5</t>
  </si>
  <si>
    <t xml:space="preserve">UNICAMP</t>
  </si>
  <si>
    <t xml:space="preserve">ESP 10X4</t>
  </si>
  <si>
    <t xml:space="preserve">8,0x7,5</t>
  </si>
  <si>
    <t xml:space="preserve">9,5X3,3</t>
  </si>
  <si>
    <t xml:space="preserve">REMALINA SELECTA</t>
  </si>
  <si>
    <t xml:space="preserve">PICOTE</t>
  </si>
  <si>
    <t xml:space="preserve">9,0x6,0</t>
  </si>
  <si>
    <t xml:space="preserve">CORREIO</t>
  </si>
  <si>
    <t xml:space="preserve">9,5X12,0</t>
  </si>
  <si>
    <t xml:space="preserve">IPAC (SORO)</t>
  </si>
  <si>
    <t xml:space="preserve">10,0x3,0</t>
  </si>
  <si>
    <t xml:space="preserve">**</t>
  </si>
  <si>
    <t xml:space="preserve">ESP 9,5X3,3</t>
  </si>
  <si>
    <t xml:space="preserve">10,0X3,5</t>
  </si>
  <si>
    <t xml:space="preserve">ARCOM</t>
  </si>
  <si>
    <t xml:space="preserve">10,0x4,0</t>
  </si>
  <si>
    <t xml:space="preserve">10,0x4,95</t>
  </si>
  <si>
    <t xml:space="preserve">AMERICANAS</t>
  </si>
  <si>
    <t xml:space="preserve">10,0x5,0</t>
  </si>
  <si>
    <t xml:space="preserve">CORREIOS</t>
  </si>
  <si>
    <t xml:space="preserve">INTERVALO ERRADO</t>
  </si>
  <si>
    <t xml:space="preserve">10,0x7,0</t>
  </si>
  <si>
    <t xml:space="preserve">TRANSLOG ARGUTO </t>
  </si>
  <si>
    <t xml:space="preserve">10,0x8,0</t>
  </si>
  <si>
    <t xml:space="preserve">10,0X10,0</t>
  </si>
  <si>
    <t xml:space="preserve">***</t>
  </si>
  <si>
    <t xml:space="preserve">DHL</t>
  </si>
  <si>
    <t xml:space="preserve">10,5X3,6</t>
  </si>
  <si>
    <t xml:space="preserve">10,6x6,05</t>
  </si>
  <si>
    <t xml:space="preserve">SUPPORTE</t>
  </si>
  <si>
    <t xml:space="preserve">14,9X10,5</t>
  </si>
  <si>
    <t xml:space="preserve">CORREIOS </t>
  </si>
  <si>
    <t xml:space="preserve">19,0X15,0</t>
  </si>
  <si>
    <t xml:space="preserve">START</t>
  </si>
  <si>
    <t xml:space="preserve">OVAL 4,7X6,0/ DES 4,7X7,5</t>
  </si>
  <si>
    <t xml:space="preserve">OVAL 4,7X6,0/ DES 4,7X3,8</t>
  </si>
  <si>
    <t xml:space="preserve">4,7X3,8</t>
  </si>
  <si>
    <t xml:space="preserve">MILHO FORTE</t>
  </si>
  <si>
    <t xml:space="preserve">ESP 5,0X3,0</t>
  </si>
  <si>
    <t xml:space="preserve">7,5x4,7</t>
  </si>
  <si>
    <t xml:space="preserve">MINAS PEPPER</t>
  </si>
  <si>
    <t xml:space="preserve">RETA 8,1</t>
  </si>
  <si>
    <t xml:space="preserve">8,5x6,4</t>
  </si>
  <si>
    <t xml:space="preserve">DOCELÂNDIA</t>
  </si>
  <si>
    <t xml:space="preserve">ESP 3,2X1,2</t>
  </si>
  <si>
    <t xml:space="preserve">7,8X4,9</t>
  </si>
  <si>
    <t xml:space="preserve">FAMA DOCES</t>
  </si>
  <si>
    <t xml:space="preserve">OVAL 4,5X2,0, RED 9,1</t>
  </si>
  <si>
    <t xml:space="preserve">9,0X1,2</t>
  </si>
  <si>
    <t xml:space="preserve">HOSP. AMPULHETA</t>
  </si>
  <si>
    <t xml:space="preserve">RETA 10</t>
  </si>
  <si>
    <t xml:space="preserve">9,2X6,0</t>
  </si>
  <si>
    <t xml:space="preserve">RED 9,1/ OVAL 4,5X2,0/DES 9,2X6,0</t>
  </si>
  <si>
    <t xml:space="preserve">9,8X6,0</t>
  </si>
  <si>
    <t xml:space="preserve">RETA 6,6</t>
  </si>
  <si>
    <t xml:space="preserve">18,5X4,7</t>
  </si>
  <si>
    <t xml:space="preserve">DURALAR</t>
  </si>
  <si>
    <t xml:space="preserve">10,0x6,35</t>
  </si>
  <si>
    <t xml:space="preserve">21,0X4,0</t>
  </si>
  <si>
    <t xml:space="preserve">21,0X7,0</t>
  </si>
  <si>
    <t xml:space="preserve">14,0X3,0</t>
  </si>
  <si>
    <t xml:space="preserve">20,0X3,0</t>
  </si>
  <si>
    <t xml:space="preserve">SERRILHA</t>
  </si>
  <si>
    <t xml:space="preserve">10x5</t>
  </si>
  <si>
    <t xml:space="preserve">AMERICANA</t>
  </si>
  <si>
    <t xml:space="preserve">SERRILHA / 5 CERTOS</t>
  </si>
  <si>
    <t xml:space="preserve">CORTE</t>
  </si>
  <si>
    <t xml:space="preserve">REMALINA</t>
  </si>
  <si>
    <t xml:space="preserve">não achou a faca</t>
  </si>
  <si>
    <t xml:space="preserve"> RED 4,3</t>
  </si>
  <si>
    <t xml:space="preserve"> 7,8 RED</t>
  </si>
  <si>
    <t xml:space="preserve">  2,5 x1,5 OVAL </t>
  </si>
  <si>
    <t xml:space="preserve">BETA / ETI</t>
  </si>
  <si>
    <t xml:space="preserve">BETA </t>
  </si>
  <si>
    <t xml:space="preserve">DES 6,5X4,15</t>
  </si>
  <si>
    <t xml:space="preserve">MELHOR DE MINAS</t>
  </si>
  <si>
    <t xml:space="preserve">FACA CONSERTO </t>
  </si>
  <si>
    <t xml:space="preserve"> ACAI 19,7X5,2</t>
  </si>
  <si>
    <t xml:space="preserve"> 13,1X8 SUPER BIJOUX</t>
  </si>
  <si>
    <t xml:space="preserve">LACRE 5X2</t>
  </si>
  <si>
    <t xml:space="preserve">**.</t>
  </si>
  <si>
    <t xml:space="preserve"> 14,2X9,7 GERRE</t>
  </si>
  <si>
    <t xml:space="preserve">DES 6X4,5 DAKI </t>
  </si>
  <si>
    <t xml:space="preserve">DAKI</t>
  </si>
  <si>
    <t xml:space="preserve"> 10,6X5,8  SABORAI</t>
  </si>
  <si>
    <t xml:space="preserve"> 3,1 RED 6,5X5 BOM DE MINAS </t>
  </si>
  <si>
    <t xml:space="preserve"> 2 RED 6,5X5 BOM DE MINAS </t>
  </si>
  <si>
    <t xml:space="preserve">LACRE 5X2,5</t>
  </si>
  <si>
    <t xml:space="preserve"> 10,5X5,1 DES</t>
  </si>
  <si>
    <t xml:space="preserve">GRAF. CONFIANÇA</t>
  </si>
  <si>
    <t xml:space="preserve"> 4,6X2,5 CITROBEL </t>
  </si>
  <si>
    <t xml:space="preserve">NIWNEY/NAGLE</t>
  </si>
  <si>
    <t xml:space="preserve"> 0,9 RETA </t>
  </si>
  <si>
    <t xml:space="preserve">EMPORIO CASTANHAS</t>
  </si>
  <si>
    <t xml:space="preserve"> 10,5X7,2 TOM CEREJA </t>
  </si>
  <si>
    <t xml:space="preserve">SORV. MATIAS</t>
  </si>
  <si>
    <t xml:space="preserve">BOTTONS</t>
  </si>
  <si>
    <t xml:space="preserve"> 2,02 RETA </t>
  </si>
  <si>
    <t xml:space="preserve">1 COLUNA ESTRAGADA</t>
  </si>
  <si>
    <t xml:space="preserve"> 6X4,5 DAKI</t>
  </si>
  <si>
    <t xml:space="preserve"> 4,1X 2, ESP</t>
  </si>
  <si>
    <t xml:space="preserve">FRUTOS DA TERRA</t>
  </si>
  <si>
    <t xml:space="preserve">BOX CHICO/QUEIJO</t>
  </si>
  <si>
    <t xml:space="preserve">INTERVALO DE 1,15CM</t>
  </si>
  <si>
    <t xml:space="preserve">RETA 3,4</t>
  </si>
  <si>
    <t xml:space="preserve">1,5x2,7</t>
  </si>
  <si>
    <t xml:space="preserve">CITROBELL</t>
  </si>
  <si>
    <t xml:space="preserve"> 5,3X4,7 CORAÇÃO</t>
  </si>
  <si>
    <t xml:space="preserve">3,1X2,1</t>
  </si>
  <si>
    <t xml:space="preserve">PAPAYA TRIANG.</t>
  </si>
  <si>
    <t xml:space="preserve"> 5X2,5 ESP</t>
  </si>
  <si>
    <t xml:space="preserve">METALFLEXO </t>
  </si>
  <si>
    <t xml:space="preserve">2,8x4,3</t>
  </si>
  <si>
    <t xml:space="preserve"> 10,5X7,8 REGIA </t>
  </si>
  <si>
    <t xml:space="preserve">3,0x4,8</t>
  </si>
  <si>
    <t xml:space="preserve">SELECTA</t>
  </si>
  <si>
    <t xml:space="preserve"> 9,6X6,5 OVAL</t>
  </si>
  <si>
    <t xml:space="preserve">3,0x6,6</t>
  </si>
  <si>
    <t xml:space="preserve"> 14,6X9,5 UDI FRIO </t>
  </si>
  <si>
    <t xml:space="preserve">3,8x7,2</t>
  </si>
  <si>
    <t xml:space="preserve">DELÍCIAS DO MILHO</t>
  </si>
  <si>
    <t xml:space="preserve"> 6X5 DES</t>
  </si>
  <si>
    <t xml:space="preserve">7,5X4,8</t>
  </si>
  <si>
    <t xml:space="preserve"> OVAL 6,6X3</t>
  </si>
  <si>
    <t xml:space="preserve">9,6X6,5</t>
  </si>
  <si>
    <t xml:space="preserve">PARA LAMINAÇÃO</t>
  </si>
  <si>
    <t xml:space="preserve">COUCHE</t>
  </si>
  <si>
    <t xml:space="preserve">12,5X8,7</t>
  </si>
  <si>
    <t xml:space="preserve">CAR. LANCHES</t>
  </si>
  <si>
    <t xml:space="preserve">14,0X9,3</t>
  </si>
  <si>
    <t xml:space="preserve">EXPRESSO ALIM.</t>
  </si>
  <si>
    <t xml:space="preserve"> 24,5X5,5 </t>
  </si>
  <si>
    <t xml:space="preserve">1,5x24,5</t>
  </si>
  <si>
    <t xml:space="preserve">OF. QUEIJO</t>
  </si>
  <si>
    <t xml:space="preserve"> 4,1X1 DES</t>
  </si>
  <si>
    <t xml:space="preserve">3,2X1,6</t>
  </si>
  <si>
    <t xml:space="preserve">MILI BIJOUX</t>
  </si>
  <si>
    <t xml:space="preserve"> 5X3,3</t>
  </si>
  <si>
    <t xml:space="preserve">3,8X2,8</t>
  </si>
  <si>
    <t xml:space="preserve">SUPER BIJOUX</t>
  </si>
  <si>
    <t xml:space="preserve">TERMICAS</t>
  </si>
  <si>
    <t xml:space="preserve">                   BETA</t>
  </si>
  <si>
    <t xml:space="preserve"> 9,7 RED</t>
  </si>
  <si>
    <t xml:space="preserve">4,1X2,0</t>
  </si>
  <si>
    <t xml:space="preserve"> 7,5X6,5 REGIA</t>
  </si>
  <si>
    <t xml:space="preserve">5,0x2,0</t>
  </si>
  <si>
    <t xml:space="preserve"> OVAL 4,3X2,8</t>
  </si>
  <si>
    <t xml:space="preserve">5,0X2,5</t>
  </si>
  <si>
    <t xml:space="preserve">                        C/  INTERVALO</t>
  </si>
  <si>
    <t xml:space="preserve"> 3,8X2,8 ESP </t>
  </si>
  <si>
    <t xml:space="preserve">5,0X3,3</t>
  </si>
  <si>
    <t xml:space="preserve"> 6X4 JOANINHA</t>
  </si>
  <si>
    <t xml:space="preserve">BOX DO CHICO</t>
  </si>
  <si>
    <t xml:space="preserve">6,0x3,3</t>
  </si>
  <si>
    <t xml:space="preserve">LOGÍSTICA</t>
  </si>
  <si>
    <t xml:space="preserve">TÉRMICAS</t>
  </si>
  <si>
    <t xml:space="preserve">6,8X4,8</t>
  </si>
  <si>
    <t xml:space="preserve">P/ LAMINAÇÃO</t>
  </si>
  <si>
    <t xml:space="preserve">QUEIJO MILITÃO</t>
  </si>
  <si>
    <t xml:space="preserve">7,0x4,0</t>
  </si>
  <si>
    <t xml:space="preserve">PATI BO</t>
  </si>
  <si>
    <t xml:space="preserve">7,0x5,0</t>
  </si>
  <si>
    <t xml:space="preserve">8,0X2,9</t>
  </si>
  <si>
    <t xml:space="preserve">9,0X2,4</t>
  </si>
  <si>
    <t xml:space="preserve">FARMA</t>
  </si>
  <si>
    <t xml:space="preserve">9,5X3,51</t>
  </si>
  <si>
    <t xml:space="preserve">C/ PICOTE</t>
  </si>
  <si>
    <t xml:space="preserve">S/ INT 5 MM</t>
  </si>
  <si>
    <t xml:space="preserve">9,5X3,0</t>
  </si>
  <si>
    <t xml:space="preserve">LIDER</t>
  </si>
  <si>
    <t xml:space="preserve">10,5X5,1</t>
  </si>
  <si>
    <t xml:space="preserve">DES 3,3X5,5 BOX CHICO</t>
  </si>
  <si>
    <t xml:space="preserve">10,5X6,0</t>
  </si>
  <si>
    <t xml:space="preserve">10,5X7,2</t>
  </si>
  <si>
    <t xml:space="preserve">UDIFRIOS</t>
  </si>
  <si>
    <t xml:space="preserve">11,0X3,43</t>
  </si>
  <si>
    <t xml:space="preserve">SAÚDE TOTAL</t>
  </si>
  <si>
    <t xml:space="preserve">11,2X2,0</t>
  </si>
  <si>
    <t xml:space="preserve">12,0x6,0</t>
  </si>
  <si>
    <t xml:space="preserve">FLAMBOYANT</t>
  </si>
  <si>
    <t xml:space="preserve">MONTAR NO Z 78</t>
  </si>
  <si>
    <t xml:space="preserve">12,0x14,6</t>
  </si>
  <si>
    <t xml:space="preserve">13,0X7,2</t>
  </si>
  <si>
    <t xml:space="preserve"> 13,5X6,5 RETA</t>
  </si>
  <si>
    <t xml:space="preserve">13,1x8,0</t>
  </si>
  <si>
    <t xml:space="preserve">13,3x10,5</t>
  </si>
  <si>
    <t xml:space="preserve">ESPETO MANIA</t>
  </si>
  <si>
    <t xml:space="preserve">14,6x7,3</t>
  </si>
  <si>
    <t xml:space="preserve">15,9x10,5</t>
  </si>
  <si>
    <t xml:space="preserve">ESPETO/DNA DINDA</t>
  </si>
  <si>
    <t xml:space="preserve">17,8x10,5</t>
  </si>
  <si>
    <t xml:space="preserve">15,3X7,2</t>
  </si>
  <si>
    <t xml:space="preserve">PRECIOSO/NUNES</t>
  </si>
  <si>
    <t xml:space="preserve">PICOTE 2 COL</t>
  </si>
  <si>
    <t xml:space="preserve">19,7x4,0</t>
  </si>
  <si>
    <t xml:space="preserve">PICOTE /MINAS PATIO</t>
  </si>
  <si>
    <t xml:space="preserve"> 19,7X7,9</t>
  </si>
  <si>
    <t xml:space="preserve">19,7x6,9</t>
  </si>
  <si>
    <t xml:space="preserve">SA ALIMENTOS</t>
  </si>
  <si>
    <t xml:space="preserve"> 19,7X6,9</t>
  </si>
  <si>
    <t xml:space="preserve">19,7x7,9</t>
  </si>
  <si>
    <t xml:space="preserve">19,7x10,0</t>
  </si>
  <si>
    <t xml:space="preserve">RESINA</t>
  </si>
  <si>
    <t xml:space="preserve">21,1x14,8</t>
  </si>
  <si>
    <t xml:space="preserve">SOUZA CRUZ </t>
  </si>
  <si>
    <t xml:space="preserve">30,7x10,5</t>
  </si>
  <si>
    <t xml:space="preserve">SUNQUÍMICA</t>
  </si>
  <si>
    <t xml:space="preserve">FAMA </t>
  </si>
  <si>
    <t xml:space="preserve"> 3X2,8/4X2,1/4X1</t>
  </si>
  <si>
    <t xml:space="preserve">2,5X1,5</t>
  </si>
  <si>
    <t xml:space="preserve"> 1,5X2,5/4X2,1/4X1</t>
  </si>
  <si>
    <t xml:space="preserve">3,0X2,8</t>
  </si>
  <si>
    <t xml:space="preserve">CHOC. BRASIL</t>
  </si>
  <si>
    <t xml:space="preserve"> 13,3X2 JOANINHA </t>
  </si>
  <si>
    <t xml:space="preserve">3,2X2,1</t>
  </si>
  <si>
    <t xml:space="preserve">CENTRAL GARDEN</t>
  </si>
  <si>
    <t xml:space="preserve"> 10,5X5,7 SABORAI </t>
  </si>
  <si>
    <t xml:space="preserve">3,4X2,2</t>
  </si>
  <si>
    <t xml:space="preserve">PET SHOP EST.</t>
  </si>
  <si>
    <t xml:space="preserve"> 1,5X2,5/4X2,1/3X2,8</t>
  </si>
  <si>
    <t xml:space="preserve">4,0X1,0</t>
  </si>
  <si>
    <t xml:space="preserve"> 3,2X1,6 ESP</t>
  </si>
  <si>
    <t xml:space="preserve">4,1X1,0</t>
  </si>
  <si>
    <t xml:space="preserve">EMELL/FARMA</t>
  </si>
  <si>
    <t xml:space="preserve"> 1,5X2,5/3X2,8/4X1</t>
  </si>
  <si>
    <t xml:space="preserve">4,0X2,1</t>
  </si>
  <si>
    <t xml:space="preserve">VIVA DIET</t>
  </si>
  <si>
    <t xml:space="preserve">18,7X4,5 JOANINHA</t>
  </si>
  <si>
    <t xml:space="preserve">4,5X2,6</t>
  </si>
  <si>
    <t xml:space="preserve"> 4,3 RED</t>
  </si>
  <si>
    <t xml:space="preserve">4,6x2,5</t>
  </si>
  <si>
    <t xml:space="preserve">2,1X3,1 OVAL</t>
  </si>
  <si>
    <t xml:space="preserve">5,3X4,7</t>
  </si>
  <si>
    <t xml:space="preserve">SOS ALIMENTOS</t>
  </si>
  <si>
    <t xml:space="preserve"> 10,5X6 BOX</t>
  </si>
  <si>
    <t xml:space="preserve">5,5X3,3</t>
  </si>
  <si>
    <t xml:space="preserve"> 9,6X5,8 SUSPIRINHO</t>
  </si>
  <si>
    <t xml:space="preserve">5,8x3,0</t>
  </si>
  <si>
    <t xml:space="preserve">DONNUTS</t>
  </si>
  <si>
    <t xml:space="preserve"> 4X6 ESP</t>
  </si>
  <si>
    <t xml:space="preserve">DOCES JOANINHA</t>
  </si>
  <si>
    <t xml:space="preserve"> 9,2 RED</t>
  </si>
  <si>
    <t xml:space="preserve">6,0X4,5</t>
  </si>
  <si>
    <t xml:space="preserve">6,0X4,9</t>
  </si>
  <si>
    <t xml:space="preserve">DOCE MANIA</t>
  </si>
  <si>
    <t xml:space="preserve"> 7,5X4,8 OVAL</t>
  </si>
  <si>
    <t xml:space="preserve">6,0X5,0</t>
  </si>
  <si>
    <t xml:space="preserve"> 6,8 RETA</t>
  </si>
  <si>
    <t xml:space="preserve">6,5X4,15</t>
  </si>
  <si>
    <t xml:space="preserve"> 3,1 RED 2 RED</t>
  </si>
  <si>
    <t xml:space="preserve">6,5X5,0</t>
  </si>
  <si>
    <t xml:space="preserve">BOM DE MINAS</t>
  </si>
  <si>
    <t xml:space="preserve"> 5X2 ESP</t>
  </si>
  <si>
    <t xml:space="preserve">7,5X6,5</t>
  </si>
  <si>
    <t xml:space="preserve">PANIF. REGIA</t>
  </si>
  <si>
    <t xml:space="preserve"> 8,9X6,1 FAMA</t>
  </si>
  <si>
    <t xml:space="preserve">8,9X6,1</t>
  </si>
  <si>
    <t xml:space="preserve">HERMON</t>
  </si>
  <si>
    <t xml:space="preserve"> 8,9X6,1 HERMON</t>
  </si>
  <si>
    <t xml:space="preserve">9,0X1,3</t>
  </si>
  <si>
    <t xml:space="preserve">BIJOUX</t>
  </si>
  <si>
    <t xml:space="preserve">9,1X7,1</t>
  </si>
  <si>
    <t xml:space="preserve">MARMOREIO</t>
  </si>
  <si>
    <t xml:space="preserve">9,3X7,4</t>
  </si>
  <si>
    <t xml:space="preserve">DELICIAS ARAXÁ</t>
  </si>
  <si>
    <t xml:space="preserve">9,5x9,2</t>
  </si>
  <si>
    <t xml:space="preserve">FAZ. JARDIM</t>
  </si>
  <si>
    <t xml:space="preserve"> 3X5,8 DONU</t>
  </si>
  <si>
    <t xml:space="preserve">9,6X5,8</t>
  </si>
  <si>
    <t xml:space="preserve">SUSPIRINHO</t>
  </si>
  <si>
    <t xml:space="preserve">9,5X7,9</t>
  </si>
  <si>
    <t xml:space="preserve">CACHAÇA GOIAN.</t>
  </si>
  <si>
    <t xml:space="preserve">9,7X7,6</t>
  </si>
  <si>
    <t xml:space="preserve">10,0X6,35</t>
  </si>
  <si>
    <t xml:space="preserve">10,4X6,5</t>
  </si>
  <si>
    <t xml:space="preserve"> 3,7 RED</t>
  </si>
  <si>
    <t xml:space="preserve"> 3,4X2,2 PET SHOP</t>
  </si>
  <si>
    <t xml:space="preserve">10,5X5,7</t>
  </si>
  <si>
    <t xml:space="preserve">SABORAÍ</t>
  </si>
  <si>
    <t xml:space="preserve"> 4,8X3 OVAL</t>
  </si>
  <si>
    <t xml:space="preserve">10,5x7,8</t>
  </si>
  <si>
    <t xml:space="preserve"> 105X7</t>
  </si>
  <si>
    <t xml:space="preserve">10,5X6,5</t>
  </si>
  <si>
    <t xml:space="preserve"> 10,5X6,5</t>
  </si>
  <si>
    <t xml:space="preserve">10,5X7,0</t>
  </si>
  <si>
    <t xml:space="preserve">RIC SAR</t>
  </si>
  <si>
    <t xml:space="preserve"> 4,8 RED</t>
  </si>
  <si>
    <t xml:space="preserve">TOMATE CEREJA</t>
  </si>
  <si>
    <t xml:space="preserve">10,5X8,8</t>
  </si>
  <si>
    <t xml:space="preserve">VO CLEUSA</t>
  </si>
  <si>
    <t xml:space="preserve">10,5X9,2</t>
  </si>
  <si>
    <t xml:space="preserve">GOIANINHA</t>
  </si>
  <si>
    <t xml:space="preserve">10,6X4,2</t>
  </si>
  <si>
    <t xml:space="preserve">AGROLEITE</t>
  </si>
  <si>
    <t xml:space="preserve"> 1,2 RED</t>
  </si>
  <si>
    <t xml:space="preserve">10,6X5,8</t>
  </si>
  <si>
    <t xml:space="preserve">11,5X6,45</t>
  </si>
  <si>
    <t xml:space="preserve">ALFA E BETO</t>
  </si>
  <si>
    <t xml:space="preserve">12,0X7,8</t>
  </si>
  <si>
    <t xml:space="preserve">RAREPAN</t>
  </si>
  <si>
    <t xml:space="preserve">12,1X5,7</t>
  </si>
  <si>
    <t xml:space="preserve">12,1X6,55</t>
  </si>
  <si>
    <t xml:space="preserve"> 3,2X2,1 GARDEM</t>
  </si>
  <si>
    <t xml:space="preserve">13,35X2,0</t>
  </si>
  <si>
    <t xml:space="preserve">13,3X5,1</t>
  </si>
  <si>
    <t xml:space="preserve">13,3X7,0</t>
  </si>
  <si>
    <t xml:space="preserve">13,4X8,0</t>
  </si>
  <si>
    <t xml:space="preserve">AÇAÍ NATIVO</t>
  </si>
  <si>
    <t xml:space="preserve">13,3X9,0</t>
  </si>
  <si>
    <t xml:space="preserve">EMELL</t>
  </si>
  <si>
    <t xml:space="preserve">EMEL ESPELHADA</t>
  </si>
  <si>
    <t xml:space="preserve">14,0X6,5</t>
  </si>
  <si>
    <t xml:space="preserve">TAPEÇARIA S. LUIS</t>
  </si>
  <si>
    <t xml:space="preserve"> 14,90 RETA</t>
  </si>
  <si>
    <t xml:space="preserve">14,2X9,7</t>
  </si>
  <si>
    <t xml:space="preserve">GERRE</t>
  </si>
  <si>
    <t xml:space="preserve">14,4X6,5</t>
  </si>
  <si>
    <t xml:space="preserve">14,6X4,9</t>
  </si>
  <si>
    <t xml:space="preserve"> 7,2X3,8 OVAL </t>
  </si>
  <si>
    <t xml:space="preserve">14,6X9,5</t>
  </si>
  <si>
    <t xml:space="preserve">15,0X4,85</t>
  </si>
  <si>
    <t xml:space="preserve">FOX CLUB</t>
  </si>
  <si>
    <t xml:space="preserve">15,0X8,7</t>
  </si>
  <si>
    <t xml:space="preserve">LUCITAR</t>
  </si>
  <si>
    <t xml:space="preserve">15,8X5,05</t>
  </si>
  <si>
    <t xml:space="preserve">15,9X7,0</t>
  </si>
  <si>
    <t xml:space="preserve">15,9X11</t>
  </si>
  <si>
    <t xml:space="preserve">17,5X14,5</t>
  </si>
  <si>
    <t xml:space="preserve">DONA DINDA</t>
  </si>
  <si>
    <t xml:space="preserve"> 4,5X2,6</t>
  </si>
  <si>
    <t xml:space="preserve">18,75X4,5</t>
  </si>
  <si>
    <t xml:space="preserve"> 20 RETA </t>
  </si>
  <si>
    <t xml:space="preserve">19,6X5,05</t>
  </si>
  <si>
    <t xml:space="preserve">DAKI </t>
  </si>
  <si>
    <t xml:space="preserve">19,6X5,6</t>
  </si>
  <si>
    <t xml:space="preserve"> 10 RETA </t>
  </si>
  <si>
    <t xml:space="preserve">19,7X6,2</t>
  </si>
  <si>
    <t xml:space="preserve">AÇAI NATIVO</t>
  </si>
  <si>
    <t xml:space="preserve"> 24,5X1,5 LACRE</t>
  </si>
  <si>
    <t xml:space="preserve">24,5X5,5</t>
  </si>
  <si>
    <t xml:space="preserve">NATIVA/QDELIS</t>
  </si>
  <si>
    <t xml:space="preserve"> 8,8x13,6 RETA</t>
  </si>
  <si>
    <t xml:space="preserve">5,0X2,0</t>
  </si>
  <si>
    <t xml:space="preserve">VULCAFLEX LACRE</t>
  </si>
  <si>
    <t xml:space="preserve">RED 3,1</t>
  </si>
  <si>
    <t xml:space="preserve">EMELL COM INTERVALO </t>
  </si>
  <si>
    <t xml:space="preserve">VINCO E FURO  </t>
  </si>
  <si>
    <t xml:space="preserve">7X5</t>
  </si>
  <si>
    <t xml:space="preserve">29,2X2,5</t>
  </si>
  <si>
    <t xml:space="preserve">PULSEIRA </t>
  </si>
  <si>
    <t xml:space="preserve">19,7X4,0</t>
  </si>
  <si>
    <t xml:space="preserve">MINAS PATIO</t>
  </si>
  <si>
    <t xml:space="preserve">REMALINA </t>
  </si>
  <si>
    <t xml:space="preserve">CORTE TOTAL </t>
  </si>
  <si>
    <t xml:space="preserve">CORTE LONGITUDINAL </t>
  </si>
  <si>
    <t xml:space="preserve">REFLEXO 250</t>
  </si>
  <si>
    <t xml:space="preserve">CALU </t>
  </si>
  <si>
    <t xml:space="preserve">RETA </t>
  </si>
  <si>
    <t xml:space="preserve"> 8,5X4,3 LARGURA DE 6,0</t>
  </si>
  <si>
    <t xml:space="preserve">ABAETE </t>
  </si>
  <si>
    <t xml:space="preserve">ATÉ 10,0 LARGURA</t>
  </si>
  <si>
    <t xml:space="preserve">ADVANTA </t>
  </si>
  <si>
    <t xml:space="preserve"> LACRE ABELHINHA</t>
  </si>
  <si>
    <t xml:space="preserve">ABELHINHA </t>
  </si>
  <si>
    <t xml:space="preserve">GERRE </t>
  </si>
  <si>
    <t xml:space="preserve">D VILLE </t>
  </si>
  <si>
    <t xml:space="preserve"> BOX CHICO 5,7X8</t>
  </si>
  <si>
    <t xml:space="preserve">CONJ BOX DO CHICO</t>
  </si>
  <si>
    <t xml:space="preserve">32 ESP 9,7X7,0 TURBO ERVAS</t>
  </si>
  <si>
    <t xml:space="preserve">9,7X7,0</t>
  </si>
  <si>
    <t xml:space="preserve"> OVAL 10,5X7,1 / LACRE</t>
  </si>
  <si>
    <t xml:space="preserve">10,5X7,1</t>
  </si>
  <si>
    <t xml:space="preserve">RETA 10 </t>
  </si>
  <si>
    <t xml:space="preserve">12,0x6,4</t>
  </si>
  <si>
    <t xml:space="preserve">DOCES ABAETE</t>
  </si>
  <si>
    <t xml:space="preserve">5,0X7,0</t>
  </si>
  <si>
    <t xml:space="preserve">5,9X4,0</t>
  </si>
  <si>
    <t xml:space="preserve">SUPERMERCADO</t>
  </si>
  <si>
    <t xml:space="preserve">5,9X5,0</t>
  </si>
  <si>
    <t xml:space="preserve">SUPER MAXI </t>
  </si>
  <si>
    <t xml:space="preserve">6,0x12,0</t>
  </si>
  <si>
    <t xml:space="preserve">6,0x11,0</t>
  </si>
  <si>
    <t xml:space="preserve"> COQUEIROS</t>
  </si>
  <si>
    <t xml:space="preserve">7,2X6,1</t>
  </si>
  <si>
    <t xml:space="preserve">COQUEIROS </t>
  </si>
  <si>
    <t xml:space="preserve">7,95X4,0</t>
  </si>
  <si>
    <t xml:space="preserve">MERCADO LIVRE</t>
  </si>
  <si>
    <t xml:space="preserve">8,5x4,3</t>
  </si>
  <si>
    <t xml:space="preserve">TERMICA STA GENOVEVA </t>
  </si>
  <si>
    <t xml:space="preserve">8,0X8,0</t>
  </si>
  <si>
    <t xml:space="preserve">SABORIO</t>
  </si>
  <si>
    <t xml:space="preserve">10,7X3,7</t>
  </si>
  <si>
    <t xml:space="preserve">BOTHANICA</t>
  </si>
  <si>
    <t xml:space="preserve">TURBO ERVAS</t>
  </si>
  <si>
    <t xml:space="preserve">10,0X3,0</t>
  </si>
  <si>
    <t xml:space="preserve">REDE LUCAS SUCOS </t>
  </si>
  <si>
    <t xml:space="preserve">10,0X7,8</t>
  </si>
  <si>
    <t xml:space="preserve">SEM DONO</t>
  </si>
  <si>
    <t xml:space="preserve">10X3</t>
  </si>
  <si>
    <t xml:space="preserve">10,5X3,0</t>
  </si>
  <si>
    <t xml:space="preserve">PHORMULA</t>
  </si>
  <si>
    <t xml:space="preserve">DOCES FLAVIA </t>
  </si>
  <si>
    <t xml:space="preserve">10,5x19,7</t>
  </si>
  <si>
    <t xml:space="preserve">ESPETO MANIA </t>
  </si>
  <si>
    <t xml:space="preserve"> 9,7X6,0</t>
  </si>
  <si>
    <t xml:space="preserve">11,5x9,7</t>
  </si>
  <si>
    <t xml:space="preserve">IRINEU</t>
  </si>
  <si>
    <t xml:space="preserve">MELORY</t>
  </si>
  <si>
    <t xml:space="preserve">12,0X5,0</t>
  </si>
  <si>
    <t xml:space="preserve">12,8X10,0</t>
  </si>
  <si>
    <t xml:space="preserve">MARTINS COM SERRILHA</t>
  </si>
  <si>
    <t xml:space="preserve"> OVAL 10,5X7,1</t>
  </si>
  <si>
    <t xml:space="preserve">14,6X2,0</t>
  </si>
  <si>
    <t xml:space="preserve">LACRE DE QUALIDADE</t>
  </si>
  <si>
    <t xml:space="preserve">BADIÃO</t>
  </si>
  <si>
    <t xml:space="preserve">17,7X8,0</t>
  </si>
  <si>
    <t xml:space="preserve">LAUDO</t>
  </si>
  <si>
    <t xml:space="preserve">17,8X7,5</t>
  </si>
  <si>
    <t xml:space="preserve">GUARANA MINEIRO</t>
  </si>
  <si>
    <t xml:space="preserve">23,0X4,5</t>
  </si>
  <si>
    <t xml:space="preserve">SUPER MAXI SUCOS </t>
  </si>
  <si>
    <t xml:space="preserve">REDE LUCAS QUALIDADE</t>
  </si>
  <si>
    <t xml:space="preserve">19,7X9,0</t>
  </si>
  <si>
    <t xml:space="preserve">INATA AUTOGENA </t>
  </si>
  <si>
    <t xml:space="preserve">4,5X6,3</t>
  </si>
  <si>
    <t xml:space="preserve">TEMPERO 2 IRMÃOS </t>
  </si>
  <si>
    <t xml:space="preserve"> -DIAM 6X4CM PRATOS PRONTOS , 6X8 AÇOUGUE</t>
  </si>
  <si>
    <t xml:space="preserve">DESENHADA </t>
  </si>
  <si>
    <t xml:space="preserve">SUPER MAXI FEITO PARA VC</t>
  </si>
  <si>
    <t xml:space="preserve">BABUSKA </t>
  </si>
  <si>
    <t xml:space="preserve"> ABELHINHA</t>
  </si>
  <si>
    <t xml:space="preserve">4,7X3,0</t>
  </si>
  <si>
    <t xml:space="preserve">4,7X4,4</t>
  </si>
  <si>
    <t xml:space="preserve">5,0x3,5</t>
  </si>
  <si>
    <t xml:space="preserve">SELO DE QUALIDADE</t>
  </si>
  <si>
    <t xml:space="preserve">ESPECIAL 10X7,8</t>
  </si>
  <si>
    <t xml:space="preserve">5,2X7,8</t>
  </si>
  <si>
    <t xml:space="preserve">5,4X4,5</t>
  </si>
  <si>
    <t xml:space="preserve"> -DIAM 4CM, 6X8 AÇOUGUE</t>
  </si>
  <si>
    <t xml:space="preserve">6,0x4,0</t>
  </si>
  <si>
    <t xml:space="preserve">SUPER MAXI PRATOS PRONTOS </t>
  </si>
  <si>
    <t xml:space="preserve">CHÃO DE MINAS </t>
  </si>
  <si>
    <t xml:space="preserve">6,0X5,7</t>
  </si>
  <si>
    <t xml:space="preserve">CORAÇÃO</t>
  </si>
  <si>
    <t xml:space="preserve">6,5X6,1</t>
  </si>
  <si>
    <t xml:space="preserve">6,8X5,7</t>
  </si>
  <si>
    <t xml:space="preserve">CHÃO DE MINAS PEQ</t>
  </si>
  <si>
    <t xml:space="preserve">MAMÃO</t>
  </si>
  <si>
    <t xml:space="preserve">7,1X6,0</t>
  </si>
  <si>
    <t xml:space="preserve">AMANDA</t>
  </si>
  <si>
    <t xml:space="preserve">8,0x5,7</t>
  </si>
  <si>
    <t xml:space="preserve"> -DIAM 4CM, 6X4 PRATOS PRONTOS </t>
  </si>
  <si>
    <t xml:space="preserve">8,0X6,0</t>
  </si>
  <si>
    <t xml:space="preserve">SUPER MAXI AÇOUGUE</t>
  </si>
  <si>
    <t xml:space="preserve">8,5x4,6</t>
  </si>
  <si>
    <t xml:space="preserve">LAUDO 8X17,7</t>
  </si>
  <si>
    <t xml:space="preserve">8,6X6,6</t>
  </si>
  <si>
    <t xml:space="preserve">REDONDA 4,3</t>
  </si>
  <si>
    <t xml:space="preserve">8,7x14,6</t>
  </si>
  <si>
    <t xml:space="preserve"> 11,5X9,7</t>
  </si>
  <si>
    <t xml:space="preserve">9,7X6,0</t>
  </si>
  <si>
    <t xml:space="preserve">SPICE BOX </t>
  </si>
  <si>
    <t xml:space="preserve">DOCES BARBAROS 6X1,95 / 9,7X11</t>
  </si>
  <si>
    <t xml:space="preserve">9,7X6,4</t>
  </si>
  <si>
    <t xml:space="preserve">DOCES BARBAROS</t>
  </si>
  <si>
    <t xml:space="preserve">FARINHAS</t>
  </si>
  <si>
    <t xml:space="preserve">9,9x8,7</t>
  </si>
  <si>
    <t xml:space="preserve">BAKED BROWNIE</t>
  </si>
  <si>
    <t xml:space="preserve">TERRA MINEIRA GRANDE</t>
  </si>
  <si>
    <t xml:space="preserve">10,0X7,16</t>
  </si>
  <si>
    <t xml:space="preserve">TERRA MINEIRA </t>
  </si>
  <si>
    <t xml:space="preserve">10,2X8,7</t>
  </si>
  <si>
    <t xml:space="preserve">QUEIJINHO</t>
  </si>
  <si>
    <t xml:space="preserve">10,4X8,7</t>
  </si>
  <si>
    <t xml:space="preserve">CHÃO DE MINAS GRANDE</t>
  </si>
  <si>
    <t xml:space="preserve">10,5X9,7</t>
  </si>
  <si>
    <t xml:space="preserve">FARINHAS </t>
  </si>
  <si>
    <t xml:space="preserve">11,1X4,5</t>
  </si>
  <si>
    <t xml:space="preserve">DOCES BARBAROS 9,7X6,4 / 6X1,95</t>
  </si>
  <si>
    <t xml:space="preserve">11,0x9,7</t>
  </si>
  <si>
    <t xml:space="preserve">TREBESHI</t>
  </si>
  <si>
    <t xml:space="preserve">13,0X6,15</t>
  </si>
  <si>
    <t xml:space="preserve">SABORAI</t>
  </si>
  <si>
    <t xml:space="preserve">13,5X9,7</t>
  </si>
  <si>
    <t xml:space="preserve">DOCES FLÁVIA </t>
  </si>
  <si>
    <t xml:space="preserve">13,7X8,7</t>
  </si>
  <si>
    <t xml:space="preserve">  ABELHINHA</t>
  </si>
  <si>
    <t xml:space="preserve">14,6X7,4</t>
  </si>
  <si>
    <t xml:space="preserve">REDONDA 4,3, GERRE</t>
  </si>
  <si>
    <t xml:space="preserve">14,6X10,5</t>
  </si>
  <si>
    <t xml:space="preserve">CASINHA</t>
  </si>
  <si>
    <t xml:space="preserve">TERRA MINEIRA PEQUENA </t>
  </si>
  <si>
    <t xml:space="preserve">14,6X12,3</t>
  </si>
  <si>
    <t xml:space="preserve">RETA 7,5 </t>
  </si>
  <si>
    <t xml:space="preserve">14,6X13,0</t>
  </si>
  <si>
    <t xml:space="preserve">VO CLEUSA </t>
  </si>
  <si>
    <t xml:space="preserve">FAMA</t>
  </si>
  <si>
    <t xml:space="preserve">17,8X6,8</t>
  </si>
  <si>
    <t xml:space="preserve">DOCES BARBAROS 9,7X6,4 / 9,7X11</t>
  </si>
  <si>
    <t xml:space="preserve">19,5X6,0</t>
  </si>
  <si>
    <t xml:space="preserve">INATA AUTOGENAS</t>
  </si>
  <si>
    <t xml:space="preserve">19,7X5,0</t>
  </si>
  <si>
    <t xml:space="preserve"> REDE LUCAS - QUALIDADE</t>
  </si>
  <si>
    <t xml:space="preserve">22,0x5,0</t>
  </si>
  <si>
    <t xml:space="preserve"> SUPER MAXI SALADA DE FRUTAS</t>
  </si>
  <si>
    <t xml:space="preserve">30,7X3,0</t>
  </si>
  <si>
    <t xml:space="preserve">SUPER MAXI PADARIA</t>
  </si>
  <si>
    <t xml:space="preserve">30,7X3,5</t>
  </si>
  <si>
    <t xml:space="preserve"> SUPER MAXI PADARIA </t>
  </si>
  <si>
    <t xml:space="preserve">30,7X6,3</t>
  </si>
  <si>
    <t xml:space="preserve">SUPER MAXI SALADA DE FRUTAS </t>
  </si>
  <si>
    <t xml:space="preserve">TEMEPRO 2 IRMÃOS</t>
  </si>
  <si>
    <t xml:space="preserve">6,7X9,7</t>
  </si>
  <si>
    <t xml:space="preserve">REDE LUCAS SUCOS</t>
  </si>
  <si>
    <t xml:space="preserve">4,3X6,3</t>
  </si>
  <si>
    <t xml:space="preserve">LEAL / LUNASA</t>
  </si>
  <si>
    <t xml:space="preserve">9X2,4</t>
  </si>
  <si>
    <t xml:space="preserve">MODULAR SPX</t>
  </si>
  <si>
    <t xml:space="preserve">CORTE LONGITUDINAL</t>
  </si>
  <si>
    <t xml:space="preserve">13X10,6</t>
  </si>
  <si>
    <t xml:space="preserve">10X7</t>
  </si>
  <si>
    <t xml:space="preserve">19,7X9</t>
  </si>
  <si>
    <t xml:space="preserve">SEM DONO </t>
  </si>
  <si>
    <t xml:space="preserve">20,5X15</t>
  </si>
  <si>
    <t xml:space="preserve">MOREA</t>
  </si>
  <si>
    <t xml:space="preserve">12,0X9,3</t>
  </si>
  <si>
    <t xml:space="preserve">LUNASA, APIARIO</t>
  </si>
  <si>
    <t xml:space="preserve">5,5X7,5</t>
  </si>
  <si>
    <t xml:space="preserve">APIARIO PEQUENA </t>
  </si>
  <si>
    <t xml:space="preserve">6,8X11,5</t>
  </si>
  <si>
    <t xml:space="preserve">APIARIO </t>
  </si>
  <si>
    <t xml:space="preserve">8,0X12,4</t>
  </si>
  <si>
    <t xml:space="preserve">BRAHVA</t>
  </si>
  <si>
    <t xml:space="preserve">9,9X5,9</t>
  </si>
  <si>
    <t xml:space="preserve">VIEIRA TANNUS</t>
  </si>
  <si>
    <t xml:space="preserve">APIARIO</t>
  </si>
  <si>
    <t xml:space="preserve">11,4X6,5</t>
  </si>
  <si>
    <t xml:space="preserve">LUNASA</t>
  </si>
  <si>
    <t xml:space="preserve">10,1X9,0</t>
  </si>
  <si>
    <t xml:space="preserve">12,0X9,5</t>
  </si>
  <si>
    <t xml:space="preserve">INATA 6,5X2,4</t>
  </si>
  <si>
    <t xml:space="preserve">14,6X8,8</t>
  </si>
  <si>
    <t xml:space="preserve">INATA 19,7X9,0</t>
  </si>
  <si>
    <t xml:space="preserve">SUPER MAXI PADARIA </t>
  </si>
  <si>
    <t xml:space="preserve">30,1X3,0</t>
  </si>
  <si>
    <t xml:space="preserve">SUPER MAXI SALADA </t>
  </si>
  <si>
    <t xml:space="preserve">30,1X6,3</t>
  </si>
  <si>
    <t xml:space="preserve">INATA TAG BLISTER</t>
  </si>
  <si>
    <t xml:space="preserve">TAG</t>
  </si>
  <si>
    <t xml:space="preserve">TAG ROUPAS</t>
  </si>
  <si>
    <t xml:space="preserve">TAG ROUPAS </t>
  </si>
  <si>
    <t xml:space="preserve">11,7X4,6</t>
  </si>
  <si>
    <t xml:space="preserve">INATA BLISTER</t>
  </si>
  <si>
    <t xml:space="preserve">LARGURA </t>
  </si>
  <si>
    <t xml:space="preserve">QDADE CORES</t>
  </si>
  <si>
    <t xml:space="preserve">VALOR CM2</t>
  </si>
  <si>
    <t xml:space="preserve">VALOR </t>
  </si>
  <si>
    <t xml:space="preserve">NÃO</t>
  </si>
  <si>
    <t xml:space="preserve">HORA MÁQUINA </t>
  </si>
  <si>
    <t xml:space="preserve">HM</t>
  </si>
  <si>
    <t xml:space="preserve">BRANCA</t>
  </si>
  <si>
    <t xml:space="preserve">BATIDA</t>
  </si>
  <si>
    <t xml:space="preserve">1 cor </t>
  </si>
  <si>
    <t xml:space="preserve">HM  </t>
  </si>
  <si>
    <t xml:space="preserve">MODULAR</t>
  </si>
  <si>
    <t xml:space="preserve">2 cores</t>
  </si>
  <si>
    <t xml:space="preserve">3 cores</t>
  </si>
  <si>
    <t xml:space="preserve">4 cores</t>
  </si>
  <si>
    <t xml:space="preserve">4V</t>
  </si>
  <si>
    <t xml:space="preserve">4 cores +  VERNIZ</t>
  </si>
  <si>
    <t xml:space="preserve">4 cores+v</t>
  </si>
  <si>
    <t xml:space="preserve">5 cores</t>
  </si>
  <si>
    <t xml:space="preserve">6 cores</t>
  </si>
  <si>
    <t xml:space="preserve">7 cores</t>
  </si>
  <si>
    <t xml:space="preserve">8 cores</t>
  </si>
  <si>
    <t xml:space="preserve">HORA PARADA</t>
  </si>
  <si>
    <t xml:space="preserve">tempo (h)</t>
  </si>
  <si>
    <t xml:space="preserve">t m"</t>
  </si>
  <si>
    <t xml:space="preserve">SÓ NOME </t>
  </si>
  <si>
    <t xml:space="preserve">MUDANÇA TARJA</t>
  </si>
  <si>
    <t xml:space="preserve">PRETO INTEIRO+BORDA</t>
  </si>
  <si>
    <t xml:space="preserve">PRETO INTEIRO</t>
  </si>
  <si>
    <t xml:space="preserve">OUTRA MONTAGEM </t>
  </si>
  <si>
    <t xml:space="preserve">TROCA PAPEL </t>
  </si>
  <si>
    <t xml:space="preserve">VALOR</t>
  </si>
  <si>
    <t xml:space="preserve">ofical</t>
  </si>
  <si>
    <t xml:space="preserve">BOPP BRILHO</t>
  </si>
  <si>
    <t xml:space="preserve">BOPP BRILHO BXT</t>
  </si>
  <si>
    <t xml:space="preserve">BOPP FOSCO </t>
  </si>
  <si>
    <t xml:space="preserve">BOPP FOSCO BXT</t>
  </si>
  <si>
    <t xml:space="preserve">BOPP PRATA</t>
  </si>
  <si>
    <t xml:space="preserve">BOPP PRATA BXT</t>
  </si>
  <si>
    <t xml:space="preserve">BOPP TRANSPARENTE</t>
  </si>
  <si>
    <t xml:space="preserve">BOPP TRANSPARENTE BXT</t>
  </si>
  <si>
    <t xml:space="preserve">COUCHE VERTEX 30G</t>
  </si>
  <si>
    <t xml:space="preserve">FOSCO COLACRIL 20G</t>
  </si>
  <si>
    <t xml:space="preserve">TÉRMICO FASSON</t>
  </si>
  <si>
    <t xml:space="preserve">BOPP FOSCO FASSON 0290 - LABORATORIOS </t>
  </si>
  <si>
    <t xml:space="preserve">BOPP FOSCO FASSON 30G 2075</t>
  </si>
  <si>
    <t xml:space="preserve">PERDA</t>
  </si>
  <si>
    <t xml:space="preserve">PERDA DE PAPEL ACERTO</t>
  </si>
  <si>
    <t xml:space="preserve">M2</t>
  </si>
  <si>
    <t xml:space="preserve">40 ml x larg</t>
  </si>
  <si>
    <t xml:space="preserve">60 ml x larg</t>
  </si>
  <si>
    <t xml:space="preserve">90 ml x larg</t>
  </si>
  <si>
    <t xml:space="preserve">150 ml x larg</t>
  </si>
  <si>
    <t xml:space="preserve">LARGURA /100 * 180</t>
  </si>
  <si>
    <t xml:space="preserve">250 ml x larg</t>
  </si>
  <si>
    <t xml:space="preserve">LARGURA /100 * 220</t>
  </si>
  <si>
    <t xml:space="preserve">260 ml x larg</t>
  </si>
  <si>
    <t xml:space="preserve">270 ml x larg</t>
  </si>
  <si>
    <t xml:space="preserve">280 ml x larg</t>
  </si>
  <si>
    <t xml:space="preserve">7 ml x larg</t>
  </si>
  <si>
    <t xml:space="preserve">14 ml x larg</t>
  </si>
  <si>
    <t xml:space="preserve">21 ml x larg</t>
  </si>
  <si>
    <t xml:space="preserve">ACABAMENTOS</t>
  </si>
  <si>
    <t xml:space="preserve">PERDA M2</t>
  </si>
  <si>
    <t xml:space="preserve">SEM ACABAMENTO</t>
  </si>
  <si>
    <t xml:space="preserve">VERNIZ</t>
  </si>
  <si>
    <t xml:space="preserve">LAMINAÇÃO FOSCA</t>
  </si>
  <si>
    <t xml:space="preserve">COLD STAMP +VERNIZ</t>
  </si>
  <si>
    <t xml:space="preserve">COLD STAMP + COLA</t>
  </si>
  <si>
    <t xml:space="preserve">TUBETE PEQUENO </t>
  </si>
  <si>
    <t xml:space="preserve">1"</t>
  </si>
  <si>
    <t xml:space="preserve">TUBETE MEDIO</t>
  </si>
  <si>
    <t xml:space="preserve">1" 1/2</t>
  </si>
  <si>
    <t xml:space="preserve">TUBETE GRANDE</t>
  </si>
  <si>
    <t xml:space="preserve">&gt;30</t>
  </si>
  <si>
    <t xml:space="preserve">Caixa</t>
  </si>
  <si>
    <t xml:space="preserve">Medidas</t>
  </si>
  <si>
    <t xml:space="preserve">Comp mm</t>
  </si>
  <si>
    <t xml:space="preserve">Larg mm</t>
  </si>
  <si>
    <t xml:space="preserve">Alt mm</t>
  </si>
  <si>
    <t xml:space="preserve">Rolos/caixa 1"</t>
  </si>
  <si>
    <t xml:space="preserve">Rolos/caixa 3"</t>
  </si>
  <si>
    <t xml:space="preserve">Preferida 1"</t>
  </si>
  <si>
    <t xml:space="preserve">Preferida 3"</t>
  </si>
  <si>
    <t xml:space="preserve">Uso</t>
  </si>
  <si>
    <t xml:space="preserve">200x150x120</t>
  </si>
  <si>
    <t xml:space="preserve">Estoque — reserva</t>
  </si>
  <si>
    <t xml:space="preserve">250x200x200</t>
  </si>
  <si>
    <t xml:space="preserve">Padrão tubete 1"</t>
  </si>
  <si>
    <t xml:space="preserve">250x250x200</t>
  </si>
  <si>
    <t xml:space="preserve">400x300x223</t>
  </si>
  <si>
    <t xml:space="preserve">300x300x317</t>
  </si>
  <si>
    <t xml:space="preserve">500x300x300</t>
  </si>
  <si>
    <t xml:space="preserve">Padrão tubete 3"</t>
  </si>
  <si>
    <t xml:space="preserve">460x360x340</t>
  </si>
  <si>
    <t xml:space="preserve">500x400x300</t>
  </si>
  <si>
    <t xml:space="preserve">540x405x335</t>
  </si>
  <si>
    <t xml:space="preserve">EMPACOTAMENTO (regra do sistema)</t>
  </si>
  <si>
    <t xml:space="preserve">Tubete</t>
  </si>
  <si>
    <t xml:space="preserve">Caixa preferida</t>
  </si>
  <si>
    <t xml:space="preserve">Medida</t>
  </si>
  <si>
    <t xml:space="preserve">Rolos por caixa</t>
  </si>
  <si>
    <t xml:space="preserve">Fórmula</t>
  </si>
  <si>
    <t xml:space="preserve">Mapeia para 1"</t>
  </si>
  <si>
    <t xml:space="preserve">Preço comercial da caixa no ORÇAMENTO permanece R$ 7 (L21), independente do custo de estoque. A sheet CAIXAS legada (VLOOKUP) é substituída no sistema por esta regra. Salve este arquivo no LibreOffice para manter MEDIDA_CAIXAS na cópia aberta.</t>
  </si>
  <si>
    <t xml:space="preserve">TUBETES </t>
  </si>
  <si>
    <t xml:space="preserve">ROLOS P/CAIXA</t>
  </si>
  <si>
    <t xml:space="preserve">QDADE CAIXAS</t>
  </si>
  <si>
    <t xml:space="preserve">CAIXAS </t>
  </si>
</sst>
</file>

<file path=xl/styles.xml><?xml version="1.0" encoding="utf-8"?>
<styleSheet xmlns="http://schemas.openxmlformats.org/spreadsheetml/2006/main">
  <numFmts count="12">
    <numFmt numFmtId="164" formatCode="General"/>
    <numFmt numFmtId="165" formatCode="_-&quot;R$ &quot;* #,##0.00_-;&quot;-R$ &quot;* #,##0.00_-;_-&quot;R$ &quot;* \-??_-;_-@_-"/>
    <numFmt numFmtId="166" formatCode="_-* #,##0.00_-;\-* #,##0.00_-;_-* \-??_-;_-@_-"/>
    <numFmt numFmtId="167" formatCode="d/m/yyyy"/>
    <numFmt numFmtId="168" formatCode="General"/>
    <numFmt numFmtId="169" formatCode="0"/>
    <numFmt numFmtId="170" formatCode="0.00"/>
    <numFmt numFmtId="171" formatCode="0.0000"/>
    <numFmt numFmtId="172" formatCode="#,##0"/>
    <numFmt numFmtId="173" formatCode="#,##0.00"/>
    <numFmt numFmtId="174" formatCode="#,##0.000"/>
    <numFmt numFmtId="175" formatCode="0%"/>
  </numFmts>
  <fonts count="18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  <font>
      <b val="true"/>
      <sz val="12"/>
      <color theme="1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b val="true"/>
      <sz val="22"/>
      <color theme="1"/>
      <name val="Calibri"/>
      <family val="2"/>
      <charset val="1"/>
    </font>
    <font>
      <sz val="22"/>
      <color theme="1"/>
      <name val="Calibri"/>
      <family val="2"/>
      <charset val="1"/>
    </font>
    <font>
      <b val="true"/>
      <sz val="20"/>
      <color theme="1"/>
      <name val="Calibri"/>
      <family val="2"/>
      <charset val="1"/>
    </font>
    <font>
      <sz val="20"/>
      <color theme="1"/>
      <name val="Calibri"/>
      <family val="2"/>
      <charset val="1"/>
    </font>
    <font>
      <b val="true"/>
      <sz val="20"/>
      <color rgb="FFFF0000"/>
      <name val="Calibri"/>
      <family val="2"/>
      <charset val="1"/>
    </font>
    <font>
      <sz val="20"/>
      <name val="Calibri"/>
      <family val="2"/>
      <charset val="1"/>
    </font>
    <font>
      <sz val="20"/>
      <color rgb="FFFF0000"/>
      <name val="Calibri"/>
      <family val="2"/>
      <charset val="1"/>
    </font>
    <font>
      <sz val="20"/>
      <color theme="0"/>
      <name val="Calibri"/>
      <family val="2"/>
      <charset val="1"/>
    </font>
    <font>
      <b val="true"/>
      <sz val="11"/>
      <color rgb="FFFFFFFF"/>
      <name val="Calibri"/>
      <family val="0"/>
      <charset val="1"/>
    </font>
    <font>
      <b val="true"/>
      <sz val="11"/>
      <color rgb="FF1F4E79"/>
      <name val="Calibri"/>
      <family val="0"/>
      <charset val="1"/>
    </font>
    <font>
      <i val="true"/>
      <sz val="9"/>
      <color rgb="FF666666"/>
      <name val="Calibri"/>
      <family val="0"/>
      <charset val="1"/>
    </font>
  </fonts>
  <fills count="13">
    <fill>
      <patternFill patternType="none"/>
    </fill>
    <fill>
      <patternFill patternType="gray125"/>
    </fill>
    <fill>
      <patternFill patternType="solid">
        <fgColor theme="0" tint="-0.25"/>
        <bgColor rgb="FFB0B0B0"/>
      </patternFill>
    </fill>
    <fill>
      <patternFill patternType="solid">
        <fgColor theme="0"/>
        <bgColor rgb="FFFFFFCC"/>
      </patternFill>
    </fill>
    <fill>
      <patternFill patternType="solid">
        <fgColor theme="4" tint="0.3999"/>
        <bgColor rgb="FFB0B0B0"/>
      </patternFill>
    </fill>
    <fill>
      <patternFill patternType="solid">
        <fgColor rgb="FFFFFF00"/>
        <bgColor rgb="FFFFFF00"/>
      </patternFill>
    </fill>
    <fill>
      <patternFill patternType="solid">
        <fgColor theme="8" tint="0.7999"/>
        <bgColor rgb="FFE2EFDA"/>
      </patternFill>
    </fill>
    <fill>
      <patternFill patternType="solid">
        <fgColor theme="3" tint="0.7999"/>
        <bgColor rgb="FFB9CDE5"/>
      </patternFill>
    </fill>
    <fill>
      <patternFill patternType="solid">
        <fgColor rgb="FF00B050"/>
        <bgColor rgb="FF008080"/>
      </patternFill>
    </fill>
    <fill>
      <patternFill patternType="solid">
        <fgColor theme="4" tint="0.5999"/>
        <bgColor rgb="FFC6D9F1"/>
      </patternFill>
    </fill>
    <fill>
      <patternFill patternType="solid">
        <fgColor theme="9" tint="0.3999"/>
        <bgColor rgb="FFBFBFBF"/>
      </patternFill>
    </fill>
    <fill>
      <patternFill patternType="solid">
        <fgColor rgb="FF1F4E79"/>
        <bgColor rgb="FF003366"/>
      </patternFill>
    </fill>
    <fill>
      <patternFill patternType="solid">
        <fgColor rgb="FFE2EFDA"/>
        <bgColor rgb="FFDBEEF4"/>
      </patternFill>
    </fill>
  </fills>
  <borders count="37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/>
      <right style="thin"/>
      <top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</borders>
  <cellStyleXfs count="28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5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5" fillId="2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4" fillId="3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7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2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8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6" fillId="4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3" borderId="8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3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6" fillId="4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" fillId="4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0" borderId="9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2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21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8" xfId="21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9" xfId="21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0" xfId="26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9" xfId="25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0" xfId="25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21" xfId="25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22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7" fillId="5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3" borderId="2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3" borderId="2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3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9" fillId="5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8" fillId="6" borderId="2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6" borderId="2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6" borderId="2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7" borderId="2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9" fillId="3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7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5" borderId="2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5" borderId="29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5" borderId="2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5" borderId="3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70" fontId="9" fillId="3" borderId="2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0" fontId="9" fillId="7" borderId="3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9" fillId="3" borderId="3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7" borderId="3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5" borderId="2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7" borderId="3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9" fillId="3" borderId="2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3" borderId="3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7" borderId="2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7" borderId="3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1" fillId="7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5" borderId="3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29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2" fontId="9" fillId="7" borderId="3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9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0" fontId="10" fillId="0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10" fillId="0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10" fillId="0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12" fillId="0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0" fontId="10" fillId="8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10" fillId="0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10" fillId="10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9" fillId="7" borderId="3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3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10" fillId="8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10" fillId="8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3" borderId="3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7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1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2" fontId="1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9" fillId="2" borderId="29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2" fontId="10" fillId="3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10" fillId="8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13" fillId="0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10" fillId="2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5" borderId="3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5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5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3" fontId="10" fillId="9" borderId="3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10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73" fontId="10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9" fillId="3" borderId="3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9" borderId="3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0" fillId="0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10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0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4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0" fontId="0" fillId="0" borderId="1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5" borderId="1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5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0" fillId="3" borderId="1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3" borderId="1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5" borderId="1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3" borderId="1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3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0" fillId="3" borderId="1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0" fontId="0" fillId="3" borderId="1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5" fontId="0" fillId="0" borderId="1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0" fillId="0" borderId="1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1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5" fontId="0" fillId="0" borderId="1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11" borderId="3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3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12" borderId="3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2" borderId="3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11" borderId="3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3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8" fontId="0" fillId="5" borderId="1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1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0" fillId="0" borderId="1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</cellXfs>
  <cellStyles count="14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Moeda 2" xfId="20"/>
    <cellStyle name="Pivot Table Category" xfId="21"/>
    <cellStyle name="Pivot Table Corner" xfId="22"/>
    <cellStyle name="Pivot Table Field" xfId="23"/>
    <cellStyle name="Pivot Table Result" xfId="24"/>
    <cellStyle name="Pivot Table Title" xfId="25"/>
    <cellStyle name="Pivot Table Value" xfId="26"/>
    <cellStyle name="Vírgula 2" xfId="27"/>
  </cellStyles>
  <dxfs count="5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ont>
        <color rgb="FFFFFFFF"/>
      </font>
      <fill>
        <patternFill>
          <bgColor theme="0"/>
        </patternFill>
      </fill>
    </dxf>
    <dxf>
      <font>
        <color rgb="FF000000"/>
      </font>
    </dxf>
    <dxf>
      <font>
        <color rgb="FFFFFFFF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5B3D7"/>
      <rgbColor rgb="FF993366"/>
      <rgbColor rgb="FFFFFFCC"/>
      <rgbColor rgb="FFDBEEF4"/>
      <rgbColor rgb="FF660066"/>
      <rgbColor rgb="FFFF8080"/>
      <rgbColor rgb="FF0066CC"/>
      <rgbColor rgb="FFC6D9F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EFDA"/>
      <rgbColor rgb="FFFFFF99"/>
      <rgbColor rgb="FFB9CDE5"/>
      <rgbColor rgb="FFFF99CC"/>
      <rgbColor rgb="FFCC99FF"/>
      <rgbColor rgb="FFFAC090"/>
      <rgbColor rgb="FF3366FF"/>
      <rgbColor rgb="FF33CCCC"/>
      <rgbColor rgb="FF99CC00"/>
      <rgbColor rgb="FFFFCC00"/>
      <rgbColor rgb="FFFF9900"/>
      <rgbColor rgb="FFFF6600"/>
      <rgbColor rgb="FF666666"/>
      <rgbColor rgb="FFB0B0B0"/>
      <rgbColor rgb="FF003366"/>
      <rgbColor rgb="FF00B050"/>
      <rgbColor rgb="FF003300"/>
      <rgbColor rgb="FF333300"/>
      <rgbColor rgb="FF993300"/>
      <rgbColor rgb="FF993366"/>
      <rgbColor rgb="FF1F4E7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worksheet" Target="worksheets/sheet15.xml"/><Relationship Id="rId19" Type="http://schemas.openxmlformats.org/officeDocument/2006/relationships/worksheet" Target="worksheets/sheet16.xml"/><Relationship Id="rId20" Type="http://schemas.openxmlformats.org/officeDocument/2006/relationships/worksheet" Target="worksheets/sheet17.xml"/><Relationship Id="rId21" Type="http://schemas.openxmlformats.org/officeDocument/2006/relationships/worksheet" Target="worksheets/sheet18.xml"/><Relationship Id="rId22" Type="http://schemas.openxmlformats.org/officeDocument/2006/relationships/worksheet" Target="worksheets/sheet19.xml"/><Relationship Id="rId23" Type="http://schemas.openxmlformats.org/officeDocument/2006/relationships/worksheet" Target="worksheets/sheet20.xml"/><Relationship Id="rId24" Type="http://schemas.openxmlformats.org/officeDocument/2006/relationships/sharedStrings" Target="sharedStrings.xml"/><Relationship Id="rId25" Type="http://schemas.openxmlformats.org/officeDocument/2006/relationships/pivotCacheDefinition" Target="pivotCache/pivotCacheDefinition1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365760</xdr:colOff>
      <xdr:row>1</xdr:row>
      <xdr:rowOff>78120</xdr:rowOff>
    </xdr:from>
    <xdr:to>
      <xdr:col>9</xdr:col>
      <xdr:colOff>799920</xdr:colOff>
      <xdr:row>4</xdr:row>
      <xdr:rowOff>171720</xdr:rowOff>
    </xdr:to>
    <xdr:pic>
      <xdr:nvPicPr>
        <xdr:cNvPr id="0" name="Imagem 8" descr=""/>
        <xdr:cNvPicPr/>
      </xdr:nvPicPr>
      <xdr:blipFill>
        <a:blip r:embed="rId1"/>
        <a:stretch/>
      </xdr:blipFill>
      <xdr:spPr>
        <a:xfrm>
          <a:off x="9336240" y="259200"/>
          <a:ext cx="1545480" cy="645840"/>
        </a:xfrm>
        <a:prstGeom prst="rect">
          <a:avLst/>
        </a:prstGeom>
        <a:ln w="0">
          <a:noFill/>
        </a:ln>
      </xdr:spPr>
    </xdr:pic>
    <xdr:clientData/>
  </xdr:twoCellAnchor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491" createdVersion="3">
  <cacheSource type="worksheet">
    <worksheetSource ref="A1:P492" sheet="MAPA DE FACAS 20260715 ATUAL"/>
  </cacheSource>
  <cacheFields count="16">
    <cacheField name="MAQUINA" numFmtId="0">
      <sharedItems count="5">
        <s v="BETAFLEX"/>
        <s v="ETIRAMA"/>
        <s v="MODULAR SPX"/>
        <s v="REFLEXO"/>
        <s v="REFLEXO 250"/>
      </sharedItems>
    </cacheField>
    <cacheField name="CONJUGADA " numFmtId="0">
      <sharedItems containsBlank="1" count="204">
        <s v="  2,5 x1,5 OVAL "/>
        <s v="  ABELHINHA"/>
        <s v=" -DIAM 4CM, 6X4 PRATOS PRONTOS "/>
        <s v=" -DIAM 4CM, 6X8 AÇOUGUE"/>
        <s v=" -DIAM 6X4CM PRATOS PRONTOS , 6X8 AÇOUGUE"/>
        <s v=" 0,9 RETA "/>
        <s v=" 1,2 RED"/>
        <s v=" 1,5X2,5/3X2,8/4X1"/>
        <s v=" 1,5X2,5/4X2,1/3X2,8"/>
        <s v=" 1,5X2,5/4X2,1/4X1"/>
        <s v=" 10 RETA "/>
        <s v=" 10,5X5,1 DES"/>
        <s v=" 10,5X5,7 SABORAI "/>
        <s v=" 10,5X6 BOX"/>
        <s v=" 10,5X6,5"/>
        <s v=" 10,5X7,2 TOM CEREJA "/>
        <s v=" 10,5X7,8 REGIA "/>
        <s v=" 10,6X5,8  SABORAI"/>
        <s v=" 105X7"/>
        <s v=" 11,5X9,7"/>
        <s v=" 13,1X8 SUPER BIJOUX"/>
        <s v=" 13,3X2 JOANINHA "/>
        <s v=" 13,5X6,5 RETA"/>
        <s v=" 14,2X9,7 GERRE"/>
        <s v=" 14,6X9,5 UDI FRIO "/>
        <s v=" 14,90 RETA"/>
        <s v=" 19,7X6,9"/>
        <s v=" 19,7X7,9"/>
        <s v=" 2 RED 6,5X5 BOM DE MINAS "/>
        <s v=" 2,02 RETA "/>
        <s v=" 20 RETA "/>
        <s v=" 24,5X1,5 LACRE"/>
        <s v=" 24,5X5,5 "/>
        <s v=" 3,1 RED 2 RED"/>
        <s v=" 3,1 RED 6,5X5 BOM DE MINAS "/>
        <s v=" 3,2X1,6 ESP"/>
        <s v=" 3,2X2,1 GARDEM"/>
        <s v=" 3,4X2,2 PET SHOP"/>
        <s v=" 3,7 RED"/>
        <s v=" 3,8X2,8 ESP "/>
        <s v=" 3X2,8/4X2,1/4X1"/>
        <s v=" 3X5,8 DONU"/>
        <s v=" 4,1X 2, ESP"/>
        <s v=" 4,1X1 DES"/>
        <s v=" 4,3 RED"/>
        <s v=" 4,5X2,6"/>
        <s v=" 4,6X2,5 CITROBEL "/>
        <s v=" 4,8 RED"/>
        <s v=" 4,8X3 OVAL"/>
        <s v=" 4X6 ESP"/>
        <s v=" 5,3X4,7 CORAÇÃO"/>
        <s v=" 5X2 ESP"/>
        <s v=" 5X2,5 ESP"/>
        <s v=" 5X3,3"/>
        <s v=" 6,8 RETA"/>
        <s v=" 6X4 JOANINHA"/>
        <s v=" 6X4,5 DAKI"/>
        <s v=" 6X5 DES"/>
        <s v=" 7,2X3,8 OVAL "/>
        <s v=" 7,5X4,8 OVAL"/>
        <s v=" 7,5X6,5 REGIA"/>
        <s v=" 7,8 RED"/>
        <s v=" 8,5X4,3 LARGURA DE 6,0"/>
        <s v=" 8,8x13,6 RETA"/>
        <s v=" 8,9X6,1 FAMA"/>
        <s v=" 8,9X6,1 HERMON"/>
        <s v=" 9,2 RED"/>
        <s v=" 9,6X5,8 SUSPIRINHO"/>
        <s v=" 9,6X6,5 OVAL"/>
        <s v=" 9,7 RED"/>
        <s v=" 9,7X6,0"/>
        <s v=" ABELHINHA"/>
        <s v=" ACAI 19,7X5,2"/>
        <s v=" BOX CHICO 5,7X8"/>
        <s v=" COQUEIROS"/>
        <s v=" LACRE ABELHINHA"/>
        <s v=" OVAL 10,5X7,1"/>
        <s v=" OVAL 10,5X7,1 / LACRE"/>
        <s v=" OVAL 4,3X2,8"/>
        <s v=" OVAL 6,6X3"/>
        <s v=" RED 4,3"/>
        <s v=" SUPER MAXI PADARIA "/>
        <s v=" SUPER MAXI SALADA DE FRUTAS"/>
        <s v="10,7X3,7"/>
        <s v="10X3"/>
        <s v="10X7"/>
        <s v="13X10,6"/>
        <s v="18,7X4,5 JOANINHA"/>
        <s v="2,1X3,1 OVAL"/>
        <s v="20,5X15"/>
        <s v="32 ESP 9,7X7,0 TURBO ERVAS"/>
        <s v="6,4X8,5 BETA"/>
        <s v="87 FACA LACRE / ETIRAMA "/>
        <s v="ABAETE "/>
        <s v="AMANDA"/>
        <s v="APIARIO"/>
        <s v="BADIÃO"/>
        <s v="BETA"/>
        <s v="C/ INTER 3 E 6 COL TEM 2 FACAS"/>
        <s v="C/ INTERVALO"/>
        <s v="C/ INTERVALO 2 FACAS"/>
        <s v="CHÃO DE MINAS "/>
        <s v="CONJUGADA "/>
        <s v="DES 3,3X5,5 BOX CHICO"/>
        <s v="DES 4,7X7,5 / 4,7X3,8"/>
        <s v="DES 6,35X10,0"/>
        <s v="DES 6,5X4,15"/>
        <s v="DES 6X4,5 DAKI "/>
        <s v="DES 7,8X4,9"/>
        <s v="DES 9,2X6,0, OVAL 4,5X2,2"/>
        <s v="DES 9,2X6,0, RED 9,1"/>
        <s v="DES INDUSAT"/>
        <s v="DES NOSSO PÃO"/>
        <s v="DES. 9X1,2"/>
        <s v="DES. COOPERVALE"/>
        <s v="DES. FLORIC. GABRIELA "/>
        <s v="DES. MERCADO TABAJARAS"/>
        <s v="DOCES BARBAROS 6X1,95 / 9,7X11"/>
        <s v="DOCES BARBAROS 9,7X6,4 / 6X1,95"/>
        <s v="DOCES BARBAROS 9,7X6,4 / 9,7X11"/>
        <s v="DOCES FLAVIA "/>
        <s v="ESP 10X4"/>
        <s v="ESP 3,2X1,2"/>
        <s v="ESP 3,6X5,5"/>
        <s v="ESP 5,0X3,0"/>
        <s v="ESP 9,5X3,3"/>
        <s v="ESP 9,8X6,0 usa reta "/>
        <s v="ESP. 4,0X4,0 - REFLEXO"/>
        <s v="ESP. 6,0X3,0 TÉRMICA"/>
        <s v="ESP. 6,0X4,0 TÉRMICA"/>
        <s v="ESP. SYNGENTA "/>
        <s v="ESPECIAL 10X7,8"/>
        <s v="ESPETO MANIA"/>
        <s v="ETI"/>
        <s v="ETIRAMA "/>
        <s v="FACA 1"/>
        <s v="FACA 2"/>
        <s v="FAMA"/>
        <s v="FARINHAS"/>
        <s v="GERRE "/>
        <s v="INATA 19,7X9,0"/>
        <s v="INATA 6,5X2,4"/>
        <s v="INATA AUTOGENAS"/>
        <s v="INATA TAG BLISTER"/>
        <s v="INTERVALO DE 1,15CM"/>
        <s v="INTERVALO ERRADO"/>
        <s v="LAB. SÃO JOSE ACRED"/>
        <s v="LACRE"/>
        <s v="LACRE 5X2"/>
        <s v="LACRE 5X2,5"/>
        <s v="LAUDO"/>
        <s v="LAUDO 8X17,7"/>
        <s v="LUNASA, APIARIO"/>
        <s v="MAMÃO"/>
        <s v="MELORY"/>
        <s v="MONTAR NO Z 78"/>
        <s v="MOREA"/>
        <s v="OVAL 2,4X1,4 E 4,0X2,2"/>
        <s v="OVAL 3,0X1,8 E 2,4X1,4 "/>
        <s v="OVAL 3,0X1,8 E 4,0X2,2"/>
        <s v="OVAL 4,5X2,0, RED 9,1"/>
        <s v="OVAL 4,7X6,0/ DES 4,7X3,8"/>
        <s v="OVAL 4,7X6,0/ DES 4,7X7,5"/>
        <s v="OVAL 6,5X3,5  ETIR/REF"/>
        <s v="OVAL CALU"/>
        <s v="OVAL LC MILHO"/>
        <s v="P/ LAMINAÇÃO"/>
        <s v="PARA LAMINAÇÃO"/>
        <s v="PICOTE"/>
        <s v="PICOTE "/>
        <s v="PICOTE 2 COL"/>
        <s v="RED 3,1"/>
        <s v="RED 9,1/ OVAL 4,5X2,0/DES 9,2X6,0"/>
        <s v="RED. 10,5 , OVAL 10,5X6,1"/>
        <s v="RED. 10,5 , RED 6,9"/>
        <s v="RED. 6,9, OVAL 10,5X6,1"/>
        <s v="REDE LUCAS QUALIDADE"/>
        <s v="REDE LUCAS SUCOS"/>
        <s v="REDE LUCAS SUCOS "/>
        <s v="REDONDA 4,3"/>
        <s v="REDONDA 4,3, GERRE"/>
        <s v="REFLEXO"/>
        <s v="RETA 1,3"/>
        <s v="RETA 10"/>
        <s v="RETA 10 "/>
        <s v="RETA 10CM"/>
        <s v="RETA 3,4"/>
        <s v="RETA 4CM "/>
        <s v="RETA 6,6"/>
        <s v="RETA 7,5 "/>
        <s v="RETA 8,1"/>
        <s v="S/ INT 5 MM"/>
        <s v="SEM DONO "/>
        <s v="SERRILHA"/>
        <s v="SUMIRAM "/>
        <s v="SUPER MAXI PADARIA "/>
        <s v="SUPER MAXI SALADA "/>
        <s v="TAG ROUPAS "/>
        <s v="TEMEPRO 2 IRMÃOS"/>
        <s v="TERRA MINEIRA GRANDE"/>
        <s v="TERRA MINEIRA PEQUENA "/>
        <s v="VINCO E FURO  "/>
        <s v="VO CLEUSA"/>
        <m/>
      </sharedItems>
    </cacheField>
    <cacheField name="FORNECEDOR" numFmtId="0">
      <sharedItems containsBlank="1" count="15">
        <s v="CIG"/>
        <s v="FORNECEDOR"/>
        <s v="LIDER"/>
        <s v="METALFLEXO"/>
        <s v="METALFLEXO "/>
        <s v="MLC"/>
        <s v="PERFIL"/>
        <s v="PERFIL "/>
        <s v="QUALIFLEXO"/>
        <s v="QUALIFLEXO "/>
        <s v="REMALINA "/>
        <s v="RESINA"/>
        <s v="RESINO"/>
        <s v="RESINO "/>
        <m/>
      </sharedItems>
    </cacheField>
    <cacheField name="Nº FACAS " numFmtId="0">
      <sharedItems containsBlank="1" containsMixedTypes="1" containsNumber="1" containsInteger="1" minValue="1" maxValue="129" count="13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s v="Nº FACAS "/>
        <m/>
      </sharedItems>
    </cacheField>
    <cacheField name="Z" numFmtId="0">
      <sharedItems containsBlank="1" containsMixedTypes="1" containsNumber="1" containsInteger="1" minValue="38" maxValue="98" count="44"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8"/>
        <n v="86"/>
        <n v="92"/>
        <n v="96"/>
        <n v="98"/>
        <s v="Z"/>
        <m/>
      </sharedItems>
    </cacheField>
    <cacheField name="FORMATO" numFmtId="0">
      <sharedItems containsBlank="1" count="21">
        <s v="CORTE"/>
        <s v="CORTE LONG"/>
        <s v="CORTE LONGITUDINAL"/>
        <s v="CORTE TOTAL "/>
        <s v="DESENHADA"/>
        <s v="DESENHADA "/>
        <s v="ESPECIAL"/>
        <s v="ESPECIAL "/>
        <s v="FORMATO"/>
        <s v="GAP"/>
        <s v="GÔNDOLA"/>
        <s v="LACRE"/>
        <s v="OVAL"/>
        <s v="PICOTE"/>
        <s v="PICOTE "/>
        <s v="REDONDA"/>
        <s v="RETA"/>
        <s v="RETA/ ESP"/>
        <s v="SERRILHA"/>
        <s v="TAG"/>
        <m/>
      </sharedItems>
    </cacheField>
    <cacheField name="TAMANHO" numFmtId="0">
      <sharedItems containsBlank="1" containsMixedTypes="1" containsNumber="1" minValue="0.9" maxValue="31" count="353">
        <n v="0.9"/>
        <n v="0.97"/>
        <n v="1.2"/>
        <n v="1.25"/>
        <n v="1.7"/>
        <n v="2"/>
        <n v="2.5"/>
        <n v="3"/>
        <n v="3.1"/>
        <n v="3.4"/>
        <n v="3.7"/>
        <n v="4"/>
        <n v="4.3"/>
        <n v="4.4"/>
        <n v="4.5"/>
        <n v="4.76"/>
        <n v="4.8"/>
        <n v="5"/>
        <n v="6"/>
        <n v="6.45"/>
        <n v="6.6"/>
        <n v="6.8"/>
        <n v="6.9"/>
        <n v="7.4"/>
        <n v="7.5"/>
        <n v="7.8"/>
        <n v="8"/>
        <n v="8.1"/>
        <n v="8.8"/>
        <n v="9.048"/>
        <n v="9.1"/>
        <n v="9.2"/>
        <n v="9.7"/>
        <n v="10"/>
        <n v="10.5"/>
        <n v="12.5"/>
        <n v="13.3"/>
        <n v="13.5"/>
        <n v="13.6"/>
        <n v="14.9"/>
        <n v="15"/>
        <n v="15.5"/>
        <n v="20"/>
        <n v="20.1"/>
        <n v="22"/>
        <n v="31"/>
        <s v="1,5x2,7"/>
        <s v="1,5x24,5"/>
        <s v="10,0X10,0"/>
        <s v="10,0x3,0"/>
        <s v="10,0X3,5"/>
        <s v="10,0x4,0"/>
        <s v="10,0X4,5"/>
        <s v="10,0X4,95"/>
        <s v="10,0x5,0"/>
        <s v="10,0X5,47"/>
        <s v="10,0X5,5"/>
        <s v="10,0X6,0"/>
        <s v="10,0x6,35"/>
        <s v="10,0x7,0"/>
        <s v="10,0X7,16"/>
        <s v="10,0x7,5"/>
        <s v="10,0X7,8"/>
        <s v="10,0X8,0"/>
        <s v="10,1X9,0"/>
        <s v="10,2X8,7"/>
        <s v="10,4X6,5"/>
        <s v="10,4X8,7"/>
        <s v="10,5x19,7"/>
        <s v="10,5X3,0"/>
        <s v="10,5X3,6"/>
        <s v="10,5X5,1"/>
        <s v="10,5X5,7"/>
        <s v="10,5X6,0"/>
        <s v="10,5X6,1"/>
        <s v="10,5X6,5"/>
        <s v="10,5x7,0"/>
        <s v="10,5X7,1"/>
        <s v="10,5X7,2"/>
        <s v="10,5x7,8"/>
        <s v="10,5X8,8"/>
        <s v="10,5X9,2"/>
        <s v="10,5X9,7"/>
        <s v="10,6X2,0"/>
        <s v="10,6X4,2"/>
        <s v="10,6X5,8"/>
        <s v="10,6x6,05"/>
        <s v="10,7X3,7"/>
        <s v="10X4,5"/>
        <s v="10X4,95"/>
        <s v="10x5"/>
        <s v="10X7,5"/>
        <s v="11,0X3,43"/>
        <s v="11,0X9,0"/>
        <s v="11,0x9,7"/>
        <s v="11,1X4,5"/>
        <s v="11,2X2,0"/>
        <s v="11,4X6,5"/>
        <s v="11,5X10,0"/>
        <s v="11,5X6,45"/>
        <s v="11,5x9,7"/>
        <s v="11,7X4,6"/>
        <s v="12,0x14,6"/>
        <s v="12,0X5,0"/>
        <s v="12,0x6,0"/>
        <s v="12,0x6,4"/>
        <s v="12,0X7,8"/>
        <s v="12,0X9,3"/>
        <s v="12,0X9,5"/>
        <s v="12,1X5,7"/>
        <s v="12,1X6,55"/>
        <s v="12,5X8,7"/>
        <s v="12,6X8,0"/>
        <s v="12,8X10,0"/>
        <s v="12,8X5,0"/>
        <s v="12,9X7,0"/>
        <s v="13,0X6,15"/>
        <s v="13,0X7,2"/>
        <s v="13,1x8,0"/>
        <s v="13,35X2,0"/>
        <s v="13,3x10,5"/>
        <s v="13,3X5,1"/>
        <s v="13,3X7,0"/>
        <s v="13,3X9,0"/>
        <s v="13,4X8,0"/>
        <s v="13,5X9,7"/>
        <s v="13,7X8,7"/>
        <s v="13X10,6"/>
        <s v="14,0X3,0"/>
        <s v="14,0X6,5"/>
        <s v="14,0X9,3"/>
        <s v="14,2X9,7"/>
        <s v="14,4X6,5"/>
        <s v="14,6X10,5"/>
        <s v="14,6X12,3"/>
        <s v="14,6X13,0"/>
        <s v="14,6X2,0"/>
        <s v="14,6X4,9"/>
        <s v="14,6x7,3"/>
        <s v="14,6X7,4"/>
        <s v="14,6X8,8"/>
        <s v="14,6X9,5"/>
        <s v="14,9X10,5"/>
        <s v="15,0X3,0"/>
        <s v="15,0X4,85"/>
        <s v="15,0X8,7"/>
        <s v="15,3X7,2"/>
        <s v="15,8X5,05"/>
        <s v="15,9x10,5"/>
        <s v="15,9X11"/>
        <s v="15,9X7,0"/>
        <s v="16,0X7,0"/>
        <s v="16,2X5"/>
        <s v="17,5X14,5"/>
        <s v="17,7X3,5"/>
        <s v="17,7X8,0"/>
        <s v="17,8x10,5"/>
        <s v="17,8X6,8"/>
        <s v="17,8X7,5"/>
        <s v="18,5X4,7"/>
        <s v="18,75X4,5"/>
        <s v="18,9x5,0"/>
        <s v="19,0X15,0"/>
        <s v="19,5X6,0"/>
        <s v="19,6X5,05"/>
        <s v="19,6X5,6"/>
        <s v="19,7x10,0"/>
        <s v="19,7x4,0"/>
        <s v="19,7X5,0"/>
        <s v="19,7X6,2"/>
        <s v="19,7x6,9"/>
        <s v="19,7x7,9"/>
        <s v="19,7X9"/>
        <s v="19,7X9,0"/>
        <s v="19,8X10,0"/>
        <s v="2,0X1,5"/>
        <s v="2,4X1,4"/>
        <s v="2,5X1,5"/>
        <s v="2,5X5,0"/>
        <s v="2,7X4,6"/>
        <s v="2,8x4,3"/>
        <s v="20,0X3,0"/>
        <s v="20,5X15"/>
        <s v="21,0X4,0"/>
        <s v="21,0X7,0"/>
        <s v="21,1x14,8"/>
        <s v="22,0x5,0"/>
        <s v="22,7x10,5"/>
        <s v="23,0X4,5"/>
        <s v="24,5X5,5"/>
        <s v="29,2X2,5"/>
        <s v="3,0X1,8"/>
        <s v="3,0X2,0"/>
        <s v="3,0X2,5"/>
        <s v="3,0X2,8"/>
        <s v="3,0x4,8"/>
        <s v="3,0x6,6"/>
        <s v="3,1X2,1"/>
        <s v="3,2X1,2"/>
        <s v="3,2X1,6"/>
        <s v="3,2X1,8"/>
        <s v="3,2X2,1"/>
        <s v="3,3,X2,2"/>
        <s v="3,4X1,4"/>
        <s v="3,4X2,2"/>
        <s v="3,4X2,3"/>
        <s v="3,6X5,5"/>
        <s v="3,8X2,8"/>
        <s v="3,8x7,2"/>
        <s v="3,95X2,0"/>
        <s v="30,1X3,0"/>
        <s v="30,1X6,3"/>
        <s v="30,7x10,5"/>
        <s v="30,7X3,0"/>
        <s v="30,7X3,5"/>
        <s v="30,7X6,3"/>
        <s v="4,0X1,0"/>
        <s v="4,0X2,1"/>
        <s v="4,0X2,2"/>
        <s v="4,0X3,9"/>
        <s v="4,0X4,0"/>
        <s v="4,0X6,0"/>
        <s v="4,1X1,0"/>
        <s v="4,1X2,0"/>
        <s v="4,2X2,5"/>
        <s v="4,3X3,4"/>
        <s v="4,3X6,3"/>
        <s v="4,5X2,0"/>
        <s v="4,5X2,6"/>
        <s v="4,5X6,3"/>
        <s v="4,6x2,5"/>
        <s v="4,7X3,0"/>
        <s v="4,7X3,8"/>
        <s v="4,7X4,4"/>
        <s v="4,7X6,0"/>
        <s v="4,8X4,0"/>
        <s v="4,8X6,8"/>
        <s v="5,0X10"/>
        <s v="5,0x15,9"/>
        <s v="5,0x2,0"/>
        <s v="5,0X2,5"/>
        <s v="5,0x3,0"/>
        <s v="5,0X3,3"/>
        <s v="5,0x3,5"/>
        <s v="5,0x4,0"/>
        <s v="5,0X7,0"/>
        <s v="5,2X7,8"/>
        <s v="5,3X3,2"/>
        <s v="5,3X4,7"/>
        <s v="5,4X4,5"/>
        <s v="5,5X3,3"/>
        <s v="5,5X3,5"/>
        <s v="5,5X7,5"/>
        <s v="5,7X3,0"/>
        <s v="5,8x3,0"/>
        <s v="5,8X3,8"/>
        <s v="5,9X4,0"/>
        <s v="5,9X5,0"/>
        <s v="6,0x1,5"/>
        <s v="6,0x11,0"/>
        <s v="6,0X11,5"/>
        <s v="6,0x12,0"/>
        <s v="6,0X3,0"/>
        <s v="6,0X3,3"/>
        <s v="6,0X4,0"/>
        <s v="6,0X4,5"/>
        <s v="6,0X4,9"/>
        <s v="6,0X5,0"/>
        <s v="6,0X5,7"/>
        <s v="6,0X7,0"/>
        <s v="6,0X9,8"/>
        <s v="6,3X0,6"/>
        <s v="6,3X3,5"/>
        <s v="6,4x3,5"/>
        <s v="6,4X9,4"/>
        <s v="6,5X4,15"/>
        <s v="6,5X5,0"/>
        <s v="6,5X6,1"/>
        <s v="6,7X0,9"/>
        <s v="6,7X9,7"/>
        <s v="6,8X11,5"/>
        <s v="6,8x4,8"/>
        <s v="6,8X5,7"/>
        <s v="6,9X2,7"/>
        <s v="7,0x1,5"/>
        <s v="7,0X3,48"/>
        <s v="7,0x4,0"/>
        <s v="7,0x5,0"/>
        <s v="7,1X6,0"/>
        <s v="7,2X1,1"/>
        <s v="7,2X6,1"/>
        <s v="7,3x5,2"/>
        <s v="7,4X3,4"/>
        <s v="7,5X2,5"/>
        <s v="7,5x4,7"/>
        <s v="7,5X4,8"/>
        <s v="7,5X6,5"/>
        <s v="7,8X4,9"/>
        <s v="7,95X4,0"/>
        <s v="7X5"/>
        <s v="8,0X12,4"/>
        <s v="8,0X2,9"/>
        <s v="8,0x5,7"/>
        <s v="8,0X6,0"/>
        <s v="8,0X7,5"/>
        <s v="8,0X8,0"/>
        <s v="8,3x1,9"/>
        <s v="8,4X5,6"/>
        <s v="8,5X4,3"/>
        <s v="8,5x4,6"/>
        <s v="8,5x6,0"/>
        <s v="8,5x6,4"/>
        <s v="8,6X6,6"/>
        <s v="8,7x14,6"/>
        <s v="8,7X7,5"/>
        <s v="8,9X6,1"/>
        <s v="9,0x1,2"/>
        <s v="9,0X1,3"/>
        <s v="9,0X1,9"/>
        <s v="9,0X2,4"/>
        <s v="9,0x6,0"/>
        <s v="9,1X6,5"/>
        <s v="9,1X7,1"/>
        <s v="9,2X6,0"/>
        <s v="9,3X7,4"/>
        <s v="9,5X12,0"/>
        <s v="9,5X3,0"/>
        <s v="9,5X3,3"/>
        <s v="9,5X3,5"/>
        <s v="9,5X3,51"/>
        <s v="9,5X7,9"/>
        <s v="9,5x9,2"/>
        <s v="9,6X5,8"/>
        <s v="9,6X6,5"/>
        <s v="9,7X6,0"/>
        <s v="9,7X6,4"/>
        <s v="9,7X7,0"/>
        <s v="9,7X7,6"/>
        <s v="9,8X6,0"/>
        <s v="9,9X5,9"/>
        <s v="9,9x8,7"/>
        <s v="9X2,4"/>
        <s v="Ø  2,0"/>
        <s v="Ø  9,0"/>
        <s v="Ø 0,9"/>
        <s v="Ø 3,2"/>
        <s v="Ø 4,2"/>
        <s v="Ø 4,5"/>
        <s v="Ø 5,0"/>
        <s v="Ø 6,0"/>
        <s v="REMALINA"/>
        <s v="TAMANHO"/>
        <m/>
      </sharedItems>
    </cacheField>
    <cacheField name="PUXADA" numFmtId="0">
      <sharedItems containsBlank="1" containsMixedTypes="1" containsNumber="1" minValue="0.9" maxValue="31.0807" count="196">
        <n v="0.9"/>
        <n v="0.900563333333333"/>
        <n v="0.97"/>
        <n v="1.2"/>
        <n v="1.24217083333333"/>
        <n v="1.25"/>
        <n v="1.39939545454545"/>
        <n v="1.476505"/>
        <n v="1.49225"/>
        <n v="1.5"/>
        <n v="1.6"/>
        <n v="1.6492875"/>
        <n v="1.7"/>
        <n v="1.71037222222222"/>
        <n v="1.76709375"/>
        <n v="1.86325625"/>
        <n v="2"/>
        <n v="2.09433333333333"/>
        <n v="2.1034375"/>
        <n v="2.22005"/>
        <n v="2.25140833333333"/>
        <n v="2.27290833333333"/>
        <n v="2.3"/>
        <n v="2.30376666666667"/>
        <n v="2.48434166666667"/>
        <n v="2.5132"/>
        <n v="2.59291666666667"/>
        <n v="2.63886"/>
        <n v="2.695775"/>
        <n v="2.7"/>
        <n v="2.70169"/>
        <n v="2.72749"/>
        <n v="2.8"/>
        <n v="2.80458333333333"/>
        <n v="2.82735"/>
        <n v="2.984425"/>
        <n v="3"/>
        <n v="3.08088571428571"/>
        <n v="3.1"/>
        <n v="3.1415"/>
        <n v="3.298575"/>
        <n v="3.3"/>
        <n v="3.302"/>
        <n v="3.330075"/>
        <n v="3.33375"/>
        <n v="3.4"/>
        <n v="3.4093625"/>
        <n v="3.5"/>
        <n v="3.59436666666667"/>
        <n v="3.59833333333333"/>
        <n v="3.61551"/>
        <n v="3.7265125"/>
        <n v="3.7698"/>
        <n v="3.8058"/>
        <n v="3.81"/>
        <n v="3.8483375"/>
        <n v="3.9"/>
        <n v="4"/>
        <n v="4.0005"/>
        <n v="4.0436625"/>
        <n v="4.048125"/>
        <n v="4.241025"/>
        <n v="4.281525"/>
        <n v="4.28625"/>
        <n v="4.29338333333333"/>
        <n v="4.3"/>
        <n v="4.31324"/>
        <n v="4.3981"/>
        <n v="4.4"/>
        <n v="4.4766375"/>
        <n v="4.5"/>
        <n v="4.50281666666667"/>
        <n v="4.5193875"/>
        <n v="4.54581666666667"/>
        <n v="4.6"/>
        <n v="4.683125"/>
        <n v="4.75725"/>
        <n v="4.8"/>
        <n v="4.81696666666667"/>
        <n v="4.96868333333333"/>
        <n v="4.97416666666667"/>
        <n v="4.9951125"/>
        <n v="5"/>
        <n v="5.0264"/>
        <n v="5.1"/>
        <n v="5.18011666666667"/>
        <n v="5.18583333333333"/>
        <n v="5.2"/>
        <n v="5.23583333333333"/>
        <n v="5.28583333333333"/>
        <n v="5.3"/>
        <n v="5.39155"/>
        <n v="5.5"/>
        <n v="5.54998333333333"/>
        <n v="5.7087"/>
        <n v="5.75941666666667"/>
        <n v="5.8"/>
        <n v="5.86413333333333"/>
        <n v="5.867275"/>
        <n v="5.96885"/>
        <n v="6"/>
        <n v="6.02585"/>
        <n v="6.184425"/>
        <n v="6.283"/>
        <n v="6.3"/>
        <n v="6.343"/>
        <n v="6.35"/>
        <n v="6.59715"/>
        <n v="6.6"/>
        <n v="6.66015"/>
        <n v="6.6675"/>
        <n v="6.75"/>
        <n v="6.8"/>
        <n v="6.818725"/>
        <n v="7"/>
        <n v="7.2"/>
        <n v="7.29445"/>
        <n v="7.3025"/>
        <n v="7.33016666666667"/>
        <n v="7.4"/>
        <n v="7.453025"/>
        <n v="7.5"/>
        <n v="7.8"/>
        <n v="7.83166666666667"/>
        <n v="7.85375"/>
        <n v="8"/>
        <n v="8.087325"/>
        <n v="8.09625"/>
        <n v="8.1"/>
        <n v="8.1679"/>
        <n v="8.2459"/>
        <n v="8.255"/>
        <n v="8.56305"/>
        <n v="8.953275"/>
        <n v="9.038775"/>
        <n v="9.09163333333333"/>
        <n v="9.1"/>
        <n v="9.2"/>
        <n v="9.3"/>
        <n v="9.36625"/>
        <n v="9.4"/>
        <n v="9.5"/>
        <n v="9.5145"/>
        <n v="9.68375"/>
        <n v="9.990225"/>
        <n v="10"/>
        <n v="10.00125"/>
        <n v="10.0528"/>
        <n v="10.31875"/>
        <n v="10.36695"/>
        <n v="10.46595"/>
        <n v="10.5"/>
        <n v="10.7831"/>
        <n v="10.795"/>
        <n v="10.8"/>
        <n v="10.941675"/>
        <n v="11.258825"/>
        <n v="11.3094"/>
        <n v="11.73455"/>
        <n v="11.7475"/>
        <n v="11.780625"/>
        <n v="12.36885"/>
        <n v="12.88015"/>
        <n v="13.1943"/>
        <n v="13.5"/>
        <n v="13.6"/>
        <n v="13.63745"/>
        <n v="14.9"/>
        <n v="14.90605"/>
        <n v="15"/>
        <n v="15.24"/>
        <n v="15.39335"/>
        <n v="15.5"/>
        <n v="16.17465"/>
        <n v="16.1925"/>
        <n v="16.2"/>
        <n v="16.3358"/>
        <n v="17.90655"/>
        <n v="18.07755"/>
        <n v="18.7325"/>
        <n v="19.029"/>
        <n v="19.3675"/>
        <n v="19.4773"/>
        <n v="19.98045"/>
        <n v="20"/>
        <n v="20.1"/>
        <n v="20.1056"/>
        <n v="20.9319"/>
        <n v="21.5662"/>
        <n v="22.93295"/>
        <n v="24.7377"/>
        <n v="29.2"/>
        <n v="30.4464"/>
        <n v="31.0807"/>
        <s v="PUXADA"/>
        <m/>
      </sharedItems>
    </cacheField>
    <cacheField name="LARGURA" numFmtId="0">
      <sharedItems containsBlank="1" containsMixedTypes="1" containsNumber="1" minValue="2" maxValue="900" count="72">
        <n v="2"/>
        <n v="2.3"/>
        <n v="2.5"/>
        <n v="2.7"/>
        <n v="3"/>
        <n v="3.3"/>
        <n v="3.5"/>
        <n v="3.8"/>
        <n v="4"/>
        <n v="4.2"/>
        <n v="4.5"/>
        <n v="4.7"/>
        <n v="4.8"/>
        <n v="5"/>
        <n v="5.3"/>
        <n v="5.5"/>
        <n v="6"/>
        <n v="6.5"/>
        <n v="6.6"/>
        <n v="6.7"/>
        <n v="6.8"/>
        <n v="6.85"/>
        <n v="7"/>
        <n v="7.3"/>
        <n v="7.5"/>
        <n v="7.7"/>
        <n v="7.8"/>
        <n v="8"/>
        <n v="8.3"/>
        <n v="8.5"/>
        <n v="8.8"/>
        <n v="9"/>
        <n v="9.5"/>
        <n v="9.8"/>
        <n v="10"/>
        <n v="10.4"/>
        <n v="10.5"/>
        <n v="11"/>
        <n v="11.2"/>
        <n v="11.5"/>
        <n v="12"/>
        <n v="12.5"/>
        <n v="13"/>
        <n v="13.5"/>
        <n v="13.8"/>
        <n v="14"/>
        <n v="14.5"/>
        <n v="15"/>
        <n v="15.5"/>
        <n v="15.7"/>
        <n v="15.8"/>
        <n v="16"/>
        <n v="16.3"/>
        <n v="17"/>
        <n v="17.5"/>
        <n v="18"/>
        <n v="18.7"/>
        <n v="19"/>
        <n v="20"/>
        <n v="21"/>
        <n v="21.5"/>
        <n v="22"/>
        <n v="23.5"/>
        <n v="24"/>
        <n v="25"/>
        <n v="60"/>
        <n v="125"/>
        <n v="180"/>
        <n v="230"/>
        <n v="900"/>
        <s v="LARGURA"/>
        <m/>
      </sharedItems>
    </cacheField>
    <cacheField name="REP" numFmtId="0">
      <sharedItems containsBlank="1" containsMixedTypes="1" containsNumber="1" minValue="1" maxValue="15.064625" count="41">
        <n v="1"/>
        <n v="1.00275367647059"/>
        <n v="1.01018148148148"/>
        <n v="1.02537218045113"/>
        <n v="1.090996"/>
        <n v="1.98747333333333"/>
        <n v="1.998045"/>
        <n v="2"/>
        <n v="2.00550735294118"/>
        <n v="2.05984020618557"/>
        <n v="2.06836956521739"/>
        <n v="2.07367307692308"/>
        <n v="2.97168918918919"/>
        <n v="2.98121"/>
        <n v="3"/>
        <n v="3.012925"/>
        <n v="3.01584"/>
        <n v="3.09774418604651"/>
        <n v="3.10542708333333"/>
        <n v="3.1715"/>
        <n v="4"/>
        <n v="4.01101470588235"/>
        <n v="4.01723333333333"/>
        <n v="4.37152702702703"/>
        <n v="4.39917741935484"/>
        <n v="5"/>
        <n v="5.45498"/>
        <n v="6"/>
        <n v="7"/>
        <n v="8"/>
        <n v="9"/>
        <n v="10"/>
        <n v="11"/>
        <n v="12"/>
        <n v="14"/>
        <n v="15"/>
        <n v="15.0093888888889"/>
        <n v="15.064625"/>
        <s v="***"/>
        <s v="REP"/>
        <m/>
      </sharedItems>
    </cacheField>
    <cacheField name="CIL" numFmtId="0">
      <sharedItems containsBlank="1" containsMixedTypes="1" containsNumber="1" containsInteger="1" minValue="0" maxValue="6" count="12">
        <n v="0"/>
        <n v="1"/>
        <n v="2"/>
        <n v="3"/>
        <n v="4"/>
        <n v="5"/>
        <n v="6"/>
        <s v="*"/>
        <s v="**"/>
        <s v="***"/>
        <s v="CIL"/>
        <m/>
      </sharedItems>
    </cacheField>
    <cacheField name="COL" numFmtId="0">
      <sharedItems containsBlank="1" containsMixedTypes="1" containsNumber="1" containsInteger="1" minValue="1" maxValue="6" count="12">
        <n v="1"/>
        <n v="2"/>
        <n v="3"/>
        <n v="4"/>
        <n v="5"/>
        <n v="6"/>
        <s v="*"/>
        <s v="**"/>
        <s v="**."/>
        <s v="***"/>
        <s v="COL"/>
        <m/>
      </sharedItems>
    </cacheField>
    <cacheField name="CLIENTE " numFmtId="0">
      <sharedItems containsBlank="1" count="257">
        <s v=" 2 COL 1COL ESTRAGADA"/>
        <s v=" REDE LUCAS - QUALIDADE"/>
        <s v="1 COLUNA ESTRAGADA"/>
        <s v="2 COL 1 ESTRAGADA"/>
        <s v="ABELHINHA "/>
        <s v="AÇAI NATIVO"/>
        <s v="AÇAÍ NATIVO"/>
        <s v="ADVANTA "/>
        <s v="AGROLEITE"/>
        <s v="ALFA E BETO"/>
        <s v="ALVES E MORAES"/>
        <s v="AMANDA"/>
        <s v="AMERICANA"/>
        <s v="AMERICANAS"/>
        <s v="AMPULHETA"/>
        <s v="APIARIO "/>
        <s v="APIARIO PEQUENA "/>
        <s v="ARCOM"/>
        <s v="ATÉ 10,0 LARGURA"/>
        <s v="AUTO SOCORRO PH"/>
        <s v="BABUSKA "/>
        <s v="BADIÃO"/>
        <s v="BAKED BROWNIE"/>
        <s v="BIJOUX"/>
        <s v="BIOPHARMA"/>
        <s v="BISC REI "/>
        <s v="BOM DE MINAS"/>
        <s v="BOTHANICA"/>
        <s v="BOTTONS"/>
        <s v="BOX CHICO/QUEIJO"/>
        <s v="BOX DO CHICO"/>
        <s v="BRAHVA"/>
        <s v="C/ PICOTE SUNQ"/>
        <s v="CACHAÇA GOIAN."/>
        <s v="CAFÉ DUBOM "/>
        <s v="CALU"/>
        <s v="CALU "/>
        <s v="CAR. LANCHES"/>
        <s v="CARTORIO + LACRE "/>
        <s v="CASA FRANGO"/>
        <s v="CASA SHAMPOO"/>
        <s v="CASINHA"/>
        <s v="CENTRAL GARDEN"/>
        <s v="CHÃO DE MINAS"/>
        <s v="CHÃO DE MINAS GRANDE"/>
        <s v="CHÃO DE MINAS PEQ"/>
        <s v="CHOC. BRASIL"/>
        <s v="CITROBELL"/>
        <s v="CLIENTE "/>
        <s v="CONJ BOX DO CHICO"/>
        <s v="COOPERVALE "/>
        <s v="COQUEIROS "/>
        <s v="CORAÇÃO"/>
        <s v="CORREIO"/>
        <s v="CORREIOS"/>
        <s v="CORREIOS "/>
        <s v="CORTE LONGITUDINAL "/>
        <s v="COUCHE"/>
        <s v="CREMOSINHO"/>
        <s v="CTBC"/>
        <s v="D VILLE"/>
        <s v="D VILLE "/>
        <s v="D VILLE / LOS PALOCOS"/>
        <s v="DAIWA"/>
        <s v="DAIWA / ORTHOMED"/>
        <s v="DAKI"/>
        <s v="DAKI "/>
        <s v="DELICIAS ARAXÁ"/>
        <s v="DELÍCIAS DO MILHO"/>
        <s v="DESPACHO "/>
        <s v="DHL"/>
        <s v="DOCE MANIA"/>
        <s v="DOCELÂNDIA"/>
        <s v="DOCES ABAETE"/>
        <s v="DOCES BARBAROS"/>
        <s v="DOCES FLÁVIA "/>
        <s v="DOCES JOANINHA"/>
        <s v="DONA DINDA"/>
        <s v="DONNUTS"/>
        <s v="DURALAR"/>
        <s v="EMEL ESPELHADA"/>
        <s v="EMELL"/>
        <s v="EMELL COM INTERVALO "/>
        <s v="EMELL/FARMA"/>
        <s v="EMPORIO CASTANHAS"/>
        <s v="EQUIPLEX"/>
        <s v="ESPETO MANIA"/>
        <s v="ESPETO MANIA "/>
        <s v="ESPETO/DNA DINDA"/>
        <s v="EXPRESSO ALIM."/>
        <s v="FACA "/>
        <s v="FACA CONSERTO "/>
        <s v="FAMA"/>
        <s v="FAMA "/>
        <s v="FAMA DOCES"/>
        <s v="FARINHAS"/>
        <s v="FARINHAS "/>
        <s v="FARMA"/>
        <s v="FAZ. JARDIM"/>
        <s v="FERRO VELHO "/>
        <s v="FLAMBOYANT"/>
        <s v="FOX CLUB"/>
        <s v="FRIGO FAVA"/>
        <s v="FRUTOS DA TERRA"/>
        <s v="GABRIELA FLORES"/>
        <s v="GERRE"/>
        <s v="GOIANINHA"/>
        <s v="GRAF. CONFIANÇA"/>
        <s v="GUARANA MINEIRO"/>
        <s v="HERMON"/>
        <s v="HORTIS"/>
        <s v="HOSP. AMPULHETA"/>
        <s v="HOSPITAIS"/>
        <s v="IMUNO VIDA "/>
        <s v="INATA AUTOGENA "/>
        <s v="INATA BLISTER"/>
        <s v="INDUSAT"/>
        <s v="INDUSAT "/>
        <s v="INDUSAT sem intervalo"/>
        <s v="INOVAFIX"/>
        <s v="IPAC"/>
        <s v="IPAC (SORO)"/>
        <s v="IRINEU"/>
        <s v="JUNCO S/ INTERV"/>
        <s v="LACRE DE QUALIDADE"/>
        <s v="LAUDO"/>
        <s v="LC MILHO"/>
        <s v="LEAL / LUNASA"/>
        <s v="LOGISTICA"/>
        <s v="LOGÍSTICA"/>
        <s v="LOJA DOCE 2 FACAS "/>
        <s v="LUCITAR"/>
        <s v="LUNASA"/>
        <s v="MADRECOR"/>
        <s v="MAG OFERTÃO"/>
        <s v="MAMÃO"/>
        <s v="MANSU"/>
        <s v="MARICOTA"/>
        <s v="MARMOREIO"/>
        <s v="MARTINS COM SERRILHA"/>
        <s v="MAX GAS"/>
        <s v="MEGA FRUTAS - PIC NA FACA"/>
        <s v="MELHOR DE MINAS"/>
        <s v="MELORY"/>
        <s v="MERC TABAJARAS"/>
        <s v="MERCADO LIVRE"/>
        <s v="MILHO FORTE"/>
        <s v="MILI BIJOUX"/>
        <s v="MINAS PATIO"/>
        <s v="MINAS PEPPER"/>
        <s v="MOREA"/>
        <s v="NÃO USAR A FACA SÃO JOSE"/>
        <s v="NATIVA/QDELIS"/>
        <s v="NHO BENTO"/>
        <s v="NIWNEY/NAGLE"/>
        <s v="NOSSO PÃO "/>
        <s v="OF. QUEIJO"/>
        <s v="ORTHOMED"/>
        <s v="OVAL"/>
        <s v="PANIF. REGIA"/>
        <s v="PANSERVICE"/>
        <s v="PAPAYA TRIANG."/>
        <s v="PARA LAMINAÇÃO"/>
        <s v="PATI BO"/>
        <s v="PEIXOTO"/>
        <s v="PET SHOP EST."/>
        <s v="PHORMULA"/>
        <s v="PICOTE"/>
        <s v="PICOTE /MINAS PATIO"/>
        <s v="PORTA FACAS"/>
        <s v="PRECIOSO/NUNES"/>
        <s v="PRO SABOR"/>
        <s v="PULSEIRA "/>
        <s v="QUEIJINHO"/>
        <s v="QUEIJO MILITÃO"/>
        <s v="RAREPAN"/>
        <s v="REDE INTEGRAÇÃO"/>
        <s v="REDE LUCAS"/>
        <s v="REDE LUCAS SUCOS "/>
        <s v="REF UDIA "/>
        <s v="REI DO BARALHO "/>
        <s v="REIMASSAS"/>
        <s v="REMALINA SELECTA"/>
        <s v="RETA "/>
        <s v="RIC SAR"/>
        <s v="SA ALIMENTOS"/>
        <s v="SABOR DA ROÇA"/>
        <s v="SABORAI"/>
        <s v="SABORAÍ"/>
        <s v="SABORIO"/>
        <s v="SANTA CLARA"/>
        <s v="SÃO JOSE"/>
        <s v="SAÚDE TOTAL"/>
        <s v="SCALA"/>
        <s v="SELECTA"/>
        <s v="SELECTA "/>
        <s v="SELO DE QUALIDADE"/>
        <s v="SEM DONO"/>
        <s v="sem int ALEX MUSSI"/>
        <s v="SERRILHA"/>
        <s v="SERRILHA / 5 CERTOS"/>
        <s v="SIGNO PLUS"/>
        <s v="SORV. MATIAS"/>
        <s v="SORVETERIAS"/>
        <s v="SORVETERIAS 2 FACAS IGUAIS"/>
        <s v="SOS ALIMENTOS"/>
        <s v="SOUZA CRUZ"/>
        <s v="SOUZA CRUZ "/>
        <s v="SPICE BOX "/>
        <s v="START"/>
        <s v="SUNQUIMICA"/>
        <s v="SUNQUÍMICA"/>
        <s v="SUPER BIJOUX"/>
        <s v="SUPER MAXI"/>
        <s v="SUPER MAXI "/>
        <s v="SUPER MAXI AÇOUGUE"/>
        <s v="SUPER MAXI FEITO PARA VC"/>
        <s v="SUPER MAXI LACRE"/>
        <s v="SUPER MAXI PADARIA"/>
        <s v="SUPER MAXI PADARIA "/>
        <s v="SUPER MAXI PRATOS PRONTOS "/>
        <s v="SUPER MAXI SALADA "/>
        <s v="SUPER MAXI SALADA DE FRUTAS "/>
        <s v="SUPER MAXI SUCOS "/>
        <s v="SUPERMERCADO"/>
        <s v="SUPPORTE"/>
        <s v="SUSPIRINHO"/>
        <s v="SYNGENTA"/>
        <s v="TABAJARAS"/>
        <s v="TAG ROUPAS"/>
        <s v="TAPEÇARIA S. LUIS"/>
        <s v="TEMPERO 2 IRMÃOS "/>
        <s v="TERMICA"/>
        <s v="TÉRMICA"/>
        <s v="TERMICA AMASSOU 1C"/>
        <s v="TERMICA STA GENOVEVA "/>
        <s v="TERMICAS"/>
        <s v="TÉRMICAS"/>
        <s v="TERRA MINEIRA "/>
        <s v="TITA"/>
        <s v="TOMATE CEREJA"/>
        <s v="TRANSLOG ARGUTO "/>
        <s v="TREBESHI"/>
        <s v="TURBO ERVAS"/>
        <s v="UBERTRATORES"/>
        <s v="UDIFRIOS"/>
        <s v="UNICAMP"/>
        <s v="VERDURAS "/>
        <s v="VIEIRA TANNUS"/>
        <s v="VIVA DIET"/>
        <s v="VIVA ESQUADRIAS"/>
        <s v="VIVA ESQUADRIAS "/>
        <s v="VO CLEUSA"/>
        <s v="VO CLEUSA "/>
        <s v="VULCAFLEX"/>
        <s v="VULCAFLEX LACRE"/>
        <m/>
      </sharedItems>
    </cacheField>
    <cacheField name="MAQ" numFmtId="0">
      <sharedItems containsBlank="1" count="12">
        <s v="                        C/  INTERVALO"/>
        <s v="                   BETA"/>
        <s v="BET / REF"/>
        <s v="BETA"/>
        <s v="BETA "/>
        <s v="BETA / ETI"/>
        <s v="C/ PICOTE"/>
        <s v="ETI / REF"/>
        <s v="MAQ"/>
        <s v="REF"/>
        <s v="SEM INTERVALO"/>
        <m/>
      </sharedItems>
    </cacheField>
    <cacheField name="Column15" numFmtId="0">
      <sharedItems containsString="0" containsBlank="1" count="1">
        <m/>
      </sharedItems>
    </cacheField>
    <cacheField name="Column16" numFmtId="0">
      <sharedItems containsBlank="1" count="37">
        <s v="6,4X8,5 BETA"/>
        <s v="BETA"/>
        <s v="C/ INTER 3 E 6 COL TEM 2 FACAS"/>
        <s v="C/ INTERVALO"/>
        <s v="C/ INTERVALO 2 FACAS"/>
        <s v="CONJUGADA "/>
        <s v="DES 4,7X7,5 / 4,7X3,8"/>
        <s v="DES 6,35X10,0"/>
        <s v="DES 7,8X4,9"/>
        <s v="DES 9,2X6,0, OVAL 4,5X2,2"/>
        <s v="DES 9,2X6,0, RED 9,1"/>
        <s v="DES. 9X1,2"/>
        <s v="ESP 10X4"/>
        <s v="ESP 3,2X1,2"/>
        <s v="ESP 3,6X5,5"/>
        <s v="ESP 5,0X3,0"/>
        <s v="ESP 9,5X3,3"/>
        <s v="ESP 9,8X6,0 usa reta "/>
        <s v="FACA 1"/>
        <s v="FACA 2"/>
        <s v="INTERVALO ERRADO"/>
        <s v="não achou a faca"/>
        <s v="OVAL 4,5X2,0, RED 9,1"/>
        <s v="OVAL 4,7X6,0/ DES 4,7X3,8"/>
        <s v="OVAL 4,7X6,0/ DES 4,7X7,5"/>
        <s v="PICOTE"/>
        <s v="RED 9,1/ OVAL 4,5X2,0/DES 9,2X6,0"/>
        <s v="RED. 10,5 , OVAL 10,5X6,1"/>
        <s v="RED. 10,5 , RED 6,9"/>
        <s v="RED. 6,9, OVAL 10,5X6,1"/>
        <s v="RETA 10"/>
        <s v="RETA 10CM"/>
        <s v="RETA 4CM "/>
        <s v="RETA 6,6"/>
        <s v="RETA 8,1"/>
        <s v="SERRILHA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1">
  <r>
    <x v="0"/>
    <x v="102"/>
    <x v="1"/>
    <x v="129"/>
    <x v="42"/>
    <x v="8"/>
    <x v="351"/>
    <x v="194"/>
    <x v="70"/>
    <x v="39"/>
    <x v="10"/>
    <x v="10"/>
    <x v="48"/>
    <x v="8"/>
    <x v="0"/>
    <x v="36"/>
  </r>
  <r>
    <x v="0"/>
    <x v="130"/>
    <x v="9"/>
    <x v="16"/>
    <x v="5"/>
    <x v="16"/>
    <x v="0"/>
    <x v="0"/>
    <x v="5"/>
    <x v="36"/>
    <x v="3"/>
    <x v="6"/>
    <x v="256"/>
    <x v="11"/>
    <x v="0"/>
    <x v="36"/>
  </r>
  <r>
    <x v="0"/>
    <x v="146"/>
    <x v="6"/>
    <x v="0"/>
    <x v="2"/>
    <x v="16"/>
    <x v="3"/>
    <x v="5"/>
    <x v="37"/>
    <x v="31"/>
    <x v="3"/>
    <x v="6"/>
    <x v="151"/>
    <x v="11"/>
    <x v="0"/>
    <x v="36"/>
  </r>
  <r>
    <x v="0"/>
    <x v="203"/>
    <x v="7"/>
    <x v="1"/>
    <x v="4"/>
    <x v="16"/>
    <x v="4"/>
    <x v="12"/>
    <x v="27"/>
    <x v="29"/>
    <x v="3"/>
    <x v="6"/>
    <x v="180"/>
    <x v="11"/>
    <x v="0"/>
    <x v="36"/>
  </r>
  <r>
    <x v="0"/>
    <x v="203"/>
    <x v="5"/>
    <x v="2"/>
    <x v="19"/>
    <x v="16"/>
    <x v="7"/>
    <x v="36"/>
    <x v="37"/>
    <x v="27"/>
    <x v="3"/>
    <x v="6"/>
    <x v="169"/>
    <x v="11"/>
    <x v="0"/>
    <x v="36"/>
  </r>
  <r>
    <x v="0"/>
    <x v="203"/>
    <x v="7"/>
    <x v="3"/>
    <x v="19"/>
    <x v="16"/>
    <x v="7"/>
    <x v="36"/>
    <x v="36"/>
    <x v="27"/>
    <x v="3"/>
    <x v="6"/>
    <x v="169"/>
    <x v="11"/>
    <x v="0"/>
    <x v="36"/>
  </r>
  <r>
    <x v="0"/>
    <x v="203"/>
    <x v="7"/>
    <x v="4"/>
    <x v="14"/>
    <x v="16"/>
    <x v="11"/>
    <x v="57"/>
    <x v="37"/>
    <x v="20"/>
    <x v="3"/>
    <x v="6"/>
    <x v="256"/>
    <x v="11"/>
    <x v="0"/>
    <x v="36"/>
  </r>
  <r>
    <x v="0"/>
    <x v="203"/>
    <x v="7"/>
    <x v="5"/>
    <x v="4"/>
    <x v="16"/>
    <x v="13"/>
    <x v="68"/>
    <x v="37"/>
    <x v="14"/>
    <x v="3"/>
    <x v="6"/>
    <x v="256"/>
    <x v="11"/>
    <x v="0"/>
    <x v="36"/>
  </r>
  <r>
    <x v="0"/>
    <x v="203"/>
    <x v="7"/>
    <x v="6"/>
    <x v="10"/>
    <x v="16"/>
    <x v="17"/>
    <x v="82"/>
    <x v="37"/>
    <x v="14"/>
    <x v="3"/>
    <x v="6"/>
    <x v="256"/>
    <x v="7"/>
    <x v="0"/>
    <x v="36"/>
  </r>
  <r>
    <x v="0"/>
    <x v="203"/>
    <x v="12"/>
    <x v="15"/>
    <x v="10"/>
    <x v="16"/>
    <x v="17"/>
    <x v="82"/>
    <x v="42"/>
    <x v="16"/>
    <x v="3"/>
    <x v="6"/>
    <x v="256"/>
    <x v="11"/>
    <x v="0"/>
    <x v="36"/>
  </r>
  <r>
    <x v="0"/>
    <x v="203"/>
    <x v="7"/>
    <x v="7"/>
    <x v="19"/>
    <x v="16"/>
    <x v="18"/>
    <x v="100"/>
    <x v="37"/>
    <x v="14"/>
    <x v="3"/>
    <x v="6"/>
    <x v="256"/>
    <x v="11"/>
    <x v="0"/>
    <x v="36"/>
  </r>
  <r>
    <x v="0"/>
    <x v="203"/>
    <x v="7"/>
    <x v="8"/>
    <x v="19"/>
    <x v="16"/>
    <x v="18"/>
    <x v="100"/>
    <x v="37"/>
    <x v="14"/>
    <x v="3"/>
    <x v="6"/>
    <x v="256"/>
    <x v="9"/>
    <x v="0"/>
    <x v="36"/>
  </r>
  <r>
    <x v="0"/>
    <x v="203"/>
    <x v="7"/>
    <x v="9"/>
    <x v="31"/>
    <x v="16"/>
    <x v="23"/>
    <x v="119"/>
    <x v="36"/>
    <x v="14"/>
    <x v="3"/>
    <x v="6"/>
    <x v="256"/>
    <x v="7"/>
    <x v="0"/>
    <x v="36"/>
  </r>
  <r>
    <x v="0"/>
    <x v="203"/>
    <x v="7"/>
    <x v="14"/>
    <x v="31"/>
    <x v="16"/>
    <x v="23"/>
    <x v="119"/>
    <x v="40"/>
    <x v="12"/>
    <x v="3"/>
    <x v="6"/>
    <x v="256"/>
    <x v="11"/>
    <x v="0"/>
    <x v="36"/>
  </r>
  <r>
    <x v="0"/>
    <x v="203"/>
    <x v="7"/>
    <x v="10"/>
    <x v="14"/>
    <x v="16"/>
    <x v="26"/>
    <x v="125"/>
    <x v="37"/>
    <x v="7"/>
    <x v="3"/>
    <x v="6"/>
    <x v="256"/>
    <x v="11"/>
    <x v="0"/>
    <x v="36"/>
  </r>
  <r>
    <x v="0"/>
    <x v="203"/>
    <x v="7"/>
    <x v="11"/>
    <x v="28"/>
    <x v="16"/>
    <x v="34"/>
    <x v="151"/>
    <x v="37"/>
    <x v="7"/>
    <x v="3"/>
    <x v="6"/>
    <x v="247"/>
    <x v="11"/>
    <x v="0"/>
    <x v="36"/>
  </r>
  <r>
    <x v="0"/>
    <x v="203"/>
    <x v="7"/>
    <x v="12"/>
    <x v="10"/>
    <x v="16"/>
    <x v="40"/>
    <x v="169"/>
    <x v="37"/>
    <x v="0"/>
    <x v="3"/>
    <x v="6"/>
    <x v="40"/>
    <x v="11"/>
    <x v="0"/>
    <x v="36"/>
  </r>
  <r>
    <x v="0"/>
    <x v="203"/>
    <x v="7"/>
    <x v="13"/>
    <x v="25"/>
    <x v="16"/>
    <x v="43"/>
    <x v="185"/>
    <x v="37"/>
    <x v="0"/>
    <x v="3"/>
    <x v="6"/>
    <x v="136"/>
    <x v="11"/>
    <x v="0"/>
    <x v="36"/>
  </r>
  <r>
    <x v="0"/>
    <x v="203"/>
    <x v="14"/>
    <x v="130"/>
    <x v="43"/>
    <x v="20"/>
    <x v="352"/>
    <x v="195"/>
    <x v="71"/>
    <x v="40"/>
    <x v="11"/>
    <x v="11"/>
    <x v="256"/>
    <x v="11"/>
    <x v="0"/>
    <x v="36"/>
  </r>
  <r>
    <x v="0"/>
    <x v="203"/>
    <x v="6"/>
    <x v="17"/>
    <x v="2"/>
    <x v="15"/>
    <x v="344"/>
    <x v="3"/>
    <x v="13"/>
    <x v="32"/>
    <x v="3"/>
    <x v="4"/>
    <x v="256"/>
    <x v="11"/>
    <x v="0"/>
    <x v="36"/>
  </r>
  <r>
    <x v="0"/>
    <x v="203"/>
    <x v="6"/>
    <x v="24"/>
    <x v="5"/>
    <x v="15"/>
    <x v="342"/>
    <x v="22"/>
    <x v="34"/>
    <x v="27"/>
    <x v="3"/>
    <x v="3"/>
    <x v="206"/>
    <x v="11"/>
    <x v="0"/>
    <x v="36"/>
  </r>
  <r>
    <x v="0"/>
    <x v="116"/>
    <x v="5"/>
    <x v="18"/>
    <x v="19"/>
    <x v="15"/>
    <x v="345"/>
    <x v="47"/>
    <x v="8"/>
    <x v="25"/>
    <x v="3"/>
    <x v="0"/>
    <x v="256"/>
    <x v="11"/>
    <x v="0"/>
    <x v="36"/>
  </r>
  <r>
    <x v="0"/>
    <x v="203"/>
    <x v="6"/>
    <x v="19"/>
    <x v="4"/>
    <x v="15"/>
    <x v="346"/>
    <x v="70"/>
    <x v="11"/>
    <x v="14"/>
    <x v="3"/>
    <x v="0"/>
    <x v="203"/>
    <x v="11"/>
    <x v="0"/>
    <x v="36"/>
  </r>
  <r>
    <x v="0"/>
    <x v="203"/>
    <x v="6"/>
    <x v="20"/>
    <x v="7"/>
    <x v="15"/>
    <x v="347"/>
    <x v="77"/>
    <x v="13"/>
    <x v="14"/>
    <x v="3"/>
    <x v="0"/>
    <x v="203"/>
    <x v="11"/>
    <x v="0"/>
    <x v="36"/>
  </r>
  <r>
    <x v="0"/>
    <x v="203"/>
    <x v="6"/>
    <x v="21"/>
    <x v="12"/>
    <x v="15"/>
    <x v="348"/>
    <x v="90"/>
    <x v="15"/>
    <x v="14"/>
    <x v="3"/>
    <x v="0"/>
    <x v="3"/>
    <x v="11"/>
    <x v="0"/>
    <x v="36"/>
  </r>
  <r>
    <x v="0"/>
    <x v="203"/>
    <x v="6"/>
    <x v="22"/>
    <x v="2"/>
    <x v="15"/>
    <x v="349"/>
    <x v="104"/>
    <x v="17"/>
    <x v="14"/>
    <x v="3"/>
    <x v="0"/>
    <x v="204"/>
    <x v="11"/>
    <x v="0"/>
    <x v="36"/>
  </r>
  <r>
    <x v="0"/>
    <x v="203"/>
    <x v="6"/>
    <x v="23"/>
    <x v="19"/>
    <x v="15"/>
    <x v="343"/>
    <x v="138"/>
    <x v="32"/>
    <x v="32"/>
    <x v="3"/>
    <x v="0"/>
    <x v="203"/>
    <x v="11"/>
    <x v="0"/>
    <x v="36"/>
  </r>
  <r>
    <x v="0"/>
    <x v="203"/>
    <x v="14"/>
    <x v="130"/>
    <x v="43"/>
    <x v="20"/>
    <x v="352"/>
    <x v="195"/>
    <x v="71"/>
    <x v="40"/>
    <x v="11"/>
    <x v="11"/>
    <x v="256"/>
    <x v="11"/>
    <x v="0"/>
    <x v="36"/>
  </r>
  <r>
    <x v="0"/>
    <x v="159"/>
    <x v="6"/>
    <x v="25"/>
    <x v="4"/>
    <x v="12"/>
    <x v="176"/>
    <x v="27"/>
    <x v="6"/>
    <x v="25"/>
    <x v="3"/>
    <x v="1"/>
    <x v="195"/>
    <x v="11"/>
    <x v="0"/>
    <x v="36"/>
  </r>
  <r>
    <x v="0"/>
    <x v="115"/>
    <x v="7"/>
    <x v="28"/>
    <x v="19"/>
    <x v="12"/>
    <x v="179"/>
    <x v="35"/>
    <x v="13"/>
    <x v="27"/>
    <x v="3"/>
    <x v="0"/>
    <x v="141"/>
    <x v="11"/>
    <x v="0"/>
    <x v="36"/>
  </r>
  <r>
    <x v="0"/>
    <x v="157"/>
    <x v="7"/>
    <x v="25"/>
    <x v="4"/>
    <x v="12"/>
    <x v="191"/>
    <x v="40"/>
    <x v="2"/>
    <x v="20"/>
    <x v="3"/>
    <x v="0"/>
    <x v="256"/>
    <x v="11"/>
    <x v="0"/>
    <x v="36"/>
  </r>
  <r>
    <x v="0"/>
    <x v="158"/>
    <x v="7"/>
    <x v="25"/>
    <x v="4"/>
    <x v="12"/>
    <x v="218"/>
    <x v="67"/>
    <x v="3"/>
    <x v="14"/>
    <x v="3"/>
    <x v="0"/>
    <x v="256"/>
    <x v="11"/>
    <x v="0"/>
    <x v="36"/>
  </r>
  <r>
    <x v="0"/>
    <x v="114"/>
    <x v="7"/>
    <x v="26"/>
    <x v="18"/>
    <x v="12"/>
    <x v="224"/>
    <x v="67"/>
    <x v="4"/>
    <x v="20"/>
    <x v="3"/>
    <x v="0"/>
    <x v="256"/>
    <x v="11"/>
    <x v="0"/>
    <x v="36"/>
  </r>
  <r>
    <x v="0"/>
    <x v="164"/>
    <x v="7"/>
    <x v="27"/>
    <x v="19"/>
    <x v="12"/>
    <x v="225"/>
    <x v="69"/>
    <x v="8"/>
    <x v="20"/>
    <x v="3"/>
    <x v="0"/>
    <x v="126"/>
    <x v="11"/>
    <x v="0"/>
    <x v="36"/>
  </r>
  <r>
    <x v="0"/>
    <x v="203"/>
    <x v="7"/>
    <x v="29"/>
    <x v="10"/>
    <x v="12"/>
    <x v="236"/>
    <x v="83"/>
    <x v="24"/>
    <x v="14"/>
    <x v="3"/>
    <x v="0"/>
    <x v="43"/>
    <x v="11"/>
    <x v="0"/>
    <x v="36"/>
  </r>
  <r>
    <x v="0"/>
    <x v="165"/>
    <x v="7"/>
    <x v="27"/>
    <x v="19"/>
    <x v="12"/>
    <x v="255"/>
    <x v="99"/>
    <x v="10"/>
    <x v="14"/>
    <x v="3"/>
    <x v="0"/>
    <x v="35"/>
    <x v="11"/>
    <x v="0"/>
    <x v="36"/>
  </r>
  <r>
    <x v="0"/>
    <x v="128"/>
    <x v="7"/>
    <x v="30"/>
    <x v="4"/>
    <x v="12"/>
    <x v="272"/>
    <x v="107"/>
    <x v="8"/>
    <x v="7"/>
    <x v="3"/>
    <x v="0"/>
    <x v="144"/>
    <x v="11"/>
    <x v="0"/>
    <x v="36"/>
  </r>
  <r>
    <x v="0"/>
    <x v="203"/>
    <x v="7"/>
    <x v="31"/>
    <x v="4"/>
    <x v="12"/>
    <x v="274"/>
    <x v="107"/>
    <x v="34"/>
    <x v="7"/>
    <x v="3"/>
    <x v="0"/>
    <x v="25"/>
    <x v="11"/>
    <x v="0"/>
    <x v="36"/>
  </r>
  <r>
    <x v="0"/>
    <x v="203"/>
    <x v="14"/>
    <x v="130"/>
    <x v="43"/>
    <x v="20"/>
    <x v="352"/>
    <x v="195"/>
    <x v="71"/>
    <x v="40"/>
    <x v="11"/>
    <x v="11"/>
    <x v="256"/>
    <x v="11"/>
    <x v="0"/>
    <x v="36"/>
  </r>
  <r>
    <x v="0"/>
    <x v="203"/>
    <x v="8"/>
    <x v="80"/>
    <x v="11"/>
    <x v="7"/>
    <x v="175"/>
    <x v="13"/>
    <x v="24"/>
    <x v="30"/>
    <x v="2"/>
    <x v="2"/>
    <x v="113"/>
    <x v="11"/>
    <x v="0"/>
    <x v="36"/>
  </r>
  <r>
    <x v="0"/>
    <x v="203"/>
    <x v="7"/>
    <x v="38"/>
    <x v="5"/>
    <x v="6"/>
    <x v="178"/>
    <x v="30"/>
    <x v="36"/>
    <x v="25"/>
    <x v="3"/>
    <x v="0"/>
    <x v="0"/>
    <x v="11"/>
    <x v="0"/>
    <x v="36"/>
  </r>
  <r>
    <x v="0"/>
    <x v="203"/>
    <x v="6"/>
    <x v="83"/>
    <x v="6"/>
    <x v="7"/>
    <x v="192"/>
    <x v="23"/>
    <x v="34"/>
    <x v="27"/>
    <x v="0"/>
    <x v="2"/>
    <x v="60"/>
    <x v="11"/>
    <x v="0"/>
    <x v="36"/>
  </r>
  <r>
    <x v="0"/>
    <x v="203"/>
    <x v="0"/>
    <x v="54"/>
    <x v="7"/>
    <x v="6"/>
    <x v="193"/>
    <x v="34"/>
    <x v="36"/>
    <x v="25"/>
    <x v="3"/>
    <x v="2"/>
    <x v="130"/>
    <x v="11"/>
    <x v="0"/>
    <x v="36"/>
  </r>
  <r>
    <x v="0"/>
    <x v="203"/>
    <x v="0"/>
    <x v="81"/>
    <x v="7"/>
    <x v="7"/>
    <x v="193"/>
    <x v="34"/>
    <x v="36"/>
    <x v="25"/>
    <x v="3"/>
    <x v="2"/>
    <x v="130"/>
    <x v="11"/>
    <x v="0"/>
    <x v="36"/>
  </r>
  <r>
    <x v="0"/>
    <x v="203"/>
    <x v="7"/>
    <x v="34"/>
    <x v="2"/>
    <x v="6"/>
    <x v="200"/>
    <x v="17"/>
    <x v="36"/>
    <x v="27"/>
    <x v="3"/>
    <x v="2"/>
    <x v="190"/>
    <x v="11"/>
    <x v="0"/>
    <x v="36"/>
  </r>
  <r>
    <x v="0"/>
    <x v="203"/>
    <x v="7"/>
    <x v="35"/>
    <x v="2"/>
    <x v="6"/>
    <x v="200"/>
    <x v="17"/>
    <x v="36"/>
    <x v="27"/>
    <x v="3"/>
    <x v="2"/>
    <x v="190"/>
    <x v="11"/>
    <x v="0"/>
    <x v="36"/>
  </r>
  <r>
    <x v="0"/>
    <x v="203"/>
    <x v="8"/>
    <x v="35"/>
    <x v="2"/>
    <x v="6"/>
    <x v="200"/>
    <x v="17"/>
    <x v="36"/>
    <x v="27"/>
    <x v="3"/>
    <x v="2"/>
    <x v="256"/>
    <x v="11"/>
    <x v="0"/>
    <x v="36"/>
  </r>
  <r>
    <x v="0"/>
    <x v="203"/>
    <x v="8"/>
    <x v="74"/>
    <x v="9"/>
    <x v="6"/>
    <x v="198"/>
    <x v="7"/>
    <x v="36"/>
    <x v="31"/>
    <x v="0"/>
    <x v="0"/>
    <x v="256"/>
    <x v="11"/>
    <x v="0"/>
    <x v="36"/>
  </r>
  <r>
    <x v="0"/>
    <x v="203"/>
    <x v="8"/>
    <x v="75"/>
    <x v="10"/>
    <x v="6"/>
    <x v="202"/>
    <x v="25"/>
    <x v="36"/>
    <x v="27"/>
    <x v="3"/>
    <x v="2"/>
    <x v="177"/>
    <x v="11"/>
    <x v="0"/>
    <x v="36"/>
  </r>
  <r>
    <x v="0"/>
    <x v="181"/>
    <x v="7"/>
    <x v="36"/>
    <x v="16"/>
    <x v="6"/>
    <x v="209"/>
    <x v="61"/>
    <x v="36"/>
    <x v="20"/>
    <x v="7"/>
    <x v="4"/>
    <x v="123"/>
    <x v="11"/>
    <x v="0"/>
    <x v="36"/>
  </r>
  <r>
    <x v="0"/>
    <x v="129"/>
    <x v="7"/>
    <x v="37"/>
    <x v="3"/>
    <x v="6"/>
    <x v="220"/>
    <x v="64"/>
    <x v="10"/>
    <x v="14"/>
    <x v="3"/>
    <x v="0"/>
    <x v="232"/>
    <x v="11"/>
    <x v="0"/>
    <x v="36"/>
  </r>
  <r>
    <x v="0"/>
    <x v="203"/>
    <x v="6"/>
    <x v="72"/>
    <x v="3"/>
    <x v="7"/>
    <x v="220"/>
    <x v="64"/>
    <x v="69"/>
    <x v="14"/>
    <x v="3"/>
    <x v="1"/>
    <x v="217"/>
    <x v="11"/>
    <x v="0"/>
    <x v="36"/>
  </r>
  <r>
    <x v="0"/>
    <x v="203"/>
    <x v="7"/>
    <x v="40"/>
    <x v="4"/>
    <x v="6"/>
    <x v="241"/>
    <x v="40"/>
    <x v="36"/>
    <x v="20"/>
    <x v="3"/>
    <x v="1"/>
    <x v="118"/>
    <x v="11"/>
    <x v="0"/>
    <x v="36"/>
  </r>
  <r>
    <x v="0"/>
    <x v="203"/>
    <x v="7"/>
    <x v="41"/>
    <x v="15"/>
    <x v="6"/>
    <x v="247"/>
    <x v="93"/>
    <x v="36"/>
    <x v="14"/>
    <x v="3"/>
    <x v="2"/>
    <x v="254"/>
    <x v="11"/>
    <x v="0"/>
    <x v="36"/>
  </r>
  <r>
    <x v="0"/>
    <x v="203"/>
    <x v="8"/>
    <x v="33"/>
    <x v="7"/>
    <x v="6"/>
    <x v="258"/>
    <x v="14"/>
    <x v="17"/>
    <x v="29"/>
    <x v="3"/>
    <x v="0"/>
    <x v="62"/>
    <x v="11"/>
    <x v="0"/>
    <x v="36"/>
  </r>
  <r>
    <x v="0"/>
    <x v="163"/>
    <x v="7"/>
    <x v="30"/>
    <x v="4"/>
    <x v="6"/>
    <x v="262"/>
    <x v="40"/>
    <x v="17"/>
    <x v="20"/>
    <x v="3"/>
    <x v="0"/>
    <x v="232"/>
    <x v="11"/>
    <x v="0"/>
    <x v="36"/>
  </r>
  <r>
    <x v="0"/>
    <x v="203"/>
    <x v="7"/>
    <x v="42"/>
    <x v="2"/>
    <x v="6"/>
    <x v="263"/>
    <x v="103"/>
    <x v="36"/>
    <x v="7"/>
    <x v="3"/>
    <x v="2"/>
    <x v="128"/>
    <x v="11"/>
    <x v="0"/>
    <x v="36"/>
  </r>
  <r>
    <x v="0"/>
    <x v="127"/>
    <x v="7"/>
    <x v="37"/>
    <x v="3"/>
    <x v="6"/>
    <x v="264"/>
    <x v="64"/>
    <x v="17"/>
    <x v="14"/>
    <x v="3"/>
    <x v="0"/>
    <x v="232"/>
    <x v="11"/>
    <x v="0"/>
    <x v="36"/>
  </r>
  <r>
    <x v="0"/>
    <x v="169"/>
    <x v="8"/>
    <x v="16"/>
    <x v="5"/>
    <x v="6"/>
    <x v="271"/>
    <x v="1"/>
    <x v="22"/>
    <x v="35"/>
    <x v="3"/>
    <x v="0"/>
    <x v="227"/>
    <x v="11"/>
    <x v="0"/>
    <x v="36"/>
  </r>
  <r>
    <x v="0"/>
    <x v="181"/>
    <x v="7"/>
    <x v="43"/>
    <x v="11"/>
    <x v="6"/>
    <x v="273"/>
    <x v="55"/>
    <x v="22"/>
    <x v="20"/>
    <x v="2"/>
    <x v="0"/>
    <x v="256"/>
    <x v="11"/>
    <x v="0"/>
    <x v="36"/>
  </r>
  <r>
    <x v="0"/>
    <x v="134"/>
    <x v="7"/>
    <x v="44"/>
    <x v="10"/>
    <x v="6"/>
    <x v="281"/>
    <x v="83"/>
    <x v="23"/>
    <x v="14"/>
    <x v="3"/>
    <x v="0"/>
    <x v="59"/>
    <x v="11"/>
    <x v="0"/>
    <x v="36"/>
  </r>
  <r>
    <x v="0"/>
    <x v="203"/>
    <x v="8"/>
    <x v="53"/>
    <x v="7"/>
    <x v="6"/>
    <x v="278"/>
    <x v="14"/>
    <x v="19"/>
    <x v="29"/>
    <x v="3"/>
    <x v="0"/>
    <x v="60"/>
    <x v="11"/>
    <x v="0"/>
    <x v="36"/>
  </r>
  <r>
    <x v="0"/>
    <x v="203"/>
    <x v="7"/>
    <x v="32"/>
    <x v="4"/>
    <x v="6"/>
    <x v="284"/>
    <x v="11"/>
    <x v="24"/>
    <x v="29"/>
    <x v="3"/>
    <x v="0"/>
    <x v="85"/>
    <x v="11"/>
    <x v="0"/>
    <x v="36"/>
  </r>
  <r>
    <x v="0"/>
    <x v="203"/>
    <x v="5"/>
    <x v="50"/>
    <x v="10"/>
    <x v="6"/>
    <x v="285"/>
    <x v="52"/>
    <x v="24"/>
    <x v="20"/>
    <x v="3"/>
    <x v="0"/>
    <x v="99"/>
    <x v="11"/>
    <x v="0"/>
    <x v="36"/>
  </r>
  <r>
    <x v="0"/>
    <x v="203"/>
    <x v="7"/>
    <x v="51"/>
    <x v="11"/>
    <x v="6"/>
    <x v="289"/>
    <x v="6"/>
    <x v="25"/>
    <x v="32"/>
    <x v="2"/>
    <x v="0"/>
    <x v="227"/>
    <x v="11"/>
    <x v="0"/>
    <x v="36"/>
  </r>
  <r>
    <x v="0"/>
    <x v="194"/>
    <x v="7"/>
    <x v="92"/>
    <x v="14"/>
    <x v="6"/>
    <x v="291"/>
    <x v="92"/>
    <x v="26"/>
    <x v="14"/>
    <x v="3"/>
    <x v="0"/>
    <x v="256"/>
    <x v="11"/>
    <x v="0"/>
    <x v="36"/>
  </r>
  <r>
    <x v="0"/>
    <x v="203"/>
    <x v="8"/>
    <x v="69"/>
    <x v="10"/>
    <x v="6"/>
    <x v="292"/>
    <x v="52"/>
    <x v="27"/>
    <x v="20"/>
    <x v="3"/>
    <x v="0"/>
    <x v="206"/>
    <x v="11"/>
    <x v="0"/>
    <x v="36"/>
  </r>
  <r>
    <x v="0"/>
    <x v="134"/>
    <x v="7"/>
    <x v="45"/>
    <x v="12"/>
    <x v="6"/>
    <x v="304"/>
    <x v="124"/>
    <x v="29"/>
    <x v="7"/>
    <x v="3"/>
    <x v="0"/>
    <x v="239"/>
    <x v="11"/>
    <x v="0"/>
    <x v="36"/>
  </r>
  <r>
    <x v="0"/>
    <x v="203"/>
    <x v="7"/>
    <x v="70"/>
    <x v="5"/>
    <x v="6"/>
    <x v="306"/>
    <x v="20"/>
    <x v="31"/>
    <x v="27"/>
    <x v="3"/>
    <x v="0"/>
    <x v="206"/>
    <x v="11"/>
    <x v="0"/>
    <x v="36"/>
  </r>
  <r>
    <x v="0"/>
    <x v="203"/>
    <x v="7"/>
    <x v="46"/>
    <x v="5"/>
    <x v="6"/>
    <x v="308"/>
    <x v="71"/>
    <x v="31"/>
    <x v="14"/>
    <x v="3"/>
    <x v="0"/>
    <x v="116"/>
    <x v="11"/>
    <x v="0"/>
    <x v="36"/>
  </r>
  <r>
    <x v="0"/>
    <x v="203"/>
    <x v="7"/>
    <x v="91"/>
    <x v="18"/>
    <x v="6"/>
    <x v="307"/>
    <x v="97"/>
    <x v="31"/>
    <x v="14"/>
    <x v="3"/>
    <x v="0"/>
    <x v="85"/>
    <x v="11"/>
    <x v="0"/>
    <x v="36"/>
  </r>
  <r>
    <x v="0"/>
    <x v="203"/>
    <x v="5"/>
    <x v="71"/>
    <x v="18"/>
    <x v="6"/>
    <x v="310"/>
    <x v="97"/>
    <x v="31"/>
    <x v="14"/>
    <x v="3"/>
    <x v="0"/>
    <x v="206"/>
    <x v="11"/>
    <x v="0"/>
    <x v="36"/>
  </r>
  <r>
    <x v="0"/>
    <x v="203"/>
    <x v="8"/>
    <x v="73"/>
    <x v="9"/>
    <x v="6"/>
    <x v="316"/>
    <x v="7"/>
    <x v="32"/>
    <x v="31"/>
    <x v="0"/>
    <x v="0"/>
    <x v="14"/>
    <x v="11"/>
    <x v="0"/>
    <x v="36"/>
  </r>
  <r>
    <x v="0"/>
    <x v="203"/>
    <x v="8"/>
    <x v="67"/>
    <x v="5"/>
    <x v="6"/>
    <x v="318"/>
    <x v="20"/>
    <x v="32"/>
    <x v="27"/>
    <x v="3"/>
    <x v="0"/>
    <x v="206"/>
    <x v="11"/>
    <x v="0"/>
    <x v="36"/>
  </r>
  <r>
    <x v="0"/>
    <x v="203"/>
    <x v="12"/>
    <x v="52"/>
    <x v="8"/>
    <x v="6"/>
    <x v="52"/>
    <x v="78"/>
    <x v="36"/>
    <x v="14"/>
    <x v="7"/>
    <x v="0"/>
    <x v="134"/>
    <x v="11"/>
    <x v="0"/>
    <x v="36"/>
  </r>
  <r>
    <x v="0"/>
    <x v="92"/>
    <x v="3"/>
    <x v="47"/>
    <x v="12"/>
    <x v="6"/>
    <x v="53"/>
    <x v="88"/>
    <x v="36"/>
    <x v="14"/>
    <x v="3"/>
    <x v="0"/>
    <x v="38"/>
    <x v="11"/>
    <x v="0"/>
    <x v="36"/>
  </r>
  <r>
    <x v="0"/>
    <x v="203"/>
    <x v="3"/>
    <x v="48"/>
    <x v="17"/>
    <x v="6"/>
    <x v="55"/>
    <x v="95"/>
    <x v="36"/>
    <x v="14"/>
    <x v="7"/>
    <x v="0"/>
    <x v="128"/>
    <x v="11"/>
    <x v="0"/>
    <x v="36"/>
  </r>
  <r>
    <x v="0"/>
    <x v="203"/>
    <x v="7"/>
    <x v="49"/>
    <x v="27"/>
    <x v="6"/>
    <x v="56"/>
    <x v="149"/>
    <x v="16"/>
    <x v="7"/>
    <x v="3"/>
    <x v="0"/>
    <x v="63"/>
    <x v="11"/>
    <x v="0"/>
    <x v="36"/>
  </r>
  <r>
    <x v="0"/>
    <x v="133"/>
    <x v="7"/>
    <x v="55"/>
    <x v="2"/>
    <x v="6"/>
    <x v="57"/>
    <x v="103"/>
    <x v="36"/>
    <x v="7"/>
    <x v="3"/>
    <x v="0"/>
    <x v="160"/>
    <x v="11"/>
    <x v="0"/>
    <x v="36"/>
  </r>
  <r>
    <x v="0"/>
    <x v="203"/>
    <x v="12"/>
    <x v="93"/>
    <x v="12"/>
    <x v="6"/>
    <x v="61"/>
    <x v="124"/>
    <x v="37"/>
    <x v="7"/>
    <x v="2"/>
    <x v="0"/>
    <x v="251"/>
    <x v="11"/>
    <x v="0"/>
    <x v="36"/>
  </r>
  <r>
    <x v="0"/>
    <x v="203"/>
    <x v="7"/>
    <x v="56"/>
    <x v="14"/>
    <x v="6"/>
    <x v="63"/>
    <x v="129"/>
    <x v="36"/>
    <x v="7"/>
    <x v="3"/>
    <x v="0"/>
    <x v="164"/>
    <x v="11"/>
    <x v="0"/>
    <x v="36"/>
  </r>
  <r>
    <x v="0"/>
    <x v="203"/>
    <x v="7"/>
    <x v="57"/>
    <x v="31"/>
    <x v="6"/>
    <x v="76"/>
    <x v="118"/>
    <x v="37"/>
    <x v="14"/>
    <x v="3"/>
    <x v="0"/>
    <x v="186"/>
    <x v="11"/>
    <x v="0"/>
    <x v="36"/>
  </r>
  <r>
    <x v="0"/>
    <x v="203"/>
    <x v="8"/>
    <x v="68"/>
    <x v="5"/>
    <x v="6"/>
    <x v="83"/>
    <x v="20"/>
    <x v="37"/>
    <x v="27"/>
    <x v="3"/>
    <x v="0"/>
    <x v="206"/>
    <x v="11"/>
    <x v="0"/>
    <x v="36"/>
  </r>
  <r>
    <x v="0"/>
    <x v="203"/>
    <x v="12"/>
    <x v="76"/>
    <x v="33"/>
    <x v="6"/>
    <x v="93"/>
    <x v="157"/>
    <x v="32"/>
    <x v="7"/>
    <x v="0"/>
    <x v="0"/>
    <x v="119"/>
    <x v="11"/>
    <x v="0"/>
    <x v="36"/>
  </r>
  <r>
    <x v="0"/>
    <x v="203"/>
    <x v="7"/>
    <x v="58"/>
    <x v="36"/>
    <x v="6"/>
    <x v="98"/>
    <x v="160"/>
    <x v="36"/>
    <x v="7"/>
    <x v="3"/>
    <x v="0"/>
    <x v="69"/>
    <x v="11"/>
    <x v="0"/>
    <x v="36"/>
  </r>
  <r>
    <x v="0"/>
    <x v="203"/>
    <x v="14"/>
    <x v="82"/>
    <x v="4"/>
    <x v="7"/>
    <x v="114"/>
    <x v="163"/>
    <x v="15"/>
    <x v="0"/>
    <x v="3"/>
    <x v="0"/>
    <x v="256"/>
    <x v="11"/>
    <x v="0"/>
    <x v="36"/>
  </r>
  <r>
    <x v="0"/>
    <x v="203"/>
    <x v="7"/>
    <x v="59"/>
    <x v="3"/>
    <x v="6"/>
    <x v="112"/>
    <x v="162"/>
    <x v="29"/>
    <x v="0"/>
    <x v="3"/>
    <x v="0"/>
    <x v="24"/>
    <x v="11"/>
    <x v="0"/>
    <x v="36"/>
  </r>
  <r>
    <x v="0"/>
    <x v="203"/>
    <x v="7"/>
    <x v="60"/>
    <x v="4"/>
    <x v="6"/>
    <x v="115"/>
    <x v="163"/>
    <x v="24"/>
    <x v="0"/>
    <x v="3"/>
    <x v="0"/>
    <x v="34"/>
    <x v="11"/>
    <x v="0"/>
    <x v="36"/>
  </r>
  <r>
    <x v="0"/>
    <x v="203"/>
    <x v="7"/>
    <x v="61"/>
    <x v="11"/>
    <x v="6"/>
    <x v="143"/>
    <x v="171"/>
    <x v="34"/>
    <x v="0"/>
    <x v="2"/>
    <x v="2"/>
    <x v="32"/>
    <x v="11"/>
    <x v="0"/>
    <x v="36"/>
  </r>
  <r>
    <x v="0"/>
    <x v="203"/>
    <x v="7"/>
    <x v="62"/>
    <x v="14"/>
    <x v="6"/>
    <x v="151"/>
    <x v="176"/>
    <x v="24"/>
    <x v="0"/>
    <x v="3"/>
    <x v="0"/>
    <x v="179"/>
    <x v="11"/>
    <x v="0"/>
    <x v="36"/>
  </r>
  <r>
    <x v="0"/>
    <x v="203"/>
    <x v="7"/>
    <x v="66"/>
    <x v="23"/>
    <x v="6"/>
    <x v="161"/>
    <x v="182"/>
    <x v="36"/>
    <x v="0"/>
    <x v="3"/>
    <x v="1"/>
    <x v="102"/>
    <x v="11"/>
    <x v="0"/>
    <x v="36"/>
  </r>
  <r>
    <x v="0"/>
    <x v="147"/>
    <x v="5"/>
    <x v="63"/>
    <x v="25"/>
    <x v="6"/>
    <x v="174"/>
    <x v="186"/>
    <x v="36"/>
    <x v="0"/>
    <x v="3"/>
    <x v="0"/>
    <x v="210"/>
    <x v="11"/>
    <x v="0"/>
    <x v="36"/>
  </r>
  <r>
    <x v="0"/>
    <x v="203"/>
    <x v="7"/>
    <x v="65"/>
    <x v="34"/>
    <x v="6"/>
    <x v="187"/>
    <x v="189"/>
    <x v="37"/>
    <x v="0"/>
    <x v="1"/>
    <x v="0"/>
    <x v="102"/>
    <x v="11"/>
    <x v="0"/>
    <x v="36"/>
  </r>
  <r>
    <x v="0"/>
    <x v="203"/>
    <x v="14"/>
    <x v="130"/>
    <x v="43"/>
    <x v="20"/>
    <x v="352"/>
    <x v="195"/>
    <x v="71"/>
    <x v="40"/>
    <x v="11"/>
    <x v="11"/>
    <x v="256"/>
    <x v="11"/>
    <x v="0"/>
    <x v="36"/>
  </r>
  <r>
    <x v="0"/>
    <x v="203"/>
    <x v="14"/>
    <x v="130"/>
    <x v="43"/>
    <x v="20"/>
    <x v="352"/>
    <x v="195"/>
    <x v="71"/>
    <x v="40"/>
    <x v="11"/>
    <x v="11"/>
    <x v="256"/>
    <x v="11"/>
    <x v="0"/>
    <x v="36"/>
  </r>
  <r>
    <x v="0"/>
    <x v="112"/>
    <x v="7"/>
    <x v="77"/>
    <x v="10"/>
    <x v="4"/>
    <x v="203"/>
    <x v="52"/>
    <x v="13"/>
    <x v="20"/>
    <x v="3"/>
    <x v="2"/>
    <x v="117"/>
    <x v="11"/>
    <x v="0"/>
    <x v="36"/>
  </r>
  <r>
    <x v="0"/>
    <x v="111"/>
    <x v="7"/>
    <x v="77"/>
    <x v="10"/>
    <x v="4"/>
    <x v="235"/>
    <x v="83"/>
    <x v="10"/>
    <x v="14"/>
    <x v="3"/>
    <x v="0"/>
    <x v="155"/>
    <x v="11"/>
    <x v="0"/>
    <x v="36"/>
  </r>
  <r>
    <x v="0"/>
    <x v="203"/>
    <x v="7"/>
    <x v="26"/>
    <x v="18"/>
    <x v="4"/>
    <x v="251"/>
    <x v="97"/>
    <x v="8"/>
    <x v="14"/>
    <x v="3"/>
    <x v="0"/>
    <x v="50"/>
    <x v="11"/>
    <x v="0"/>
    <x v="36"/>
  </r>
  <r>
    <x v="0"/>
    <x v="203"/>
    <x v="7"/>
    <x v="28"/>
    <x v="19"/>
    <x v="4"/>
    <x v="253"/>
    <x v="99"/>
    <x v="6"/>
    <x v="14"/>
    <x v="3"/>
    <x v="0"/>
    <x v="104"/>
    <x v="11"/>
    <x v="0"/>
    <x v="36"/>
  </r>
  <r>
    <x v="0"/>
    <x v="182"/>
    <x v="7"/>
    <x v="0"/>
    <x v="2"/>
    <x v="4"/>
    <x v="283"/>
    <x v="39"/>
    <x v="24"/>
    <x v="20"/>
    <x v="3"/>
    <x v="0"/>
    <x v="191"/>
    <x v="11"/>
    <x v="0"/>
    <x v="36"/>
  </r>
  <r>
    <x v="0"/>
    <x v="203"/>
    <x v="7"/>
    <x v="78"/>
    <x v="19"/>
    <x v="4"/>
    <x v="314"/>
    <x v="133"/>
    <x v="27"/>
    <x v="7"/>
    <x v="3"/>
    <x v="0"/>
    <x v="155"/>
    <x v="11"/>
    <x v="0"/>
    <x v="36"/>
  </r>
  <r>
    <x v="0"/>
    <x v="203"/>
    <x v="7"/>
    <x v="79"/>
    <x v="25"/>
    <x v="4"/>
    <x v="321"/>
    <x v="147"/>
    <x v="22"/>
    <x v="7"/>
    <x v="3"/>
    <x v="0"/>
    <x v="140"/>
    <x v="11"/>
    <x v="0"/>
    <x v="36"/>
  </r>
  <r>
    <x v="0"/>
    <x v="203"/>
    <x v="5"/>
    <x v="18"/>
    <x v="19"/>
    <x v="4"/>
    <x v="154"/>
    <x v="177"/>
    <x v="8"/>
    <x v="0"/>
    <x v="3"/>
    <x v="0"/>
    <x v="228"/>
    <x v="11"/>
    <x v="0"/>
    <x v="36"/>
  </r>
  <r>
    <x v="0"/>
    <x v="203"/>
    <x v="14"/>
    <x v="130"/>
    <x v="43"/>
    <x v="20"/>
    <x v="352"/>
    <x v="195"/>
    <x v="71"/>
    <x v="40"/>
    <x v="11"/>
    <x v="11"/>
    <x v="256"/>
    <x v="11"/>
    <x v="0"/>
    <x v="36"/>
  </r>
  <r>
    <x v="0"/>
    <x v="203"/>
    <x v="12"/>
    <x v="84"/>
    <x v="13"/>
    <x v="10"/>
    <x v="152"/>
    <x v="175"/>
    <x v="37"/>
    <x v="0"/>
    <x v="1"/>
    <x v="1"/>
    <x v="110"/>
    <x v="11"/>
    <x v="0"/>
    <x v="36"/>
  </r>
  <r>
    <x v="0"/>
    <x v="203"/>
    <x v="14"/>
    <x v="130"/>
    <x v="43"/>
    <x v="20"/>
    <x v="352"/>
    <x v="195"/>
    <x v="71"/>
    <x v="40"/>
    <x v="11"/>
    <x v="11"/>
    <x v="256"/>
    <x v="11"/>
    <x v="0"/>
    <x v="36"/>
  </r>
  <r>
    <x v="0"/>
    <x v="203"/>
    <x v="14"/>
    <x v="85"/>
    <x v="6"/>
    <x v="11"/>
    <x v="192"/>
    <x v="195"/>
    <x v="71"/>
    <x v="40"/>
    <x v="11"/>
    <x v="11"/>
    <x v="60"/>
    <x v="11"/>
    <x v="0"/>
    <x v="36"/>
  </r>
  <r>
    <x v="0"/>
    <x v="147"/>
    <x v="12"/>
    <x v="64"/>
    <x v="8"/>
    <x v="11"/>
    <x v="88"/>
    <x v="77"/>
    <x v="36"/>
    <x v="14"/>
    <x v="3"/>
    <x v="0"/>
    <x v="134"/>
    <x v="11"/>
    <x v="0"/>
    <x v="36"/>
  </r>
  <r>
    <x v="0"/>
    <x v="203"/>
    <x v="14"/>
    <x v="86"/>
    <x v="12"/>
    <x v="11"/>
    <x v="89"/>
    <x v="87"/>
    <x v="36"/>
    <x v="14"/>
    <x v="3"/>
    <x v="0"/>
    <x v="19"/>
    <x v="11"/>
    <x v="0"/>
    <x v="36"/>
  </r>
  <r>
    <x v="0"/>
    <x v="203"/>
    <x v="12"/>
    <x v="94"/>
    <x v="12"/>
    <x v="11"/>
    <x v="91"/>
    <x v="122"/>
    <x v="36"/>
    <x v="7"/>
    <x v="2"/>
    <x v="0"/>
    <x v="250"/>
    <x v="11"/>
    <x v="0"/>
    <x v="36"/>
  </r>
  <r>
    <x v="0"/>
    <x v="203"/>
    <x v="14"/>
    <x v="87"/>
    <x v="25"/>
    <x v="14"/>
    <x v="352"/>
    <x v="195"/>
    <x v="71"/>
    <x v="40"/>
    <x v="11"/>
    <x v="11"/>
    <x v="210"/>
    <x v="11"/>
    <x v="0"/>
    <x v="36"/>
  </r>
  <r>
    <x v="0"/>
    <x v="203"/>
    <x v="14"/>
    <x v="88"/>
    <x v="21"/>
    <x v="1"/>
    <x v="352"/>
    <x v="195"/>
    <x v="71"/>
    <x v="40"/>
    <x v="11"/>
    <x v="11"/>
    <x v="256"/>
    <x v="11"/>
    <x v="0"/>
    <x v="36"/>
  </r>
  <r>
    <x v="0"/>
    <x v="203"/>
    <x v="14"/>
    <x v="89"/>
    <x v="0"/>
    <x v="1"/>
    <x v="33"/>
    <x v="195"/>
    <x v="71"/>
    <x v="40"/>
    <x v="11"/>
    <x v="11"/>
    <x v="256"/>
    <x v="11"/>
    <x v="0"/>
    <x v="36"/>
  </r>
  <r>
    <x v="0"/>
    <x v="203"/>
    <x v="14"/>
    <x v="90"/>
    <x v="27"/>
    <x v="9"/>
    <x v="352"/>
    <x v="195"/>
    <x v="71"/>
    <x v="40"/>
    <x v="11"/>
    <x v="11"/>
    <x v="64"/>
    <x v="11"/>
    <x v="0"/>
    <x v="36"/>
  </r>
  <r>
    <x v="1"/>
    <x v="123"/>
    <x v="6"/>
    <x v="0"/>
    <x v="24"/>
    <x v="16"/>
    <x v="11"/>
    <x v="57"/>
    <x v="41"/>
    <x v="25"/>
    <x v="5"/>
    <x v="6"/>
    <x v="256"/>
    <x v="11"/>
    <x v="0"/>
    <x v="5"/>
  </r>
  <r>
    <x v="1"/>
    <x v="203"/>
    <x v="6"/>
    <x v="1"/>
    <x v="9"/>
    <x v="16"/>
    <x v="17"/>
    <x v="82"/>
    <x v="64"/>
    <x v="14"/>
    <x v="5"/>
    <x v="6"/>
    <x v="256"/>
    <x v="2"/>
    <x v="0"/>
    <x v="14"/>
  </r>
  <r>
    <x v="1"/>
    <x v="105"/>
    <x v="6"/>
    <x v="2"/>
    <x v="24"/>
    <x v="16"/>
    <x v="20"/>
    <x v="108"/>
    <x v="42"/>
    <x v="14"/>
    <x v="5"/>
    <x v="6"/>
    <x v="256"/>
    <x v="11"/>
    <x v="0"/>
    <x v="36"/>
  </r>
  <r>
    <x v="1"/>
    <x v="203"/>
    <x v="6"/>
    <x v="3"/>
    <x v="9"/>
    <x v="16"/>
    <x v="24"/>
    <x v="121"/>
    <x v="64"/>
    <x v="7"/>
    <x v="5"/>
    <x v="6"/>
    <x v="256"/>
    <x v="2"/>
    <x v="0"/>
    <x v="7"/>
  </r>
  <r>
    <x v="1"/>
    <x v="108"/>
    <x v="6"/>
    <x v="4"/>
    <x v="13"/>
    <x v="16"/>
    <x v="27"/>
    <x v="128"/>
    <x v="42"/>
    <x v="7"/>
    <x v="4"/>
    <x v="6"/>
    <x v="256"/>
    <x v="11"/>
    <x v="0"/>
    <x v="36"/>
  </r>
  <r>
    <x v="1"/>
    <x v="126"/>
    <x v="6"/>
    <x v="5"/>
    <x v="24"/>
    <x v="17"/>
    <x v="33"/>
    <x v="145"/>
    <x v="53"/>
    <x v="7"/>
    <x v="5"/>
    <x v="6"/>
    <x v="137"/>
    <x v="10"/>
    <x v="0"/>
    <x v="8"/>
  </r>
  <r>
    <x v="1"/>
    <x v="203"/>
    <x v="6"/>
    <x v="6"/>
    <x v="11"/>
    <x v="16"/>
    <x v="41"/>
    <x v="172"/>
    <x v="35"/>
    <x v="7"/>
    <x v="4"/>
    <x v="6"/>
    <x v="244"/>
    <x v="11"/>
    <x v="0"/>
    <x v="17"/>
  </r>
  <r>
    <x v="1"/>
    <x v="203"/>
    <x v="14"/>
    <x v="130"/>
    <x v="43"/>
    <x v="20"/>
    <x v="352"/>
    <x v="195"/>
    <x v="71"/>
    <x v="40"/>
    <x v="11"/>
    <x v="11"/>
    <x v="256"/>
    <x v="11"/>
    <x v="0"/>
    <x v="36"/>
  </r>
  <r>
    <x v="1"/>
    <x v="203"/>
    <x v="6"/>
    <x v="7"/>
    <x v="20"/>
    <x v="15"/>
    <x v="18"/>
    <x v="104"/>
    <x v="57"/>
    <x v="14"/>
    <x v="4"/>
    <x v="2"/>
    <x v="176"/>
    <x v="11"/>
    <x v="0"/>
    <x v="36"/>
  </r>
  <r>
    <x v="1"/>
    <x v="173"/>
    <x v="6"/>
    <x v="8"/>
    <x v="29"/>
    <x v="15"/>
    <x v="22"/>
    <x v="115"/>
    <x v="24"/>
    <x v="14"/>
    <x v="4"/>
    <x v="0"/>
    <x v="201"/>
    <x v="11"/>
    <x v="0"/>
    <x v="36"/>
  </r>
  <r>
    <x v="1"/>
    <x v="175"/>
    <x v="6"/>
    <x v="8"/>
    <x v="29"/>
    <x v="15"/>
    <x v="34"/>
    <x v="154"/>
    <x v="37"/>
    <x v="7"/>
    <x v="4"/>
    <x v="0"/>
    <x v="171"/>
    <x v="11"/>
    <x v="0"/>
    <x v="27"/>
  </r>
  <r>
    <x v="1"/>
    <x v="109"/>
    <x v="6"/>
    <x v="9"/>
    <x v="20"/>
    <x v="15"/>
    <x v="30"/>
    <x v="140"/>
    <x v="32"/>
    <x v="7"/>
    <x v="4"/>
    <x v="0"/>
    <x v="58"/>
    <x v="11"/>
    <x v="0"/>
    <x v="29"/>
  </r>
  <r>
    <x v="1"/>
    <x v="203"/>
    <x v="14"/>
    <x v="130"/>
    <x v="43"/>
    <x v="20"/>
    <x v="352"/>
    <x v="195"/>
    <x v="71"/>
    <x v="40"/>
    <x v="11"/>
    <x v="11"/>
    <x v="256"/>
    <x v="11"/>
    <x v="0"/>
    <x v="9"/>
  </r>
  <r>
    <x v="1"/>
    <x v="110"/>
    <x v="6"/>
    <x v="9"/>
    <x v="20"/>
    <x v="12"/>
    <x v="227"/>
    <x v="75"/>
    <x v="2"/>
    <x v="20"/>
    <x v="4"/>
    <x v="0"/>
    <x v="256"/>
    <x v="11"/>
    <x v="0"/>
    <x v="36"/>
  </r>
  <r>
    <x v="1"/>
    <x v="104"/>
    <x v="6"/>
    <x v="10"/>
    <x v="9"/>
    <x v="12"/>
    <x v="234"/>
    <x v="80"/>
    <x v="17"/>
    <x v="14"/>
    <x v="5"/>
    <x v="0"/>
    <x v="193"/>
    <x v="11"/>
    <x v="0"/>
    <x v="10"/>
  </r>
  <r>
    <x v="1"/>
    <x v="174"/>
    <x v="6"/>
    <x v="8"/>
    <x v="29"/>
    <x v="12"/>
    <x v="74"/>
    <x v="153"/>
    <x v="17"/>
    <x v="7"/>
    <x v="4"/>
    <x v="0"/>
    <x v="10"/>
    <x v="11"/>
    <x v="0"/>
    <x v="6"/>
  </r>
  <r>
    <x v="1"/>
    <x v="203"/>
    <x v="14"/>
    <x v="130"/>
    <x v="43"/>
    <x v="20"/>
    <x v="352"/>
    <x v="195"/>
    <x v="71"/>
    <x v="40"/>
    <x v="11"/>
    <x v="11"/>
    <x v="256"/>
    <x v="11"/>
    <x v="0"/>
    <x v="28"/>
  </r>
  <r>
    <x v="1"/>
    <x v="113"/>
    <x v="6"/>
    <x v="11"/>
    <x v="9"/>
    <x v="6"/>
    <x v="198"/>
    <x v="8"/>
    <x v="36"/>
    <x v="31"/>
    <x v="5"/>
    <x v="2"/>
    <x v="133"/>
    <x v="11"/>
    <x v="0"/>
    <x v="36"/>
  </r>
  <r>
    <x v="1"/>
    <x v="203"/>
    <x v="12"/>
    <x v="12"/>
    <x v="15"/>
    <x v="6"/>
    <x v="200"/>
    <x v="18"/>
    <x v="59"/>
    <x v="29"/>
    <x v="5"/>
    <x v="5"/>
    <x v="112"/>
    <x v="11"/>
    <x v="0"/>
    <x v="11"/>
  </r>
  <r>
    <x v="1"/>
    <x v="203"/>
    <x v="12"/>
    <x v="12"/>
    <x v="15"/>
    <x v="6"/>
    <x v="200"/>
    <x v="18"/>
    <x v="59"/>
    <x v="29"/>
    <x v="5"/>
    <x v="5"/>
    <x v="112"/>
    <x v="11"/>
    <x v="0"/>
    <x v="36"/>
  </r>
  <r>
    <x v="1"/>
    <x v="98"/>
    <x v="6"/>
    <x v="17"/>
    <x v="11"/>
    <x v="6"/>
    <x v="205"/>
    <x v="26"/>
    <x v="59"/>
    <x v="27"/>
    <x v="4"/>
    <x v="5"/>
    <x v="157"/>
    <x v="11"/>
    <x v="0"/>
    <x v="36"/>
  </r>
  <r>
    <x v="1"/>
    <x v="98"/>
    <x v="6"/>
    <x v="17"/>
    <x v="11"/>
    <x v="6"/>
    <x v="205"/>
    <x v="26"/>
    <x v="59"/>
    <x v="27"/>
    <x v="4"/>
    <x v="5"/>
    <x v="157"/>
    <x v="11"/>
    <x v="0"/>
    <x v="0"/>
  </r>
  <r>
    <x v="1"/>
    <x v="187"/>
    <x v="6"/>
    <x v="0"/>
    <x v="24"/>
    <x v="6"/>
    <x v="206"/>
    <x v="58"/>
    <x v="40"/>
    <x v="25"/>
    <x v="5"/>
    <x v="1"/>
    <x v="153"/>
    <x v="11"/>
    <x v="0"/>
    <x v="1"/>
  </r>
  <r>
    <x v="1"/>
    <x v="100"/>
    <x v="6"/>
    <x v="15"/>
    <x v="16"/>
    <x v="6"/>
    <x v="219"/>
    <x v="63"/>
    <x v="64"/>
    <x v="20"/>
    <x v="3"/>
    <x v="5"/>
    <x v="233"/>
    <x v="11"/>
    <x v="0"/>
    <x v="1"/>
  </r>
  <r>
    <x v="1"/>
    <x v="100"/>
    <x v="6"/>
    <x v="15"/>
    <x v="16"/>
    <x v="6"/>
    <x v="219"/>
    <x v="63"/>
    <x v="64"/>
    <x v="20"/>
    <x v="3"/>
    <x v="5"/>
    <x v="233"/>
    <x v="11"/>
    <x v="0"/>
    <x v="4"/>
  </r>
  <r>
    <x v="1"/>
    <x v="203"/>
    <x v="6"/>
    <x v="55"/>
    <x v="21"/>
    <x v="6"/>
    <x v="221"/>
    <x v="106"/>
    <x v="64"/>
    <x v="14"/>
    <x v="5"/>
    <x v="5"/>
    <x v="233"/>
    <x v="11"/>
    <x v="0"/>
    <x v="4"/>
  </r>
  <r>
    <x v="1"/>
    <x v="91"/>
    <x v="6"/>
    <x v="13"/>
    <x v="24"/>
    <x v="6"/>
    <x v="241"/>
    <x v="44"/>
    <x v="15"/>
    <x v="27"/>
    <x v="5"/>
    <x v="0"/>
    <x v="120"/>
    <x v="11"/>
    <x v="0"/>
    <x v="1"/>
  </r>
  <r>
    <x v="1"/>
    <x v="97"/>
    <x v="6"/>
    <x v="14"/>
    <x v="24"/>
    <x v="6"/>
    <x v="241"/>
    <x v="44"/>
    <x v="59"/>
    <x v="27"/>
    <x v="5"/>
    <x v="3"/>
    <x v="90"/>
    <x v="11"/>
    <x v="0"/>
    <x v="2"/>
  </r>
  <r>
    <x v="1"/>
    <x v="97"/>
    <x v="5"/>
    <x v="14"/>
    <x v="24"/>
    <x v="6"/>
    <x v="241"/>
    <x v="44"/>
    <x v="59"/>
    <x v="27"/>
    <x v="5"/>
    <x v="3"/>
    <x v="256"/>
    <x v="11"/>
    <x v="0"/>
    <x v="2"/>
  </r>
  <r>
    <x v="1"/>
    <x v="99"/>
    <x v="6"/>
    <x v="18"/>
    <x v="16"/>
    <x v="6"/>
    <x v="244"/>
    <x v="63"/>
    <x v="59"/>
    <x v="20"/>
    <x v="3"/>
    <x v="3"/>
    <x v="181"/>
    <x v="11"/>
    <x v="0"/>
    <x v="32"/>
  </r>
  <r>
    <x v="1"/>
    <x v="99"/>
    <x v="6"/>
    <x v="19"/>
    <x v="16"/>
    <x v="6"/>
    <x v="244"/>
    <x v="63"/>
    <x v="59"/>
    <x v="20"/>
    <x v="3"/>
    <x v="3"/>
    <x v="181"/>
    <x v="11"/>
    <x v="0"/>
    <x v="3"/>
  </r>
  <r>
    <x v="1"/>
    <x v="203"/>
    <x v="6"/>
    <x v="42"/>
    <x v="26"/>
    <x v="6"/>
    <x v="237"/>
    <x v="148"/>
    <x v="59"/>
    <x v="7"/>
    <x v="4"/>
    <x v="3"/>
    <x v="198"/>
    <x v="11"/>
    <x v="0"/>
    <x v="3"/>
  </r>
  <r>
    <x v="1"/>
    <x v="203"/>
    <x v="8"/>
    <x v="41"/>
    <x v="13"/>
    <x v="6"/>
    <x v="238"/>
    <x v="174"/>
    <x v="59"/>
    <x v="0"/>
    <x v="4"/>
    <x v="3"/>
    <x v="110"/>
    <x v="11"/>
    <x v="0"/>
    <x v="36"/>
  </r>
  <r>
    <x v="1"/>
    <x v="97"/>
    <x v="6"/>
    <x v="16"/>
    <x v="24"/>
    <x v="6"/>
    <x v="262"/>
    <x v="44"/>
    <x v="56"/>
    <x v="27"/>
    <x v="5"/>
    <x v="2"/>
    <x v="233"/>
    <x v="11"/>
    <x v="0"/>
    <x v="36"/>
  </r>
  <r>
    <x v="1"/>
    <x v="203"/>
    <x v="13"/>
    <x v="20"/>
    <x v="24"/>
    <x v="7"/>
    <x v="262"/>
    <x v="44"/>
    <x v="64"/>
    <x v="27"/>
    <x v="5"/>
    <x v="3"/>
    <x v="234"/>
    <x v="11"/>
    <x v="0"/>
    <x v="36"/>
  </r>
  <r>
    <x v="1"/>
    <x v="203"/>
    <x v="6"/>
    <x v="56"/>
    <x v="24"/>
    <x v="7"/>
    <x v="262"/>
    <x v="44"/>
    <x v="64"/>
    <x v="27"/>
    <x v="5"/>
    <x v="3"/>
    <x v="232"/>
    <x v="11"/>
    <x v="0"/>
    <x v="36"/>
  </r>
  <r>
    <x v="1"/>
    <x v="203"/>
    <x v="6"/>
    <x v="22"/>
    <x v="21"/>
    <x v="6"/>
    <x v="263"/>
    <x v="106"/>
    <x v="59"/>
    <x v="14"/>
    <x v="1"/>
    <x v="5"/>
    <x v="128"/>
    <x v="11"/>
    <x v="0"/>
    <x v="36"/>
  </r>
  <r>
    <x v="1"/>
    <x v="203"/>
    <x v="5"/>
    <x v="21"/>
    <x v="16"/>
    <x v="6"/>
    <x v="264"/>
    <x v="63"/>
    <x v="64"/>
    <x v="20"/>
    <x v="3"/>
    <x v="3"/>
    <x v="233"/>
    <x v="11"/>
    <x v="0"/>
    <x v="36"/>
  </r>
  <r>
    <x v="1"/>
    <x v="203"/>
    <x v="6"/>
    <x v="21"/>
    <x v="16"/>
    <x v="6"/>
    <x v="264"/>
    <x v="63"/>
    <x v="64"/>
    <x v="20"/>
    <x v="3"/>
    <x v="3"/>
    <x v="233"/>
    <x v="11"/>
    <x v="0"/>
    <x v="36"/>
  </r>
  <r>
    <x v="1"/>
    <x v="203"/>
    <x v="6"/>
    <x v="21"/>
    <x v="16"/>
    <x v="6"/>
    <x v="264"/>
    <x v="63"/>
    <x v="64"/>
    <x v="20"/>
    <x v="3"/>
    <x v="3"/>
    <x v="233"/>
    <x v="11"/>
    <x v="0"/>
    <x v="36"/>
  </r>
  <r>
    <x v="1"/>
    <x v="203"/>
    <x v="6"/>
    <x v="23"/>
    <x v="8"/>
    <x v="6"/>
    <x v="269"/>
    <x v="117"/>
    <x v="64"/>
    <x v="7"/>
    <x v="2"/>
    <x v="3"/>
    <x v="233"/>
    <x v="11"/>
    <x v="0"/>
    <x v="31"/>
  </r>
  <r>
    <x v="1"/>
    <x v="185"/>
    <x v="6"/>
    <x v="5"/>
    <x v="24"/>
    <x v="6"/>
    <x v="270"/>
    <x v="146"/>
    <x v="17"/>
    <x v="7"/>
    <x v="5"/>
    <x v="0"/>
    <x v="39"/>
    <x v="11"/>
    <x v="0"/>
    <x v="18"/>
  </r>
  <r>
    <x v="1"/>
    <x v="135"/>
    <x v="5"/>
    <x v="53"/>
    <x v="35"/>
    <x v="6"/>
    <x v="260"/>
    <x v="159"/>
    <x v="64"/>
    <x v="7"/>
    <x v="2"/>
    <x v="3"/>
    <x v="213"/>
    <x v="11"/>
    <x v="0"/>
    <x v="19"/>
  </r>
  <r>
    <x v="1"/>
    <x v="136"/>
    <x v="5"/>
    <x v="53"/>
    <x v="35"/>
    <x v="6"/>
    <x v="260"/>
    <x v="159"/>
    <x v="64"/>
    <x v="7"/>
    <x v="2"/>
    <x v="3"/>
    <x v="213"/>
    <x v="11"/>
    <x v="0"/>
    <x v="36"/>
  </r>
  <r>
    <x v="1"/>
    <x v="203"/>
    <x v="6"/>
    <x v="57"/>
    <x v="15"/>
    <x v="6"/>
    <x v="293"/>
    <x v="33"/>
    <x v="63"/>
    <x v="27"/>
    <x v="6"/>
    <x v="2"/>
    <x v="246"/>
    <x v="11"/>
    <x v="0"/>
    <x v="12"/>
  </r>
  <r>
    <x v="1"/>
    <x v="203"/>
    <x v="6"/>
    <x v="24"/>
    <x v="35"/>
    <x v="6"/>
    <x v="304"/>
    <x v="123"/>
    <x v="63"/>
    <x v="14"/>
    <x v="1"/>
    <x v="2"/>
    <x v="239"/>
    <x v="11"/>
    <x v="0"/>
    <x v="36"/>
  </r>
  <r>
    <x v="1"/>
    <x v="121"/>
    <x v="6"/>
    <x v="25"/>
    <x v="29"/>
    <x v="6"/>
    <x v="327"/>
    <x v="49"/>
    <x v="34"/>
    <x v="27"/>
    <x v="4"/>
    <x v="0"/>
    <x v="182"/>
    <x v="11"/>
    <x v="0"/>
    <x v="25"/>
  </r>
  <r>
    <x v="1"/>
    <x v="203"/>
    <x v="9"/>
    <x v="26"/>
    <x v="21"/>
    <x v="7"/>
    <x v="320"/>
    <x v="106"/>
    <x v="58"/>
    <x v="14"/>
    <x v="11"/>
    <x v="1"/>
    <x v="53"/>
    <x v="11"/>
    <x v="0"/>
    <x v="36"/>
  </r>
  <r>
    <x v="1"/>
    <x v="168"/>
    <x v="6"/>
    <x v="35"/>
    <x v="22"/>
    <x v="6"/>
    <x v="325"/>
    <x v="143"/>
    <x v="64"/>
    <x v="7"/>
    <x v="4"/>
    <x v="1"/>
    <x v="121"/>
    <x v="11"/>
    <x v="0"/>
    <x v="36"/>
  </r>
  <r>
    <x v="1"/>
    <x v="203"/>
    <x v="8"/>
    <x v="27"/>
    <x v="14"/>
    <x v="6"/>
    <x v="49"/>
    <x v="42"/>
    <x v="59"/>
    <x v="25"/>
    <x v="8"/>
    <x v="1"/>
    <x v="164"/>
    <x v="11"/>
    <x v="0"/>
    <x v="16"/>
  </r>
  <r>
    <x v="1"/>
    <x v="203"/>
    <x v="0"/>
    <x v="40"/>
    <x v="33"/>
    <x v="6"/>
    <x v="50"/>
    <x v="54"/>
    <x v="59"/>
    <x v="27"/>
    <x v="5"/>
    <x v="1"/>
    <x v="17"/>
    <x v="11"/>
    <x v="0"/>
    <x v="36"/>
  </r>
  <r>
    <x v="1"/>
    <x v="125"/>
    <x v="6"/>
    <x v="25"/>
    <x v="16"/>
    <x v="7"/>
    <x v="51"/>
    <x v="63"/>
    <x v="59"/>
    <x v="20"/>
    <x v="11"/>
    <x v="0"/>
    <x v="256"/>
    <x v="11"/>
    <x v="0"/>
    <x v="36"/>
  </r>
  <r>
    <x v="1"/>
    <x v="203"/>
    <x v="6"/>
    <x v="30"/>
    <x v="16"/>
    <x v="7"/>
    <x v="51"/>
    <x v="63"/>
    <x v="59"/>
    <x v="20"/>
    <x v="11"/>
    <x v="1"/>
    <x v="256"/>
    <x v="11"/>
    <x v="0"/>
    <x v="36"/>
  </r>
  <r>
    <x v="1"/>
    <x v="203"/>
    <x v="6"/>
    <x v="29"/>
    <x v="11"/>
    <x v="6"/>
    <x v="53"/>
    <x v="86"/>
    <x v="59"/>
    <x v="14"/>
    <x v="4"/>
    <x v="1"/>
    <x v="13"/>
    <x v="11"/>
    <x v="0"/>
    <x v="36"/>
  </r>
  <r>
    <x v="1"/>
    <x v="203"/>
    <x v="6"/>
    <x v="31"/>
    <x v="11"/>
    <x v="6"/>
    <x v="54"/>
    <x v="86"/>
    <x v="36"/>
    <x v="14"/>
    <x v="2"/>
    <x v="1"/>
    <x v="54"/>
    <x v="11"/>
    <x v="0"/>
    <x v="20"/>
  </r>
  <r>
    <x v="1"/>
    <x v="203"/>
    <x v="6"/>
    <x v="36"/>
    <x v="21"/>
    <x v="6"/>
    <x v="57"/>
    <x v="106"/>
    <x v="37"/>
    <x v="14"/>
    <x v="4"/>
    <x v="1"/>
    <x v="190"/>
    <x v="11"/>
    <x v="0"/>
    <x v="36"/>
  </r>
  <r>
    <x v="1"/>
    <x v="145"/>
    <x v="6"/>
    <x v="43"/>
    <x v="8"/>
    <x v="6"/>
    <x v="59"/>
    <x v="117"/>
    <x v="60"/>
    <x v="7"/>
    <x v="2"/>
    <x v="1"/>
    <x v="241"/>
    <x v="11"/>
    <x v="0"/>
    <x v="36"/>
  </r>
  <r>
    <x v="1"/>
    <x v="203"/>
    <x v="6"/>
    <x v="28"/>
    <x v="14"/>
    <x v="7"/>
    <x v="63"/>
    <x v="131"/>
    <x v="59"/>
    <x v="7"/>
    <x v="11"/>
    <x v="1"/>
    <x v="164"/>
    <x v="11"/>
    <x v="0"/>
    <x v="36"/>
  </r>
  <r>
    <x v="1"/>
    <x v="203"/>
    <x v="6"/>
    <x v="32"/>
    <x v="14"/>
    <x v="7"/>
    <x v="63"/>
    <x v="131"/>
    <x v="59"/>
    <x v="7"/>
    <x v="11"/>
    <x v="1"/>
    <x v="164"/>
    <x v="11"/>
    <x v="0"/>
    <x v="36"/>
  </r>
  <r>
    <x v="1"/>
    <x v="203"/>
    <x v="3"/>
    <x v="33"/>
    <x v="26"/>
    <x v="6"/>
    <x v="48"/>
    <x v="148"/>
    <x v="59"/>
    <x v="7"/>
    <x v="9"/>
    <x v="1"/>
    <x v="70"/>
    <x v="11"/>
    <x v="0"/>
    <x v="36"/>
  </r>
  <r>
    <x v="1"/>
    <x v="203"/>
    <x v="8"/>
    <x v="34"/>
    <x v="13"/>
    <x v="6"/>
    <x v="70"/>
    <x v="60"/>
    <x v="37"/>
    <x v="20"/>
    <x v="4"/>
    <x v="1"/>
    <x v="190"/>
    <x v="11"/>
    <x v="0"/>
    <x v="36"/>
  </r>
  <r>
    <x v="1"/>
    <x v="203"/>
    <x v="6"/>
    <x v="37"/>
    <x v="21"/>
    <x v="6"/>
    <x v="86"/>
    <x v="106"/>
    <x v="61"/>
    <x v="14"/>
    <x v="1"/>
    <x v="1"/>
    <x v="225"/>
    <x v="11"/>
    <x v="0"/>
    <x v="36"/>
  </r>
  <r>
    <x v="1"/>
    <x v="203"/>
    <x v="8"/>
    <x v="38"/>
    <x v="10"/>
    <x v="6"/>
    <x v="142"/>
    <x v="170"/>
    <x v="59"/>
    <x v="0"/>
    <x v="4"/>
    <x v="1"/>
    <x v="225"/>
    <x v="11"/>
    <x v="0"/>
    <x v="36"/>
  </r>
  <r>
    <x v="1"/>
    <x v="203"/>
    <x v="6"/>
    <x v="54"/>
    <x v="10"/>
    <x v="6"/>
    <x v="142"/>
    <x v="170"/>
    <x v="59"/>
    <x v="0"/>
    <x v="4"/>
    <x v="1"/>
    <x v="55"/>
    <x v="11"/>
    <x v="0"/>
    <x v="36"/>
  </r>
  <r>
    <x v="1"/>
    <x v="203"/>
    <x v="6"/>
    <x v="39"/>
    <x v="22"/>
    <x v="6"/>
    <x v="162"/>
    <x v="181"/>
    <x v="48"/>
    <x v="0"/>
    <x v="4"/>
    <x v="0"/>
    <x v="209"/>
    <x v="11"/>
    <x v="0"/>
    <x v="24"/>
  </r>
  <r>
    <x v="1"/>
    <x v="203"/>
    <x v="14"/>
    <x v="130"/>
    <x v="43"/>
    <x v="20"/>
    <x v="352"/>
    <x v="195"/>
    <x v="71"/>
    <x v="40"/>
    <x v="11"/>
    <x v="11"/>
    <x v="256"/>
    <x v="11"/>
    <x v="0"/>
    <x v="23"/>
  </r>
  <r>
    <x v="1"/>
    <x v="162"/>
    <x v="6"/>
    <x v="10"/>
    <x v="9"/>
    <x v="4"/>
    <x v="232"/>
    <x v="80"/>
    <x v="10"/>
    <x v="14"/>
    <x v="5"/>
    <x v="0"/>
    <x v="146"/>
    <x v="11"/>
    <x v="0"/>
    <x v="15"/>
  </r>
  <r>
    <x v="1"/>
    <x v="161"/>
    <x v="6"/>
    <x v="10"/>
    <x v="9"/>
    <x v="4"/>
    <x v="294"/>
    <x v="80"/>
    <x v="27"/>
    <x v="14"/>
    <x v="5"/>
    <x v="0"/>
    <x v="149"/>
    <x v="11"/>
    <x v="0"/>
    <x v="34"/>
  </r>
  <r>
    <x v="1"/>
    <x v="124"/>
    <x v="6"/>
    <x v="13"/>
    <x v="24"/>
    <x v="4"/>
    <x v="311"/>
    <x v="110"/>
    <x v="31"/>
    <x v="14"/>
    <x v="5"/>
    <x v="0"/>
    <x v="72"/>
    <x v="11"/>
    <x v="0"/>
    <x v="13"/>
  </r>
  <r>
    <x v="1"/>
    <x v="190"/>
    <x v="6"/>
    <x v="4"/>
    <x v="13"/>
    <x v="4"/>
    <x v="297"/>
    <x v="127"/>
    <x v="37"/>
    <x v="7"/>
    <x v="4"/>
    <x v="1"/>
    <x v="94"/>
    <x v="11"/>
    <x v="0"/>
    <x v="22"/>
  </r>
  <r>
    <x v="1"/>
    <x v="122"/>
    <x v="6"/>
    <x v="11"/>
    <x v="9"/>
    <x v="4"/>
    <x v="316"/>
    <x v="8"/>
    <x v="32"/>
    <x v="31"/>
    <x v="5"/>
    <x v="0"/>
    <x v="111"/>
    <x v="11"/>
    <x v="0"/>
    <x v="30"/>
  </r>
  <r>
    <x v="1"/>
    <x v="160"/>
    <x v="6"/>
    <x v="9"/>
    <x v="20"/>
    <x v="4"/>
    <x v="323"/>
    <x v="139"/>
    <x v="17"/>
    <x v="7"/>
    <x v="4"/>
    <x v="0"/>
    <x v="94"/>
    <x v="11"/>
    <x v="0"/>
    <x v="26"/>
  </r>
  <r>
    <x v="1"/>
    <x v="183"/>
    <x v="6"/>
    <x v="5"/>
    <x v="24"/>
    <x v="4"/>
    <x v="338"/>
    <x v="146"/>
    <x v="17"/>
    <x v="7"/>
    <x v="5"/>
    <x v="0"/>
    <x v="149"/>
    <x v="11"/>
    <x v="0"/>
    <x v="33"/>
  </r>
  <r>
    <x v="1"/>
    <x v="172"/>
    <x v="6"/>
    <x v="9"/>
    <x v="20"/>
    <x v="4"/>
    <x v="159"/>
    <x v="179"/>
    <x v="15"/>
    <x v="0"/>
    <x v="4"/>
    <x v="0"/>
    <x v="79"/>
    <x v="11"/>
    <x v="0"/>
    <x v="36"/>
  </r>
  <r>
    <x v="1"/>
    <x v="188"/>
    <x v="6"/>
    <x v="2"/>
    <x v="24"/>
    <x v="4"/>
    <x v="58"/>
    <x v="110"/>
    <x v="36"/>
    <x v="14"/>
    <x v="5"/>
    <x v="0"/>
    <x v="94"/>
    <x v="11"/>
    <x v="0"/>
    <x v="36"/>
  </r>
  <r>
    <x v="1"/>
    <x v="203"/>
    <x v="14"/>
    <x v="130"/>
    <x v="43"/>
    <x v="20"/>
    <x v="352"/>
    <x v="195"/>
    <x v="71"/>
    <x v="40"/>
    <x v="11"/>
    <x v="11"/>
    <x v="256"/>
    <x v="11"/>
    <x v="0"/>
    <x v="36"/>
  </r>
  <r>
    <x v="1"/>
    <x v="203"/>
    <x v="8"/>
    <x v="44"/>
    <x v="12"/>
    <x v="10"/>
    <x v="183"/>
    <x v="57"/>
    <x v="61"/>
    <x v="20"/>
    <x v="5"/>
    <x v="1"/>
    <x v="177"/>
    <x v="11"/>
    <x v="0"/>
    <x v="36"/>
  </r>
  <r>
    <x v="1"/>
    <x v="203"/>
    <x v="8"/>
    <x v="45"/>
    <x v="27"/>
    <x v="10"/>
    <x v="184"/>
    <x v="114"/>
    <x v="61"/>
    <x v="14"/>
    <x v="3"/>
    <x v="1"/>
    <x v="177"/>
    <x v="11"/>
    <x v="0"/>
    <x v="36"/>
  </r>
  <r>
    <x v="1"/>
    <x v="203"/>
    <x v="8"/>
    <x v="46"/>
    <x v="9"/>
    <x v="10"/>
    <x v="128"/>
    <x v="36"/>
    <x v="51"/>
    <x v="27"/>
    <x v="0"/>
    <x v="1"/>
    <x v="177"/>
    <x v="11"/>
    <x v="0"/>
    <x v="36"/>
  </r>
  <r>
    <x v="1"/>
    <x v="203"/>
    <x v="8"/>
    <x v="52"/>
    <x v="9"/>
    <x v="10"/>
    <x v="181"/>
    <x v="36"/>
    <x v="58"/>
    <x v="28"/>
    <x v="0"/>
    <x v="1"/>
    <x v="177"/>
    <x v="11"/>
    <x v="0"/>
    <x v="36"/>
  </r>
  <r>
    <x v="1"/>
    <x v="203"/>
    <x v="14"/>
    <x v="130"/>
    <x v="43"/>
    <x v="20"/>
    <x v="352"/>
    <x v="195"/>
    <x v="71"/>
    <x v="40"/>
    <x v="11"/>
    <x v="11"/>
    <x v="256"/>
    <x v="11"/>
    <x v="0"/>
    <x v="25"/>
  </r>
  <r>
    <x v="1"/>
    <x v="203"/>
    <x v="14"/>
    <x v="130"/>
    <x v="43"/>
    <x v="20"/>
    <x v="352"/>
    <x v="195"/>
    <x v="71"/>
    <x v="40"/>
    <x v="11"/>
    <x v="11"/>
    <x v="256"/>
    <x v="11"/>
    <x v="0"/>
    <x v="35"/>
  </r>
  <r>
    <x v="1"/>
    <x v="168"/>
    <x v="13"/>
    <x v="47"/>
    <x v="11"/>
    <x v="13"/>
    <x v="90"/>
    <x v="86"/>
    <x v="59"/>
    <x v="14"/>
    <x v="11"/>
    <x v="1"/>
    <x v="12"/>
    <x v="11"/>
    <x v="0"/>
    <x v="36"/>
  </r>
  <r>
    <x v="1"/>
    <x v="193"/>
    <x v="12"/>
    <x v="50"/>
    <x v="16"/>
    <x v="13"/>
    <x v="44"/>
    <x v="195"/>
    <x v="61"/>
    <x v="20"/>
    <x v="11"/>
    <x v="0"/>
    <x v="200"/>
    <x v="11"/>
    <x v="0"/>
    <x v="36"/>
  </r>
  <r>
    <x v="1"/>
    <x v="203"/>
    <x v="14"/>
    <x v="51"/>
    <x v="20"/>
    <x v="0"/>
    <x v="350"/>
    <x v="195"/>
    <x v="71"/>
    <x v="38"/>
    <x v="9"/>
    <x v="9"/>
    <x v="256"/>
    <x v="11"/>
    <x v="0"/>
    <x v="36"/>
  </r>
  <r>
    <x v="1"/>
    <x v="203"/>
    <x v="3"/>
    <x v="49"/>
    <x v="26"/>
    <x v="13"/>
    <x v="48"/>
    <x v="195"/>
    <x v="71"/>
    <x v="40"/>
    <x v="11"/>
    <x v="11"/>
    <x v="70"/>
    <x v="11"/>
    <x v="0"/>
    <x v="21"/>
  </r>
  <r>
    <x v="3"/>
    <x v="80"/>
    <x v="6"/>
    <x v="0"/>
    <x v="5"/>
    <x v="16"/>
    <x v="1"/>
    <x v="2"/>
    <x v="24"/>
    <x v="34"/>
    <x v="4"/>
    <x v="7"/>
    <x v="256"/>
    <x v="11"/>
    <x v="0"/>
    <x v="36"/>
  </r>
  <r>
    <x v="3"/>
    <x v="61"/>
    <x v="14"/>
    <x v="2"/>
    <x v="13"/>
    <x v="16"/>
    <x v="5"/>
    <x v="16"/>
    <x v="18"/>
    <x v="29"/>
    <x v="5"/>
    <x v="0"/>
    <x v="256"/>
    <x v="11"/>
    <x v="0"/>
    <x v="36"/>
  </r>
  <r>
    <x v="3"/>
    <x v="0"/>
    <x v="6"/>
    <x v="3"/>
    <x v="5"/>
    <x v="16"/>
    <x v="9"/>
    <x v="45"/>
    <x v="32"/>
    <x v="21"/>
    <x v="4"/>
    <x v="7"/>
    <x v="256"/>
    <x v="11"/>
    <x v="0"/>
    <x v="36"/>
  </r>
  <r>
    <x v="3"/>
    <x v="203"/>
    <x v="6"/>
    <x v="4"/>
    <x v="19"/>
    <x v="16"/>
    <x v="14"/>
    <x v="70"/>
    <x v="51"/>
    <x v="22"/>
    <x v="5"/>
    <x v="7"/>
    <x v="256"/>
    <x v="5"/>
    <x v="0"/>
    <x v="36"/>
  </r>
  <r>
    <x v="3"/>
    <x v="203"/>
    <x v="6"/>
    <x v="5"/>
    <x v="9"/>
    <x v="16"/>
    <x v="17"/>
    <x v="82"/>
    <x v="51"/>
    <x v="13"/>
    <x v="5"/>
    <x v="7"/>
    <x v="256"/>
    <x v="5"/>
    <x v="0"/>
    <x v="36"/>
  </r>
  <r>
    <x v="3"/>
    <x v="203"/>
    <x v="8"/>
    <x v="6"/>
    <x v="9"/>
    <x v="16"/>
    <x v="17"/>
    <x v="82"/>
    <x v="51"/>
    <x v="13"/>
    <x v="5"/>
    <x v="7"/>
    <x v="256"/>
    <x v="11"/>
    <x v="0"/>
    <x v="36"/>
  </r>
  <r>
    <x v="3"/>
    <x v="203"/>
    <x v="6"/>
    <x v="7"/>
    <x v="19"/>
    <x v="16"/>
    <x v="18"/>
    <x v="100"/>
    <x v="51"/>
    <x v="15"/>
    <x v="5"/>
    <x v="7"/>
    <x v="256"/>
    <x v="11"/>
    <x v="0"/>
    <x v="36"/>
  </r>
  <r>
    <x v="3"/>
    <x v="203"/>
    <x v="6"/>
    <x v="8"/>
    <x v="19"/>
    <x v="16"/>
    <x v="18"/>
    <x v="100"/>
    <x v="51"/>
    <x v="15"/>
    <x v="5"/>
    <x v="7"/>
    <x v="256"/>
    <x v="4"/>
    <x v="0"/>
    <x v="36"/>
  </r>
  <r>
    <x v="3"/>
    <x v="106"/>
    <x v="6"/>
    <x v="9"/>
    <x v="5"/>
    <x v="16"/>
    <x v="21"/>
    <x v="112"/>
    <x v="29"/>
    <x v="8"/>
    <x v="4"/>
    <x v="7"/>
    <x v="142"/>
    <x v="11"/>
    <x v="0"/>
    <x v="36"/>
  </r>
  <r>
    <x v="3"/>
    <x v="203"/>
    <x v="6"/>
    <x v="10"/>
    <x v="9"/>
    <x v="16"/>
    <x v="24"/>
    <x v="121"/>
    <x v="51"/>
    <x v="5"/>
    <x v="5"/>
    <x v="7"/>
    <x v="256"/>
    <x v="5"/>
    <x v="0"/>
    <x v="36"/>
  </r>
  <r>
    <x v="3"/>
    <x v="203"/>
    <x v="3"/>
    <x v="11"/>
    <x v="9"/>
    <x v="16"/>
    <x v="24"/>
    <x v="121"/>
    <x v="50"/>
    <x v="5"/>
    <x v="5"/>
    <x v="7"/>
    <x v="91"/>
    <x v="11"/>
    <x v="0"/>
    <x v="36"/>
  </r>
  <r>
    <x v="3"/>
    <x v="72"/>
    <x v="6"/>
    <x v="12"/>
    <x v="24"/>
    <x v="16"/>
    <x v="33"/>
    <x v="145"/>
    <x v="28"/>
    <x v="6"/>
    <x v="5"/>
    <x v="7"/>
    <x v="256"/>
    <x v="11"/>
    <x v="0"/>
    <x v="36"/>
  </r>
  <r>
    <x v="3"/>
    <x v="20"/>
    <x v="3"/>
    <x v="13"/>
    <x v="5"/>
    <x v="16"/>
    <x v="37"/>
    <x v="164"/>
    <x v="17"/>
    <x v="2"/>
    <x v="4"/>
    <x v="7"/>
    <x v="256"/>
    <x v="11"/>
    <x v="0"/>
    <x v="36"/>
  </r>
  <r>
    <x v="3"/>
    <x v="148"/>
    <x v="6"/>
    <x v="112"/>
    <x v="5"/>
    <x v="16"/>
    <x v="38"/>
    <x v="165"/>
    <x v="30"/>
    <x v="1"/>
    <x v="4"/>
    <x v="8"/>
    <x v="256"/>
    <x v="11"/>
    <x v="0"/>
    <x v="36"/>
  </r>
  <r>
    <x v="3"/>
    <x v="23"/>
    <x v="6"/>
    <x v="14"/>
    <x v="9"/>
    <x v="16"/>
    <x v="39"/>
    <x v="167"/>
    <x v="14"/>
    <x v="0"/>
    <x v="5"/>
    <x v="7"/>
    <x v="256"/>
    <x v="11"/>
    <x v="0"/>
    <x v="36"/>
  </r>
  <r>
    <x v="3"/>
    <x v="107"/>
    <x v="6"/>
    <x v="15"/>
    <x v="24"/>
    <x v="16"/>
    <x v="42"/>
    <x v="184"/>
    <x v="32"/>
    <x v="0"/>
    <x v="5"/>
    <x v="7"/>
    <x v="65"/>
    <x v="11"/>
    <x v="0"/>
    <x v="36"/>
  </r>
  <r>
    <x v="3"/>
    <x v="203"/>
    <x v="14"/>
    <x v="130"/>
    <x v="43"/>
    <x v="20"/>
    <x v="352"/>
    <x v="195"/>
    <x v="71"/>
    <x v="40"/>
    <x v="11"/>
    <x v="11"/>
    <x v="256"/>
    <x v="11"/>
    <x v="0"/>
    <x v="36"/>
  </r>
  <r>
    <x v="3"/>
    <x v="17"/>
    <x v="7"/>
    <x v="25"/>
    <x v="19"/>
    <x v="15"/>
    <x v="2"/>
    <x v="9"/>
    <x v="6"/>
    <x v="37"/>
    <x v="5"/>
    <x v="1"/>
    <x v="256"/>
    <x v="11"/>
    <x v="0"/>
    <x v="36"/>
  </r>
  <r>
    <x v="3"/>
    <x v="34"/>
    <x v="3"/>
    <x v="16"/>
    <x v="5"/>
    <x v="15"/>
    <x v="5"/>
    <x v="22"/>
    <x v="2"/>
    <x v="27"/>
    <x v="4"/>
    <x v="0"/>
    <x v="256"/>
    <x v="11"/>
    <x v="0"/>
    <x v="36"/>
  </r>
  <r>
    <x v="3"/>
    <x v="203"/>
    <x v="3"/>
    <x v="17"/>
    <x v="5"/>
    <x v="15"/>
    <x v="6"/>
    <x v="32"/>
    <x v="4"/>
    <x v="26"/>
    <x v="4"/>
    <x v="0"/>
    <x v="116"/>
    <x v="11"/>
    <x v="0"/>
    <x v="36"/>
  </r>
  <r>
    <x v="3"/>
    <x v="28"/>
    <x v="7"/>
    <x v="16"/>
    <x v="5"/>
    <x v="15"/>
    <x v="8"/>
    <x v="45"/>
    <x v="6"/>
    <x v="24"/>
    <x v="4"/>
    <x v="0"/>
    <x v="256"/>
    <x v="11"/>
    <x v="0"/>
    <x v="36"/>
  </r>
  <r>
    <x v="3"/>
    <x v="149"/>
    <x v="7"/>
    <x v="57"/>
    <x v="5"/>
    <x v="15"/>
    <x v="8"/>
    <x v="45"/>
    <x v="6"/>
    <x v="24"/>
    <x v="4"/>
    <x v="0"/>
    <x v="256"/>
    <x v="11"/>
    <x v="0"/>
    <x v="36"/>
  </r>
  <r>
    <x v="3"/>
    <x v="11"/>
    <x v="7"/>
    <x v="19"/>
    <x v="13"/>
    <x v="15"/>
    <x v="10"/>
    <x v="57"/>
    <x v="9"/>
    <x v="23"/>
    <x v="5"/>
    <x v="0"/>
    <x v="107"/>
    <x v="11"/>
    <x v="0"/>
    <x v="36"/>
  </r>
  <r>
    <x v="3"/>
    <x v="46"/>
    <x v="7"/>
    <x v="20"/>
    <x v="5"/>
    <x v="15"/>
    <x v="12"/>
    <x v="74"/>
    <x v="12"/>
    <x v="19"/>
    <x v="4"/>
    <x v="0"/>
    <x v="154"/>
    <x v="11"/>
    <x v="0"/>
    <x v="36"/>
  </r>
  <r>
    <x v="3"/>
    <x v="5"/>
    <x v="8"/>
    <x v="0"/>
    <x v="5"/>
    <x v="15"/>
    <x v="12"/>
    <x v="74"/>
    <x v="13"/>
    <x v="19"/>
    <x v="11"/>
    <x v="11"/>
    <x v="84"/>
    <x v="11"/>
    <x v="0"/>
    <x v="36"/>
  </r>
  <r>
    <x v="3"/>
    <x v="15"/>
    <x v="7"/>
    <x v="22"/>
    <x v="9"/>
    <x v="15"/>
    <x v="16"/>
    <x v="84"/>
    <x v="15"/>
    <x v="18"/>
    <x v="5"/>
    <x v="0"/>
    <x v="256"/>
    <x v="11"/>
    <x v="0"/>
    <x v="36"/>
  </r>
  <r>
    <x v="3"/>
    <x v="203"/>
    <x v="7"/>
    <x v="23"/>
    <x v="24"/>
    <x v="15"/>
    <x v="19"/>
    <x v="111"/>
    <x v="45"/>
    <x v="17"/>
    <x v="5"/>
    <x v="1"/>
    <x v="202"/>
    <x v="11"/>
    <x v="0"/>
    <x v="36"/>
  </r>
  <r>
    <x v="3"/>
    <x v="203"/>
    <x v="8"/>
    <x v="24"/>
    <x v="13"/>
    <x v="15"/>
    <x v="25"/>
    <x v="128"/>
    <x v="53"/>
    <x v="11"/>
    <x v="5"/>
    <x v="1"/>
    <x v="28"/>
    <x v="11"/>
    <x v="0"/>
    <x v="36"/>
  </r>
  <r>
    <x v="3"/>
    <x v="29"/>
    <x v="7"/>
    <x v="2"/>
    <x v="13"/>
    <x v="15"/>
    <x v="25"/>
    <x v="128"/>
    <x v="53"/>
    <x v="11"/>
    <x v="5"/>
    <x v="0"/>
    <x v="256"/>
    <x v="11"/>
    <x v="0"/>
    <x v="36"/>
  </r>
  <r>
    <x v="3"/>
    <x v="203"/>
    <x v="7"/>
    <x v="124"/>
    <x v="13"/>
    <x v="15"/>
    <x v="25"/>
    <x v="128"/>
    <x v="53"/>
    <x v="11"/>
    <x v="5"/>
    <x v="0"/>
    <x v="2"/>
    <x v="11"/>
    <x v="0"/>
    <x v="36"/>
  </r>
  <r>
    <x v="3"/>
    <x v="56"/>
    <x v="7"/>
    <x v="26"/>
    <x v="21"/>
    <x v="15"/>
    <x v="31"/>
    <x v="141"/>
    <x v="33"/>
    <x v="10"/>
    <x v="4"/>
    <x v="0"/>
    <x v="65"/>
    <x v="11"/>
    <x v="0"/>
    <x v="36"/>
  </r>
  <r>
    <x v="3"/>
    <x v="42"/>
    <x v="7"/>
    <x v="27"/>
    <x v="24"/>
    <x v="15"/>
    <x v="32"/>
    <x v="145"/>
    <x v="36"/>
    <x v="9"/>
    <x v="5"/>
    <x v="0"/>
    <x v="103"/>
    <x v="11"/>
    <x v="0"/>
    <x v="36"/>
  </r>
  <r>
    <x v="3"/>
    <x v="203"/>
    <x v="3"/>
    <x v="28"/>
    <x v="5"/>
    <x v="15"/>
    <x v="36"/>
    <x v="165"/>
    <x v="45"/>
    <x v="3"/>
    <x v="4"/>
    <x v="0"/>
    <x v="29"/>
    <x v="11"/>
    <x v="0"/>
    <x v="36"/>
  </r>
  <r>
    <x v="3"/>
    <x v="144"/>
    <x v="5"/>
    <x v="29"/>
    <x v="5"/>
    <x v="15"/>
    <x v="35"/>
    <x v="165"/>
    <x v="42"/>
    <x v="4"/>
    <x v="4"/>
    <x v="0"/>
    <x v="103"/>
    <x v="11"/>
    <x v="0"/>
    <x v="36"/>
  </r>
  <r>
    <x v="3"/>
    <x v="203"/>
    <x v="14"/>
    <x v="130"/>
    <x v="43"/>
    <x v="20"/>
    <x v="352"/>
    <x v="195"/>
    <x v="71"/>
    <x v="40"/>
    <x v="11"/>
    <x v="11"/>
    <x v="256"/>
    <x v="11"/>
    <x v="0"/>
    <x v="36"/>
  </r>
  <r>
    <x v="3"/>
    <x v="186"/>
    <x v="7"/>
    <x v="3"/>
    <x v="5"/>
    <x v="12"/>
    <x v="46"/>
    <x v="31"/>
    <x v="15"/>
    <x v="25"/>
    <x v="4"/>
    <x v="2"/>
    <x v="47"/>
    <x v="11"/>
    <x v="0"/>
    <x v="36"/>
  </r>
  <r>
    <x v="3"/>
    <x v="50"/>
    <x v="7"/>
    <x v="31"/>
    <x v="9"/>
    <x v="12"/>
    <x v="197"/>
    <x v="24"/>
    <x v="24"/>
    <x v="27"/>
    <x v="5"/>
    <x v="1"/>
    <x v="161"/>
    <x v="11"/>
    <x v="0"/>
    <x v="36"/>
  </r>
  <r>
    <x v="3"/>
    <x v="52"/>
    <x v="4"/>
    <x v="32"/>
    <x v="5"/>
    <x v="12"/>
    <x v="180"/>
    <x v="73"/>
    <x v="6"/>
    <x v="14"/>
    <x v="4"/>
    <x v="0"/>
    <x v="256"/>
    <x v="11"/>
    <x v="0"/>
    <x v="36"/>
  </r>
  <r>
    <x v="3"/>
    <x v="16"/>
    <x v="7"/>
    <x v="33"/>
    <x v="9"/>
    <x v="12"/>
    <x v="195"/>
    <x v="79"/>
    <x v="6"/>
    <x v="14"/>
    <x v="5"/>
    <x v="0"/>
    <x v="194"/>
    <x v="11"/>
    <x v="0"/>
    <x v="36"/>
  </r>
  <r>
    <x v="3"/>
    <x v="68"/>
    <x v="5"/>
    <x v="34"/>
    <x v="5"/>
    <x v="12"/>
    <x v="196"/>
    <x v="113"/>
    <x v="6"/>
    <x v="7"/>
    <x v="4"/>
    <x v="0"/>
    <x v="256"/>
    <x v="11"/>
    <x v="0"/>
    <x v="36"/>
  </r>
  <r>
    <x v="3"/>
    <x v="24"/>
    <x v="5"/>
    <x v="35"/>
    <x v="9"/>
    <x v="12"/>
    <x v="208"/>
    <x v="120"/>
    <x v="15"/>
    <x v="7"/>
    <x v="5"/>
    <x v="0"/>
    <x v="68"/>
    <x v="11"/>
    <x v="0"/>
    <x v="36"/>
  </r>
  <r>
    <x v="3"/>
    <x v="57"/>
    <x v="7"/>
    <x v="36"/>
    <x v="24"/>
    <x v="12"/>
    <x v="295"/>
    <x v="81"/>
    <x v="27"/>
    <x v="20"/>
    <x v="5"/>
    <x v="0"/>
    <x v="43"/>
    <x v="11"/>
    <x v="0"/>
    <x v="36"/>
  </r>
  <r>
    <x v="3"/>
    <x v="79"/>
    <x v="4"/>
    <x v="34"/>
    <x v="5"/>
    <x v="12"/>
    <x v="333"/>
    <x v="113"/>
    <x v="34"/>
    <x v="7"/>
    <x v="4"/>
    <x v="0"/>
    <x v="162"/>
    <x v="11"/>
    <x v="0"/>
    <x v="36"/>
  </r>
  <r>
    <x v="3"/>
    <x v="79"/>
    <x v="4"/>
    <x v="121"/>
    <x v="5"/>
    <x v="12"/>
    <x v="333"/>
    <x v="113"/>
    <x v="34"/>
    <x v="7"/>
    <x v="4"/>
    <x v="0"/>
    <x v="57"/>
    <x v="11"/>
    <x v="0"/>
    <x v="36"/>
  </r>
  <r>
    <x v="3"/>
    <x v="203"/>
    <x v="4"/>
    <x v="39"/>
    <x v="19"/>
    <x v="12"/>
    <x v="111"/>
    <x v="134"/>
    <x v="42"/>
    <x v="7"/>
    <x v="5"/>
    <x v="0"/>
    <x v="37"/>
    <x v="11"/>
    <x v="0"/>
    <x v="36"/>
  </r>
  <r>
    <x v="3"/>
    <x v="203"/>
    <x v="7"/>
    <x v="40"/>
    <x v="21"/>
    <x v="12"/>
    <x v="130"/>
    <x v="142"/>
    <x v="46"/>
    <x v="7"/>
    <x v="4"/>
    <x v="0"/>
    <x v="89"/>
    <x v="11"/>
    <x v="0"/>
    <x v="36"/>
  </r>
  <r>
    <x v="3"/>
    <x v="203"/>
    <x v="14"/>
    <x v="130"/>
    <x v="43"/>
    <x v="20"/>
    <x v="352"/>
    <x v="195"/>
    <x v="71"/>
    <x v="40"/>
    <x v="11"/>
    <x v="11"/>
    <x v="256"/>
    <x v="11"/>
    <x v="0"/>
    <x v="36"/>
  </r>
  <r>
    <x v="3"/>
    <x v="32"/>
    <x v="7"/>
    <x v="71"/>
    <x v="37"/>
    <x v="6"/>
    <x v="47"/>
    <x v="190"/>
    <x v="7"/>
    <x v="0"/>
    <x v="5"/>
    <x v="1"/>
    <x v="156"/>
    <x v="11"/>
    <x v="0"/>
    <x v="36"/>
  </r>
  <r>
    <x v="3"/>
    <x v="43"/>
    <x v="7"/>
    <x v="41"/>
    <x v="9"/>
    <x v="6"/>
    <x v="199"/>
    <x v="15"/>
    <x v="36"/>
    <x v="29"/>
    <x v="5"/>
    <x v="2"/>
    <x v="147"/>
    <x v="11"/>
    <x v="0"/>
    <x v="36"/>
  </r>
  <r>
    <x v="3"/>
    <x v="53"/>
    <x v="9"/>
    <x v="42"/>
    <x v="29"/>
    <x v="6"/>
    <x v="207"/>
    <x v="37"/>
    <x v="29"/>
    <x v="28"/>
    <x v="5"/>
    <x v="1"/>
    <x v="212"/>
    <x v="11"/>
    <x v="0"/>
    <x v="36"/>
  </r>
  <r>
    <x v="3"/>
    <x v="203"/>
    <x v="7"/>
    <x v="43"/>
    <x v="29"/>
    <x v="6"/>
    <x v="220"/>
    <x v="66"/>
    <x v="43"/>
    <x v="25"/>
    <x v="5"/>
    <x v="2"/>
    <x v="236"/>
    <x v="1"/>
    <x v="0"/>
    <x v="36"/>
  </r>
  <r>
    <x v="3"/>
    <x v="69"/>
    <x v="7"/>
    <x v="27"/>
    <x v="24"/>
    <x v="6"/>
    <x v="223"/>
    <x v="19"/>
    <x v="10"/>
    <x v="30"/>
    <x v="5"/>
    <x v="0"/>
    <x v="256"/>
    <x v="11"/>
    <x v="0"/>
    <x v="36"/>
  </r>
  <r>
    <x v="3"/>
    <x v="60"/>
    <x v="7"/>
    <x v="45"/>
    <x v="5"/>
    <x v="6"/>
    <x v="239"/>
    <x v="21"/>
    <x v="15"/>
    <x v="27"/>
    <x v="4"/>
    <x v="0"/>
    <x v="254"/>
    <x v="11"/>
    <x v="0"/>
    <x v="36"/>
  </r>
  <r>
    <x v="3"/>
    <x v="78"/>
    <x v="4"/>
    <x v="32"/>
    <x v="5"/>
    <x v="6"/>
    <x v="240"/>
    <x v="31"/>
    <x v="36"/>
    <x v="25"/>
    <x v="4"/>
    <x v="1"/>
    <x v="133"/>
    <x v="0"/>
    <x v="0"/>
    <x v="36"/>
  </r>
  <r>
    <x v="3"/>
    <x v="39"/>
    <x v="9"/>
    <x v="42"/>
    <x v="29"/>
    <x v="6"/>
    <x v="242"/>
    <x v="48"/>
    <x v="15"/>
    <x v="27"/>
    <x v="5"/>
    <x v="0"/>
    <x v="212"/>
    <x v="11"/>
    <x v="0"/>
    <x v="36"/>
  </r>
  <r>
    <x v="3"/>
    <x v="55"/>
    <x v="7"/>
    <x v="48"/>
    <x v="21"/>
    <x v="6"/>
    <x v="264"/>
    <x v="105"/>
    <x v="31"/>
    <x v="14"/>
    <x v="4"/>
    <x v="1"/>
    <x v="30"/>
    <x v="11"/>
    <x v="0"/>
    <x v="36"/>
  </r>
  <r>
    <x v="3"/>
    <x v="203"/>
    <x v="7"/>
    <x v="49"/>
    <x v="21"/>
    <x v="6"/>
    <x v="263"/>
    <x v="105"/>
    <x v="36"/>
    <x v="14"/>
    <x v="4"/>
    <x v="2"/>
    <x v="129"/>
    <x v="3"/>
    <x v="0"/>
    <x v="36"/>
  </r>
  <r>
    <x v="3"/>
    <x v="203"/>
    <x v="7"/>
    <x v="50"/>
    <x v="29"/>
    <x v="6"/>
    <x v="264"/>
    <x v="66"/>
    <x v="42"/>
    <x v="25"/>
    <x v="5"/>
    <x v="1"/>
    <x v="237"/>
    <x v="3"/>
    <x v="0"/>
    <x v="36"/>
  </r>
  <r>
    <x v="3"/>
    <x v="203"/>
    <x v="7"/>
    <x v="52"/>
    <x v="9"/>
    <x v="6"/>
    <x v="281"/>
    <x v="79"/>
    <x v="47"/>
    <x v="14"/>
    <x v="5"/>
    <x v="1"/>
    <x v="256"/>
    <x v="3"/>
    <x v="0"/>
    <x v="36"/>
  </r>
  <r>
    <x v="3"/>
    <x v="166"/>
    <x v="13"/>
    <x v="53"/>
    <x v="9"/>
    <x v="6"/>
    <x v="281"/>
    <x v="79"/>
    <x v="37"/>
    <x v="14"/>
    <x v="5"/>
    <x v="1"/>
    <x v="174"/>
    <x v="3"/>
    <x v="0"/>
    <x v="36"/>
  </r>
  <r>
    <x v="3"/>
    <x v="203"/>
    <x v="6"/>
    <x v="128"/>
    <x v="16"/>
    <x v="7"/>
    <x v="286"/>
    <x v="62"/>
    <x v="47"/>
    <x v="20"/>
    <x v="0"/>
    <x v="1"/>
    <x v="163"/>
    <x v="11"/>
    <x v="0"/>
    <x v="36"/>
  </r>
  <r>
    <x v="3"/>
    <x v="203"/>
    <x v="7"/>
    <x v="54"/>
    <x v="9"/>
    <x v="6"/>
    <x v="287"/>
    <x v="120"/>
    <x v="37"/>
    <x v="7"/>
    <x v="5"/>
    <x v="1"/>
    <x v="239"/>
    <x v="11"/>
    <x v="0"/>
    <x v="36"/>
  </r>
  <r>
    <x v="3"/>
    <x v="203"/>
    <x v="13"/>
    <x v="75"/>
    <x v="5"/>
    <x v="6"/>
    <x v="301"/>
    <x v="46"/>
    <x v="29"/>
    <x v="20"/>
    <x v="4"/>
    <x v="0"/>
    <x v="30"/>
    <x v="11"/>
    <x v="0"/>
    <x v="36"/>
  </r>
  <r>
    <x v="3"/>
    <x v="203"/>
    <x v="7"/>
    <x v="55"/>
    <x v="5"/>
    <x v="6"/>
    <x v="319"/>
    <x v="31"/>
    <x v="32"/>
    <x v="25"/>
    <x v="4"/>
    <x v="0"/>
    <x v="97"/>
    <x v="11"/>
    <x v="0"/>
    <x v="36"/>
  </r>
  <r>
    <x v="3"/>
    <x v="203"/>
    <x v="4"/>
    <x v="56"/>
    <x v="21"/>
    <x v="6"/>
    <x v="329"/>
    <x v="53"/>
    <x v="34"/>
    <x v="25"/>
    <x v="4"/>
    <x v="0"/>
    <x v="97"/>
    <x v="6"/>
    <x v="0"/>
    <x v="36"/>
  </r>
  <r>
    <x v="3"/>
    <x v="191"/>
    <x v="4"/>
    <x v="74"/>
    <x v="21"/>
    <x v="6"/>
    <x v="326"/>
    <x v="142"/>
    <x v="6"/>
    <x v="7"/>
    <x v="4"/>
    <x v="0"/>
    <x v="256"/>
    <x v="11"/>
    <x v="0"/>
    <x v="36"/>
  </r>
  <r>
    <x v="3"/>
    <x v="203"/>
    <x v="2"/>
    <x v="76"/>
    <x v="13"/>
    <x v="6"/>
    <x v="71"/>
    <x v="91"/>
    <x v="37"/>
    <x v="14"/>
    <x v="5"/>
    <x v="0"/>
    <x v="30"/>
    <x v="11"/>
    <x v="0"/>
    <x v="36"/>
  </r>
  <r>
    <x v="3"/>
    <x v="103"/>
    <x v="7"/>
    <x v="21"/>
    <x v="21"/>
    <x v="6"/>
    <x v="73"/>
    <x v="105"/>
    <x v="37"/>
    <x v="14"/>
    <x v="4"/>
    <x v="0"/>
    <x v="30"/>
    <x v="11"/>
    <x v="0"/>
    <x v="36"/>
  </r>
  <r>
    <x v="3"/>
    <x v="203"/>
    <x v="4"/>
    <x v="58"/>
    <x v="9"/>
    <x v="6"/>
    <x v="78"/>
    <x v="120"/>
    <x v="47"/>
    <x v="7"/>
    <x v="5"/>
    <x v="1"/>
    <x v="245"/>
    <x v="11"/>
    <x v="0"/>
    <x v="36"/>
  </r>
  <r>
    <x v="3"/>
    <x v="203"/>
    <x v="4"/>
    <x v="60"/>
    <x v="9"/>
    <x v="6"/>
    <x v="92"/>
    <x v="51"/>
    <x v="39"/>
    <x v="20"/>
    <x v="5"/>
    <x v="0"/>
    <x v="192"/>
    <x v="11"/>
    <x v="0"/>
    <x v="36"/>
  </r>
  <r>
    <x v="3"/>
    <x v="203"/>
    <x v="7"/>
    <x v="123"/>
    <x v="5"/>
    <x v="6"/>
    <x v="96"/>
    <x v="21"/>
    <x v="40"/>
    <x v="27"/>
    <x v="4"/>
    <x v="0"/>
    <x v="206"/>
    <x v="11"/>
    <x v="0"/>
    <x v="36"/>
  </r>
  <r>
    <x v="3"/>
    <x v="203"/>
    <x v="4"/>
    <x v="61"/>
    <x v="37"/>
    <x v="6"/>
    <x v="104"/>
    <x v="161"/>
    <x v="42"/>
    <x v="7"/>
    <x v="5"/>
    <x v="1"/>
    <x v="100"/>
    <x v="11"/>
    <x v="0"/>
    <x v="36"/>
  </r>
  <r>
    <x v="3"/>
    <x v="155"/>
    <x v="3"/>
    <x v="30"/>
    <x v="1"/>
    <x v="6"/>
    <x v="104"/>
    <x v="161"/>
    <x v="42"/>
    <x v="0"/>
    <x v="5"/>
    <x v="1"/>
    <x v="100"/>
    <x v="11"/>
    <x v="0"/>
    <x v="36"/>
  </r>
  <r>
    <x v="3"/>
    <x v="203"/>
    <x v="4"/>
    <x v="64"/>
    <x v="9"/>
    <x v="6"/>
    <x v="102"/>
    <x v="168"/>
    <x v="41"/>
    <x v="0"/>
    <x v="5"/>
    <x v="0"/>
    <x v="210"/>
    <x v="11"/>
    <x v="0"/>
    <x v="36"/>
  </r>
  <r>
    <x v="3"/>
    <x v="203"/>
    <x v="2"/>
    <x v="77"/>
    <x v="9"/>
    <x v="6"/>
    <x v="117"/>
    <x v="120"/>
    <x v="43"/>
    <x v="7"/>
    <x v="5"/>
    <x v="0"/>
    <x v="30"/>
    <x v="11"/>
    <x v="0"/>
    <x v="36"/>
  </r>
  <r>
    <x v="3"/>
    <x v="22"/>
    <x v="4"/>
    <x v="13"/>
    <x v="5"/>
    <x v="6"/>
    <x v="118"/>
    <x v="166"/>
    <x v="29"/>
    <x v="0"/>
    <x v="4"/>
    <x v="0"/>
    <x v="212"/>
    <x v="11"/>
    <x v="0"/>
    <x v="36"/>
  </r>
  <r>
    <x v="3"/>
    <x v="203"/>
    <x v="4"/>
    <x v="59"/>
    <x v="5"/>
    <x v="6"/>
    <x v="120"/>
    <x v="166"/>
    <x v="37"/>
    <x v="0"/>
    <x v="4"/>
    <x v="0"/>
    <x v="86"/>
    <x v="11"/>
    <x v="0"/>
    <x v="36"/>
  </r>
  <r>
    <x v="3"/>
    <x v="203"/>
    <x v="4"/>
    <x v="1"/>
    <x v="5"/>
    <x v="6"/>
    <x v="120"/>
    <x v="166"/>
    <x v="37"/>
    <x v="0"/>
    <x v="4"/>
    <x v="0"/>
    <x v="86"/>
    <x v="11"/>
    <x v="0"/>
    <x v="36"/>
  </r>
  <r>
    <x v="3"/>
    <x v="203"/>
    <x v="4"/>
    <x v="63"/>
    <x v="9"/>
    <x v="6"/>
    <x v="138"/>
    <x v="168"/>
    <x v="48"/>
    <x v="0"/>
    <x v="5"/>
    <x v="1"/>
    <x v="100"/>
    <x v="11"/>
    <x v="0"/>
    <x v="36"/>
  </r>
  <r>
    <x v="3"/>
    <x v="203"/>
    <x v="9"/>
    <x v="66"/>
    <x v="13"/>
    <x v="6"/>
    <x v="148"/>
    <x v="173"/>
    <x v="37"/>
    <x v="0"/>
    <x v="5"/>
    <x v="0"/>
    <x v="88"/>
    <x v="11"/>
    <x v="0"/>
    <x v="36"/>
  </r>
  <r>
    <x v="3"/>
    <x v="203"/>
    <x v="6"/>
    <x v="111"/>
    <x v="19"/>
    <x v="6"/>
    <x v="156"/>
    <x v="178"/>
    <x v="37"/>
    <x v="0"/>
    <x v="4"/>
    <x v="0"/>
    <x v="86"/>
    <x v="11"/>
    <x v="0"/>
    <x v="36"/>
  </r>
  <r>
    <x v="3"/>
    <x v="203"/>
    <x v="7"/>
    <x v="65"/>
    <x v="9"/>
    <x v="6"/>
    <x v="146"/>
    <x v="120"/>
    <x v="49"/>
    <x v="7"/>
    <x v="5"/>
    <x v="0"/>
    <x v="170"/>
    <x v="11"/>
    <x v="0"/>
    <x v="36"/>
  </r>
  <r>
    <x v="3"/>
    <x v="170"/>
    <x v="7"/>
    <x v="67"/>
    <x v="24"/>
    <x v="6"/>
    <x v="167"/>
    <x v="183"/>
    <x v="43"/>
    <x v="0"/>
    <x v="5"/>
    <x v="2"/>
    <x v="168"/>
    <x v="11"/>
    <x v="0"/>
    <x v="36"/>
  </r>
  <r>
    <x v="3"/>
    <x v="27"/>
    <x v="7"/>
    <x v="68"/>
    <x v="24"/>
    <x v="6"/>
    <x v="170"/>
    <x v="183"/>
    <x v="24"/>
    <x v="0"/>
    <x v="5"/>
    <x v="0"/>
    <x v="185"/>
    <x v="11"/>
    <x v="0"/>
    <x v="36"/>
  </r>
  <r>
    <x v="3"/>
    <x v="26"/>
    <x v="7"/>
    <x v="68"/>
    <x v="24"/>
    <x v="6"/>
    <x v="171"/>
    <x v="183"/>
    <x v="29"/>
    <x v="0"/>
    <x v="5"/>
    <x v="0"/>
    <x v="185"/>
    <x v="11"/>
    <x v="0"/>
    <x v="36"/>
  </r>
  <r>
    <x v="3"/>
    <x v="203"/>
    <x v="7"/>
    <x v="70"/>
    <x v="24"/>
    <x v="6"/>
    <x v="166"/>
    <x v="183"/>
    <x v="36"/>
    <x v="0"/>
    <x v="5"/>
    <x v="0"/>
    <x v="86"/>
    <x v="11"/>
    <x v="0"/>
    <x v="36"/>
  </r>
  <r>
    <x v="3"/>
    <x v="203"/>
    <x v="11"/>
    <x v="110"/>
    <x v="29"/>
    <x v="6"/>
    <x v="185"/>
    <x v="188"/>
    <x v="48"/>
    <x v="0"/>
    <x v="5"/>
    <x v="0"/>
    <x v="207"/>
    <x v="11"/>
    <x v="0"/>
    <x v="36"/>
  </r>
  <r>
    <x v="3"/>
    <x v="203"/>
    <x v="6"/>
    <x v="126"/>
    <x v="29"/>
    <x v="7"/>
    <x v="185"/>
    <x v="188"/>
    <x v="48"/>
    <x v="0"/>
    <x v="5"/>
    <x v="0"/>
    <x v="207"/>
    <x v="11"/>
    <x v="0"/>
    <x v="36"/>
  </r>
  <r>
    <x v="3"/>
    <x v="203"/>
    <x v="7"/>
    <x v="72"/>
    <x v="41"/>
    <x v="6"/>
    <x v="212"/>
    <x v="193"/>
    <x v="37"/>
    <x v="0"/>
    <x v="5"/>
    <x v="0"/>
    <x v="211"/>
    <x v="11"/>
    <x v="0"/>
    <x v="36"/>
  </r>
  <r>
    <x v="3"/>
    <x v="167"/>
    <x v="5"/>
    <x v="73"/>
    <x v="41"/>
    <x v="6"/>
    <x v="212"/>
    <x v="193"/>
    <x v="37"/>
    <x v="0"/>
    <x v="5"/>
    <x v="0"/>
    <x v="93"/>
    <x v="11"/>
    <x v="0"/>
    <x v="36"/>
  </r>
  <r>
    <x v="3"/>
    <x v="203"/>
    <x v="14"/>
    <x v="130"/>
    <x v="43"/>
    <x v="20"/>
    <x v="352"/>
    <x v="195"/>
    <x v="71"/>
    <x v="40"/>
    <x v="11"/>
    <x v="11"/>
    <x v="256"/>
    <x v="11"/>
    <x v="0"/>
    <x v="36"/>
  </r>
  <r>
    <x v="3"/>
    <x v="40"/>
    <x v="7"/>
    <x v="78"/>
    <x v="5"/>
    <x v="4"/>
    <x v="177"/>
    <x v="31"/>
    <x v="0"/>
    <x v="25"/>
    <x v="4"/>
    <x v="0"/>
    <x v="256"/>
    <x v="11"/>
    <x v="0"/>
    <x v="36"/>
  </r>
  <r>
    <x v="3"/>
    <x v="9"/>
    <x v="7"/>
    <x v="78"/>
    <x v="5"/>
    <x v="4"/>
    <x v="194"/>
    <x v="38"/>
    <x v="22"/>
    <x v="25"/>
    <x v="4"/>
    <x v="1"/>
    <x v="46"/>
    <x v="11"/>
    <x v="0"/>
    <x v="36"/>
  </r>
  <r>
    <x v="3"/>
    <x v="21"/>
    <x v="7"/>
    <x v="83"/>
    <x v="5"/>
    <x v="4"/>
    <x v="201"/>
    <x v="46"/>
    <x v="2"/>
    <x v="20"/>
    <x v="4"/>
    <x v="0"/>
    <x v="42"/>
    <x v="11"/>
    <x v="0"/>
    <x v="36"/>
  </r>
  <r>
    <x v="3"/>
    <x v="12"/>
    <x v="7"/>
    <x v="80"/>
    <x v="19"/>
    <x v="4"/>
    <x v="204"/>
    <x v="50"/>
    <x v="4"/>
    <x v="25"/>
    <x v="5"/>
    <x v="0"/>
    <x v="165"/>
    <x v="11"/>
    <x v="0"/>
    <x v="36"/>
  </r>
  <r>
    <x v="3"/>
    <x v="8"/>
    <x v="7"/>
    <x v="78"/>
    <x v="5"/>
    <x v="4"/>
    <x v="216"/>
    <x v="65"/>
    <x v="2"/>
    <x v="14"/>
    <x v="4"/>
    <x v="1"/>
    <x v="97"/>
    <x v="11"/>
    <x v="0"/>
    <x v="36"/>
  </r>
  <r>
    <x v="3"/>
    <x v="35"/>
    <x v="7"/>
    <x v="41"/>
    <x v="9"/>
    <x v="4"/>
    <x v="222"/>
    <x v="4"/>
    <x v="10"/>
    <x v="33"/>
    <x v="5"/>
    <x v="0"/>
    <x v="83"/>
    <x v="11"/>
    <x v="0"/>
    <x v="36"/>
  </r>
  <r>
    <x v="3"/>
    <x v="7"/>
    <x v="7"/>
    <x v="78"/>
    <x v="5"/>
    <x v="4"/>
    <x v="217"/>
    <x v="73"/>
    <x v="2"/>
    <x v="14"/>
    <x v="4"/>
    <x v="0"/>
    <x v="249"/>
    <x v="11"/>
    <x v="0"/>
    <x v="36"/>
  </r>
  <r>
    <x v="3"/>
    <x v="87"/>
    <x v="7"/>
    <x v="18"/>
    <x v="21"/>
    <x v="4"/>
    <x v="228"/>
    <x v="76"/>
    <x v="6"/>
    <x v="20"/>
    <x v="4"/>
    <x v="0"/>
    <x v="42"/>
    <x v="11"/>
    <x v="0"/>
    <x v="36"/>
  </r>
  <r>
    <x v="3"/>
    <x v="44"/>
    <x v="7"/>
    <x v="20"/>
    <x v="5"/>
    <x v="4"/>
    <x v="230"/>
    <x v="31"/>
    <x v="34"/>
    <x v="25"/>
    <x v="4"/>
    <x v="1"/>
    <x v="47"/>
    <x v="11"/>
    <x v="0"/>
    <x v="36"/>
  </r>
  <r>
    <x v="3"/>
    <x v="88"/>
    <x v="7"/>
    <x v="31"/>
    <x v="9"/>
    <x v="4"/>
    <x v="248"/>
    <x v="79"/>
    <x v="16"/>
    <x v="14"/>
    <x v="5"/>
    <x v="0"/>
    <x v="205"/>
    <x v="11"/>
    <x v="0"/>
    <x v="36"/>
  </r>
  <r>
    <x v="3"/>
    <x v="13"/>
    <x v="7"/>
    <x v="21"/>
    <x v="21"/>
    <x v="4"/>
    <x v="250"/>
    <x v="96"/>
    <x v="8"/>
    <x v="14"/>
    <x v="4"/>
    <x v="0"/>
    <x v="30"/>
    <x v="11"/>
    <x v="0"/>
    <x v="36"/>
  </r>
  <r>
    <x v="3"/>
    <x v="67"/>
    <x v="7"/>
    <x v="82"/>
    <x v="19"/>
    <x v="4"/>
    <x v="254"/>
    <x v="101"/>
    <x v="6"/>
    <x v="14"/>
    <x v="5"/>
    <x v="0"/>
    <x v="78"/>
    <x v="11"/>
    <x v="0"/>
    <x v="36"/>
  </r>
  <r>
    <x v="3"/>
    <x v="49"/>
    <x v="7"/>
    <x v="48"/>
    <x v="21"/>
    <x v="4"/>
    <x v="264"/>
    <x v="105"/>
    <x v="10"/>
    <x v="14"/>
    <x v="4"/>
    <x v="0"/>
    <x v="76"/>
    <x v="11"/>
    <x v="0"/>
    <x v="36"/>
  </r>
  <r>
    <x v="3"/>
    <x v="66"/>
    <x v="7"/>
    <x v="26"/>
    <x v="21"/>
    <x v="4"/>
    <x v="265"/>
    <x v="104"/>
    <x v="13"/>
    <x v="14"/>
    <x v="4"/>
    <x v="0"/>
    <x v="65"/>
    <x v="11"/>
    <x v="0"/>
    <x v="36"/>
  </r>
  <r>
    <x v="3"/>
    <x v="203"/>
    <x v="7"/>
    <x v="108"/>
    <x v="21"/>
    <x v="4"/>
    <x v="266"/>
    <x v="105"/>
    <x v="51"/>
    <x v="14"/>
    <x v="4"/>
    <x v="2"/>
    <x v="71"/>
    <x v="11"/>
    <x v="0"/>
    <x v="36"/>
  </r>
  <r>
    <x v="3"/>
    <x v="59"/>
    <x v="7"/>
    <x v="36"/>
    <x v="24"/>
    <x v="4"/>
    <x v="267"/>
    <x v="81"/>
    <x v="17"/>
    <x v="20"/>
    <x v="5"/>
    <x v="0"/>
    <x v="256"/>
    <x v="11"/>
    <x v="0"/>
    <x v="36"/>
  </r>
  <r>
    <x v="3"/>
    <x v="54"/>
    <x v="7"/>
    <x v="9"/>
    <x v="5"/>
    <x v="4"/>
    <x v="275"/>
    <x v="73"/>
    <x v="22"/>
    <x v="14"/>
    <x v="4"/>
    <x v="0"/>
    <x v="142"/>
    <x v="11"/>
    <x v="0"/>
    <x v="36"/>
  </r>
  <r>
    <x v="3"/>
    <x v="33"/>
    <x v="4"/>
    <x v="16"/>
    <x v="5"/>
    <x v="4"/>
    <x v="276"/>
    <x v="113"/>
    <x v="15"/>
    <x v="7"/>
    <x v="4"/>
    <x v="0"/>
    <x v="26"/>
    <x v="11"/>
    <x v="0"/>
    <x v="36"/>
  </r>
  <r>
    <x v="3"/>
    <x v="51"/>
    <x v="7"/>
    <x v="45"/>
    <x v="5"/>
    <x v="4"/>
    <x v="296"/>
    <x v="113"/>
    <x v="27"/>
    <x v="7"/>
    <x v="4"/>
    <x v="0"/>
    <x v="159"/>
    <x v="11"/>
    <x v="0"/>
    <x v="36"/>
  </r>
  <r>
    <x v="3"/>
    <x v="64"/>
    <x v="7"/>
    <x v="37"/>
    <x v="19"/>
    <x v="4"/>
    <x v="315"/>
    <x v="137"/>
    <x v="17"/>
    <x v="7"/>
    <x v="5"/>
    <x v="0"/>
    <x v="109"/>
    <x v="11"/>
    <x v="0"/>
    <x v="36"/>
  </r>
  <r>
    <x v="3"/>
    <x v="65"/>
    <x v="7"/>
    <x v="37"/>
    <x v="19"/>
    <x v="4"/>
    <x v="315"/>
    <x v="137"/>
    <x v="17"/>
    <x v="7"/>
    <x v="5"/>
    <x v="0"/>
    <x v="94"/>
    <x v="11"/>
    <x v="0"/>
    <x v="36"/>
  </r>
  <r>
    <x v="3"/>
    <x v="203"/>
    <x v="9"/>
    <x v="38"/>
    <x v="18"/>
    <x v="4"/>
    <x v="317"/>
    <x v="10"/>
    <x v="32"/>
    <x v="33"/>
    <x v="8"/>
    <x v="0"/>
    <x v="23"/>
    <x v="11"/>
    <x v="0"/>
    <x v="36"/>
  </r>
  <r>
    <x v="3"/>
    <x v="203"/>
    <x v="13"/>
    <x v="44"/>
    <x v="9"/>
    <x v="4"/>
    <x v="322"/>
    <x v="120"/>
    <x v="32"/>
    <x v="7"/>
    <x v="5"/>
    <x v="0"/>
    <x v="138"/>
    <x v="11"/>
    <x v="0"/>
    <x v="36"/>
  </r>
  <r>
    <x v="3"/>
    <x v="203"/>
    <x v="7"/>
    <x v="46"/>
    <x v="21"/>
    <x v="4"/>
    <x v="324"/>
    <x v="142"/>
    <x v="27"/>
    <x v="7"/>
    <x v="4"/>
    <x v="1"/>
    <x v="67"/>
    <x v="11"/>
    <x v="0"/>
    <x v="36"/>
  </r>
  <r>
    <x v="3"/>
    <x v="203"/>
    <x v="7"/>
    <x v="47"/>
    <x v="21"/>
    <x v="4"/>
    <x v="331"/>
    <x v="142"/>
    <x v="34"/>
    <x v="7"/>
    <x v="4"/>
    <x v="0"/>
    <x v="98"/>
    <x v="11"/>
    <x v="0"/>
    <x v="36"/>
  </r>
  <r>
    <x v="3"/>
    <x v="41"/>
    <x v="7"/>
    <x v="82"/>
    <x v="19"/>
    <x v="4"/>
    <x v="332"/>
    <x v="101"/>
    <x v="34"/>
    <x v="14"/>
    <x v="5"/>
    <x v="0"/>
    <x v="226"/>
    <x v="11"/>
    <x v="0"/>
    <x v="36"/>
  </r>
  <r>
    <x v="3"/>
    <x v="203"/>
    <x v="13"/>
    <x v="69"/>
    <x v="13"/>
    <x v="4"/>
    <x v="330"/>
    <x v="126"/>
    <x v="34"/>
    <x v="7"/>
    <x v="5"/>
    <x v="0"/>
    <x v="33"/>
    <x v="11"/>
    <x v="0"/>
    <x v="36"/>
  </r>
  <r>
    <x v="3"/>
    <x v="203"/>
    <x v="5"/>
    <x v="79"/>
    <x v="13"/>
    <x v="4"/>
    <x v="330"/>
    <x v="126"/>
    <x v="34"/>
    <x v="7"/>
    <x v="5"/>
    <x v="0"/>
    <x v="33"/>
    <x v="11"/>
    <x v="0"/>
    <x v="36"/>
  </r>
  <r>
    <x v="3"/>
    <x v="203"/>
    <x v="4"/>
    <x v="62"/>
    <x v="24"/>
    <x v="4"/>
    <x v="337"/>
    <x v="144"/>
    <x v="27"/>
    <x v="7"/>
    <x v="5"/>
    <x v="1"/>
    <x v="100"/>
    <x v="11"/>
    <x v="0"/>
    <x v="36"/>
  </r>
  <r>
    <x v="3"/>
    <x v="203"/>
    <x v="7"/>
    <x v="81"/>
    <x v="24"/>
    <x v="4"/>
    <x v="58"/>
    <x v="109"/>
    <x v="36"/>
    <x v="14"/>
    <x v="5"/>
    <x v="0"/>
    <x v="137"/>
    <x v="11"/>
    <x v="0"/>
    <x v="36"/>
  </r>
  <r>
    <x v="3"/>
    <x v="203"/>
    <x v="4"/>
    <x v="84"/>
    <x v="5"/>
    <x v="4"/>
    <x v="66"/>
    <x v="113"/>
    <x v="37"/>
    <x v="7"/>
    <x v="4"/>
    <x v="0"/>
    <x v="30"/>
    <x v="11"/>
    <x v="0"/>
    <x v="36"/>
  </r>
  <r>
    <x v="3"/>
    <x v="38"/>
    <x v="7"/>
    <x v="19"/>
    <x v="13"/>
    <x v="4"/>
    <x v="71"/>
    <x v="91"/>
    <x v="37"/>
    <x v="14"/>
    <x v="5"/>
    <x v="0"/>
    <x v="76"/>
    <x v="11"/>
    <x v="0"/>
    <x v="36"/>
  </r>
  <r>
    <x v="3"/>
    <x v="37"/>
    <x v="7"/>
    <x v="80"/>
    <x v="19"/>
    <x v="4"/>
    <x v="72"/>
    <x v="101"/>
    <x v="37"/>
    <x v="14"/>
    <x v="5"/>
    <x v="0"/>
    <x v="188"/>
    <x v="11"/>
    <x v="0"/>
    <x v="36"/>
  </r>
  <r>
    <x v="3"/>
    <x v="203"/>
    <x v="7"/>
    <x v="85"/>
    <x v="19"/>
    <x v="4"/>
    <x v="72"/>
    <x v="100"/>
    <x v="37"/>
    <x v="7"/>
    <x v="5"/>
    <x v="0"/>
    <x v="188"/>
    <x v="11"/>
    <x v="0"/>
    <x v="36"/>
  </r>
  <r>
    <x v="3"/>
    <x v="48"/>
    <x v="7"/>
    <x v="33"/>
    <x v="9"/>
    <x v="4"/>
    <x v="79"/>
    <x v="128"/>
    <x v="37"/>
    <x v="7"/>
    <x v="5"/>
    <x v="0"/>
    <x v="159"/>
    <x v="11"/>
    <x v="0"/>
    <x v="36"/>
  </r>
  <r>
    <x v="3"/>
    <x v="18"/>
    <x v="4"/>
    <x v="51"/>
    <x v="29"/>
    <x v="4"/>
    <x v="75"/>
    <x v="152"/>
    <x v="22"/>
    <x v="7"/>
    <x v="5"/>
    <x v="0"/>
    <x v="94"/>
    <x v="11"/>
    <x v="0"/>
    <x v="36"/>
  </r>
  <r>
    <x v="3"/>
    <x v="14"/>
    <x v="4"/>
    <x v="51"/>
    <x v="29"/>
    <x v="4"/>
    <x v="76"/>
    <x v="152"/>
    <x v="24"/>
    <x v="7"/>
    <x v="5"/>
    <x v="0"/>
    <x v="184"/>
    <x v="11"/>
    <x v="0"/>
    <x v="36"/>
  </r>
  <r>
    <x v="3"/>
    <x v="47"/>
    <x v="7"/>
    <x v="22"/>
    <x v="9"/>
    <x v="4"/>
    <x v="78"/>
    <x v="121"/>
    <x v="37"/>
    <x v="7"/>
    <x v="5"/>
    <x v="0"/>
    <x v="240"/>
    <x v="11"/>
    <x v="0"/>
    <x v="36"/>
  </r>
  <r>
    <x v="3"/>
    <x v="203"/>
    <x v="9"/>
    <x v="61"/>
    <x v="19"/>
    <x v="4"/>
    <x v="80"/>
    <x v="136"/>
    <x v="37"/>
    <x v="7"/>
    <x v="5"/>
    <x v="0"/>
    <x v="252"/>
    <x v="11"/>
    <x v="0"/>
    <x v="36"/>
  </r>
  <r>
    <x v="3"/>
    <x v="203"/>
    <x v="13"/>
    <x v="87"/>
    <x v="21"/>
    <x v="4"/>
    <x v="81"/>
    <x v="142"/>
    <x v="37"/>
    <x v="7"/>
    <x v="4"/>
    <x v="0"/>
    <x v="106"/>
    <x v="11"/>
    <x v="0"/>
    <x v="36"/>
  </r>
  <r>
    <x v="3"/>
    <x v="203"/>
    <x v="5"/>
    <x v="86"/>
    <x v="13"/>
    <x v="4"/>
    <x v="84"/>
    <x v="70"/>
    <x v="37"/>
    <x v="25"/>
    <x v="5"/>
    <x v="0"/>
    <x v="8"/>
    <x v="11"/>
    <x v="0"/>
    <x v="36"/>
  </r>
  <r>
    <x v="3"/>
    <x v="6"/>
    <x v="7"/>
    <x v="25"/>
    <x v="19"/>
    <x v="4"/>
    <x v="85"/>
    <x v="101"/>
    <x v="37"/>
    <x v="14"/>
    <x v="5"/>
    <x v="0"/>
    <x v="188"/>
    <x v="11"/>
    <x v="0"/>
    <x v="36"/>
  </r>
  <r>
    <x v="3"/>
    <x v="203"/>
    <x v="7"/>
    <x v="88"/>
    <x v="5"/>
    <x v="4"/>
    <x v="99"/>
    <x v="166"/>
    <x v="20"/>
    <x v="0"/>
    <x v="4"/>
    <x v="1"/>
    <x v="9"/>
    <x v="11"/>
    <x v="0"/>
    <x v="36"/>
  </r>
  <r>
    <x v="3"/>
    <x v="203"/>
    <x v="7"/>
    <x v="109"/>
    <x v="13"/>
    <x v="4"/>
    <x v="106"/>
    <x v="126"/>
    <x v="41"/>
    <x v="7"/>
    <x v="11"/>
    <x v="0"/>
    <x v="175"/>
    <x v="11"/>
    <x v="0"/>
    <x v="36"/>
  </r>
  <r>
    <x v="3"/>
    <x v="203"/>
    <x v="7"/>
    <x v="89"/>
    <x v="37"/>
    <x v="4"/>
    <x v="109"/>
    <x v="161"/>
    <x v="16"/>
    <x v="7"/>
    <x v="5"/>
    <x v="1"/>
    <x v="94"/>
    <x v="11"/>
    <x v="0"/>
    <x v="36"/>
  </r>
  <r>
    <x v="3"/>
    <x v="203"/>
    <x v="7"/>
    <x v="90"/>
    <x v="37"/>
    <x v="4"/>
    <x v="110"/>
    <x v="161"/>
    <x v="21"/>
    <x v="7"/>
    <x v="5"/>
    <x v="1"/>
    <x v="67"/>
    <x v="11"/>
    <x v="0"/>
    <x v="36"/>
  </r>
  <r>
    <x v="3"/>
    <x v="203"/>
    <x v="7"/>
    <x v="122"/>
    <x v="1"/>
    <x v="4"/>
    <x v="110"/>
    <x v="161"/>
    <x v="21"/>
    <x v="0"/>
    <x v="5"/>
    <x v="1"/>
    <x v="67"/>
    <x v="11"/>
    <x v="0"/>
    <x v="36"/>
  </r>
  <r>
    <x v="3"/>
    <x v="36"/>
    <x v="7"/>
    <x v="83"/>
    <x v="5"/>
    <x v="4"/>
    <x v="119"/>
    <x v="166"/>
    <x v="1"/>
    <x v="0"/>
    <x v="4"/>
    <x v="3"/>
    <x v="76"/>
    <x v="11"/>
    <x v="0"/>
    <x v="36"/>
  </r>
  <r>
    <x v="3"/>
    <x v="203"/>
    <x v="4"/>
    <x v="91"/>
    <x v="5"/>
    <x v="4"/>
    <x v="121"/>
    <x v="90"/>
    <x v="44"/>
    <x v="7"/>
    <x v="4"/>
    <x v="0"/>
    <x v="76"/>
    <x v="11"/>
    <x v="0"/>
    <x v="36"/>
  </r>
  <r>
    <x v="3"/>
    <x v="203"/>
    <x v="9"/>
    <x v="92"/>
    <x v="5"/>
    <x v="4"/>
    <x v="122"/>
    <x v="165"/>
    <x v="24"/>
    <x v="0"/>
    <x v="4"/>
    <x v="0"/>
    <x v="252"/>
    <x v="11"/>
    <x v="0"/>
    <x v="36"/>
  </r>
  <r>
    <x v="3"/>
    <x v="203"/>
    <x v="7"/>
    <x v="93"/>
    <x v="5"/>
    <x v="4"/>
    <x v="124"/>
    <x v="166"/>
    <x v="29"/>
    <x v="0"/>
    <x v="4"/>
    <x v="0"/>
    <x v="6"/>
    <x v="11"/>
    <x v="0"/>
    <x v="36"/>
  </r>
  <r>
    <x v="3"/>
    <x v="203"/>
    <x v="13"/>
    <x v="94"/>
    <x v="5"/>
    <x v="4"/>
    <x v="123"/>
    <x v="166"/>
    <x v="32"/>
    <x v="0"/>
    <x v="4"/>
    <x v="0"/>
    <x v="81"/>
    <x v="11"/>
    <x v="0"/>
    <x v="36"/>
  </r>
  <r>
    <x v="3"/>
    <x v="203"/>
    <x v="13"/>
    <x v="95"/>
    <x v="5"/>
    <x v="4"/>
    <x v="123"/>
    <x v="166"/>
    <x v="32"/>
    <x v="0"/>
    <x v="4"/>
    <x v="0"/>
    <x v="80"/>
    <x v="11"/>
    <x v="0"/>
    <x v="36"/>
  </r>
  <r>
    <x v="3"/>
    <x v="203"/>
    <x v="14"/>
    <x v="96"/>
    <x v="5"/>
    <x v="4"/>
    <x v="123"/>
    <x v="166"/>
    <x v="32"/>
    <x v="0"/>
    <x v="4"/>
    <x v="0"/>
    <x v="81"/>
    <x v="11"/>
    <x v="0"/>
    <x v="36"/>
  </r>
  <r>
    <x v="3"/>
    <x v="203"/>
    <x v="4"/>
    <x v="97"/>
    <x v="5"/>
    <x v="4"/>
    <x v="129"/>
    <x v="113"/>
    <x v="46"/>
    <x v="7"/>
    <x v="4"/>
    <x v="0"/>
    <x v="230"/>
    <x v="11"/>
    <x v="0"/>
    <x v="36"/>
  </r>
  <r>
    <x v="3"/>
    <x v="25"/>
    <x v="7"/>
    <x v="14"/>
    <x v="9"/>
    <x v="4"/>
    <x v="131"/>
    <x v="167"/>
    <x v="36"/>
    <x v="0"/>
    <x v="5"/>
    <x v="0"/>
    <x v="105"/>
    <x v="11"/>
    <x v="0"/>
    <x v="36"/>
  </r>
  <r>
    <x v="3"/>
    <x v="203"/>
    <x v="4"/>
    <x v="98"/>
    <x v="9"/>
    <x v="4"/>
    <x v="132"/>
    <x v="168"/>
    <x v="22"/>
    <x v="0"/>
    <x v="5"/>
    <x v="1"/>
    <x v="94"/>
    <x v="11"/>
    <x v="0"/>
    <x v="36"/>
  </r>
  <r>
    <x v="3"/>
    <x v="203"/>
    <x v="7"/>
    <x v="99"/>
    <x v="9"/>
    <x v="4"/>
    <x v="137"/>
    <x v="168"/>
    <x v="15"/>
    <x v="0"/>
    <x v="5"/>
    <x v="1"/>
    <x v="94"/>
    <x v="11"/>
    <x v="0"/>
    <x v="36"/>
  </r>
  <r>
    <x v="3"/>
    <x v="58"/>
    <x v="5"/>
    <x v="35"/>
    <x v="9"/>
    <x v="4"/>
    <x v="141"/>
    <x v="168"/>
    <x v="34"/>
    <x v="0"/>
    <x v="5"/>
    <x v="0"/>
    <x v="245"/>
    <x v="11"/>
    <x v="0"/>
    <x v="36"/>
  </r>
  <r>
    <x v="3"/>
    <x v="203"/>
    <x v="7"/>
    <x v="100"/>
    <x v="41"/>
    <x v="4"/>
    <x v="144"/>
    <x v="85"/>
    <x v="48"/>
    <x v="27"/>
    <x v="5"/>
    <x v="0"/>
    <x v="101"/>
    <x v="11"/>
    <x v="0"/>
    <x v="36"/>
  </r>
  <r>
    <x v="3"/>
    <x v="203"/>
    <x v="4"/>
    <x v="101"/>
    <x v="19"/>
    <x v="4"/>
    <x v="145"/>
    <x v="134"/>
    <x v="48"/>
    <x v="7"/>
    <x v="5"/>
    <x v="0"/>
    <x v="188"/>
    <x v="11"/>
    <x v="0"/>
    <x v="36"/>
  </r>
  <r>
    <x v="3"/>
    <x v="203"/>
    <x v="4"/>
    <x v="102"/>
    <x v="19"/>
    <x v="4"/>
    <x v="145"/>
    <x v="134"/>
    <x v="48"/>
    <x v="7"/>
    <x v="5"/>
    <x v="0"/>
    <x v="131"/>
    <x v="11"/>
    <x v="0"/>
    <x v="36"/>
  </r>
  <r>
    <x v="3"/>
    <x v="203"/>
    <x v="5"/>
    <x v="103"/>
    <x v="13"/>
    <x v="4"/>
    <x v="147"/>
    <x v="91"/>
    <x v="52"/>
    <x v="14"/>
    <x v="5"/>
    <x v="0"/>
    <x v="8"/>
    <x v="11"/>
    <x v="0"/>
    <x v="36"/>
  </r>
  <r>
    <x v="3"/>
    <x v="203"/>
    <x v="7"/>
    <x v="104"/>
    <x v="13"/>
    <x v="4"/>
    <x v="150"/>
    <x v="173"/>
    <x v="24"/>
    <x v="0"/>
    <x v="5"/>
    <x v="1"/>
    <x v="94"/>
    <x v="11"/>
    <x v="0"/>
    <x v="36"/>
  </r>
  <r>
    <x v="3"/>
    <x v="203"/>
    <x v="7"/>
    <x v="105"/>
    <x v="13"/>
    <x v="4"/>
    <x v="149"/>
    <x v="173"/>
    <x v="39"/>
    <x v="0"/>
    <x v="5"/>
    <x v="0"/>
    <x v="6"/>
    <x v="11"/>
    <x v="0"/>
    <x v="36"/>
  </r>
  <r>
    <x v="3"/>
    <x v="203"/>
    <x v="7"/>
    <x v="106"/>
    <x v="19"/>
    <x v="4"/>
    <x v="153"/>
    <x v="178"/>
    <x v="47"/>
    <x v="0"/>
    <x v="4"/>
    <x v="0"/>
    <x v="77"/>
    <x v="11"/>
    <x v="0"/>
    <x v="36"/>
  </r>
  <r>
    <x v="3"/>
    <x v="45"/>
    <x v="7"/>
    <x v="18"/>
    <x v="21"/>
    <x v="4"/>
    <x v="160"/>
    <x v="180"/>
    <x v="13"/>
    <x v="0"/>
    <x v="4"/>
    <x v="1"/>
    <x v="76"/>
    <x v="11"/>
    <x v="0"/>
    <x v="36"/>
  </r>
  <r>
    <x v="3"/>
    <x v="30"/>
    <x v="14"/>
    <x v="15"/>
    <x v="24"/>
    <x v="4"/>
    <x v="164"/>
    <x v="183"/>
    <x v="15"/>
    <x v="0"/>
    <x v="5"/>
    <x v="0"/>
    <x v="66"/>
    <x v="11"/>
    <x v="0"/>
    <x v="36"/>
  </r>
  <r>
    <x v="3"/>
    <x v="203"/>
    <x v="7"/>
    <x v="107"/>
    <x v="24"/>
    <x v="4"/>
    <x v="165"/>
    <x v="183"/>
    <x v="39"/>
    <x v="0"/>
    <x v="5"/>
    <x v="1"/>
    <x v="9"/>
    <x v="11"/>
    <x v="0"/>
    <x v="36"/>
  </r>
  <r>
    <x v="3"/>
    <x v="10"/>
    <x v="14"/>
    <x v="12"/>
    <x v="24"/>
    <x v="4"/>
    <x v="169"/>
    <x v="183"/>
    <x v="16"/>
    <x v="0"/>
    <x v="5"/>
    <x v="0"/>
    <x v="5"/>
    <x v="11"/>
    <x v="0"/>
    <x v="36"/>
  </r>
  <r>
    <x v="3"/>
    <x v="31"/>
    <x v="7"/>
    <x v="71"/>
    <x v="37"/>
    <x v="4"/>
    <x v="189"/>
    <x v="190"/>
    <x v="16"/>
    <x v="0"/>
    <x v="5"/>
    <x v="1"/>
    <x v="152"/>
    <x v="11"/>
    <x v="0"/>
    <x v="36"/>
  </r>
  <r>
    <x v="3"/>
    <x v="203"/>
    <x v="14"/>
    <x v="130"/>
    <x v="43"/>
    <x v="20"/>
    <x v="352"/>
    <x v="195"/>
    <x v="71"/>
    <x v="40"/>
    <x v="11"/>
    <x v="11"/>
    <x v="256"/>
    <x v="11"/>
    <x v="0"/>
    <x v="36"/>
  </r>
  <r>
    <x v="3"/>
    <x v="63"/>
    <x v="7"/>
    <x v="112"/>
    <x v="5"/>
    <x v="11"/>
    <x v="239"/>
    <x v="195"/>
    <x v="71"/>
    <x v="40"/>
    <x v="11"/>
    <x v="11"/>
    <x v="255"/>
    <x v="11"/>
    <x v="0"/>
    <x v="36"/>
  </r>
  <r>
    <x v="3"/>
    <x v="171"/>
    <x v="7"/>
    <x v="57"/>
    <x v="5"/>
    <x v="11"/>
    <x v="240"/>
    <x v="195"/>
    <x v="71"/>
    <x v="40"/>
    <x v="11"/>
    <x v="11"/>
    <x v="82"/>
    <x v="11"/>
    <x v="0"/>
    <x v="36"/>
  </r>
  <r>
    <x v="3"/>
    <x v="201"/>
    <x v="6"/>
    <x v="113"/>
    <x v="9"/>
    <x v="11"/>
    <x v="299"/>
    <x v="195"/>
    <x v="71"/>
    <x v="40"/>
    <x v="11"/>
    <x v="11"/>
    <x v="239"/>
    <x v="11"/>
    <x v="0"/>
    <x v="36"/>
  </r>
  <r>
    <x v="3"/>
    <x v="203"/>
    <x v="7"/>
    <x v="114"/>
    <x v="5"/>
    <x v="18"/>
    <x v="319"/>
    <x v="195"/>
    <x v="71"/>
    <x v="40"/>
    <x v="11"/>
    <x v="11"/>
    <x v="199"/>
    <x v="11"/>
    <x v="0"/>
    <x v="36"/>
  </r>
  <r>
    <x v="3"/>
    <x v="203"/>
    <x v="14"/>
    <x v="120"/>
    <x v="21"/>
    <x v="11"/>
    <x v="328"/>
    <x v="195"/>
    <x v="71"/>
    <x v="40"/>
    <x v="11"/>
    <x v="11"/>
    <x v="256"/>
    <x v="11"/>
    <x v="0"/>
    <x v="36"/>
  </r>
  <r>
    <x v="3"/>
    <x v="203"/>
    <x v="4"/>
    <x v="115"/>
    <x v="21"/>
    <x v="18"/>
    <x v="328"/>
    <x v="195"/>
    <x v="71"/>
    <x v="40"/>
    <x v="11"/>
    <x v="11"/>
    <x v="199"/>
    <x v="11"/>
    <x v="0"/>
    <x v="36"/>
  </r>
  <r>
    <x v="3"/>
    <x v="203"/>
    <x v="12"/>
    <x v="117"/>
    <x v="39"/>
    <x v="11"/>
    <x v="190"/>
    <x v="191"/>
    <x v="41"/>
    <x v="0"/>
    <x v="1"/>
    <x v="4"/>
    <x v="172"/>
    <x v="11"/>
    <x v="0"/>
    <x v="36"/>
  </r>
  <r>
    <x v="3"/>
    <x v="203"/>
    <x v="12"/>
    <x v="119"/>
    <x v="39"/>
    <x v="14"/>
    <x v="190"/>
    <x v="191"/>
    <x v="41"/>
    <x v="0"/>
    <x v="1"/>
    <x v="4"/>
    <x v="172"/>
    <x v="11"/>
    <x v="0"/>
    <x v="36"/>
  </r>
  <r>
    <x v="3"/>
    <x v="169"/>
    <x v="7"/>
    <x v="116"/>
    <x v="24"/>
    <x v="11"/>
    <x v="167"/>
    <x v="195"/>
    <x v="71"/>
    <x v="40"/>
    <x v="11"/>
    <x v="11"/>
    <x v="148"/>
    <x v="11"/>
    <x v="0"/>
    <x v="36"/>
  </r>
  <r>
    <x v="3"/>
    <x v="203"/>
    <x v="10"/>
    <x v="118"/>
    <x v="41"/>
    <x v="18"/>
    <x v="352"/>
    <x v="195"/>
    <x v="71"/>
    <x v="40"/>
    <x v="11"/>
    <x v="11"/>
    <x v="199"/>
    <x v="11"/>
    <x v="0"/>
    <x v="36"/>
  </r>
  <r>
    <x v="3"/>
    <x v="203"/>
    <x v="14"/>
    <x v="125"/>
    <x v="43"/>
    <x v="3"/>
    <x v="33"/>
    <x v="195"/>
    <x v="71"/>
    <x v="40"/>
    <x v="11"/>
    <x v="11"/>
    <x v="56"/>
    <x v="11"/>
    <x v="0"/>
    <x v="36"/>
  </r>
  <r>
    <x v="3"/>
    <x v="203"/>
    <x v="14"/>
    <x v="127"/>
    <x v="25"/>
    <x v="3"/>
    <x v="352"/>
    <x v="195"/>
    <x v="71"/>
    <x v="40"/>
    <x v="11"/>
    <x v="11"/>
    <x v="56"/>
    <x v="11"/>
    <x v="0"/>
    <x v="36"/>
  </r>
  <r>
    <x v="4"/>
    <x v="203"/>
    <x v="12"/>
    <x v="13"/>
    <x v="19"/>
    <x v="16"/>
    <x v="18"/>
    <x v="101"/>
    <x v="64"/>
    <x v="14"/>
    <x v="6"/>
    <x v="0"/>
    <x v="36"/>
    <x v="11"/>
    <x v="0"/>
    <x v="36"/>
  </r>
  <r>
    <x v="4"/>
    <x v="202"/>
    <x v="12"/>
    <x v="40"/>
    <x v="9"/>
    <x v="16"/>
    <x v="24"/>
    <x v="120"/>
    <x v="36"/>
    <x v="7"/>
    <x v="6"/>
    <x v="0"/>
    <x v="183"/>
    <x v="11"/>
    <x v="0"/>
    <x v="36"/>
  </r>
  <r>
    <x v="4"/>
    <x v="62"/>
    <x v="8"/>
    <x v="14"/>
    <x v="19"/>
    <x v="16"/>
    <x v="29"/>
    <x v="134"/>
    <x v="65"/>
    <x v="7"/>
    <x v="6"/>
    <x v="0"/>
    <x v="256"/>
    <x v="11"/>
    <x v="0"/>
    <x v="36"/>
  </r>
  <r>
    <x v="4"/>
    <x v="93"/>
    <x v="6"/>
    <x v="30"/>
    <x v="24"/>
    <x v="16"/>
    <x v="33"/>
    <x v="144"/>
    <x v="34"/>
    <x v="7"/>
    <x v="11"/>
    <x v="0"/>
    <x v="18"/>
    <x v="11"/>
    <x v="0"/>
    <x v="36"/>
  </r>
  <r>
    <x v="4"/>
    <x v="203"/>
    <x v="12"/>
    <x v="17"/>
    <x v="41"/>
    <x v="16"/>
    <x v="45"/>
    <x v="193"/>
    <x v="64"/>
    <x v="0"/>
    <x v="6"/>
    <x v="0"/>
    <x v="7"/>
    <x v="11"/>
    <x v="0"/>
    <x v="36"/>
  </r>
  <r>
    <x v="4"/>
    <x v="203"/>
    <x v="14"/>
    <x v="130"/>
    <x v="43"/>
    <x v="20"/>
    <x v="352"/>
    <x v="195"/>
    <x v="71"/>
    <x v="40"/>
    <x v="11"/>
    <x v="11"/>
    <x v="256"/>
    <x v="11"/>
    <x v="0"/>
    <x v="36"/>
  </r>
  <r>
    <x v="4"/>
    <x v="75"/>
    <x v="6"/>
    <x v="25"/>
    <x v="9"/>
    <x v="15"/>
    <x v="7"/>
    <x v="51"/>
    <x v="6"/>
    <x v="20"/>
    <x v="6"/>
    <x v="0"/>
    <x v="4"/>
    <x v="11"/>
    <x v="0"/>
    <x v="36"/>
  </r>
  <r>
    <x v="4"/>
    <x v="139"/>
    <x v="6"/>
    <x v="41"/>
    <x v="9"/>
    <x v="15"/>
    <x v="9"/>
    <x v="51"/>
    <x v="10"/>
    <x v="20"/>
    <x v="6"/>
    <x v="0"/>
    <x v="256"/>
    <x v="11"/>
    <x v="0"/>
    <x v="36"/>
  </r>
  <r>
    <x v="4"/>
    <x v="203"/>
    <x v="12"/>
    <x v="18"/>
    <x v="24"/>
    <x v="15"/>
    <x v="16"/>
    <x v="81"/>
    <x v="59"/>
    <x v="20"/>
    <x v="6"/>
    <x v="3"/>
    <x v="61"/>
    <x v="11"/>
    <x v="0"/>
    <x v="36"/>
  </r>
  <r>
    <x v="4"/>
    <x v="73"/>
    <x v="12"/>
    <x v="15"/>
    <x v="19"/>
    <x v="15"/>
    <x v="28"/>
    <x v="134"/>
    <x v="32"/>
    <x v="7"/>
    <x v="6"/>
    <x v="0"/>
    <x v="49"/>
    <x v="11"/>
    <x v="0"/>
    <x v="36"/>
  </r>
  <r>
    <x v="4"/>
    <x v="203"/>
    <x v="14"/>
    <x v="130"/>
    <x v="43"/>
    <x v="20"/>
    <x v="352"/>
    <x v="195"/>
    <x v="71"/>
    <x v="40"/>
    <x v="11"/>
    <x v="11"/>
    <x v="256"/>
    <x v="11"/>
    <x v="0"/>
    <x v="36"/>
  </r>
  <r>
    <x v="4"/>
    <x v="90"/>
    <x v="8"/>
    <x v="31"/>
    <x v="24"/>
    <x v="12"/>
    <x v="336"/>
    <x v="144"/>
    <x v="24"/>
    <x v="7"/>
    <x v="6"/>
    <x v="1"/>
    <x v="256"/>
    <x v="11"/>
    <x v="0"/>
    <x v="36"/>
  </r>
  <r>
    <x v="4"/>
    <x v="77"/>
    <x v="8"/>
    <x v="3"/>
    <x v="9"/>
    <x v="12"/>
    <x v="77"/>
    <x v="120"/>
    <x v="37"/>
    <x v="7"/>
    <x v="6"/>
    <x v="0"/>
    <x v="158"/>
    <x v="11"/>
    <x v="0"/>
    <x v="36"/>
  </r>
  <r>
    <x v="4"/>
    <x v="184"/>
    <x v="6"/>
    <x v="30"/>
    <x v="24"/>
    <x v="12"/>
    <x v="105"/>
    <x v="109"/>
    <x v="66"/>
    <x v="14"/>
    <x v="6"/>
    <x v="0"/>
    <x v="73"/>
    <x v="11"/>
    <x v="0"/>
    <x v="36"/>
  </r>
  <r>
    <x v="4"/>
    <x v="203"/>
    <x v="14"/>
    <x v="130"/>
    <x v="43"/>
    <x v="20"/>
    <x v="352"/>
    <x v="195"/>
    <x v="71"/>
    <x v="40"/>
    <x v="11"/>
    <x v="11"/>
    <x v="256"/>
    <x v="11"/>
    <x v="0"/>
    <x v="36"/>
  </r>
  <r>
    <x v="4"/>
    <x v="203"/>
    <x v="6"/>
    <x v="22"/>
    <x v="30"/>
    <x v="7"/>
    <x v="245"/>
    <x v="116"/>
    <x v="59"/>
    <x v="14"/>
    <x v="6"/>
    <x v="3"/>
    <x v="209"/>
    <x v="11"/>
    <x v="0"/>
    <x v="36"/>
  </r>
  <r>
    <x v="4"/>
    <x v="203"/>
    <x v="12"/>
    <x v="10"/>
    <x v="16"/>
    <x v="7"/>
    <x v="256"/>
    <x v="62"/>
    <x v="64"/>
    <x v="20"/>
    <x v="2"/>
    <x v="3"/>
    <x v="224"/>
    <x v="11"/>
    <x v="0"/>
    <x v="36"/>
  </r>
  <r>
    <x v="4"/>
    <x v="203"/>
    <x v="12"/>
    <x v="4"/>
    <x v="12"/>
    <x v="7"/>
    <x v="257"/>
    <x v="89"/>
    <x v="64"/>
    <x v="14"/>
    <x v="2"/>
    <x v="3"/>
    <x v="214"/>
    <x v="11"/>
    <x v="0"/>
    <x v="36"/>
  </r>
  <r>
    <x v="4"/>
    <x v="203"/>
    <x v="12"/>
    <x v="6"/>
    <x v="12"/>
    <x v="7"/>
    <x v="257"/>
    <x v="89"/>
    <x v="64"/>
    <x v="14"/>
    <x v="2"/>
    <x v="3"/>
    <x v="217"/>
    <x v="11"/>
    <x v="0"/>
    <x v="36"/>
  </r>
  <r>
    <x v="4"/>
    <x v="203"/>
    <x v="5"/>
    <x v="7"/>
    <x v="12"/>
    <x v="7"/>
    <x v="257"/>
    <x v="89"/>
    <x v="64"/>
    <x v="14"/>
    <x v="2"/>
    <x v="3"/>
    <x v="217"/>
    <x v="11"/>
    <x v="0"/>
    <x v="36"/>
  </r>
  <r>
    <x v="4"/>
    <x v="203"/>
    <x v="5"/>
    <x v="28"/>
    <x v="37"/>
    <x v="6"/>
    <x v="261"/>
    <x v="161"/>
    <x v="64"/>
    <x v="7"/>
    <x v="6"/>
    <x v="3"/>
    <x v="232"/>
    <x v="11"/>
    <x v="0"/>
    <x v="36"/>
  </r>
  <r>
    <x v="4"/>
    <x v="203"/>
    <x v="5"/>
    <x v="29"/>
    <x v="32"/>
    <x v="6"/>
    <x v="259"/>
    <x v="156"/>
    <x v="64"/>
    <x v="7"/>
    <x v="6"/>
    <x v="3"/>
    <x v="177"/>
    <x v="11"/>
    <x v="0"/>
    <x v="36"/>
  </r>
  <r>
    <x v="4"/>
    <x v="74"/>
    <x v="6"/>
    <x v="0"/>
    <x v="9"/>
    <x v="7"/>
    <x v="290"/>
    <x v="120"/>
    <x v="27"/>
    <x v="7"/>
    <x v="6"/>
    <x v="0"/>
    <x v="51"/>
    <x v="11"/>
    <x v="0"/>
    <x v="36"/>
  </r>
  <r>
    <x v="4"/>
    <x v="203"/>
    <x v="12"/>
    <x v="9"/>
    <x v="16"/>
    <x v="7"/>
    <x v="298"/>
    <x v="62"/>
    <x v="64"/>
    <x v="20"/>
    <x v="6"/>
    <x v="2"/>
    <x v="145"/>
    <x v="11"/>
    <x v="0"/>
    <x v="36"/>
  </r>
  <r>
    <x v="4"/>
    <x v="203"/>
    <x v="8"/>
    <x v="14"/>
    <x v="19"/>
    <x v="7"/>
    <x v="308"/>
    <x v="72"/>
    <x v="67"/>
    <x v="20"/>
    <x v="6"/>
    <x v="1"/>
    <x v="235"/>
    <x v="11"/>
    <x v="0"/>
    <x v="36"/>
  </r>
  <r>
    <x v="4"/>
    <x v="203"/>
    <x v="6"/>
    <x v="44"/>
    <x v="37"/>
    <x v="7"/>
    <x v="305"/>
    <x v="130"/>
    <x v="64"/>
    <x v="14"/>
    <x v="6"/>
    <x v="2"/>
    <x v="189"/>
    <x v="11"/>
    <x v="0"/>
    <x v="36"/>
  </r>
  <r>
    <x v="4"/>
    <x v="83"/>
    <x v="6"/>
    <x v="43"/>
    <x v="13"/>
    <x v="7"/>
    <x v="319"/>
    <x v="28"/>
    <x v="34"/>
    <x v="27"/>
    <x v="6"/>
    <x v="0"/>
    <x v="27"/>
    <x v="11"/>
    <x v="0"/>
    <x v="36"/>
  </r>
  <r>
    <x v="4"/>
    <x v="203"/>
    <x v="8"/>
    <x v="31"/>
    <x v="24"/>
    <x v="7"/>
    <x v="336"/>
    <x v="144"/>
    <x v="24"/>
    <x v="7"/>
    <x v="6"/>
    <x v="0"/>
    <x v="243"/>
    <x v="11"/>
    <x v="0"/>
    <x v="36"/>
  </r>
  <r>
    <x v="4"/>
    <x v="203"/>
    <x v="6"/>
    <x v="37"/>
    <x v="24"/>
    <x v="6"/>
    <x v="49"/>
    <x v="43"/>
    <x v="36"/>
    <x v="27"/>
    <x v="6"/>
    <x v="0"/>
    <x v="27"/>
    <x v="11"/>
    <x v="0"/>
    <x v="36"/>
  </r>
  <r>
    <x v="4"/>
    <x v="178"/>
    <x v="6"/>
    <x v="49"/>
    <x v="13"/>
    <x v="6"/>
    <x v="62"/>
    <x v="126"/>
    <x v="36"/>
    <x v="7"/>
    <x v="6"/>
    <x v="0"/>
    <x v="197"/>
    <x v="11"/>
    <x v="0"/>
    <x v="36"/>
  </r>
  <r>
    <x v="4"/>
    <x v="84"/>
    <x v="6"/>
    <x v="37"/>
    <x v="24"/>
    <x v="6"/>
    <x v="69"/>
    <x v="43"/>
    <x v="37"/>
    <x v="27"/>
    <x v="6"/>
    <x v="0"/>
    <x v="166"/>
    <x v="11"/>
    <x v="0"/>
    <x v="36"/>
  </r>
  <r>
    <x v="4"/>
    <x v="203"/>
    <x v="6"/>
    <x v="43"/>
    <x v="13"/>
    <x v="6"/>
    <x v="87"/>
    <x v="59"/>
    <x v="38"/>
    <x v="20"/>
    <x v="6"/>
    <x v="0"/>
    <x v="27"/>
    <x v="11"/>
    <x v="0"/>
    <x v="36"/>
  </r>
  <r>
    <x v="4"/>
    <x v="120"/>
    <x v="6"/>
    <x v="38"/>
    <x v="24"/>
    <x v="6"/>
    <x v="68"/>
    <x v="183"/>
    <x v="37"/>
    <x v="0"/>
    <x v="6"/>
    <x v="0"/>
    <x v="87"/>
    <x v="11"/>
    <x v="0"/>
    <x v="36"/>
  </r>
  <r>
    <x v="4"/>
    <x v="70"/>
    <x v="6"/>
    <x v="19"/>
    <x v="24"/>
    <x v="7"/>
    <x v="100"/>
    <x v="144"/>
    <x v="40"/>
    <x v="7"/>
    <x v="6"/>
    <x v="0"/>
    <x v="122"/>
    <x v="11"/>
    <x v="0"/>
    <x v="36"/>
  </r>
  <r>
    <x v="4"/>
    <x v="154"/>
    <x v="12"/>
    <x v="23"/>
    <x v="37"/>
    <x v="7"/>
    <x v="103"/>
    <x v="161"/>
    <x v="37"/>
    <x v="7"/>
    <x v="6"/>
    <x v="3"/>
    <x v="143"/>
    <x v="11"/>
    <x v="0"/>
    <x v="36"/>
  </r>
  <r>
    <x v="4"/>
    <x v="203"/>
    <x v="6"/>
    <x v="47"/>
    <x v="37"/>
    <x v="7"/>
    <x v="113"/>
    <x v="161"/>
    <x v="59"/>
    <x v="7"/>
    <x v="6"/>
    <x v="1"/>
    <x v="139"/>
    <x v="11"/>
    <x v="0"/>
    <x v="36"/>
  </r>
  <r>
    <x v="4"/>
    <x v="76"/>
    <x v="8"/>
    <x v="3"/>
    <x v="9"/>
    <x v="7"/>
    <x v="136"/>
    <x v="168"/>
    <x v="37"/>
    <x v="0"/>
    <x v="6"/>
    <x v="0"/>
    <x v="124"/>
    <x v="11"/>
    <x v="0"/>
    <x v="36"/>
  </r>
  <r>
    <x v="4"/>
    <x v="96"/>
    <x v="6"/>
    <x v="46"/>
    <x v="19"/>
    <x v="6"/>
    <x v="155"/>
    <x v="178"/>
    <x v="29"/>
    <x v="0"/>
    <x v="6"/>
    <x v="0"/>
    <x v="125"/>
    <x v="11"/>
    <x v="0"/>
    <x v="36"/>
  </r>
  <r>
    <x v="4"/>
    <x v="203"/>
    <x v="6"/>
    <x v="12"/>
    <x v="19"/>
    <x v="7"/>
    <x v="158"/>
    <x v="178"/>
    <x v="63"/>
    <x v="0"/>
    <x v="6"/>
    <x v="2"/>
    <x v="108"/>
    <x v="11"/>
    <x v="0"/>
    <x v="36"/>
  </r>
  <r>
    <x v="4"/>
    <x v="203"/>
    <x v="6"/>
    <x v="32"/>
    <x v="19"/>
    <x v="7"/>
    <x v="158"/>
    <x v="178"/>
    <x v="63"/>
    <x v="0"/>
    <x v="6"/>
    <x v="2"/>
    <x v="108"/>
    <x v="11"/>
    <x v="0"/>
    <x v="36"/>
  </r>
  <r>
    <x v="4"/>
    <x v="203"/>
    <x v="12"/>
    <x v="2"/>
    <x v="9"/>
    <x v="7"/>
    <x v="188"/>
    <x v="79"/>
    <x v="62"/>
    <x v="14"/>
    <x v="6"/>
    <x v="0"/>
    <x v="223"/>
    <x v="11"/>
    <x v="0"/>
    <x v="36"/>
  </r>
  <r>
    <x v="4"/>
    <x v="176"/>
    <x v="6"/>
    <x v="48"/>
    <x v="24"/>
    <x v="7"/>
    <x v="173"/>
    <x v="183"/>
    <x v="62"/>
    <x v="0"/>
    <x v="6"/>
    <x v="0"/>
    <x v="114"/>
    <x v="11"/>
    <x v="0"/>
    <x v="36"/>
  </r>
  <r>
    <x v="4"/>
    <x v="178"/>
    <x v="6"/>
    <x v="45"/>
    <x v="24"/>
    <x v="6"/>
    <x v="229"/>
    <x v="109"/>
    <x v="36"/>
    <x v="14"/>
    <x v="6"/>
    <x v="1"/>
    <x v="231"/>
    <x v="11"/>
    <x v="0"/>
    <x v="36"/>
  </r>
  <r>
    <x v="4"/>
    <x v="203"/>
    <x v="14"/>
    <x v="130"/>
    <x v="43"/>
    <x v="20"/>
    <x v="352"/>
    <x v="195"/>
    <x v="71"/>
    <x v="40"/>
    <x v="11"/>
    <x v="11"/>
    <x v="256"/>
    <x v="11"/>
    <x v="0"/>
    <x v="36"/>
  </r>
  <r>
    <x v="4"/>
    <x v="4"/>
    <x v="12"/>
    <x v="11"/>
    <x v="16"/>
    <x v="5"/>
    <x v="11"/>
    <x v="62"/>
    <x v="31"/>
    <x v="20"/>
    <x v="6"/>
    <x v="0"/>
    <x v="216"/>
    <x v="11"/>
    <x v="0"/>
    <x v="36"/>
  </r>
  <r>
    <x v="4"/>
    <x v="74"/>
    <x v="6"/>
    <x v="0"/>
    <x v="9"/>
    <x v="5"/>
    <x v="15"/>
    <x v="79"/>
    <x v="15"/>
    <x v="14"/>
    <x v="6"/>
    <x v="0"/>
    <x v="20"/>
    <x v="11"/>
    <x v="0"/>
    <x v="36"/>
  </r>
  <r>
    <x v="4"/>
    <x v="203"/>
    <x v="6"/>
    <x v="33"/>
    <x v="9"/>
    <x v="5"/>
    <x v="15"/>
    <x v="79"/>
    <x v="15"/>
    <x v="14"/>
    <x v="6"/>
    <x v="3"/>
    <x v="177"/>
    <x v="11"/>
    <x v="0"/>
    <x v="36"/>
  </r>
  <r>
    <x v="4"/>
    <x v="71"/>
    <x v="6"/>
    <x v="25"/>
    <x v="9"/>
    <x v="5"/>
    <x v="231"/>
    <x v="79"/>
    <x v="40"/>
    <x v="14"/>
    <x v="6"/>
    <x v="0"/>
    <x v="4"/>
    <x v="11"/>
    <x v="0"/>
    <x v="36"/>
  </r>
  <r>
    <x v="4"/>
    <x v="74"/>
    <x v="6"/>
    <x v="0"/>
    <x v="9"/>
    <x v="5"/>
    <x v="233"/>
    <x v="79"/>
    <x v="15"/>
    <x v="14"/>
    <x v="6"/>
    <x v="0"/>
    <x v="51"/>
    <x v="11"/>
    <x v="0"/>
    <x v="36"/>
  </r>
  <r>
    <x v="4"/>
    <x v="76"/>
    <x v="8"/>
    <x v="3"/>
    <x v="9"/>
    <x v="5"/>
    <x v="243"/>
    <x v="51"/>
    <x v="37"/>
    <x v="20"/>
    <x v="6"/>
    <x v="1"/>
    <x v="196"/>
    <x v="11"/>
    <x v="0"/>
    <x v="36"/>
  </r>
  <r>
    <x v="4"/>
    <x v="131"/>
    <x v="12"/>
    <x v="49"/>
    <x v="13"/>
    <x v="5"/>
    <x v="246"/>
    <x v="173"/>
    <x v="42"/>
    <x v="0"/>
    <x v="6"/>
    <x v="1"/>
    <x v="178"/>
    <x v="11"/>
    <x v="0"/>
    <x v="36"/>
  </r>
  <r>
    <x v="4"/>
    <x v="203"/>
    <x v="6"/>
    <x v="8"/>
    <x v="16"/>
    <x v="5"/>
    <x v="249"/>
    <x v="94"/>
    <x v="64"/>
    <x v="14"/>
    <x v="6"/>
    <x v="4"/>
    <x v="60"/>
    <x v="11"/>
    <x v="0"/>
    <x v="36"/>
  </r>
  <r>
    <x v="4"/>
    <x v="3"/>
    <x v="12"/>
    <x v="11"/>
    <x v="16"/>
    <x v="4"/>
    <x v="264"/>
    <x v="62"/>
    <x v="17"/>
    <x v="20"/>
    <x v="6"/>
    <x v="0"/>
    <x v="220"/>
    <x v="11"/>
    <x v="0"/>
    <x v="36"/>
  </r>
  <r>
    <x v="4"/>
    <x v="101"/>
    <x v="6"/>
    <x v="26"/>
    <x v="19"/>
    <x v="5"/>
    <x v="268"/>
    <x v="101"/>
    <x v="17"/>
    <x v="14"/>
    <x v="6"/>
    <x v="0"/>
    <x v="52"/>
    <x v="11"/>
    <x v="0"/>
    <x v="36"/>
  </r>
  <r>
    <x v="4"/>
    <x v="74"/>
    <x v="6"/>
    <x v="0"/>
    <x v="9"/>
    <x v="4"/>
    <x v="277"/>
    <x v="120"/>
    <x v="22"/>
    <x v="7"/>
    <x v="6"/>
    <x v="0"/>
    <x v="51"/>
    <x v="11"/>
    <x v="0"/>
    <x v="36"/>
  </r>
  <r>
    <x v="4"/>
    <x v="101"/>
    <x v="6"/>
    <x v="26"/>
    <x v="19"/>
    <x v="5"/>
    <x v="282"/>
    <x v="101"/>
    <x v="24"/>
    <x v="14"/>
    <x v="6"/>
    <x v="0"/>
    <x v="45"/>
    <x v="11"/>
    <x v="0"/>
    <x v="36"/>
  </r>
  <r>
    <x v="4"/>
    <x v="153"/>
    <x v="6"/>
    <x v="42"/>
    <x v="9"/>
    <x v="5"/>
    <x v="288"/>
    <x v="120"/>
    <x v="17"/>
    <x v="7"/>
    <x v="6"/>
    <x v="0"/>
    <x v="11"/>
    <x v="11"/>
    <x v="0"/>
    <x v="36"/>
  </r>
  <r>
    <x v="4"/>
    <x v="203"/>
    <x v="12"/>
    <x v="15"/>
    <x v="19"/>
    <x v="5"/>
    <x v="302"/>
    <x v="101"/>
    <x v="29"/>
    <x v="14"/>
    <x v="6"/>
    <x v="0"/>
    <x v="30"/>
    <x v="11"/>
    <x v="0"/>
    <x v="36"/>
  </r>
  <r>
    <x v="4"/>
    <x v="2"/>
    <x v="12"/>
    <x v="11"/>
    <x v="16"/>
    <x v="5"/>
    <x v="303"/>
    <x v="132"/>
    <x v="17"/>
    <x v="7"/>
    <x v="6"/>
    <x v="0"/>
    <x v="215"/>
    <x v="11"/>
    <x v="0"/>
    <x v="36"/>
  </r>
  <r>
    <x v="4"/>
    <x v="94"/>
    <x v="6"/>
    <x v="42"/>
    <x v="9"/>
    <x v="5"/>
    <x v="309"/>
    <x v="79"/>
    <x v="55"/>
    <x v="14"/>
    <x v="6"/>
    <x v="1"/>
    <x v="135"/>
    <x v="11"/>
    <x v="0"/>
    <x v="36"/>
  </r>
  <r>
    <x v="4"/>
    <x v="151"/>
    <x v="6"/>
    <x v="46"/>
    <x v="19"/>
    <x v="4"/>
    <x v="312"/>
    <x v="134"/>
    <x v="45"/>
    <x v="7"/>
    <x v="6"/>
    <x v="1"/>
    <x v="21"/>
    <x v="11"/>
    <x v="0"/>
    <x v="36"/>
  </r>
  <r>
    <x v="4"/>
    <x v="179"/>
    <x v="6"/>
    <x v="41"/>
    <x v="9"/>
    <x v="5"/>
    <x v="313"/>
    <x v="168"/>
    <x v="32"/>
    <x v="0"/>
    <x v="6"/>
    <x v="0"/>
    <x v="105"/>
    <x v="11"/>
    <x v="0"/>
    <x v="36"/>
  </r>
  <r>
    <x v="4"/>
    <x v="19"/>
    <x v="6"/>
    <x v="19"/>
    <x v="24"/>
    <x v="5"/>
    <x v="334"/>
    <x v="144"/>
    <x v="17"/>
    <x v="7"/>
    <x v="6"/>
    <x v="0"/>
    <x v="208"/>
    <x v="11"/>
    <x v="0"/>
    <x v="36"/>
  </r>
  <r>
    <x v="4"/>
    <x v="117"/>
    <x v="6"/>
    <x v="20"/>
    <x v="24"/>
    <x v="5"/>
    <x v="335"/>
    <x v="144"/>
    <x v="22"/>
    <x v="7"/>
    <x v="6"/>
    <x v="0"/>
    <x v="74"/>
    <x v="11"/>
    <x v="0"/>
    <x v="36"/>
  </r>
  <r>
    <x v="4"/>
    <x v="138"/>
    <x v="12"/>
    <x v="16"/>
    <x v="19"/>
    <x v="5"/>
    <x v="340"/>
    <x v="134"/>
    <x v="36"/>
    <x v="7"/>
    <x v="6"/>
    <x v="0"/>
    <x v="95"/>
    <x v="11"/>
    <x v="0"/>
    <x v="36"/>
  </r>
  <r>
    <x v="4"/>
    <x v="203"/>
    <x v="14"/>
    <x v="130"/>
    <x v="43"/>
    <x v="20"/>
    <x v="352"/>
    <x v="195"/>
    <x v="71"/>
    <x v="40"/>
    <x v="11"/>
    <x v="11"/>
    <x v="256"/>
    <x v="11"/>
    <x v="0"/>
    <x v="36"/>
  </r>
  <r>
    <x v="4"/>
    <x v="203"/>
    <x v="6"/>
    <x v="27"/>
    <x v="24"/>
    <x v="5"/>
    <x v="58"/>
    <x v="109"/>
    <x v="36"/>
    <x v="14"/>
    <x v="6"/>
    <x v="0"/>
    <x v="22"/>
    <x v="11"/>
    <x v="0"/>
    <x v="36"/>
  </r>
  <r>
    <x v="4"/>
    <x v="199"/>
    <x v="6"/>
    <x v="1"/>
    <x v="9"/>
    <x v="5"/>
    <x v="60"/>
    <x v="120"/>
    <x v="36"/>
    <x v="7"/>
    <x v="11"/>
    <x v="0"/>
    <x v="238"/>
    <x v="11"/>
    <x v="0"/>
    <x v="36"/>
  </r>
  <r>
    <x v="4"/>
    <x v="203"/>
    <x v="6"/>
    <x v="36"/>
    <x v="19"/>
    <x v="4"/>
    <x v="65"/>
    <x v="134"/>
    <x v="37"/>
    <x v="7"/>
    <x v="6"/>
    <x v="0"/>
    <x v="173"/>
    <x v="11"/>
    <x v="0"/>
    <x v="36"/>
  </r>
  <r>
    <x v="4"/>
    <x v="101"/>
    <x v="6"/>
    <x v="26"/>
    <x v="19"/>
    <x v="5"/>
    <x v="67"/>
    <x v="134"/>
    <x v="37"/>
    <x v="7"/>
    <x v="6"/>
    <x v="0"/>
    <x v="44"/>
    <x v="11"/>
    <x v="0"/>
    <x v="36"/>
  </r>
  <r>
    <x v="4"/>
    <x v="203"/>
    <x v="12"/>
    <x v="21"/>
    <x v="24"/>
    <x v="4"/>
    <x v="82"/>
    <x v="144"/>
    <x v="37"/>
    <x v="7"/>
    <x v="11"/>
    <x v="0"/>
    <x v="96"/>
    <x v="11"/>
    <x v="0"/>
    <x v="36"/>
  </r>
  <r>
    <x v="4"/>
    <x v="75"/>
    <x v="6"/>
    <x v="25"/>
    <x v="9"/>
    <x v="4"/>
    <x v="95"/>
    <x v="79"/>
    <x v="40"/>
    <x v="14"/>
    <x v="6"/>
    <x v="0"/>
    <x v="4"/>
    <x v="11"/>
    <x v="0"/>
    <x v="36"/>
  </r>
  <r>
    <x v="4"/>
    <x v="118"/>
    <x v="6"/>
    <x v="20"/>
    <x v="24"/>
    <x v="5"/>
    <x v="94"/>
    <x v="144"/>
    <x v="39"/>
    <x v="7"/>
    <x v="6"/>
    <x v="0"/>
    <x v="242"/>
    <x v="11"/>
    <x v="0"/>
    <x v="36"/>
  </r>
  <r>
    <x v="4"/>
    <x v="203"/>
    <x v="12"/>
    <x v="21"/>
    <x v="24"/>
    <x v="5"/>
    <x v="116"/>
    <x v="109"/>
    <x v="45"/>
    <x v="14"/>
    <x v="11"/>
    <x v="0"/>
    <x v="187"/>
    <x v="11"/>
    <x v="0"/>
    <x v="36"/>
  </r>
  <r>
    <x v="4"/>
    <x v="132"/>
    <x v="6"/>
    <x v="38"/>
    <x v="24"/>
    <x v="5"/>
    <x v="125"/>
    <x v="144"/>
    <x v="45"/>
    <x v="7"/>
    <x v="6"/>
    <x v="0"/>
    <x v="75"/>
    <x v="11"/>
    <x v="0"/>
    <x v="36"/>
  </r>
  <r>
    <x v="4"/>
    <x v="203"/>
    <x v="6"/>
    <x v="36"/>
    <x v="19"/>
    <x v="4"/>
    <x v="126"/>
    <x v="134"/>
    <x v="46"/>
    <x v="7"/>
    <x v="6"/>
    <x v="0"/>
    <x v="78"/>
    <x v="11"/>
    <x v="0"/>
    <x v="36"/>
  </r>
  <r>
    <x v="4"/>
    <x v="1"/>
    <x v="6"/>
    <x v="25"/>
    <x v="9"/>
    <x v="5"/>
    <x v="139"/>
    <x v="168"/>
    <x v="29"/>
    <x v="0"/>
    <x v="6"/>
    <x v="0"/>
    <x v="4"/>
    <x v="11"/>
    <x v="0"/>
    <x v="36"/>
  </r>
  <r>
    <x v="4"/>
    <x v="180"/>
    <x v="6"/>
    <x v="41"/>
    <x v="9"/>
    <x v="5"/>
    <x v="133"/>
    <x v="168"/>
    <x v="37"/>
    <x v="0"/>
    <x v="6"/>
    <x v="0"/>
    <x v="41"/>
    <x v="11"/>
    <x v="0"/>
    <x v="36"/>
  </r>
  <r>
    <x v="4"/>
    <x v="200"/>
    <x v="6"/>
    <x v="1"/>
    <x v="9"/>
    <x v="5"/>
    <x v="134"/>
    <x v="168"/>
    <x v="42"/>
    <x v="0"/>
    <x v="11"/>
    <x v="0"/>
    <x v="238"/>
    <x v="11"/>
    <x v="0"/>
    <x v="36"/>
  </r>
  <r>
    <x v="4"/>
    <x v="189"/>
    <x v="12"/>
    <x v="40"/>
    <x v="9"/>
    <x v="5"/>
    <x v="135"/>
    <x v="168"/>
    <x v="43"/>
    <x v="0"/>
    <x v="6"/>
    <x v="0"/>
    <x v="253"/>
    <x v="11"/>
    <x v="0"/>
    <x v="36"/>
  </r>
  <r>
    <x v="4"/>
    <x v="137"/>
    <x v="12"/>
    <x v="16"/>
    <x v="19"/>
    <x v="5"/>
    <x v="157"/>
    <x v="178"/>
    <x v="46"/>
    <x v="0"/>
    <x v="6"/>
    <x v="1"/>
    <x v="92"/>
    <x v="11"/>
    <x v="0"/>
    <x v="36"/>
  </r>
  <r>
    <x v="4"/>
    <x v="119"/>
    <x v="6"/>
    <x v="20"/>
    <x v="24"/>
    <x v="5"/>
    <x v="163"/>
    <x v="19"/>
    <x v="17"/>
    <x v="30"/>
    <x v="6"/>
    <x v="0"/>
    <x v="74"/>
    <x v="11"/>
    <x v="0"/>
    <x v="36"/>
  </r>
  <r>
    <x v="4"/>
    <x v="142"/>
    <x v="6"/>
    <x v="48"/>
    <x v="24"/>
    <x v="5"/>
    <x v="168"/>
    <x v="183"/>
    <x v="32"/>
    <x v="0"/>
    <x v="6"/>
    <x v="0"/>
    <x v="1"/>
    <x v="11"/>
    <x v="0"/>
    <x v="36"/>
  </r>
  <r>
    <x v="4"/>
    <x v="203"/>
    <x v="6"/>
    <x v="35"/>
    <x v="13"/>
    <x v="5"/>
    <x v="186"/>
    <x v="91"/>
    <x v="68"/>
    <x v="14"/>
    <x v="6"/>
    <x v="0"/>
    <x v="177"/>
    <x v="11"/>
    <x v="0"/>
    <x v="36"/>
  </r>
  <r>
    <x v="4"/>
    <x v="82"/>
    <x v="12"/>
    <x v="24"/>
    <x v="41"/>
    <x v="5"/>
    <x v="213"/>
    <x v="193"/>
    <x v="37"/>
    <x v="0"/>
    <x v="6"/>
    <x v="2"/>
    <x v="218"/>
    <x v="11"/>
    <x v="0"/>
    <x v="36"/>
  </r>
  <r>
    <x v="4"/>
    <x v="203"/>
    <x v="6"/>
    <x v="34"/>
    <x v="41"/>
    <x v="5"/>
    <x v="214"/>
    <x v="193"/>
    <x v="41"/>
    <x v="0"/>
    <x v="6"/>
    <x v="2"/>
    <x v="177"/>
    <x v="11"/>
    <x v="0"/>
    <x v="36"/>
  </r>
  <r>
    <x v="4"/>
    <x v="81"/>
    <x v="12"/>
    <x v="24"/>
    <x v="41"/>
    <x v="5"/>
    <x v="215"/>
    <x v="193"/>
    <x v="42"/>
    <x v="0"/>
    <x v="6"/>
    <x v="1"/>
    <x v="222"/>
    <x v="11"/>
    <x v="0"/>
    <x v="36"/>
  </r>
  <r>
    <x v="4"/>
    <x v="198"/>
    <x v="6"/>
    <x v="45"/>
    <x v="24"/>
    <x v="5"/>
    <x v="279"/>
    <x v="144"/>
    <x v="42"/>
    <x v="7"/>
    <x v="6"/>
    <x v="0"/>
    <x v="178"/>
    <x v="11"/>
    <x v="0"/>
    <x v="36"/>
  </r>
  <r>
    <x v="4"/>
    <x v="177"/>
    <x v="6"/>
    <x v="45"/>
    <x v="24"/>
    <x v="5"/>
    <x v="226"/>
    <x v="109"/>
    <x v="42"/>
    <x v="14"/>
    <x v="6"/>
    <x v="0"/>
    <x v="127"/>
    <x v="11"/>
    <x v="0"/>
    <x v="36"/>
  </r>
  <r>
    <x v="4"/>
    <x v="203"/>
    <x v="14"/>
    <x v="130"/>
    <x v="43"/>
    <x v="20"/>
    <x v="352"/>
    <x v="195"/>
    <x v="71"/>
    <x v="40"/>
    <x v="11"/>
    <x v="11"/>
    <x v="256"/>
    <x v="11"/>
    <x v="0"/>
    <x v="36"/>
  </r>
  <r>
    <x v="4"/>
    <x v="203"/>
    <x v="6"/>
    <x v="5"/>
    <x v="12"/>
    <x v="11"/>
    <x v="257"/>
    <x v="90"/>
    <x v="64"/>
    <x v="14"/>
    <x v="2"/>
    <x v="3"/>
    <x v="167"/>
    <x v="11"/>
    <x v="0"/>
    <x v="36"/>
  </r>
  <r>
    <x v="4"/>
    <x v="203"/>
    <x v="12"/>
    <x v="39"/>
    <x v="13"/>
    <x v="18"/>
    <x v="341"/>
    <x v="29"/>
    <x v="37"/>
    <x v="27"/>
    <x v="11"/>
    <x v="11"/>
    <x v="256"/>
    <x v="11"/>
    <x v="0"/>
    <x v="36"/>
  </r>
  <r>
    <x v="4"/>
    <x v="203"/>
    <x v="12"/>
    <x v="39"/>
    <x v="13"/>
    <x v="18"/>
    <x v="87"/>
    <x v="56"/>
    <x v="37"/>
    <x v="27"/>
    <x v="11"/>
    <x v="11"/>
    <x v="256"/>
    <x v="11"/>
    <x v="0"/>
    <x v="36"/>
  </r>
  <r>
    <x v="4"/>
    <x v="203"/>
    <x v="6"/>
    <x v="39"/>
    <x v="24"/>
    <x v="18"/>
    <x v="69"/>
    <x v="41"/>
    <x v="64"/>
    <x v="27"/>
    <x v="11"/>
    <x v="11"/>
    <x v="256"/>
    <x v="11"/>
    <x v="0"/>
    <x v="36"/>
  </r>
  <r>
    <x v="2"/>
    <x v="203"/>
    <x v="6"/>
    <x v="40"/>
    <x v="25"/>
    <x v="2"/>
    <x v="352"/>
    <x v="195"/>
    <x v="71"/>
    <x v="40"/>
    <x v="11"/>
    <x v="11"/>
    <x v="256"/>
    <x v="11"/>
    <x v="0"/>
    <x v="36"/>
  </r>
  <r>
    <x v="2"/>
    <x v="86"/>
    <x v="6"/>
    <x v="3"/>
    <x v="30"/>
    <x v="6"/>
    <x v="59"/>
    <x v="116"/>
    <x v="36"/>
    <x v="14"/>
    <x v="6"/>
    <x v="0"/>
    <x v="106"/>
    <x v="11"/>
    <x v="0"/>
    <x v="36"/>
  </r>
  <r>
    <x v="2"/>
    <x v="85"/>
    <x v="6"/>
    <x v="3"/>
    <x v="30"/>
    <x v="6"/>
    <x v="127"/>
    <x v="155"/>
    <x v="43"/>
    <x v="7"/>
    <x v="6"/>
    <x v="0"/>
    <x v="106"/>
    <x v="11"/>
    <x v="0"/>
    <x v="36"/>
  </r>
  <r>
    <x v="2"/>
    <x v="150"/>
    <x v="6"/>
    <x v="2"/>
    <x v="24"/>
    <x v="6"/>
    <x v="172"/>
    <x v="183"/>
    <x v="34"/>
    <x v="0"/>
    <x v="6"/>
    <x v="0"/>
    <x v="125"/>
    <x v="11"/>
    <x v="0"/>
    <x v="36"/>
  </r>
  <r>
    <x v="2"/>
    <x v="192"/>
    <x v="6"/>
    <x v="2"/>
    <x v="27"/>
    <x v="6"/>
    <x v="182"/>
    <x v="187"/>
    <x v="48"/>
    <x v="0"/>
    <x v="6"/>
    <x v="0"/>
    <x v="197"/>
    <x v="11"/>
    <x v="0"/>
    <x v="36"/>
  </r>
  <r>
    <x v="2"/>
    <x v="156"/>
    <x v="6"/>
    <x v="4"/>
    <x v="37"/>
    <x v="6"/>
    <x v="107"/>
    <x v="161"/>
    <x v="36"/>
    <x v="7"/>
    <x v="6"/>
    <x v="0"/>
    <x v="150"/>
    <x v="11"/>
    <x v="0"/>
    <x v="36"/>
  </r>
  <r>
    <x v="2"/>
    <x v="203"/>
    <x v="14"/>
    <x v="130"/>
    <x v="43"/>
    <x v="20"/>
    <x v="352"/>
    <x v="195"/>
    <x v="71"/>
    <x v="40"/>
    <x v="11"/>
    <x v="11"/>
    <x v="256"/>
    <x v="11"/>
    <x v="0"/>
    <x v="36"/>
  </r>
  <r>
    <x v="2"/>
    <x v="203"/>
    <x v="14"/>
    <x v="130"/>
    <x v="43"/>
    <x v="20"/>
    <x v="352"/>
    <x v="195"/>
    <x v="71"/>
    <x v="40"/>
    <x v="11"/>
    <x v="11"/>
    <x v="256"/>
    <x v="11"/>
    <x v="0"/>
    <x v="36"/>
  </r>
  <r>
    <x v="2"/>
    <x v="152"/>
    <x v="6"/>
    <x v="6"/>
    <x v="35"/>
    <x v="4"/>
    <x v="252"/>
    <x v="98"/>
    <x v="29"/>
    <x v="20"/>
    <x v="6"/>
    <x v="0"/>
    <x v="16"/>
    <x v="11"/>
    <x v="0"/>
    <x v="36"/>
  </r>
  <r>
    <x v="2"/>
    <x v="152"/>
    <x v="6"/>
    <x v="6"/>
    <x v="35"/>
    <x v="4"/>
    <x v="280"/>
    <x v="158"/>
    <x v="27"/>
    <x v="7"/>
    <x v="6"/>
    <x v="0"/>
    <x v="15"/>
    <x v="11"/>
    <x v="0"/>
    <x v="36"/>
  </r>
  <r>
    <x v="2"/>
    <x v="203"/>
    <x v="6"/>
    <x v="5"/>
    <x v="37"/>
    <x v="5"/>
    <x v="300"/>
    <x v="161"/>
    <x v="54"/>
    <x v="7"/>
    <x v="5"/>
    <x v="1"/>
    <x v="31"/>
    <x v="11"/>
    <x v="0"/>
    <x v="36"/>
  </r>
  <r>
    <x v="2"/>
    <x v="203"/>
    <x v="6"/>
    <x v="5"/>
    <x v="37"/>
    <x v="5"/>
    <x v="339"/>
    <x v="102"/>
    <x v="59"/>
    <x v="20"/>
    <x v="6"/>
    <x v="1"/>
    <x v="248"/>
    <x v="11"/>
    <x v="0"/>
    <x v="36"/>
  </r>
  <r>
    <x v="2"/>
    <x v="95"/>
    <x v="6"/>
    <x v="6"/>
    <x v="35"/>
    <x v="4"/>
    <x v="97"/>
    <x v="158"/>
    <x v="24"/>
    <x v="7"/>
    <x v="6"/>
    <x v="0"/>
    <x v="132"/>
    <x v="11"/>
    <x v="0"/>
    <x v="36"/>
  </r>
  <r>
    <x v="2"/>
    <x v="89"/>
    <x v="6"/>
    <x v="2"/>
    <x v="27"/>
    <x v="5"/>
    <x v="64"/>
    <x v="150"/>
    <x v="34"/>
    <x v="7"/>
    <x v="6"/>
    <x v="0"/>
    <x v="150"/>
    <x v="11"/>
    <x v="0"/>
    <x v="36"/>
  </r>
  <r>
    <x v="2"/>
    <x v="192"/>
    <x v="6"/>
    <x v="4"/>
    <x v="37"/>
    <x v="4"/>
    <x v="108"/>
    <x v="161"/>
    <x v="36"/>
    <x v="7"/>
    <x v="6"/>
    <x v="0"/>
    <x v="197"/>
    <x v="11"/>
    <x v="0"/>
    <x v="36"/>
  </r>
  <r>
    <x v="2"/>
    <x v="141"/>
    <x v="6"/>
    <x v="1"/>
    <x v="38"/>
    <x v="4"/>
    <x v="140"/>
    <x v="135"/>
    <x v="48"/>
    <x v="14"/>
    <x v="6"/>
    <x v="0"/>
    <x v="175"/>
    <x v="11"/>
    <x v="0"/>
    <x v="36"/>
  </r>
  <r>
    <x v="2"/>
    <x v="140"/>
    <x v="6"/>
    <x v="1"/>
    <x v="24"/>
    <x v="4"/>
    <x v="168"/>
    <x v="183"/>
    <x v="39"/>
    <x v="0"/>
    <x v="6"/>
    <x v="0"/>
    <x v="177"/>
    <x v="11"/>
    <x v="0"/>
    <x v="36"/>
  </r>
  <r>
    <x v="2"/>
    <x v="195"/>
    <x v="6"/>
    <x v="0"/>
    <x v="40"/>
    <x v="5"/>
    <x v="210"/>
    <x v="192"/>
    <x v="37"/>
    <x v="0"/>
    <x v="6"/>
    <x v="2"/>
    <x v="219"/>
    <x v="11"/>
    <x v="0"/>
    <x v="36"/>
  </r>
  <r>
    <x v="2"/>
    <x v="196"/>
    <x v="6"/>
    <x v="0"/>
    <x v="40"/>
    <x v="5"/>
    <x v="211"/>
    <x v="192"/>
    <x v="17"/>
    <x v="0"/>
    <x v="6"/>
    <x v="1"/>
    <x v="221"/>
    <x v="11"/>
    <x v="0"/>
    <x v="36"/>
  </r>
  <r>
    <x v="2"/>
    <x v="203"/>
    <x v="14"/>
    <x v="130"/>
    <x v="43"/>
    <x v="20"/>
    <x v="352"/>
    <x v="195"/>
    <x v="71"/>
    <x v="40"/>
    <x v="11"/>
    <x v="11"/>
    <x v="256"/>
    <x v="11"/>
    <x v="0"/>
    <x v="36"/>
  </r>
  <r>
    <x v="2"/>
    <x v="143"/>
    <x v="12"/>
    <x v="7"/>
    <x v="35"/>
    <x v="19"/>
    <x v="256"/>
    <x v="98"/>
    <x v="31"/>
    <x v="20"/>
    <x v="6"/>
    <x v="0"/>
    <x v="229"/>
    <x v="11"/>
    <x v="0"/>
    <x v="36"/>
  </r>
  <r>
    <x v="2"/>
    <x v="197"/>
    <x v="12"/>
    <x v="7"/>
    <x v="35"/>
    <x v="19"/>
    <x v="101"/>
    <x v="158"/>
    <x v="27"/>
    <x v="7"/>
    <x v="6"/>
    <x v="0"/>
    <x v="115"/>
    <x v="11"/>
    <x v="0"/>
    <x v="36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0" dataCaption="Values" showDrill="0" useAutoFormatting="0" itemPrintTitles="1" indent="0" outline="0" outlineData="0" compact="0" compactData="0">
  <location ref="B4:G6" firstHeaderRow="1" firstDataRow="1" firstDataCol="5" rowPageCount="1" colPageCount="1"/>
  <pivotFields count="16">
    <pivotField axis="axisRow" compact="0" showAll="0" defaultSubtotal="0" outline="0">
      <items count="5">
        <item h="1" x="0"/>
        <item x="1"/>
        <item x="2"/>
        <item x="3"/>
        <item x="4"/>
      </items>
    </pivotField>
    <pivotField compact="0" showAll="0" outline="0"/>
    <pivotField compact="0" showAll="0" outline="0"/>
    <pivotField compact="0" showAll="0" outline="0"/>
    <pivotField axis="axisRow" compact="0" showAll="0" defaultSubtotal="0" outline="0">
      <items count="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</items>
    </pivotField>
    <pivotField axis="axisRow" compact="0" showAll="0" defaultSubtotal="0" outline="0">
      <items count="2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x="11"/>
        <item h="1" x="12"/>
        <item h="1" x="13"/>
        <item h="1" x="14"/>
        <item h="1" x="15"/>
        <item h="1" x="16"/>
        <item h="1" x="17"/>
        <item h="1" x="18"/>
        <item h="1" x="19"/>
        <item h="1" x="20"/>
      </items>
    </pivotField>
    <pivotField axis="axisPage" compact="0" showAll="0" defaultSubtotal="0" outline="0">
      <items count="353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</items>
    </pivotField>
    <pivotField axis="axisRow" compact="0" showAll="0" defaultSubtotal="0" outline="0">
      <items count="19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</items>
    </pivotField>
    <pivotField compact="0" showAll="0" outline="0"/>
    <pivotField axis="axisRow" compact="0" showAll="0" defaultSubtotal="0" outline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</items>
    </pivotField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</pivotFields>
  <rowFields count="5">
    <field x="0"/>
    <field x="5"/>
    <field x="7"/>
    <field x="4"/>
    <field x="9"/>
  </rowFields>
  <pageFields count="1">
    <pageField fld="6" hier="-1"/>
  </page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MAPA_DE_FACAS_2026__27_02_xlsm" displayName="MAPA_DE_FACAS_2026__27_02_xlsm" ref="A1:P492" headerRowCount="1" totalsRowCount="0" totalsRowShown="0">
  <autoFilter ref="A1:P492">
    <filterColumn colId="0">
      <filters>
        <filter val="MODULAR SPX"/>
      </filters>
    </filterColumn>
  </autoFilter>
  <tableColumns count="16">
    <tableColumn id="1" name="MAQUINA"/>
    <tableColumn id="2" name="CONJUGADA "/>
    <tableColumn id="3" name="FORNECEDOR"/>
    <tableColumn id="4" name="Nº FACAS "/>
    <tableColumn id="5" name="Z"/>
    <tableColumn id="6" name="FORMATO"/>
    <tableColumn id="7" name="TAMANHO"/>
    <tableColumn id="8" name="PUXADA"/>
    <tableColumn id="9" name="LARGURA"/>
    <tableColumn id="10" name="REP"/>
    <tableColumn id="11" name="CIL"/>
    <tableColumn id="12" name="COL"/>
    <tableColumn id="13" name="CLIENTE "/>
    <tableColumn id="14" name="MAQ"/>
    <tableColumn id="15" name="Column15"/>
    <tableColumn id="16" name="Column16"/>
  </tableColumns>
</table>
</file>

<file path=xl/tables/table2.xml><?xml version="1.0" encoding="utf-8"?>
<table xmlns="http://schemas.openxmlformats.org/spreadsheetml/2006/main" id="2" name="Tabela1" displayName="Tabela1" ref="C8:J13" headerRowCount="1" totalsRowCount="0" totalsRowShown="0">
  <autoFilter ref="C8:J13"/>
  <tableColumns count="8">
    <tableColumn id="1" name="MATERIAL"/>
    <tableColumn id="2" name="ACABAMENTO"/>
    <tableColumn id="3" name="ETIQ POR ROLO"/>
    <tableColumn id="4" name="ROLOS"/>
    <tableColumn id="5" name="ETIQUETAS"/>
    <tableColumn id="6" name="TOTAL"/>
    <tableColumn id="7" name="UNITÁRIO"/>
    <tableColumn id="8" name="VALOR ROLO"/>
  </tableColumns>
</table>
</file>

<file path=xl/tables/table3.xml><?xml version="1.0" encoding="utf-8"?>
<table xmlns="http://schemas.openxmlformats.org/spreadsheetml/2006/main" id="3" name="Tabela3" displayName="Tabela3" ref="A1:P492" headerRowCount="1" totalsRowCount="0" totalsRowShown="0">
  <autoFilter ref="A1:P492">
    <filterColumn colId="6">
      <filters>
        <filter val="9,5X3,5"/>
      </filters>
    </filterColumn>
  </autoFilter>
  <tableColumns count="16">
    <tableColumn id="1" name="MAQUINA"/>
    <tableColumn id="2" name="CONJUGADA "/>
    <tableColumn id="3" name="FORNECEDOR"/>
    <tableColumn id="4" name="Nº FACAS "/>
    <tableColumn id="5" name="Z"/>
    <tableColumn id="6" name="FORMATO"/>
    <tableColumn id="7" name="TAMANHO"/>
    <tableColumn id="8" name="PUXADA"/>
    <tableColumn id="9" name="LARGURA"/>
    <tableColumn id="10" name="REP"/>
    <tableColumn id="11" name="CIL"/>
    <tableColumn id="12" name="COL"/>
    <tableColumn id="13" name="CLIENTE "/>
    <tableColumn id="14" name="MAQ"/>
    <tableColumn id="15" name="Column15"/>
    <tableColumn id="16" name="Column16"/>
  </tableColumns>
</table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2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pivotTable" Target="../pivotTables/pivot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2:L22"/>
  <sheetViews>
    <sheetView showFormulas="false" showGridLines="fals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C9" activeCellId="0" sqref="C9"/>
    </sheetView>
  </sheetViews>
  <sheetFormatPr defaultColWidth="15.55859375" defaultRowHeight="14.25" zeroHeight="false" outlineLevelRow="0" outlineLevelCol="0"/>
  <cols>
    <col collapsed="false" customWidth="true" hidden="false" outlineLevel="0" max="2" min="1" style="1" width="2.67"/>
    <col collapsed="false" customWidth="true" hidden="false" outlineLevel="0" max="3" min="3" style="1" width="19.33"/>
    <col collapsed="false" customWidth="true" hidden="false" outlineLevel="0" max="4" min="4" style="1" width="27.89"/>
    <col collapsed="false" customWidth="true" hidden="false" outlineLevel="0" max="5" min="5" style="1" width="18.56"/>
    <col collapsed="false" customWidth="true" hidden="false" outlineLevel="0" max="6" min="6" style="1" width="11.11"/>
    <col collapsed="false" customWidth="true" hidden="false" outlineLevel="0" max="7" min="7" style="1" width="14.89"/>
    <col collapsed="false" customWidth="true" hidden="false" outlineLevel="0" max="8" min="8" style="1" width="15"/>
    <col collapsed="false" customWidth="true" hidden="false" outlineLevel="0" max="9" min="9" style="1" width="13.89"/>
    <col collapsed="false" customWidth="true" hidden="false" outlineLevel="0" max="10" min="10" style="1" width="16.33"/>
    <col collapsed="false" customWidth="true" hidden="false" outlineLevel="0" max="13" min="11" style="1" width="2.67"/>
  </cols>
  <sheetData>
    <row r="2" customFormat="false" ht="14.25" hidden="false" customHeight="true" outlineLevel="0" collapsed="false">
      <c r="B2" s="2"/>
      <c r="C2" s="3"/>
      <c r="D2" s="3"/>
      <c r="E2" s="3"/>
      <c r="F2" s="3"/>
      <c r="G2" s="3"/>
      <c r="H2" s="3"/>
      <c r="I2" s="3"/>
      <c r="J2" s="3"/>
      <c r="K2" s="4"/>
    </row>
    <row r="3" customFormat="false" ht="15" hidden="false" customHeight="true" outlineLevel="0" collapsed="false">
      <c r="B3" s="5"/>
      <c r="C3" s="6" t="s">
        <v>0</v>
      </c>
      <c r="D3" s="7" t="n">
        <f aca="false">ORÇAMENTO!A5</f>
        <v>46233</v>
      </c>
      <c r="E3" s="8" t="n">
        <f aca="false">ORÇAMENTO!B5</f>
        <v>0</v>
      </c>
      <c r="F3" s="8"/>
      <c r="G3" s="8"/>
      <c r="H3" s="8"/>
      <c r="K3" s="9"/>
    </row>
    <row r="4" customFormat="false" ht="14.25" hidden="false" customHeight="true" outlineLevel="0" collapsed="false">
      <c r="B4" s="5"/>
      <c r="I4" s="10"/>
      <c r="J4" s="10"/>
      <c r="K4" s="9"/>
    </row>
    <row r="5" customFormat="false" ht="14.25" hidden="false" customHeight="true" outlineLevel="0" collapsed="false">
      <c r="B5" s="5"/>
      <c r="C5" s="10"/>
      <c r="D5" s="10"/>
      <c r="E5" s="10"/>
      <c r="F5" s="10"/>
      <c r="G5" s="10"/>
      <c r="K5" s="11"/>
      <c r="L5" s="10"/>
    </row>
    <row r="6" s="10" customFormat="true" ht="14.25" hidden="false" customHeight="true" outlineLevel="0" collapsed="false">
      <c r="A6" s="1"/>
      <c r="B6" s="12"/>
      <c r="C6" s="13" t="str">
        <f aca="false">"MATERIAL: "&amp;C9&amp;"- MEDIDA: "&amp;ORÇAMENTO!$B$8&amp;" - ACABAMENTO: "&amp;D9&amp;" - ETIQ. ROLO: "&amp;$E$9&amp;" - CORES: "&amp;ORÇAMENTO!$E$8&amp;" "</f>
        <v>MATERIAL: COUCHE FASSON 20G - MEDIDA: 9,5X3,5 - ACABAMENTO: LAMINAÇÃO BRILHO - ETIQ. ROLO: 500 - CORES: 1 </v>
      </c>
      <c r="D6" s="13"/>
      <c r="E6" s="13"/>
      <c r="F6" s="13"/>
      <c r="G6" s="13"/>
      <c r="H6" s="13"/>
      <c r="I6" s="13"/>
      <c r="J6" s="13"/>
      <c r="K6" s="9"/>
      <c r="L6" s="1"/>
    </row>
    <row r="7" s="10" customFormat="true" ht="14.25" hidden="false" customHeight="true" outlineLevel="0" collapsed="false">
      <c r="A7" s="1"/>
      <c r="B7" s="14"/>
      <c r="C7" s="1"/>
      <c r="D7" s="1"/>
      <c r="E7" s="1"/>
      <c r="F7" s="1"/>
      <c r="G7" s="1"/>
      <c r="H7" s="1"/>
      <c r="I7" s="1"/>
      <c r="J7" s="1"/>
      <c r="K7" s="9"/>
      <c r="L7" s="1"/>
    </row>
    <row r="8" s="10" customFormat="true" ht="14.25" hidden="false" customHeight="true" outlineLevel="0" collapsed="false">
      <c r="A8" s="1"/>
      <c r="B8" s="14"/>
      <c r="C8" s="15" t="s">
        <v>1</v>
      </c>
      <c r="D8" s="15" t="s">
        <v>2</v>
      </c>
      <c r="E8" s="15" t="s">
        <v>3</v>
      </c>
      <c r="F8" s="15" t="s">
        <v>4</v>
      </c>
      <c r="G8" s="15" t="s">
        <v>5</v>
      </c>
      <c r="H8" s="15" t="s">
        <v>6</v>
      </c>
      <c r="I8" s="15" t="s">
        <v>7</v>
      </c>
      <c r="J8" s="15" t="s">
        <v>8</v>
      </c>
      <c r="K8" s="9"/>
      <c r="L8" s="1"/>
    </row>
    <row r="9" s="10" customFormat="true" ht="14.25" hidden="false" customHeight="true" outlineLevel="0" collapsed="false">
      <c r="B9" s="14"/>
      <c r="C9" s="10" t="str">
        <f aca="false">IF(ORÇAMENTO!$F$8="","",ORÇAMENTO!$F$8)</f>
        <v>COUCHE FASSON 20G </v>
      </c>
      <c r="D9" s="10" t="str">
        <f aca="false">IF(ORÇAMENTO!$G$8="","",ORÇAMENTO!$G$8)</f>
        <v>LAMINAÇÃO BRILHO</v>
      </c>
      <c r="E9" s="10" t="n">
        <f aca="false">IF(ORÇAMENTO!$J$8="","",ORÇAMENTO!$J$8)</f>
        <v>500</v>
      </c>
      <c r="F9" s="10" t="n">
        <f aca="false">IF(Tabela1[[#This Row],[ETIQUETAS]]="","",Tabela1[[#This Row],[ETIQUETAS]]/$E$9)</f>
        <v>20</v>
      </c>
      <c r="G9" s="16" t="n">
        <f aca="false">IF(ORÇAMENTO!G28="","",ORÇAMENTO!G28)</f>
        <v>10000</v>
      </c>
      <c r="H9" s="17" t="n">
        <f aca="false">IF(ORÇAMENTO!H28="","",ORÇAMENTO!H28)</f>
        <v>540</v>
      </c>
      <c r="I9" s="17" t="n">
        <f aca="false">IF(Tabela1[[#This Row],[TOTAL]]="","",Tabela1[[#This Row],[TOTAL]]/Tabela1[[#This Row],[ETIQUETAS]])</f>
        <v>0.054</v>
      </c>
      <c r="J9" s="17" t="n">
        <f aca="false">IF(Tabela1[[#This Row],[UNITÁRIO]]="","",Tabela1[[#This Row],[TOTAL]]/F9)</f>
        <v>27</v>
      </c>
      <c r="K9" s="9"/>
    </row>
    <row r="10" s="10" customFormat="true" ht="14.25" hidden="false" customHeight="true" outlineLevel="0" collapsed="false">
      <c r="B10" s="14"/>
      <c r="C10" s="10" t="str">
        <f aca="false">IF(ORÇAMENTO!$F$8="","",ORÇAMENTO!$F$8)</f>
        <v>COUCHE FASSON 20G </v>
      </c>
      <c r="D10" s="10" t="str">
        <f aca="false">IF(ORÇAMENTO!$G$8="","",ORÇAMENTO!$G$8)</f>
        <v>LAMINAÇÃO BRILHO</v>
      </c>
      <c r="E10" s="10" t="n">
        <f aca="false">IF(ORÇAMENTO!$J$8="","",ORÇAMENTO!$J$8)</f>
        <v>500</v>
      </c>
      <c r="F10" s="10" t="str">
        <f aca="false">IF(Tabela1[[#This Row],[ETIQUETAS]]="","",Tabela1[[#This Row],[ETIQUETAS]]/$E$9)</f>
        <v/>
      </c>
      <c r="G10" s="16" t="str">
        <f aca="false">IF(ORÇAMENTO!G29="","",ORÇAMENTO!G29)</f>
        <v/>
      </c>
      <c r="H10" s="17" t="str">
        <f aca="false">IF(ORÇAMENTO!H29="","",ORÇAMENTO!H29)</f>
        <v/>
      </c>
      <c r="I10" s="17" t="str">
        <f aca="false">IF(Tabela1[[#This Row],[TOTAL]]="","",Tabela1[[#This Row],[TOTAL]]/Tabela1[[#This Row],[ETIQUETAS]])</f>
        <v/>
      </c>
      <c r="J10" s="17" t="str">
        <f aca="false">IF(Tabela1[[#This Row],[UNITÁRIO]]="","",Tabela1[[#This Row],[TOTAL]]/F10)</f>
        <v/>
      </c>
      <c r="K10" s="9"/>
    </row>
    <row r="11" s="10" customFormat="true" ht="14.25" hidden="false" customHeight="true" outlineLevel="0" collapsed="false">
      <c r="B11" s="14"/>
      <c r="C11" s="10" t="str">
        <f aca="false">IF(ORÇAMENTO!$F$8="","",ORÇAMENTO!$F$8)</f>
        <v>COUCHE FASSON 20G </v>
      </c>
      <c r="D11" s="10" t="str">
        <f aca="false">IF(ORÇAMENTO!$G$8="","",ORÇAMENTO!$G$8)</f>
        <v>LAMINAÇÃO BRILHO</v>
      </c>
      <c r="E11" s="10" t="n">
        <f aca="false">IF(ORÇAMENTO!$J$8="","",ORÇAMENTO!$J$8)</f>
        <v>500</v>
      </c>
      <c r="F11" s="10" t="str">
        <f aca="false">IF(Tabela1[[#This Row],[ETIQUETAS]]="","",Tabela1[[#This Row],[ETIQUETAS]]/$E$9)</f>
        <v/>
      </c>
      <c r="G11" s="16" t="str">
        <f aca="false">IF(ORÇAMENTO!G30="","",ORÇAMENTO!G30)</f>
        <v/>
      </c>
      <c r="H11" s="17" t="str">
        <f aca="false">IF(ORÇAMENTO!H30="","",ORÇAMENTO!H30)</f>
        <v/>
      </c>
      <c r="I11" s="17" t="str">
        <f aca="false">IF(Tabela1[[#This Row],[TOTAL]]="","",Tabela1[[#This Row],[TOTAL]]/Tabela1[[#This Row],[ETIQUETAS]])</f>
        <v/>
      </c>
      <c r="J11" s="17" t="str">
        <f aca="false">IF(Tabela1[[#This Row],[UNITÁRIO]]="","",Tabela1[[#This Row],[TOTAL]]/F11)</f>
        <v/>
      </c>
      <c r="K11" s="9"/>
    </row>
    <row r="12" s="10" customFormat="true" ht="14.25" hidden="false" customHeight="true" outlineLevel="0" collapsed="false">
      <c r="B12" s="14"/>
      <c r="C12" s="10" t="str">
        <f aca="false">IF(ORÇAMENTO!$F$8="","",ORÇAMENTO!$F$8)</f>
        <v>COUCHE FASSON 20G </v>
      </c>
      <c r="D12" s="10" t="str">
        <f aca="false">IF(ORÇAMENTO!$G$8="","",ORÇAMENTO!$G$8)</f>
        <v>LAMINAÇÃO BRILHO</v>
      </c>
      <c r="E12" s="10" t="n">
        <f aca="false">IF(ORÇAMENTO!$J$8="","",ORÇAMENTO!$J$8)</f>
        <v>500</v>
      </c>
      <c r="F12" s="10" t="str">
        <f aca="false">IF(Tabela1[[#This Row],[ETIQUETAS]]="","",Tabela1[[#This Row],[ETIQUETAS]]/$E$9)</f>
        <v/>
      </c>
      <c r="G12" s="16" t="str">
        <f aca="false">IF(ORÇAMENTO!G31="","",ORÇAMENTO!G31)</f>
        <v/>
      </c>
      <c r="H12" s="17" t="str">
        <f aca="false">IF(ORÇAMENTO!H31="","",ORÇAMENTO!H31)</f>
        <v/>
      </c>
      <c r="I12" s="17" t="str">
        <f aca="false">IF(Tabela1[[#This Row],[TOTAL]]="","",Tabela1[[#This Row],[TOTAL]]/Tabela1[[#This Row],[ETIQUETAS]])</f>
        <v/>
      </c>
      <c r="J12" s="17" t="str">
        <f aca="false">IF(Tabela1[[#This Row],[UNITÁRIO]]="","",Tabela1[[#This Row],[TOTAL]]/F12)</f>
        <v/>
      </c>
      <c r="K12" s="9"/>
    </row>
    <row r="13" s="10" customFormat="true" ht="14.25" hidden="false" customHeight="true" outlineLevel="0" collapsed="false">
      <c r="B13" s="14"/>
      <c r="C13" s="10" t="str">
        <f aca="false">IF(ORÇAMENTO!$F$8="","",ORÇAMENTO!$F$8)</f>
        <v>COUCHE FASSON 20G </v>
      </c>
      <c r="D13" s="10" t="str">
        <f aca="false">IF(ORÇAMENTO!$G$8="","",ORÇAMENTO!$G$8)</f>
        <v>LAMINAÇÃO BRILHO</v>
      </c>
      <c r="E13" s="10" t="n">
        <f aca="false">IF(ORÇAMENTO!$J$8="","",ORÇAMENTO!$J$8)</f>
        <v>500</v>
      </c>
      <c r="F13" s="10" t="str">
        <f aca="false">IF(Tabela1[[#This Row],[ETIQUETAS]]="","",Tabela1[[#This Row],[ETIQUETAS]]/$E$9)</f>
        <v/>
      </c>
      <c r="G13" s="16" t="str">
        <f aca="false">IF(ORÇAMENTO!G32="","",ORÇAMENTO!G32)</f>
        <v/>
      </c>
      <c r="H13" s="17" t="str">
        <f aca="false">IF(ORÇAMENTO!H32="","",ORÇAMENTO!H32)</f>
        <v/>
      </c>
      <c r="I13" s="17" t="str">
        <f aca="false">IF(Tabela1[[#This Row],[TOTAL]]="","",Tabela1[[#This Row],[TOTAL]]/Tabela1[[#This Row],[ETIQUETAS]])</f>
        <v/>
      </c>
      <c r="J13" s="17" t="str">
        <f aca="false">IF(Tabela1[[#This Row],[UNITÁRIO]]="","",Tabela1[[#This Row],[TOTAL]]/F13)</f>
        <v/>
      </c>
      <c r="K13" s="9"/>
    </row>
    <row r="14" s="10" customFormat="true" ht="14.25" hidden="false" customHeight="true" outlineLevel="0" collapsed="false">
      <c r="B14" s="14"/>
      <c r="C14" s="18"/>
      <c r="D14" s="18"/>
      <c r="E14" s="18"/>
      <c r="G14" s="16"/>
      <c r="H14" s="17"/>
      <c r="I14" s="17"/>
      <c r="J14" s="17"/>
      <c r="K14" s="9"/>
    </row>
    <row r="15" s="10" customFormat="true" ht="14.25" hidden="false" customHeight="true" outlineLevel="0" collapsed="false">
      <c r="B15" s="14"/>
      <c r="C15" s="19" t="s">
        <v>9</v>
      </c>
      <c r="D15" s="19"/>
      <c r="E15" s="20" t="n">
        <f aca="false">ORÇAMENTO!$I$28</f>
        <v>91</v>
      </c>
      <c r="F15" s="17"/>
      <c r="G15" s="17"/>
      <c r="H15" s="17"/>
      <c r="I15" s="17"/>
      <c r="J15" s="17"/>
      <c r="K15" s="9"/>
    </row>
    <row r="16" s="23" customFormat="true" ht="14.25" hidden="false" customHeight="true" outlineLevel="0" collapsed="false">
      <c r="A16" s="10"/>
      <c r="B16" s="14"/>
      <c r="C16" s="21"/>
      <c r="D16" s="21"/>
      <c r="E16" s="22"/>
      <c r="F16" s="17"/>
      <c r="G16" s="17"/>
      <c r="H16" s="17"/>
      <c r="I16" s="17"/>
      <c r="J16" s="17"/>
      <c r="K16" s="9"/>
      <c r="L16" s="10"/>
    </row>
    <row r="17" customFormat="false" ht="14.25" hidden="false" customHeight="true" outlineLevel="0" collapsed="false">
      <c r="A17" s="10"/>
      <c r="B17" s="14"/>
      <c r="C17" s="19" t="s">
        <v>10</v>
      </c>
      <c r="D17" s="19"/>
      <c r="E17" s="24" t="s">
        <v>11</v>
      </c>
      <c r="F17" s="17"/>
      <c r="G17" s="17"/>
      <c r="H17" s="17"/>
      <c r="I17" s="17"/>
      <c r="J17" s="17"/>
      <c r="K17" s="9"/>
      <c r="L17" s="10"/>
    </row>
    <row r="18" customFormat="false" ht="14.25" hidden="false" customHeight="true" outlineLevel="0" collapsed="false">
      <c r="A18" s="10"/>
      <c r="B18" s="14"/>
      <c r="C18" s="25"/>
      <c r="D18" s="25"/>
      <c r="E18" s="26"/>
      <c r="F18" s="17"/>
      <c r="G18" s="17"/>
      <c r="H18" s="17"/>
      <c r="I18" s="17"/>
      <c r="J18" s="17"/>
      <c r="K18" s="9"/>
      <c r="L18" s="10"/>
    </row>
    <row r="19" customFormat="false" ht="14.25" hidden="false" customHeight="true" outlineLevel="0" collapsed="false">
      <c r="A19" s="10"/>
      <c r="B19" s="14"/>
      <c r="C19" s="27" t="s">
        <v>12</v>
      </c>
      <c r="D19" s="27"/>
      <c r="E19" s="27"/>
      <c r="F19" s="17"/>
      <c r="G19" s="17"/>
      <c r="H19" s="17"/>
      <c r="I19" s="17"/>
      <c r="J19" s="17"/>
      <c r="K19" s="9"/>
      <c r="L19" s="10"/>
    </row>
    <row r="20" customFormat="false" ht="52.5" hidden="false" customHeight="true" outlineLevel="0" collapsed="false">
      <c r="A20" s="10"/>
      <c r="B20" s="14"/>
      <c r="C20" s="28" t="s">
        <v>13</v>
      </c>
      <c r="D20" s="28"/>
      <c r="E20" s="28"/>
      <c r="F20" s="28"/>
      <c r="G20" s="28"/>
      <c r="H20" s="28"/>
      <c r="I20" s="28"/>
      <c r="J20" s="28"/>
      <c r="K20" s="9"/>
      <c r="L20" s="10"/>
    </row>
    <row r="21" customFormat="false" ht="14.25" hidden="false" customHeight="true" outlineLevel="0" collapsed="false">
      <c r="A21" s="23"/>
      <c r="B21" s="29"/>
      <c r="C21" s="30"/>
      <c r="D21" s="30"/>
      <c r="E21" s="30"/>
      <c r="F21" s="30"/>
      <c r="G21" s="30"/>
      <c r="H21" s="30"/>
      <c r="I21" s="30"/>
      <c r="J21" s="30"/>
      <c r="K21" s="31"/>
      <c r="L21" s="23"/>
    </row>
    <row r="22" customFormat="false" ht="14.25" hidden="false" customHeight="true" outlineLevel="0" collapsed="false">
      <c r="H22" s="17"/>
      <c r="I22" s="17"/>
      <c r="J22" s="17"/>
    </row>
  </sheetData>
  <mergeCells count="4">
    <mergeCell ref="E3:H3"/>
    <mergeCell ref="C6:J6"/>
    <mergeCell ref="C19:E19"/>
    <mergeCell ref="C20:J20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6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2" ySplit="4" topLeftCell="C5" activePane="bottomRight" state="frozen"/>
      <selection pane="topLeft" activeCell="A1" activeCellId="0" sqref="A1"/>
      <selection pane="topRight" activeCell="C1" activeCellId="0" sqref="C1"/>
      <selection pane="bottomLeft" activeCell="A5" activeCellId="0" sqref="A5"/>
      <selection pane="bottomRight" activeCell="B5" activeCellId="0" sqref="B5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2.67"/>
    <col collapsed="false" customWidth="true" hidden="false" outlineLevel="0" max="2" min="2" style="1" width="14.34"/>
    <col collapsed="false" customWidth="true" hidden="false" outlineLevel="0" max="3" min="3" style="1" width="14.11"/>
    <col collapsed="false" customWidth="true" hidden="false" outlineLevel="0" max="4" min="4" style="1" width="12.67"/>
    <col collapsed="false" customWidth="true" hidden="false" outlineLevel="0" max="6" min="5" style="1" width="6.44"/>
    <col collapsed="false" customWidth="true" hidden="false" outlineLevel="0" max="7" min="7" style="1" width="2.67"/>
    <col collapsed="false" customWidth="true" hidden="false" outlineLevel="0" max="8" min="8" style="1" width="26.11"/>
    <col collapsed="false" customWidth="true" hidden="false" outlineLevel="0" max="12" min="12" style="1" width="6.56"/>
  </cols>
  <sheetData>
    <row r="1" customFormat="false" ht="14.25" hidden="false" customHeight="true" outlineLevel="0" collapsed="false">
      <c r="A1" s="32"/>
      <c r="B1" s="32"/>
      <c r="C1" s="32"/>
      <c r="D1" s="32"/>
      <c r="E1" s="32"/>
      <c r="F1" s="32"/>
      <c r="G1" s="32"/>
    </row>
    <row r="2" customFormat="false" ht="14.25" hidden="false" customHeight="true" outlineLevel="0" collapsed="false">
      <c r="A2" s="32"/>
      <c r="B2" s="33" t="s">
        <v>14</v>
      </c>
      <c r="C2" s="34" t="s">
        <v>15</v>
      </c>
      <c r="D2" s="0"/>
      <c r="E2" s="0"/>
      <c r="F2" s="0"/>
      <c r="G2" s="0"/>
    </row>
    <row r="3" customFormat="false" ht="14.25" hidden="false" customHeight="true" outlineLevel="0" collapsed="false">
      <c r="A3" s="32"/>
      <c r="B3" s="0"/>
      <c r="C3" s="0"/>
      <c r="D3" s="0"/>
      <c r="E3" s="0"/>
      <c r="F3" s="0"/>
      <c r="G3" s="0"/>
    </row>
    <row r="4" customFormat="false" ht="14.25" hidden="false" customHeight="true" outlineLevel="0" collapsed="false">
      <c r="A4" s="32"/>
      <c r="B4" s="35" t="s">
        <v>16</v>
      </c>
      <c r="C4" s="36" t="s">
        <v>17</v>
      </c>
      <c r="D4" s="36" t="s">
        <v>18</v>
      </c>
      <c r="E4" s="36" t="s">
        <v>19</v>
      </c>
      <c r="F4" s="37" t="s">
        <v>20</v>
      </c>
      <c r="G4" s="38" t="s">
        <v>21</v>
      </c>
    </row>
    <row r="5" customFormat="false" ht="14.25" hidden="false" customHeight="true" outlineLevel="0" collapsed="false">
      <c r="A5" s="32"/>
      <c r="B5" s="39" t="s">
        <v>22</v>
      </c>
      <c r="C5" s="40" t="s">
        <v>23</v>
      </c>
      <c r="D5" s="40" t="s">
        <v>21</v>
      </c>
      <c r="E5" s="40" t="n">
        <v>60</v>
      </c>
      <c r="F5" s="41" t="s">
        <v>21</v>
      </c>
      <c r="G5" s="42"/>
    </row>
    <row r="6" customFormat="false" ht="14.25" hidden="false" customHeight="true" outlineLevel="0" collapsed="false">
      <c r="A6" s="32"/>
      <c r="B6" s="43" t="s">
        <v>24</v>
      </c>
      <c r="C6" s="44"/>
      <c r="D6" s="44"/>
      <c r="E6" s="44"/>
      <c r="F6" s="45"/>
      <c r="G6" s="46"/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R34"/>
  <sheetViews>
    <sheetView showFormulas="false" showGridLines="true" showRowColHeaders="true" showZeros="true" rightToLeft="false" tabSelected="true" showOutlineSymbols="true" defaultGridColor="true" view="normal" topLeftCell="A1" colorId="64" zoomScale="40" zoomScaleNormal="40" zoomScalePageLayoutView="100" workbookViewId="0">
      <pane xSplit="1" ySplit="12" topLeftCell="B13" activePane="bottomRight" state="frozen"/>
      <selection pane="topLeft" activeCell="A1" activeCellId="0" sqref="A1"/>
      <selection pane="topRight" activeCell="B1" activeCellId="0" sqref="B1"/>
      <selection pane="bottomLeft" activeCell="A13" activeCellId="0" sqref="A13"/>
      <selection pane="bottomRight" activeCell="C21" activeCellId="0" sqref="C21"/>
    </sheetView>
  </sheetViews>
  <sheetFormatPr defaultColWidth="20.55078125" defaultRowHeight="14.25" zeroHeight="true" outlineLevelRow="0" outlineLevelCol="0"/>
  <cols>
    <col collapsed="false" customWidth="true" hidden="false" outlineLevel="0" max="1" min="1" style="47" width="32.33"/>
    <col collapsed="false" customWidth="true" hidden="false" outlineLevel="0" max="2" min="2" style="47" width="32.55"/>
    <col collapsed="false" customWidth="true" hidden="false" outlineLevel="0" max="3" min="3" style="47" width="35.45"/>
    <col collapsed="false" customWidth="true" hidden="false" outlineLevel="0" max="4" min="4" style="47" width="26.89"/>
    <col collapsed="false" customWidth="true" hidden="false" outlineLevel="0" max="5" min="5" style="47" width="35.67"/>
    <col collapsed="false" customWidth="true" hidden="false" outlineLevel="0" max="6" min="6" style="47" width="38.11"/>
    <col collapsed="false" customWidth="true" hidden="false" outlineLevel="0" max="7" min="7" style="47" width="49.33"/>
    <col collapsed="false" customWidth="true" hidden="false" outlineLevel="0" max="8" min="8" style="47" width="30.56"/>
    <col collapsed="false" customWidth="true" hidden="false" outlineLevel="0" max="9" min="9" style="47" width="28.67"/>
    <col collapsed="false" customWidth="true" hidden="false" outlineLevel="0" max="10" min="10" style="47" width="26.34"/>
    <col collapsed="false" customWidth="true" hidden="false" outlineLevel="0" max="11" min="11" style="47" width="25.44"/>
    <col collapsed="false" customWidth="true" hidden="false" outlineLevel="0" max="12" min="12" style="47" width="31.11"/>
    <col collapsed="false" customWidth="true" hidden="false" outlineLevel="0" max="13" min="13" style="47" width="23.89"/>
    <col collapsed="false" customWidth="true" hidden="false" outlineLevel="0" max="14" min="14" style="47" width="27.67"/>
    <col collapsed="false" customWidth="true" hidden="false" outlineLevel="0" max="15" min="15" style="47" width="19.55"/>
    <col collapsed="false" customWidth="true" hidden="false" outlineLevel="0" max="16" min="16" style="47" width="2.78"/>
    <col collapsed="false" customWidth="true" hidden="false" outlineLevel="0" max="17" min="17" style="47" width="7.89"/>
    <col collapsed="false" customWidth="true" hidden="false" outlineLevel="0" max="18" min="18" style="47" width="11.45"/>
    <col collapsed="false" customWidth="false" hidden="false" outlineLevel="0" max="16384" min="19" style="47" width="20.55"/>
  </cols>
  <sheetData>
    <row r="1" customFormat="false" ht="14.25" hidden="false" customHeight="true" outlineLevel="0" collapsed="false">
      <c r="A1" s="48" t="s">
        <v>25</v>
      </c>
      <c r="B1" s="48"/>
      <c r="P1" s="32"/>
    </row>
    <row r="2" customFormat="false" ht="15" hidden="false" customHeight="true" outlineLevel="0" collapsed="false">
      <c r="A2" s="48"/>
      <c r="B2" s="48"/>
      <c r="P2" s="32"/>
    </row>
    <row r="3" customFormat="false" ht="14.25" hidden="false" customHeight="true" outlineLevel="0" collapsed="false">
      <c r="P3" s="32"/>
    </row>
    <row r="4" customFormat="false" ht="26.25" hidden="false" customHeight="true" outlineLevel="0" collapsed="false">
      <c r="A4" s="49" t="s">
        <v>26</v>
      </c>
      <c r="B4" s="50" t="s">
        <v>0</v>
      </c>
      <c r="C4" s="51" t="s">
        <v>27</v>
      </c>
      <c r="D4" s="52"/>
      <c r="E4" s="53" t="s">
        <v>28</v>
      </c>
      <c r="F4" s="53"/>
      <c r="G4" s="53"/>
      <c r="H4" s="54"/>
      <c r="I4" s="54"/>
      <c r="J4" s="52"/>
      <c r="K4" s="52"/>
      <c r="L4" s="52"/>
      <c r="M4" s="52"/>
      <c r="N4" s="52"/>
      <c r="O4" s="52"/>
      <c r="P4" s="32"/>
      <c r="Q4" s="52"/>
      <c r="R4" s="52"/>
    </row>
    <row r="5" customFormat="false" ht="26.25" hidden="false" customHeight="true" outlineLevel="0" collapsed="false">
      <c r="A5" s="55" t="n">
        <f aca="true">TODAY()</f>
        <v>46233</v>
      </c>
      <c r="B5" s="56"/>
      <c r="C5" s="57"/>
      <c r="D5" s="52"/>
      <c r="E5" s="58"/>
      <c r="F5" s="59" t="s">
        <v>29</v>
      </c>
      <c r="G5" s="59"/>
      <c r="H5" s="54"/>
      <c r="I5" s="54"/>
      <c r="J5" s="52"/>
      <c r="K5" s="52"/>
      <c r="L5" s="52"/>
      <c r="M5" s="52"/>
      <c r="N5" s="52"/>
      <c r="O5" s="52"/>
      <c r="P5" s="32"/>
      <c r="Q5" s="52"/>
      <c r="R5" s="52"/>
    </row>
    <row r="6" customFormat="false" ht="14.25" hidden="false" customHeight="true" outlineLevel="0" collapsed="false">
      <c r="A6" s="18"/>
      <c r="B6" s="18"/>
      <c r="C6" s="18"/>
      <c r="D6" s="18"/>
      <c r="E6" s="18"/>
      <c r="F6" s="18"/>
      <c r="G6" s="18"/>
      <c r="H6" s="18"/>
      <c r="I6" s="18"/>
      <c r="P6" s="32"/>
    </row>
    <row r="7" customFormat="false" ht="56.25" hidden="false" customHeight="true" outlineLevel="0" collapsed="false">
      <c r="A7" s="60" t="s">
        <v>30</v>
      </c>
      <c r="B7" s="61" t="s">
        <v>31</v>
      </c>
      <c r="C7" s="62" t="s">
        <v>32</v>
      </c>
      <c r="D7" s="62" t="s">
        <v>33</v>
      </c>
      <c r="E7" s="63" t="s">
        <v>34</v>
      </c>
      <c r="F7" s="62" t="s">
        <v>35</v>
      </c>
      <c r="G7" s="62" t="s">
        <v>36</v>
      </c>
      <c r="H7" s="62" t="s">
        <v>37</v>
      </c>
      <c r="I7" s="62" t="s">
        <v>38</v>
      </c>
      <c r="J7" s="64" t="s">
        <v>39</v>
      </c>
      <c r="K7" s="65"/>
      <c r="P7" s="32"/>
    </row>
    <row r="8" s="18" customFormat="true" ht="24" hidden="false" customHeight="true" outlineLevel="0" collapsed="false">
      <c r="A8" s="60"/>
      <c r="B8" s="66" t="str">
        <f aca="false">MAPA_DE_FACAS!$C$2</f>
        <v>9,5X3,5</v>
      </c>
      <c r="C8" s="67" t="n">
        <v>10</v>
      </c>
      <c r="D8" s="68" t="n">
        <v>3.8</v>
      </c>
      <c r="E8" s="69" t="n">
        <v>1</v>
      </c>
      <c r="F8" s="69" t="s">
        <v>40</v>
      </c>
      <c r="G8" s="69" t="s">
        <v>41</v>
      </c>
      <c r="H8" s="69" t="n">
        <v>1</v>
      </c>
      <c r="I8" s="69" t="n">
        <v>1</v>
      </c>
      <c r="J8" s="69" t="n">
        <v>500</v>
      </c>
      <c r="K8" s="65"/>
      <c r="L8" s="47"/>
      <c r="M8" s="47"/>
      <c r="N8" s="47"/>
      <c r="O8" s="47"/>
      <c r="P8" s="32"/>
      <c r="Q8" s="47"/>
      <c r="R8" s="47"/>
    </row>
    <row r="9" customFormat="false" ht="56.25" hidden="false" customHeight="true" outlineLevel="0" collapsed="false">
      <c r="A9" s="60"/>
      <c r="B9" s="70" t="s">
        <v>42</v>
      </c>
      <c r="C9" s="62" t="s">
        <v>43</v>
      </c>
      <c r="D9" s="62" t="s">
        <v>44</v>
      </c>
      <c r="E9" s="63" t="s">
        <v>45</v>
      </c>
      <c r="F9" s="62" t="s">
        <v>46</v>
      </c>
      <c r="G9" s="62" t="s">
        <v>47</v>
      </c>
      <c r="H9" s="62" t="s">
        <v>48</v>
      </c>
      <c r="I9" s="62" t="s">
        <v>49</v>
      </c>
      <c r="J9" s="64" t="s">
        <v>50</v>
      </c>
      <c r="K9" s="65"/>
      <c r="P9" s="32"/>
    </row>
    <row r="10" customFormat="false" ht="24" hidden="false" customHeight="true" outlineLevel="0" collapsed="false">
      <c r="A10" s="60"/>
      <c r="B10" s="71" t="s">
        <v>51</v>
      </c>
      <c r="C10" s="72" t="n">
        <f aca="false">MAPA_DE_FACAS!E5</f>
        <v>60</v>
      </c>
      <c r="D10" s="73" t="str">
        <f aca="false">MAPA_DE_FACAS!$C$5</f>
        <v>LACRE</v>
      </c>
      <c r="E10" s="72" t="str">
        <f aca="false">MAPA_DE_FACAS!$F$5</f>
        <v>(empty)</v>
      </c>
      <c r="F10" s="74" t="n">
        <v>160</v>
      </c>
      <c r="G10" s="74" t="s">
        <v>52</v>
      </c>
      <c r="H10" s="75" t="n">
        <v>16</v>
      </c>
      <c r="I10" s="75" t="s">
        <v>53</v>
      </c>
      <c r="J10" s="74" t="n">
        <v>1</v>
      </c>
      <c r="K10" s="65"/>
      <c r="P10" s="32"/>
    </row>
    <row r="11" customFormat="false" ht="15" hidden="false" customHeight="true" outlineLevel="0" collapsed="false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 t="s">
        <v>54</v>
      </c>
      <c r="N11" s="18"/>
      <c r="O11" s="18"/>
      <c r="P11" s="32"/>
      <c r="Q11" s="18"/>
      <c r="R11" s="18"/>
    </row>
    <row r="12" customFormat="false" ht="56.25" hidden="false" customHeight="true" outlineLevel="0" collapsed="false">
      <c r="A12" s="77" t="s">
        <v>55</v>
      </c>
      <c r="B12" s="78" t="s">
        <v>56</v>
      </c>
      <c r="C12" s="62" t="s">
        <v>57</v>
      </c>
      <c r="D12" s="62" t="s">
        <v>58</v>
      </c>
      <c r="E12" s="62" t="s">
        <v>59</v>
      </c>
      <c r="F12" s="62" t="s">
        <v>60</v>
      </c>
      <c r="G12" s="62" t="s">
        <v>61</v>
      </c>
      <c r="H12" s="62" t="s">
        <v>62</v>
      </c>
      <c r="I12" s="62" t="s">
        <v>63</v>
      </c>
      <c r="J12" s="62" t="s">
        <v>64</v>
      </c>
      <c r="K12" s="79" t="s">
        <v>65</v>
      </c>
      <c r="L12" s="62" t="s">
        <v>66</v>
      </c>
      <c r="M12" s="62" t="s">
        <v>67</v>
      </c>
      <c r="N12" s="62" t="s">
        <v>68</v>
      </c>
      <c r="O12" s="53" t="s">
        <v>69</v>
      </c>
      <c r="P12" s="32"/>
    </row>
    <row r="13" customFormat="false" ht="28.5" hidden="false" customHeight="true" outlineLevel="0" collapsed="false">
      <c r="A13" s="77"/>
      <c r="B13" s="80" t="n">
        <v>10000</v>
      </c>
      <c r="C13" s="81" t="s">
        <v>70</v>
      </c>
      <c r="D13" s="82" t="n">
        <f aca="false">IF(C13="","",((((($D$8/100)*B13/$I$8)/$C$18)+1)))</f>
        <v>1.38</v>
      </c>
      <c r="E13" s="83" t="n">
        <f aca="false">IF(C13="","",VLOOKUP($C$13,'HORA PARADA'!$A:$B,2,0)*((($H$8)-1)))</f>
        <v>0</v>
      </c>
      <c r="F13" s="82" t="str">
        <f aca="false">IF(C13="","",IF(G13&lt;1000,"0",((((G13/1000)-1)*5)/60)))</f>
        <v>0</v>
      </c>
      <c r="G13" s="84" t="n">
        <f aca="false">IF(C13="","",(($D$8/100)*B13/$I$8))</f>
        <v>380</v>
      </c>
      <c r="H13" s="82" t="n">
        <f aca="false">IF(C13="","",CEILING(((B13*($C$8)*$D$8)/10000),0.1))</f>
        <v>38</v>
      </c>
      <c r="I13" s="85" t="n">
        <f aca="false">IF(C13="","",IF($E$8=0,VLOOKUP($E$8,'PERDA DE PAPEL'!$A:$D,4,0),IF($E$8=1,VLOOKUP($E$8,'PERDA DE PAPEL'!$A:$D,4,0),IF($E$8=2,VLOOKUP($E$8,'PERDA DE PAPEL'!$A:$D,4,0),IF($E$8=3,VLOOKUP($E$8,'PERDA DE PAPEL'!$A:$D,4,0),IF($E$8=4,($C$8+1)/100*'PERDA DE PAPEL'!$B$6,IF($E$8="4V",($C$8/100)*'PERDA DE PAPEL'!$B$7,IF($E$8=5,($C$8/100)*'PERDA DE PAPEL'!$B$8,IF($E$8=6,($C$8/100)*'PERDA DE PAPEL'!$B$9,IF($E$8=7,($C$8/100)*'PERDA DE PAPEL'!$B$10,IF($E$8=8,($C$8/100)*'PERDA DE PAPEL'!$B$11,"")))))))))))</f>
        <v>4</v>
      </c>
      <c r="J13" s="85" t="n">
        <f aca="false">IF(D13="","",IF($E$8=0,VLOOKUP($E$8,'PERDA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>4</v>
      </c>
      <c r="K13" s="86" t="n">
        <f aca="false">IF(B13="","",IF($E$8=0,"0",IF($E$8=1,VLOOKUP($E$8,'PERDA DE PAPEL ACERTO'!$A:$E,5,0)*$H$8,IF($E$8=2,VLOOKUP($E$8,'PERDA DE PAPEL ACERTO'!$A:$E,5,0)*$H$8,IF($E$8=3,VLOOKUP($E$8,'PERDA DE PAPEL ACERTO'!$A:$E,5,0)*$H$8,IF($E$8=4,VLOOKUP($E$8,'PERDA DE PAPEL ACERTO'!$A:$E,5,0)*$H$8,IF($E$8="4V",VLOOKUP($E$8,'PERDA DE PAPEL ACERTO'!$A:$E,5,0)*$H$8,IF($E$8=5,VLOOKUP($E$8,'PERDA DE PAPEL ACERTO'!$A:$E,5,0)*$H$8,IF($E$8=6,VLOOKUP($E$8,'PERDA DE PAPEL ACERTO'!$A:$E,5,0)*$H$8,IF($E$8=7,VLOOKUP($E$8,'PERDA DE PAPEL ACERTO'!$A:$E,5,0)*$H$8,IF($E$8=8,VLOOKUP($E$8,'PERDA DE PAPEL ACERTO'!$A:$E,5,0)*$H$8,"")))))))))))</f>
        <v>0.7</v>
      </c>
      <c r="L13" s="87" t="str">
        <f aca="false">IF(C13="","",IF(G13&lt;=1000,"0",((5*($C$8-0.75)*$I$8/100)*(G13/1000))))</f>
        <v>0</v>
      </c>
      <c r="M13" s="85" t="n">
        <f aca="false">IF(C13="","",B13/$J$8)</f>
        <v>20</v>
      </c>
      <c r="N13" s="88" t="n">
        <v>1</v>
      </c>
      <c r="O13" s="89" t="n">
        <f aca="false">IF($I$10="SIM",'MATRIZ '!$E$3,"")</f>
        <v>90.356</v>
      </c>
      <c r="P13" s="32"/>
    </row>
    <row r="14" customFormat="false" ht="24" hidden="false" customHeight="true" outlineLevel="0" collapsed="false">
      <c r="A14" s="77"/>
      <c r="B14" s="90"/>
      <c r="C14" s="91" t="str">
        <f aca="false">IF(B14="","",C13)</f>
        <v/>
      </c>
      <c r="D14" s="82" t="str">
        <f aca="false">IF(C14="","",((((($D$8/100)*B14/$I$8)/$C$18)+1)))</f>
        <v/>
      </c>
      <c r="E14" s="83" t="str">
        <f aca="false">IF(C14="","",VLOOKUP($C$13,'HORA PARADA'!$A:$B,2,0)*((($H$8)-1)))</f>
        <v/>
      </c>
      <c r="F14" s="82" t="str">
        <f aca="false">IF(C14="","",IF(G14&lt;1000,"",((((G14/1000)-1)*5)/60)))</f>
        <v/>
      </c>
      <c r="G14" s="84" t="str">
        <f aca="false">IF(C14="","",(($D$8/100)*B14/$I$8))</f>
        <v/>
      </c>
      <c r="H14" s="82" t="str">
        <f aca="false">IF(C14="","",CEILING(((B14*($C$8)*$D$8)/10000),0.1))</f>
        <v/>
      </c>
      <c r="I14" s="85" t="str">
        <f aca="false">IF(C14="","",IF($E$8=0,VLOOKUP($E$8,'PERDA DE PAPEL'!$A:$D,4,0),IF($E$8=1,VLOOKUP($E$8,'PERDA DE PAPEL'!$A:$D,4,0),IF($E$8=2,VLOOKUP($E$8,'PERDA DE PAPEL'!$A:$D,4,0),IF($E$8=3,VLOOKUP($E$8,'PERDA DE PAPEL'!$A:$D,4,0),IF($E$8=4,($C$8+1)/100*'PERDA DE PAPEL'!$B$6,IF($E$8="4V",($C$8/100)*'PERDA DE PAPEL'!$B$7,IF($E$8=5,($C$8/100)*'PERDA DE PAPEL'!$B$8,IF($E$8=6,($C$8/100)*'PERDA DE PAPEL'!$B$9,IF($E$8=7,($C$8/100)*'PERDA DE PAPEL'!$B$10,IF($E$8=8,($C$8/100)*'PERDA DE PAPEL'!$B$11,"")))))))))))</f>
        <v/>
      </c>
      <c r="J14" s="85" t="str">
        <f aca="false">IF(D14="","",IF($E$8=0,VLOOKUP($E$8,'PERDA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/>
      </c>
      <c r="K14" s="92"/>
      <c r="L14" s="87" t="str">
        <f aca="false">IF(C14="","",IF(G14&lt;=1000,"0",((5*($C$8-0.75)*$I$8/100)*(G14/1000))))</f>
        <v/>
      </c>
      <c r="M14" s="85" t="str">
        <f aca="false">IF(C14="","",B14/$J$8)</f>
        <v/>
      </c>
      <c r="N14" s="88" t="str">
        <f aca="false">IF(C14="","",VLOOKUP(CONCATENATE($B$10&amp;M14),CAIXAS!$B:$E,4,0))</f>
        <v/>
      </c>
      <c r="O14" s="65"/>
      <c r="P14" s="32"/>
    </row>
    <row r="15" customFormat="false" ht="24" hidden="false" customHeight="true" outlineLevel="0" collapsed="false">
      <c r="A15" s="77"/>
      <c r="B15" s="90"/>
      <c r="C15" s="91" t="str">
        <f aca="false">IF(B15="","",C14)</f>
        <v/>
      </c>
      <c r="D15" s="82" t="str">
        <f aca="false">IF(C15="","",((((($D$8/100)*B15/$I$8)/$C$18)+1)))</f>
        <v/>
      </c>
      <c r="E15" s="83" t="str">
        <f aca="false">IF(C15="","",VLOOKUP($C$13,'HORA PARADA'!$A:$B,2,0)*((($H$8)-1)))</f>
        <v/>
      </c>
      <c r="F15" s="82" t="str">
        <f aca="false">IF(C15="","",IF(G15&lt;1000,"",((((G15/1000)-1)*5)/60)))</f>
        <v/>
      </c>
      <c r="G15" s="84" t="str">
        <f aca="false">IF(C15="","",(($D$8/100)*B15/$I$8))</f>
        <v/>
      </c>
      <c r="H15" s="82" t="str">
        <f aca="false">IF(C15="","",CEILING(((B15*($C$8)*$D$8)/10000),0.1))</f>
        <v/>
      </c>
      <c r="I15" s="85" t="str">
        <f aca="false">IF(C15="","",IF($E$8=0,VLOOKUP($E$8,'PERDA DE PAPEL'!$A:$D,4,0),IF($E$8=1,VLOOKUP($E$8,'PERDA DE PAPEL'!$A:$D,4,0),IF($E$8=2,VLOOKUP($E$8,'PERDA DE PAPEL'!$A:$D,4,0),IF($E$8=3,VLOOKUP($E$8,'PERDA DE PAPEL'!$A:$D,4,0),IF($E$8=4,($C$8+1)/100*'PERDA DE PAPEL'!$B$6,IF($E$8="4V",($C$8/100)*'PERDA DE PAPEL'!$B$7,IF($E$8=5,($C$8/100)*'PERDA DE PAPEL'!$B$8,IF($E$8=6,($C$8/100)*'PERDA DE PAPEL'!$B$9,IF($E$8=7,($C$8/100)*'PERDA DE PAPEL'!$B$10,IF($E$8=8,($C$8/100)*'PERDA DE PAPEL'!$B$11,"")))))))))))</f>
        <v/>
      </c>
      <c r="J15" s="85" t="str">
        <f aca="false">IF(D15="","",IF($E$8=0,VLOOKUP($E$8,'PERDA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/>
      </c>
      <c r="K15" s="92" t="str">
        <f aca="false">IF(C15="","",VLOOKUP($G$8,'PERDA DE ACABAMENTO'!$A:$B,2,0))</f>
        <v/>
      </c>
      <c r="L15" s="87" t="str">
        <f aca="false">IF(C15="","",IF(G15&lt;=1000,"0",((5*($C$8-0.75)*$I$8/100)*(G15/1000))))</f>
        <v/>
      </c>
      <c r="M15" s="85" t="str">
        <f aca="false">IF(C15="","",B15/$J$8)</f>
        <v/>
      </c>
      <c r="N15" s="88" t="str">
        <f aca="false">IF(C15="","",VLOOKUP(CONCATENATE($B$10&amp;M15),CAIXAS!$B:$E,4,0))</f>
        <v/>
      </c>
      <c r="O15" s="65"/>
      <c r="P15" s="32"/>
    </row>
    <row r="16" customFormat="false" ht="24" hidden="false" customHeight="true" outlineLevel="0" collapsed="false">
      <c r="A16" s="77"/>
      <c r="B16" s="90"/>
      <c r="C16" s="91" t="str">
        <f aca="false">IF(B16="","",C15)</f>
        <v/>
      </c>
      <c r="D16" s="82" t="str">
        <f aca="false">IF(C16="","",((((($D$8/100)*B16/$I$8)/$C$18)+1)))</f>
        <v/>
      </c>
      <c r="E16" s="83" t="str">
        <f aca="false">IF(C16="","",VLOOKUP($C$13,'HORA PARADA'!$A:$B,2,0)*((($H$8)-1)))</f>
        <v/>
      </c>
      <c r="F16" s="82" t="str">
        <f aca="false">IF(C16="","",IF(G16&lt;1000,"",((((G16/1000)-1)*5)/60)))</f>
        <v/>
      </c>
      <c r="G16" s="84" t="str">
        <f aca="false">IF(C16="","",(($D$8/100)*B16/$I$8))</f>
        <v/>
      </c>
      <c r="H16" s="82" t="str">
        <f aca="false">IF(C16="","",CEILING(((B16*($C$8)*$D$8)/10000),0.1))</f>
        <v/>
      </c>
      <c r="I16" s="85" t="str">
        <f aca="false">IF(C16="","",IF($E$8=0,VLOOKUP($E$8,'PERDA DE PAPEL'!$A:$D,4,0),IF($E$8=1,VLOOKUP($E$8,'PERDA DE PAPEL'!$A:$D,4,0),IF($E$8=2,VLOOKUP($E$8,'PERDA DE PAPEL'!$A:$D,4,0),IF($E$8=3,VLOOKUP($E$8,'PERDA DE PAPEL'!$A:$D,4,0),IF($E$8=4,($C$8+1)/100*'PERDA DE PAPEL'!$B$6,IF($E$8="4V",($C$8/100)*'PERDA DE PAPEL'!$B$7,IF($E$8=5,($C$8/100)*'PERDA DE PAPEL'!$B$8,IF($E$8=6,($C$8/100)*'PERDA DE PAPEL'!$B$9,IF($E$8=7,($C$8/100)*'PERDA DE PAPEL'!$B$10,IF($E$8=8,($C$8/100)*'PERDA DE PAPEL'!$B$11,"")))))))))))</f>
        <v/>
      </c>
      <c r="J16" s="85" t="str">
        <f aca="false">IF(D16="","",IF($E$8=0,VLOOKUP($E$8,'PERDA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/>
      </c>
      <c r="K16" s="92" t="str">
        <f aca="false">IF(C16="","",VLOOKUP($G$8,'PERDA DE ACABAMENTO'!$A:$B,2,0))</f>
        <v/>
      </c>
      <c r="L16" s="87" t="str">
        <f aca="false">IF(C16="","",IF(G16&lt;=1000,"0",((5*($C$8-0.75)*$I$8/100)*(G16/1000))))</f>
        <v/>
      </c>
      <c r="M16" s="85" t="str">
        <f aca="false">IF(C16="","",B16/$J$8)</f>
        <v/>
      </c>
      <c r="N16" s="88" t="str">
        <f aca="false">IF(C16="","",VLOOKUP(CONCATENATE($B$10&amp;M16),CAIXAS!$B:$E,4,0))</f>
        <v/>
      </c>
      <c r="O16" s="65"/>
      <c r="P16" s="32"/>
    </row>
    <row r="17" customFormat="false" ht="24" hidden="false" customHeight="true" outlineLevel="0" collapsed="false">
      <c r="A17" s="77"/>
      <c r="B17" s="90"/>
      <c r="C17" s="91" t="str">
        <f aca="false">IF(B17="","",C16)</f>
        <v/>
      </c>
      <c r="D17" s="82" t="str">
        <f aca="false">IF(C17="","",((((($D$8/100)*B17/$I$8)/$C$18)+1)))</f>
        <v/>
      </c>
      <c r="E17" s="83" t="str">
        <f aca="false">IF(C17="","",IF(F17="","",((($H$8)-1)*F17)))</f>
        <v/>
      </c>
      <c r="F17" s="82" t="str">
        <f aca="false">IF(C17="","",IF(G17&lt;1000,"",((((G17/1000)-1)*5)/60)))</f>
        <v/>
      </c>
      <c r="G17" s="84" t="str">
        <f aca="false">IF(C17="","",(($D$8/100)*B17/$I$8)*$J$10)</f>
        <v/>
      </c>
      <c r="H17" s="82" t="str">
        <f aca="false">IF(C17="","",CEILING(((B17*($C$8)*$D$8)/10000),0.1))</f>
        <v/>
      </c>
      <c r="I17" s="85" t="str">
        <f aca="false">IF(C17="","",IF($E$8=0,VLOOKUP($E$8,'PERDA DE PAPEL'!$A:$D,4,0),IF($E$8=1,VLOOKUP($E$8,'PERDA DE PAPEL'!$A:$D,4,0),IF($E$8=2,VLOOKUP($E$8,'PERDA DE PAPEL'!$A:$D,4,0),IF($E$8=3,VLOOKUP($E$8,'PERDA DE PAPEL'!$A:$D,4,0),IF($E$8=4,($C$8+1)/100*'PERDA DE PAPEL'!$B$6,IF($E$8="4V",($C$8/100)*'PERDA DE PAPEL'!$B$7,IF($E$8=5,($C$8/100)*'PERDA DE PAPEL'!$B$8,IF($E$8=6,($C$8/100)*'PERDA DE PAPEL'!$B$9,IF($E$8=7,($C$8/100)*'PERDA DE PAPEL'!$B$10,IF($E$8=8,($C$8/100)*'PERDA DE PAPEL'!$B$11,"")))))))))))</f>
        <v/>
      </c>
      <c r="J17" s="85" t="str">
        <f aca="false">IF(D17="","",IF($E$8=0,VLOOKUP($E$8,'PERDA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/>
      </c>
      <c r="K17" s="93" t="str">
        <f aca="false">IF(C17="","",IF(G17&lt;=1000,"0",((5*($C$8-0.75)*$I$8/100)*(G17/1000))))</f>
        <v/>
      </c>
      <c r="L17" s="85" t="str">
        <f aca="false">IF(C17="","",B17/$J$8)</f>
        <v/>
      </c>
      <c r="M17" s="88" t="str">
        <f aca="false">IF(C17="","",VLOOKUP(CONCATENATE($B$10&amp;L17),CAIXAS!$B:$E,4,0))</f>
        <v/>
      </c>
      <c r="N17" s="65"/>
      <c r="P17" s="32"/>
    </row>
    <row r="18" customFormat="false" ht="24" hidden="false" customHeight="true" outlineLevel="0" collapsed="false">
      <c r="A18" s="77"/>
      <c r="B18" s="94" t="s">
        <v>71</v>
      </c>
      <c r="C18" s="95" t="n">
        <v>1000</v>
      </c>
      <c r="D18" s="96"/>
      <c r="E18" s="97"/>
      <c r="F18" s="65"/>
      <c r="G18" s="98"/>
      <c r="H18" s="65"/>
      <c r="I18" s="98"/>
      <c r="J18" s="76"/>
      <c r="K18" s="76"/>
      <c r="L18" s="98"/>
      <c r="M18" s="99"/>
      <c r="P18" s="32"/>
    </row>
    <row r="19" customFormat="false" ht="15" hidden="false" customHeight="true" outlineLevel="0" collapsed="false">
      <c r="A19" s="77"/>
      <c r="B19" s="65"/>
      <c r="C19" s="76"/>
      <c r="D19" s="76"/>
      <c r="E19" s="76"/>
      <c r="F19" s="76"/>
      <c r="G19" s="76"/>
      <c r="H19" s="76"/>
      <c r="I19" s="76"/>
      <c r="J19" s="76"/>
      <c r="K19" s="65"/>
      <c r="L19" s="65"/>
      <c r="M19" s="65"/>
      <c r="P19" s="32"/>
    </row>
    <row r="20" customFormat="false" ht="56.25" hidden="false" customHeight="true" outlineLevel="0" collapsed="false">
      <c r="A20" s="77"/>
      <c r="B20" s="78" t="s">
        <v>56</v>
      </c>
      <c r="C20" s="62" t="s">
        <v>72</v>
      </c>
      <c r="D20" s="62" t="s">
        <v>73</v>
      </c>
      <c r="E20" s="62" t="s">
        <v>74</v>
      </c>
      <c r="F20" s="62" t="s">
        <v>75</v>
      </c>
      <c r="G20" s="79" t="s">
        <v>76</v>
      </c>
      <c r="H20" s="62" t="s">
        <v>77</v>
      </c>
      <c r="I20" s="62" t="s">
        <v>2</v>
      </c>
      <c r="J20" s="62" t="s">
        <v>78</v>
      </c>
      <c r="K20" s="62" t="s">
        <v>79</v>
      </c>
      <c r="L20" s="62" t="s">
        <v>80</v>
      </c>
      <c r="M20" s="100" t="s">
        <v>81</v>
      </c>
      <c r="N20" s="65"/>
      <c r="P20" s="32"/>
    </row>
    <row r="21" customFormat="false" ht="24" hidden="false" customHeight="true" outlineLevel="0" collapsed="false">
      <c r="A21" s="77"/>
      <c r="B21" s="101" t="n">
        <f aca="false">IF(C13="","",B13)</f>
        <v>10000</v>
      </c>
      <c r="C21" s="83" t="n">
        <f aca="false">IF(C13="","",((H13+I13+L13)*VLOOKUP($F$8,PAPEL!$A:$B,2,0)))</f>
        <v>147</v>
      </c>
      <c r="D21" s="83" t="n">
        <f aca="false">IF(C13="","",IF($G$10='HORA MÁQUINA '!$B$2,VLOOKUP($E$8,'HORA MÁQUINA '!$C:$E,3,0)*(D13),IF($G$10='HORA MÁQUINA '!$I$2,VLOOKUP($E$8,'HORA MÁQUINA '!$J:$L,3,0)*(D13),IF($G$10='HORA MÁQUINA '!$P$2,VLOOKUP($E$8,'HORA MÁQUINA '!$Q:$S,3,0)*(D13)))))</f>
        <v>200.1</v>
      </c>
      <c r="E21" s="83" t="n">
        <f aca="false">IF(B13="","",IF($G$10='HORA MÁQUINA '!$B$2,VLOOKUP($E$8,'HORA MÁQUINA '!$C:$E,3,0)*(E13),IF($G$10='HORA MÁQUINA '!$I$2,VLOOKUP($E$8,'HORA MÁQUINA '!$J:$L,3,0)*(E13),IF($G$10='HORA MÁQUINA '!$P$2,VLOOKUP($E$8,'HORA MÁQUINA '!$Q:$S,3,0)*(E13)))))</f>
        <v>0</v>
      </c>
      <c r="F21" s="83" t="n">
        <f aca="false">IF(F13="","",IF($G$10='HORA MÁQUINA '!$B$2,VLOOKUP($E$8,'HORA MÁQUINA '!$C:$E,3,0)*(F13),IF($G$10='HORA MÁQUINA '!$I$2,VLOOKUP($E$8,'HORA MÁQUINA '!$J:$L,3,0)*(F13),IF($G$10='HORA MÁQUINA '!$P$2,VLOOKUP($E$8,'HORA MÁQUINA '!$Q:$S,3,0)*(F13)))))</f>
        <v>0</v>
      </c>
      <c r="G21" s="102" t="n">
        <f aca="false">IF(B13="","",IF($G$10='HORA MÁQUINA '!$B$2,VLOOKUP($E$8,'HORA MÁQUINA '!$C:$E,3,0)*(F13),IF($G$10='HORA MÁQUINA '!$I$2,VLOOKUP($E$8,'HORA MÁQUINA '!$J:$L,3,0)*(F13),IF($G$10='HORA MÁQUINA '!$P$2,VLOOKUP($E$8,'HORA MÁQUINA '!$Q:$S,3,0)*(F13)))))</f>
        <v>0</v>
      </c>
      <c r="H21" s="103" t="n">
        <f aca="false">IF(B13=0,"",IF(SUM(H13:I13)&lt;=30,$E$8*10,SUM(H13:I13)*TINTA!$C$3))</f>
        <v>16.8</v>
      </c>
      <c r="I21" s="103" t="n">
        <f aca="false">IF(B21="","",VLOOKUP($G$8,ACABAMENTOS!$A:$B,2,0)*SUM(H13+K13))</f>
        <v>69.66</v>
      </c>
      <c r="J21" s="83" t="n">
        <f aca="false">IF(G13="","",((((G13*$I$8)/$J$10)/1000)*ACABAMENTOS!$B$6))</f>
        <v>6.46</v>
      </c>
      <c r="K21" s="83" t="n">
        <f aca="false">IF(C13="","",B13/$J$8*VLOOKUP($B$10,TUBETE!$B:$C,2,0))</f>
        <v>14</v>
      </c>
      <c r="L21" s="83" t="n">
        <f aca="false">IF(N13="","",N13*7)</f>
        <v>7</v>
      </c>
      <c r="M21" s="104" t="n">
        <f aca="false">IF(B21="","",SUM(C21:L21))</f>
        <v>461.02</v>
      </c>
      <c r="N21" s="65"/>
      <c r="P21" s="32"/>
    </row>
    <row r="22" customFormat="false" ht="24" hidden="false" customHeight="true" outlineLevel="0" collapsed="false">
      <c r="A22" s="77"/>
      <c r="B22" s="101" t="str">
        <f aca="false">IF(C14="","",B14)</f>
        <v/>
      </c>
      <c r="C22" s="83" t="str">
        <f aca="false">IF(C14="","",((H14+I14+L14)*VLOOKUP($F$8,PAPEL!$A:$B,2,0)))</f>
        <v/>
      </c>
      <c r="D22" s="83" t="str">
        <f aca="false">IF(C14="","",IF($G$10='HORA MÁQUINA '!$B$2,VLOOKUP($E$8,'HORA MÁQUINA '!$C:$E,3,0)*(D14),IF($G$10='HORA MÁQUINA '!$I$2,VLOOKUP($E$8,'HORA MÁQUINA '!$J:$L,3,0)*(D14),IF($G$10='HORA MÁQUINA '!$P$2,VLOOKUP($E$8,'HORA MÁQUINA '!$Q:$S,3,0)*(D14)))))</f>
        <v/>
      </c>
      <c r="E22" s="83" t="str">
        <f aca="false">IF(B14="","",IF($G$10='HORA MÁQUINA '!$B$2,VLOOKUP($E$8,'HORA MÁQUINA '!$C:$E,3,0)*(E14),IF($G$10='HORA MÁQUINA '!$I$2,VLOOKUP($E$8,'HORA MÁQUINA '!$J:$L,3,0)*(E14),IF($G$10='HORA MÁQUINA '!$P$2,VLOOKUP($E$8,'HORA MÁQUINA '!$Q:$S,3,0)*(E14)))))</f>
        <v/>
      </c>
      <c r="F22" s="83" t="str">
        <f aca="false">IF(F14="","",IF($G$10='HORA MÁQUINA '!$B$2,VLOOKUP($E$8,'HORA MÁQUINA '!$C:$E,3,0)*(F14),IF($G$10='HORA MÁQUINA '!$I$2,VLOOKUP($E$8,'HORA MÁQUINA '!$J:$L,3,0)*(F14),IF($G$10='HORA MÁQUINA '!$P$2,VLOOKUP($E$8,'HORA MÁQUINA '!$Q:$S,3,0)*(F14)))))</f>
        <v/>
      </c>
      <c r="G22" s="102" t="str">
        <f aca="false">IF(B14="","",IF($G$10='HORA MÁQUINA '!$B$2,VLOOKUP($E$8,'HORA MÁQUINA '!$C:$E,3,0)*(F14),IF($G$10='HORA MÁQUINA '!$I$2,VLOOKUP($E$8,'HORA MÁQUINA '!$J:$L,3,0)*(F14),IF($G$10='HORA MÁQUINA '!$P$2,VLOOKUP($E$8,'HORA MÁQUINA '!$Q:$S,3,0)*(F14)))))</f>
        <v/>
      </c>
      <c r="H22" s="103" t="str">
        <f aca="false">IF(B14=0,"",IF(SUM(H14:I14)&lt;=30,$E$8*10,SUM(H14:I14)*TINTA!$C$3))</f>
        <v/>
      </c>
      <c r="I22" s="103" t="str">
        <f aca="false">IF(B22="","",VLOOKUP($G$8,ACABAMENTOS!$A:$B,2,0)*SUM(H14:K14))</f>
        <v/>
      </c>
      <c r="J22" s="83" t="str">
        <f aca="false">IF(G14="","",((((G14*$I$8)/$J$10)/1000)*ACABAMENTOS!$B$6))</f>
        <v/>
      </c>
      <c r="K22" s="83" t="str">
        <f aca="false">IF(C14="","",B14/$J$8*VLOOKUP($B$10,TUBETE!$B:$C,2,0))</f>
        <v/>
      </c>
      <c r="L22" s="83" t="str">
        <f aca="false">IF(N14="","",N14*7)</f>
        <v/>
      </c>
      <c r="M22" s="104" t="str">
        <f aca="false">IF(B22="","",SUM(C22:L22))</f>
        <v/>
      </c>
      <c r="N22" s="65"/>
      <c r="P22" s="32"/>
    </row>
    <row r="23" customFormat="false" ht="24" hidden="false" customHeight="true" outlineLevel="0" collapsed="false">
      <c r="A23" s="77"/>
      <c r="B23" s="101" t="str">
        <f aca="false">IF(C15="","",B15)</f>
        <v/>
      </c>
      <c r="C23" s="83" t="str">
        <f aca="false">IF(C15="","",((H15+I15+L15)*VLOOKUP($F$8,PAPEL!$A:$B,2,0)))</f>
        <v/>
      </c>
      <c r="D23" s="83" t="str">
        <f aca="false">IF(C15="","",IF($G$10='HORA MÁQUINA '!$B$2,VLOOKUP($E$8,'HORA MÁQUINA '!$C:$E,3,0)*(D15),IF($G$10='HORA MÁQUINA '!$I$2,VLOOKUP($E$8,'HORA MÁQUINA '!$J:$L,3,0)*(D15),IF($G$10='HORA MÁQUINA '!$P$2,VLOOKUP($E$8,'HORA MÁQUINA '!$Q:$S,3,0)*(D15)))))</f>
        <v/>
      </c>
      <c r="E23" s="83" t="str">
        <f aca="false">IF(B15="","",IF($G$10='HORA MÁQUINA '!$B$2,VLOOKUP($E$8,'HORA MÁQUINA '!$C:$E,3,0)*(E15),IF($G$10='HORA MÁQUINA '!$I$2,VLOOKUP($E$8,'HORA MÁQUINA '!$J:$L,3,0)*(E15),IF($G$10='HORA MÁQUINA '!$P$2,VLOOKUP($E$8,'HORA MÁQUINA '!$Q:$S,3,0)*(E15)))))</f>
        <v/>
      </c>
      <c r="F23" s="83" t="str">
        <f aca="false">IF(F15="","",IF($G$10='HORA MÁQUINA '!$B$2,VLOOKUP($E$8,'HORA MÁQUINA '!$C:$E,3,0)*(F15),IF($G$10='HORA MÁQUINA '!$I$2,VLOOKUP($E$8,'HORA MÁQUINA '!$J:$L,3,0)*(F15),IF($G$10='HORA MÁQUINA '!$P$2,VLOOKUP($E$8,'HORA MÁQUINA '!$Q:$S,3,0)*(F15)))))</f>
        <v/>
      </c>
      <c r="G23" s="102" t="str">
        <f aca="false">IF(B15="","",IF($G$10='HORA MÁQUINA '!$B$2,VLOOKUP($E$8,'HORA MÁQUINA '!$C:$E,3,0)*(F15),IF($G$10='HORA MÁQUINA '!$I$2,VLOOKUP($E$8,'HORA MÁQUINA '!$J:$L,3,0)*(F15),IF($G$10='HORA MÁQUINA '!$P$2,VLOOKUP($E$8,'HORA MÁQUINA '!$Q:$S,3,0)*(F15)))))</f>
        <v/>
      </c>
      <c r="H23" s="103" t="str">
        <f aca="false">IF(B15=0,"",IF(SUM(H15:I15)&lt;=30,$E$8*10,SUM(H15:I15)*TINTA!$C$3))</f>
        <v/>
      </c>
      <c r="I23" s="103" t="str">
        <f aca="false">IF(B23="","",VLOOKUP($G$8,ACABAMENTOS!$A:$B,2,0)*SUM(H15:K15))</f>
        <v/>
      </c>
      <c r="J23" s="83" t="str">
        <f aca="false">IF(G15="","",((((G15*$I$8)/$J$10)/1000)*ACABAMENTOS!$B$6))</f>
        <v/>
      </c>
      <c r="K23" s="83" t="str">
        <f aca="false">IF(C15="","",B15/$J$8*VLOOKUP($B$10,TUBETE!$B:$C,2,0))</f>
        <v/>
      </c>
      <c r="L23" s="83" t="str">
        <f aca="false">IF(N15="","",N15*7)</f>
        <v/>
      </c>
      <c r="M23" s="104" t="str">
        <f aca="false">IF(B23="","",SUM(C23:L23))</f>
        <v/>
      </c>
      <c r="N23" s="65"/>
      <c r="P23" s="32"/>
    </row>
    <row r="24" customFormat="false" ht="24" hidden="false" customHeight="true" outlineLevel="0" collapsed="false">
      <c r="A24" s="77"/>
      <c r="B24" s="101" t="str">
        <f aca="false">IF(C16="","",B16)</f>
        <v/>
      </c>
      <c r="C24" s="83" t="str">
        <f aca="false">IF(C16="","",((H16+I16+L16)*VLOOKUP($F$8,PAPEL!$A:$B,2,0)))</f>
        <v/>
      </c>
      <c r="D24" s="83" t="str">
        <f aca="false">IF(C16="","",IF($G$10='HORA MÁQUINA '!$B$2,VLOOKUP($E$8,'HORA MÁQUINA '!$C:$E,3,0)*(D16),IF($G$10='HORA MÁQUINA '!$I$2,VLOOKUP($E$8,'HORA MÁQUINA '!$J:$L,3,0)*(D16),IF($G$10='HORA MÁQUINA '!$P$2,VLOOKUP($E$8,'HORA MÁQUINA '!$Q:$S,3,0)*(D16)))))</f>
        <v/>
      </c>
      <c r="E24" s="83" t="str">
        <f aca="false">IF(F16="","",IF($G$10='HORA MÁQUINA '!$B$2,VLOOKUP($E$8,'HORA MÁQUINA '!$C:$E,3,0)*(E16),IF($G$10='HORA MÁQUINA '!$I$2,VLOOKUP($E$8,'HORA MÁQUINA '!$J:$L,3,0)*(E16),IF($G$10='HORA MÁQUINA '!$P$2,VLOOKUP($E$8,'HORA MÁQUINA '!$Q:$S,3,0)*(E16)))))</f>
        <v/>
      </c>
      <c r="F24" s="83" t="str">
        <f aca="false">IF(F16="","",IF($G$10='HORA MÁQUINA '!$B$2,VLOOKUP($E$8,'HORA MÁQUINA '!$C:$E,3,0)*(F16),IF($G$10='HORA MÁQUINA '!$I$2,VLOOKUP($E$8,'HORA MÁQUINA '!$J:$L,3,0)*(F16),IF($G$10='HORA MÁQUINA '!$P$2,VLOOKUP($E$8,'HORA MÁQUINA '!$Q:$S,3,0)*(F16)))))</f>
        <v/>
      </c>
      <c r="G24" s="102" t="str">
        <f aca="false">IF(B16="","",IF($G$10='HORA MÁQUINA '!$B$2,VLOOKUP($E$8,'HORA MÁQUINA '!$C:$E,3,0)*(F16),IF($G$10='HORA MÁQUINA '!$I$2,VLOOKUP($E$8,'HORA MÁQUINA '!$J:$L,3,0)*(F16),IF($G$10='HORA MÁQUINA '!$P$2,VLOOKUP($E$8,'HORA MÁQUINA '!$Q:$S,3,0)*(F16)))))</f>
        <v/>
      </c>
      <c r="H24" s="103" t="str">
        <f aca="false">IF(B16=0,"",IF(SUM(H16:I16)&lt;=30,$E$8*10,SUM(H16:I16)*TINTA!$C$3))</f>
        <v/>
      </c>
      <c r="I24" s="103" t="str">
        <f aca="false">IF(B24="","",VLOOKUP($G$8,ACABAMENTOS!$A:$B,2,0)*SUM(H16:K16))</f>
        <v/>
      </c>
      <c r="J24" s="83" t="str">
        <f aca="false">IF(G16="","",((((G16*$I$8)/$J$10)/1000)*ACABAMENTOS!$B$6))</f>
        <v/>
      </c>
      <c r="K24" s="83" t="str">
        <f aca="false">IF(C16="","",B16/$J$8*VLOOKUP($B$10,TUBETE!$B:$C,2,0))</f>
        <v/>
      </c>
      <c r="L24" s="83" t="str">
        <f aca="false">IF(N16="","",N16*7)</f>
        <v/>
      </c>
      <c r="M24" s="104" t="str">
        <f aca="false">IF(B24="","",SUM(C24:L24))</f>
        <v/>
      </c>
      <c r="N24" s="65"/>
      <c r="P24" s="32"/>
    </row>
    <row r="25" customFormat="false" ht="24" hidden="false" customHeight="true" outlineLevel="0" collapsed="false">
      <c r="A25" s="77"/>
      <c r="B25" s="101" t="str">
        <f aca="false">IF(C17="","",B17)</f>
        <v/>
      </c>
      <c r="C25" s="83" t="str">
        <f aca="false">IF(C17="","",((H17+I17+K17)*VLOOKUP($F$8,PAPEL!$A:$B,2,0)))</f>
        <v/>
      </c>
      <c r="D25" s="83" t="str">
        <f aca="false">IF(C17="","",IF($G$10='HORA MÁQUINA '!$B$2,VLOOKUP($E$8,'HORA MÁQUINA '!$C:$E,3,0)*(D17),IF($G$10='HORA MÁQUINA '!$I$2,VLOOKUP($E$8,'HORA MÁQUINA '!$J:$L,3,0)*(D17),IF($G$10='HORA MÁQUINA '!$P$2,VLOOKUP($E$8,'HORA MÁQUINA '!$Q:$S,3,0)*(D17)))))</f>
        <v/>
      </c>
      <c r="E25" s="83" t="str">
        <f aca="false">IF(F17="","",IF($G$10='HORA MÁQUINA '!$B$2,VLOOKUP($E$8,'HORA MÁQUINA '!$C:$E,3,0)*(E17),IF($G$10='HORA MÁQUINA '!$I$2,VLOOKUP($E$8,'HORA MÁQUINA '!$J:$L,3,0)*(E17),IF($G$10='HORA MÁQUINA '!$P$2,VLOOKUP($E$8,'HORA MÁQUINA '!$Q:$S,3,0)*(E17)))))</f>
        <v/>
      </c>
      <c r="F25" s="83" t="str">
        <f aca="false">IF(F17="","",IF($G$10='HORA MÁQUINA '!$B$2,VLOOKUP($E$8,'HORA MÁQUINA '!$C:$E,3,0)*(F17),IF($G$10='HORA MÁQUINA '!$I$2,VLOOKUP($E$8,'HORA MÁQUINA '!$J:$L,3,0)*(F17),IF($G$10='HORA MÁQUINA '!$P$2,VLOOKUP($E$8,'HORA MÁQUINA '!$Q:$S,3,0)*(F17)))))</f>
        <v/>
      </c>
      <c r="G25" s="102" t="str">
        <f aca="false">IF(B17="","",IF($G$10='HORA MÁQUINA '!$B$2,VLOOKUP($E$8,'HORA MÁQUINA '!$C:$E,3,0)*(F17),IF($G$10='HORA MÁQUINA '!$I$2,VLOOKUP($E$8,'HORA MÁQUINA '!$J:$L,3,0)*(F17),IF($G$10='HORA MÁQUINA '!$P$2,VLOOKUP($E$8,'HORA MÁQUINA '!$Q:$S,3,0)*(F17)))))</f>
        <v/>
      </c>
      <c r="H25" s="103" t="str">
        <f aca="false">IF(B17="","",IF(SUM(H17:I17)&lt;=30,$E$8*10,SUM(H17:I17)*TINTA!$C$3))</f>
        <v/>
      </c>
      <c r="I25" s="103" t="str">
        <f aca="false">IF(B25="","",VLOOKUP($G$8,ACABAMENTOS!$A:$B,2,0)*SUM(H17:J17))</f>
        <v/>
      </c>
      <c r="J25" s="83" t="str">
        <f aca="false">IF(G17="","",((((G17*$I$8)/$J$10)/1000)*ACABAMENTOS!$B$6))</f>
        <v/>
      </c>
      <c r="K25" s="83" t="str">
        <f aca="false">IF(C17="","",B17/$J$8*VLOOKUP($B$10,TUBETE!$B:$C,2,0))</f>
        <v/>
      </c>
      <c r="L25" s="83" t="str">
        <f aca="false">IF(M17="","",M17*7)</f>
        <v/>
      </c>
      <c r="M25" s="104" t="str">
        <f aca="false">IF(B25="","",SUM(C25:L25))</f>
        <v/>
      </c>
      <c r="N25" s="65"/>
      <c r="P25" s="32"/>
    </row>
    <row r="26" customFormat="false" ht="15" hidden="false" customHeight="true" outlineLevel="0" collapsed="false">
      <c r="A26" s="77"/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P26" s="32"/>
    </row>
    <row r="27" customFormat="false" ht="84" hidden="false" customHeight="true" outlineLevel="0" collapsed="false">
      <c r="A27" s="77"/>
      <c r="B27" s="105" t="s">
        <v>82</v>
      </c>
      <c r="C27" s="62" t="s">
        <v>83</v>
      </c>
      <c r="D27" s="62" t="s">
        <v>48</v>
      </c>
      <c r="E27" s="100" t="s">
        <v>84</v>
      </c>
      <c r="F27" s="65"/>
      <c r="G27" s="106" t="s">
        <v>5</v>
      </c>
      <c r="H27" s="106" t="s">
        <v>85</v>
      </c>
      <c r="I27" s="106" t="s">
        <v>9</v>
      </c>
      <c r="J27" s="106" t="s">
        <v>86</v>
      </c>
      <c r="K27" s="65"/>
      <c r="L27" s="107" t="str">
        <f aca="false">O12&amp;" - "&amp;A34</f>
        <v>MATRIZ  - Somente no 1º pedido</v>
      </c>
      <c r="P27" s="32"/>
    </row>
    <row r="28" customFormat="false" ht="28.5" hidden="false" customHeight="true" outlineLevel="0" collapsed="false">
      <c r="A28" s="77"/>
      <c r="B28" s="108" t="n">
        <v>0</v>
      </c>
      <c r="C28" s="83" t="n">
        <f aca="false">IF(B28="","",SUM(C21:L21)*B28/100)</f>
        <v>0</v>
      </c>
      <c r="D28" s="83" t="n">
        <f aca="false">IF(M21="","",SUM(C21:L21)*($H$10/100))</f>
        <v>73.7632</v>
      </c>
      <c r="E28" s="83" t="n">
        <f aca="false">IFERROR(SUM(M21+C28+D28),"")</f>
        <v>534.7832</v>
      </c>
      <c r="F28" s="109"/>
      <c r="G28" s="110" t="n">
        <f aca="false">IF(M21="","",B13)</f>
        <v>10000</v>
      </c>
      <c r="H28" s="110" t="n">
        <f aca="false">IFERROR(CEILING(E28,10),"")</f>
        <v>540</v>
      </c>
      <c r="I28" s="110" t="n">
        <f aca="false">IF(I10="NÃO","",CEILING($O$13,1))</f>
        <v>91</v>
      </c>
      <c r="J28" s="110" t="n">
        <f aca="false">IF(H28="","",SUM(H28:I28))</f>
        <v>631</v>
      </c>
      <c r="K28" s="65"/>
      <c r="L28" s="111" t="n">
        <f aca="false">IF(O13="","",CEILING(O13,1))</f>
        <v>91</v>
      </c>
      <c r="M28" s="65"/>
      <c r="P28" s="32"/>
    </row>
    <row r="29" customFormat="false" ht="24" hidden="false" customHeight="true" outlineLevel="0" collapsed="false">
      <c r="A29" s="77"/>
      <c r="B29" s="108" t="n">
        <v>0</v>
      </c>
      <c r="C29" s="83" t="n">
        <f aca="false">IF(B29="","",SUM(C22:L22)*B29/100)</f>
        <v>0</v>
      </c>
      <c r="D29" s="83" t="str">
        <f aca="false">IF(M22="","",SUM(C22:L22)*($H$10/100))</f>
        <v/>
      </c>
      <c r="E29" s="83" t="str">
        <f aca="false">IFERROR(SUM(M22+C29+D29),"")</f>
        <v/>
      </c>
      <c r="F29" s="109"/>
      <c r="G29" s="110" t="str">
        <f aca="false">IF(M22="","",B14)</f>
        <v/>
      </c>
      <c r="H29" s="110" t="str">
        <f aca="false">IFERROR(CEILING(E29,10),"")</f>
        <v/>
      </c>
      <c r="I29" s="110" t="str">
        <f aca="false">IF(B14="","",CEILING($O$13,1))</f>
        <v/>
      </c>
      <c r="J29" s="110" t="str">
        <f aca="false">IF(H29="","",SUM(H29:I29))</f>
        <v/>
      </c>
      <c r="K29" s="65"/>
      <c r="L29" s="65"/>
      <c r="M29" s="65"/>
      <c r="P29" s="32"/>
    </row>
    <row r="30" customFormat="false" ht="24" hidden="false" customHeight="true" outlineLevel="0" collapsed="false">
      <c r="A30" s="77"/>
      <c r="B30" s="108" t="n">
        <v>0</v>
      </c>
      <c r="C30" s="83" t="n">
        <f aca="false">IF(B30="","",SUM(C23:L23)*B30/100)</f>
        <v>0</v>
      </c>
      <c r="D30" s="83" t="str">
        <f aca="false">IF(M23="","",SUM(C23:L23)*($H$10/100))</f>
        <v/>
      </c>
      <c r="E30" s="83" t="str">
        <f aca="false">IFERROR(SUM(M23+C30+D30),"")</f>
        <v/>
      </c>
      <c r="F30" s="109"/>
      <c r="G30" s="110" t="str">
        <f aca="false">IF(M23="","",B15)</f>
        <v/>
      </c>
      <c r="H30" s="110" t="str">
        <f aca="false">IFERROR(CEILING(E30,10),"")</f>
        <v/>
      </c>
      <c r="I30" s="110" t="str">
        <f aca="false">IF(B15="","",CEILING($O$13,1))</f>
        <v/>
      </c>
      <c r="J30" s="110" t="str">
        <f aca="false">IF(H30="","",SUM(H30:I30))</f>
        <v/>
      </c>
      <c r="K30" s="65"/>
      <c r="L30" s="65"/>
      <c r="M30" s="65"/>
      <c r="P30" s="32"/>
    </row>
    <row r="31" customFormat="false" ht="24" hidden="false" customHeight="true" outlineLevel="0" collapsed="false">
      <c r="A31" s="77"/>
      <c r="B31" s="108" t="n">
        <v>0</v>
      </c>
      <c r="C31" s="83" t="n">
        <f aca="false">IF(B31="","",SUM(C24:L24)*B31/100)</f>
        <v>0</v>
      </c>
      <c r="D31" s="83" t="str">
        <f aca="false">IF(M24="","",SUM(C24:L24)*($H$10/100))</f>
        <v/>
      </c>
      <c r="E31" s="83" t="str">
        <f aca="false">IFERROR(SUM(M24+C31+D31),"")</f>
        <v/>
      </c>
      <c r="F31" s="109"/>
      <c r="G31" s="110" t="str">
        <f aca="false">IF(M24="","",B16)</f>
        <v/>
      </c>
      <c r="H31" s="110" t="str">
        <f aca="false">IFERROR(CEILING(E31,10),"")</f>
        <v/>
      </c>
      <c r="I31" s="110" t="str">
        <f aca="false">IF(B16="","",CEILING($O$13,1))</f>
        <v/>
      </c>
      <c r="J31" s="110" t="str">
        <f aca="false">IF(H31="","",SUM(H31:I31))</f>
        <v/>
      </c>
      <c r="K31" s="65"/>
      <c r="L31" s="65"/>
      <c r="M31" s="65"/>
      <c r="P31" s="32"/>
    </row>
    <row r="32" customFormat="false" ht="28.5" hidden="false" customHeight="true" outlineLevel="0" collapsed="false">
      <c r="A32" s="77"/>
      <c r="B32" s="112"/>
      <c r="C32" s="113" t="str">
        <f aca="false">IF(B32="","",SUM(C25:L25)*B32/100)</f>
        <v/>
      </c>
      <c r="D32" s="113" t="str">
        <f aca="false">IF(M25="","",SUM(C25:L25)*($H$10/100))</f>
        <v/>
      </c>
      <c r="E32" s="113" t="str">
        <f aca="false">IFERROR(SUM(M25+C32+D32),"")</f>
        <v/>
      </c>
      <c r="F32" s="65"/>
      <c r="G32" s="114" t="str">
        <f aca="false">IF(M25="","",B17)</f>
        <v/>
      </c>
      <c r="H32" s="115" t="str">
        <f aca="false">IFERROR(CEILING(E32,10),"")</f>
        <v/>
      </c>
      <c r="I32" s="115" t="str">
        <f aca="false">IF(B17="","",CEILING($O$13,1))</f>
        <v/>
      </c>
      <c r="J32" s="115" t="str">
        <f aca="false">IF(H32="","",SUM(H32:I32))</f>
        <v/>
      </c>
      <c r="K32" s="65"/>
      <c r="L32" s="65"/>
      <c r="M32" s="65"/>
      <c r="P32" s="32"/>
    </row>
    <row r="33" customFormat="false" ht="15" hidden="false" customHeight="true" outlineLevel="0" collapsed="false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</row>
    <row r="34" customFormat="false" ht="24" hidden="true" customHeight="true" outlineLevel="0" collapsed="false">
      <c r="A34" s="116" t="s">
        <v>87</v>
      </c>
      <c r="B34" s="65"/>
      <c r="C34" s="65"/>
      <c r="D34" s="65"/>
      <c r="E34" s="65"/>
      <c r="F34" s="65"/>
      <c r="I34" s="65"/>
      <c r="J34" s="65"/>
      <c r="K34" s="65"/>
      <c r="L34" s="65"/>
      <c r="M34" s="65"/>
      <c r="N34" s="65"/>
    </row>
  </sheetData>
  <mergeCells count="5">
    <mergeCell ref="A1:B2"/>
    <mergeCell ref="E4:G4"/>
    <mergeCell ref="F5:G5"/>
    <mergeCell ref="A7:A10"/>
    <mergeCell ref="A12:A32"/>
  </mergeCells>
  <conditionalFormatting sqref="K17 L13:L16">
    <cfRule type="cellIs" priority="2" operator="equal" aboveAverage="0" equalAverage="0" bottom="0" percent="0" rank="0" text="" dxfId="2">
      <formula>0</formula>
    </cfRule>
  </conditionalFormatting>
  <conditionalFormatting sqref="C14:C17">
    <cfRule type="cellIs" priority="3" operator="equal" aboveAverage="0" equalAverage="0" bottom="0" percent="0" rank="0" text="" dxfId="2">
      <formula>0</formula>
    </cfRule>
    <cfRule type="cellIs" priority="4" operator="equal" aboveAverage="0" equalAverage="0" bottom="0" percent="0" rank="0" text="" dxfId="2">
      <formula>0</formula>
    </cfRule>
    <cfRule type="cellIs" priority="5" operator="equal" aboveAverage="0" equalAverage="0" bottom="0" percent="0" rank="0" text="" dxfId="2">
      <formula>1</formula>
    </cfRule>
  </conditionalFormatting>
  <conditionalFormatting sqref="D28:D32">
    <cfRule type="cellIs" priority="6" operator="greaterThan" aboveAverage="0" equalAverage="0" bottom="0" percent="0" rank="0" text="" dxfId="3">
      <formula>0</formula>
    </cfRule>
    <cfRule type="cellIs" priority="7" operator="equal" aboveAverage="0" equalAverage="0" bottom="0" percent="0" rank="0" text="" dxfId="4">
      <formula>0</formula>
    </cfRule>
  </conditionalFormatting>
  <dataValidations count="11">
    <dataValidation allowBlank="true" errorStyle="stop" operator="between" showDropDown="false" showErrorMessage="true" showInputMessage="true" sqref="C13" type="list">
      <formula1>'HORA PARADA'!$A$2:$A$9</formula1>
      <formula2>0</formula2>
    </dataValidation>
    <dataValidation allowBlank="true" errorStyle="stop" operator="between" showDropDown="false" showErrorMessage="true" showInputMessage="true" sqref="F8:F9" type="list">
      <formula1>PAPEL!$A$2:$A$15</formula1>
      <formula2>0</formula2>
    </dataValidation>
    <dataValidation allowBlank="true" errorStyle="stop" operator="between" showDropDown="false" showErrorMessage="true" showInputMessage="true" sqref="G8:G9" type="list">
      <formula1>ACABAMENTOS!$A$2:$A$8</formula1>
      <formula2>0</formula2>
    </dataValidation>
    <dataValidation allowBlank="true" errorStyle="stop" operator="between" showDropDown="false" showErrorMessage="true" showInputMessage="true" sqref="B28:B32" type="list">
      <formula1>COMISSÃO!$A$1:$A$17</formula1>
      <formula2>0</formula2>
    </dataValidation>
    <dataValidation allowBlank="true" errorStyle="stop" operator="between" showDropDown="false" showErrorMessage="true" showInputMessage="true" sqref="B10" type="list">
      <formula1>TUBETE!$B$2:$B$4</formula1>
      <formula2>0</formula2>
    </dataValidation>
    <dataValidation allowBlank="true" errorStyle="stop" operator="between" showDropDown="false" showErrorMessage="true" showInputMessage="true" sqref="G10" type="list">
      <formula1>MÁQUINA!$B$1:$B$4</formula1>
      <formula2>0</formula2>
    </dataValidation>
    <dataValidation allowBlank="true" errorStyle="stop" operator="between" showDropDown="false" showErrorMessage="true" showInputMessage="true" sqref="F10" type="list">
      <formula1>MÁQUINA!$A$1:$A$7</formula1>
      <formula2>0</formula2>
    </dataValidation>
    <dataValidation allowBlank="true" errorStyle="stop" operator="between" showDropDown="false" showErrorMessage="true" showInputMessage="true" sqref="I10" type="list">
      <formula1>'MATRIZ '!$F$1:$F$3</formula1>
      <formula2>0</formula2>
    </dataValidation>
    <dataValidation allowBlank="true" errorStyle="stop" operator="between" showDropDown="false" showErrorMessage="true" showInputMessage="true" sqref="H10" type="list">
      <formula1>IMPOSTO!$A$2:$A$20</formula1>
      <formula2>0</formula2>
    </dataValidation>
    <dataValidation allowBlank="true" errorStyle="stop" operator="between" showDropDown="false" showErrorMessage="true" showInputMessage="true" sqref="E7" type="list">
      <formula1>'PERDA DE PAPEL'!$A$1:$A$11</formula1>
      <formula2>0</formula2>
    </dataValidation>
    <dataValidation allowBlank="true" errorStyle="stop" operator="between" showDropDown="false" showErrorMessage="true" showInputMessage="true" sqref="E8" type="list">
      <formula1>'PERDA DE PAPEL'!$A$2:$A$11</formula1>
      <formula2>0</formula2>
    </dataValidation>
  </dataValidations>
  <printOptions headings="false" gridLines="false" gridLinesSet="true" horizontalCentered="false" verticalCentered="false"/>
  <pageMargins left="0.25" right="0.25" top="0.75" bottom="0.75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492"/>
  <sheetViews>
    <sheetView showFormulas="false" showGridLines="true" showRowColHeaders="true" showZeros="true" rightToLeft="false" tabSelected="false" showOutlineSymbols="true" defaultGridColor="true" view="normal" topLeftCell="A476" colorId="64" zoomScale="100" zoomScaleNormal="100" zoomScalePageLayoutView="100" workbookViewId="0">
      <selection pane="topLeft" activeCell="D491" activeCellId="0" sqref="D491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13.11"/>
    <col collapsed="false" customWidth="true" hidden="false" outlineLevel="0" max="2" min="2" style="1" width="23.67"/>
    <col collapsed="false" customWidth="true" hidden="false" outlineLevel="0" max="3" min="3" style="1" width="14.67"/>
    <col collapsed="false" customWidth="true" hidden="false" outlineLevel="0" max="4" min="4" style="1" width="11.67"/>
    <col collapsed="false" customWidth="true" hidden="false" outlineLevel="0" max="5" min="5" style="1" width="6"/>
    <col collapsed="false" customWidth="true" hidden="false" outlineLevel="0" max="6" min="6" style="1" width="20"/>
    <col collapsed="false" customWidth="true" hidden="false" outlineLevel="0" max="7" min="7" style="1" width="12.33"/>
    <col collapsed="false" customWidth="true" hidden="false" outlineLevel="0" max="8" min="8" style="1" width="12"/>
    <col collapsed="false" customWidth="true" hidden="false" outlineLevel="0" max="9" min="9" style="1" width="11.33"/>
    <col collapsed="false" customWidth="true" hidden="false" outlineLevel="0" max="10" min="10" style="1" width="12"/>
    <col collapsed="false" customWidth="true" hidden="false" outlineLevel="0" max="11" min="11" style="1" width="5.66"/>
    <col collapsed="false" customWidth="true" hidden="false" outlineLevel="0" max="12" min="12" style="1" width="6.56"/>
    <col collapsed="false" customWidth="true" hidden="false" outlineLevel="0" max="13" min="13" style="1" width="28.33"/>
    <col collapsed="false" customWidth="true" hidden="false" outlineLevel="0" max="14" min="14" style="1" width="24.33"/>
    <col collapsed="false" customWidth="true" hidden="false" outlineLevel="0" max="15" min="15" style="1" width="11.67"/>
    <col collapsed="false" customWidth="true" hidden="false" outlineLevel="0" max="16" min="16" style="1" width="30"/>
    <col collapsed="false" customWidth="true" hidden="false" outlineLevel="0" max="17" min="17" style="1" width="32"/>
    <col collapsed="false" customWidth="true" hidden="false" outlineLevel="0" max="18" min="18" style="1" width="12.45"/>
    <col collapsed="false" customWidth="true" hidden="false" outlineLevel="0" max="19" min="19" style="1" width="11.33"/>
    <col collapsed="false" customWidth="true" hidden="false" outlineLevel="0" max="20" min="20" style="1" width="10.67"/>
    <col collapsed="false" customWidth="true" hidden="false" outlineLevel="0" max="21" min="21" style="1" width="20"/>
    <col collapsed="false" customWidth="true" hidden="false" outlineLevel="0" max="22" min="22" style="1" width="10.67"/>
    <col collapsed="false" customWidth="true" hidden="false" outlineLevel="0" max="23" min="23" style="1" width="12"/>
    <col collapsed="false" customWidth="true" hidden="false" outlineLevel="0" max="24" min="24" style="1" width="10.67"/>
    <col collapsed="false" customWidth="true" hidden="false" outlineLevel="0" max="25" min="25" style="1" width="12"/>
    <col collapsed="false" customWidth="true" hidden="false" outlineLevel="0" max="27" min="26" style="1" width="11.67"/>
    <col collapsed="false" customWidth="true" hidden="false" outlineLevel="0" max="28" min="28" style="1" width="28.33"/>
    <col collapsed="false" customWidth="true" hidden="false" outlineLevel="0" max="29" min="29" style="1" width="24.33"/>
    <col collapsed="false" customWidth="true" hidden="false" outlineLevel="0" max="30" min="30" style="1" width="11.67"/>
    <col collapsed="false" customWidth="true" hidden="false" outlineLevel="0" max="31" min="31" style="1" width="30.34"/>
  </cols>
  <sheetData>
    <row r="1" customFormat="false" ht="14.25" hidden="false" customHeight="true" outlineLevel="0" collapsed="false">
      <c r="A1" s="117" t="s">
        <v>16</v>
      </c>
      <c r="B1" s="117" t="s">
        <v>88</v>
      </c>
      <c r="C1" s="117" t="s">
        <v>89</v>
      </c>
      <c r="D1" s="117" t="s">
        <v>90</v>
      </c>
      <c r="E1" s="117" t="s">
        <v>19</v>
      </c>
      <c r="F1" s="117" t="s">
        <v>17</v>
      </c>
      <c r="G1" s="117" t="s">
        <v>14</v>
      </c>
      <c r="H1" s="117" t="s">
        <v>18</v>
      </c>
      <c r="I1" s="117" t="s">
        <v>91</v>
      </c>
      <c r="J1" s="117" t="s">
        <v>20</v>
      </c>
      <c r="K1" s="117" t="s">
        <v>92</v>
      </c>
      <c r="L1" s="117" t="s">
        <v>93</v>
      </c>
      <c r="M1" s="117" t="s">
        <v>94</v>
      </c>
      <c r="N1" s="117" t="s">
        <v>95</v>
      </c>
      <c r="O1" s="117" t="s">
        <v>96</v>
      </c>
      <c r="P1" s="117" t="s">
        <v>97</v>
      </c>
    </row>
    <row r="2" customFormat="false" ht="14.25" hidden="true" customHeight="true" outlineLevel="0" collapsed="false">
      <c r="A2" s="1" t="s">
        <v>98</v>
      </c>
      <c r="B2" s="1" t="s">
        <v>88</v>
      </c>
      <c r="C2" s="1" t="s">
        <v>89</v>
      </c>
      <c r="D2" s="1" t="s">
        <v>90</v>
      </c>
      <c r="E2" s="1" t="s">
        <v>19</v>
      </c>
      <c r="F2" s="1" t="s">
        <v>17</v>
      </c>
      <c r="G2" s="1" t="s">
        <v>14</v>
      </c>
      <c r="H2" s="1" t="s">
        <v>18</v>
      </c>
      <c r="I2" s="1" t="s">
        <v>91</v>
      </c>
      <c r="J2" s="1" t="s">
        <v>20</v>
      </c>
      <c r="K2" s="1" t="s">
        <v>92</v>
      </c>
      <c r="L2" s="1" t="s">
        <v>93</v>
      </c>
      <c r="M2" s="1" t="s">
        <v>94</v>
      </c>
      <c r="N2" s="1" t="s">
        <v>95</v>
      </c>
    </row>
    <row r="3" customFormat="false" ht="14.25" hidden="true" customHeight="true" outlineLevel="0" collapsed="false">
      <c r="A3" s="1" t="s">
        <v>98</v>
      </c>
      <c r="B3" s="1" t="s">
        <v>99</v>
      </c>
      <c r="C3" s="1" t="s">
        <v>100</v>
      </c>
      <c r="D3" s="1" t="n">
        <v>17</v>
      </c>
      <c r="E3" s="1" t="n">
        <v>43</v>
      </c>
      <c r="F3" s="1" t="s">
        <v>101</v>
      </c>
      <c r="G3" s="1" t="n">
        <v>0.9</v>
      </c>
      <c r="H3" s="1" t="n">
        <v>0.9</v>
      </c>
      <c r="I3" s="1" t="n">
        <v>3.3</v>
      </c>
      <c r="J3" s="1" t="n">
        <v>15.0093888888889</v>
      </c>
      <c r="K3" s="1" t="n">
        <v>3</v>
      </c>
      <c r="L3" s="1" t="s">
        <v>102</v>
      </c>
    </row>
    <row r="4" customFormat="false" ht="14.25" hidden="true" customHeight="true" outlineLevel="0" collapsed="false">
      <c r="A4" s="1" t="s">
        <v>98</v>
      </c>
      <c r="B4" s="1" t="s">
        <v>103</v>
      </c>
      <c r="C4" s="1" t="s">
        <v>104</v>
      </c>
      <c r="D4" s="1" t="n">
        <v>1</v>
      </c>
      <c r="E4" s="1" t="n">
        <v>40</v>
      </c>
      <c r="F4" s="1" t="s">
        <v>101</v>
      </c>
      <c r="G4" s="1" t="n">
        <v>1.25</v>
      </c>
      <c r="H4" s="1" t="n">
        <v>1.25</v>
      </c>
      <c r="I4" s="1" t="n">
        <v>11</v>
      </c>
      <c r="J4" s="1" t="n">
        <v>10</v>
      </c>
      <c r="K4" s="1" t="n">
        <v>3</v>
      </c>
      <c r="L4" s="1" t="s">
        <v>102</v>
      </c>
      <c r="M4" s="1" t="s">
        <v>105</v>
      </c>
    </row>
    <row r="5" customFormat="false" ht="14.25" hidden="true" customHeight="true" outlineLevel="0" collapsed="false">
      <c r="A5" s="1" t="s">
        <v>98</v>
      </c>
      <c r="C5" s="1" t="s">
        <v>106</v>
      </c>
      <c r="D5" s="1" t="n">
        <v>2</v>
      </c>
      <c r="E5" s="1" t="n">
        <v>42</v>
      </c>
      <c r="F5" s="1" t="s">
        <v>101</v>
      </c>
      <c r="G5" s="1" t="n">
        <v>1.7</v>
      </c>
      <c r="H5" s="1" t="n">
        <v>1.7</v>
      </c>
      <c r="I5" s="1" t="n">
        <v>8</v>
      </c>
      <c r="J5" s="1" t="n">
        <v>8</v>
      </c>
      <c r="K5" s="1" t="n">
        <v>3</v>
      </c>
      <c r="L5" s="1" t="s">
        <v>102</v>
      </c>
      <c r="M5" s="1" t="s">
        <v>107</v>
      </c>
    </row>
    <row r="6" customFormat="false" ht="14.25" hidden="true" customHeight="true" outlineLevel="0" collapsed="false">
      <c r="A6" s="1" t="s">
        <v>98</v>
      </c>
      <c r="C6" s="1" t="s">
        <v>108</v>
      </c>
      <c r="D6" s="1" t="n">
        <v>3</v>
      </c>
      <c r="E6" s="1" t="n">
        <v>57</v>
      </c>
      <c r="F6" s="1" t="s">
        <v>101</v>
      </c>
      <c r="G6" s="1" t="n">
        <v>3</v>
      </c>
      <c r="H6" s="1" t="n">
        <v>3</v>
      </c>
      <c r="I6" s="1" t="n">
        <v>11</v>
      </c>
      <c r="J6" s="1" t="n">
        <v>6</v>
      </c>
      <c r="K6" s="1" t="n">
        <v>3</v>
      </c>
      <c r="L6" s="1" t="s">
        <v>102</v>
      </c>
      <c r="M6" s="1" t="s">
        <v>109</v>
      </c>
    </row>
    <row r="7" customFormat="false" ht="14.25" hidden="true" customHeight="true" outlineLevel="0" collapsed="false">
      <c r="A7" s="1" t="s">
        <v>98</v>
      </c>
      <c r="C7" s="1" t="s">
        <v>106</v>
      </c>
      <c r="D7" s="1" t="n">
        <v>4</v>
      </c>
      <c r="E7" s="1" t="n">
        <v>57</v>
      </c>
      <c r="F7" s="1" t="s">
        <v>101</v>
      </c>
      <c r="G7" s="1" t="n">
        <v>3</v>
      </c>
      <c r="H7" s="1" t="n">
        <v>3</v>
      </c>
      <c r="I7" s="1" t="n">
        <v>10.5</v>
      </c>
      <c r="J7" s="1" t="n">
        <v>6</v>
      </c>
      <c r="K7" s="1" t="n">
        <v>3</v>
      </c>
      <c r="L7" s="1" t="s">
        <v>102</v>
      </c>
      <c r="M7" s="1" t="s">
        <v>109</v>
      </c>
    </row>
    <row r="8" customFormat="false" ht="14.25" hidden="true" customHeight="true" outlineLevel="0" collapsed="false">
      <c r="A8" s="1" t="s">
        <v>98</v>
      </c>
      <c r="C8" s="1" t="s">
        <v>106</v>
      </c>
      <c r="D8" s="1" t="n">
        <v>5</v>
      </c>
      <c r="E8" s="1" t="n">
        <v>52</v>
      </c>
      <c r="F8" s="1" t="s">
        <v>101</v>
      </c>
      <c r="G8" s="1" t="n">
        <v>4</v>
      </c>
      <c r="H8" s="1" t="n">
        <v>4</v>
      </c>
      <c r="I8" s="1" t="n">
        <v>11</v>
      </c>
      <c r="J8" s="1" t="n">
        <v>4</v>
      </c>
      <c r="K8" s="1" t="n">
        <v>3</v>
      </c>
      <c r="L8" s="1" t="s">
        <v>102</v>
      </c>
    </row>
    <row r="9" customFormat="false" ht="14.25" hidden="true" customHeight="true" outlineLevel="0" collapsed="false">
      <c r="A9" s="1" t="s">
        <v>98</v>
      </c>
      <c r="C9" s="1" t="s">
        <v>106</v>
      </c>
      <c r="D9" s="1" t="n">
        <v>6</v>
      </c>
      <c r="E9" s="1" t="n">
        <v>42</v>
      </c>
      <c r="F9" s="1" t="s">
        <v>101</v>
      </c>
      <c r="G9" s="1" t="n">
        <v>4.4</v>
      </c>
      <c r="H9" s="1" t="n">
        <v>4.4</v>
      </c>
      <c r="I9" s="1" t="n">
        <v>11</v>
      </c>
      <c r="J9" s="1" t="n">
        <v>3</v>
      </c>
      <c r="K9" s="1" t="n">
        <v>3</v>
      </c>
      <c r="L9" s="1" t="s">
        <v>102</v>
      </c>
    </row>
    <row r="10" customFormat="false" ht="14.25" hidden="true" customHeight="true" outlineLevel="0" collapsed="false">
      <c r="A10" s="1" t="s">
        <v>98</v>
      </c>
      <c r="C10" s="1" t="s">
        <v>106</v>
      </c>
      <c r="D10" s="1" t="n">
        <v>7</v>
      </c>
      <c r="E10" s="1" t="n">
        <v>48</v>
      </c>
      <c r="F10" s="1" t="s">
        <v>101</v>
      </c>
      <c r="G10" s="1" t="n">
        <v>5</v>
      </c>
      <c r="H10" s="1" t="n">
        <v>5</v>
      </c>
      <c r="I10" s="1" t="n">
        <v>11</v>
      </c>
      <c r="J10" s="1" t="n">
        <v>3</v>
      </c>
      <c r="K10" s="1" t="n">
        <v>3</v>
      </c>
      <c r="L10" s="1" t="s">
        <v>102</v>
      </c>
      <c r="N10" s="1" t="s">
        <v>110</v>
      </c>
    </row>
    <row r="11" customFormat="false" ht="14.25" hidden="true" customHeight="true" outlineLevel="0" collapsed="false">
      <c r="A11" s="1" t="s">
        <v>98</v>
      </c>
      <c r="C11" s="1" t="s">
        <v>111</v>
      </c>
      <c r="D11" s="1" t="n">
        <v>16</v>
      </c>
      <c r="E11" s="1" t="n">
        <v>48</v>
      </c>
      <c r="F11" s="1" t="s">
        <v>101</v>
      </c>
      <c r="G11" s="1" t="n">
        <v>5</v>
      </c>
      <c r="H11" s="1" t="n">
        <v>5</v>
      </c>
      <c r="I11" s="1" t="n">
        <v>13</v>
      </c>
      <c r="J11" s="1" t="n">
        <v>3.01584</v>
      </c>
      <c r="K11" s="1" t="n">
        <v>3</v>
      </c>
      <c r="L11" s="1" t="s">
        <v>102</v>
      </c>
    </row>
    <row r="12" customFormat="false" ht="14.25" hidden="true" customHeight="true" outlineLevel="0" collapsed="false">
      <c r="A12" s="1" t="s">
        <v>98</v>
      </c>
      <c r="C12" s="1" t="s">
        <v>106</v>
      </c>
      <c r="D12" s="1" t="n">
        <v>8</v>
      </c>
      <c r="E12" s="1" t="n">
        <v>57</v>
      </c>
      <c r="F12" s="1" t="s">
        <v>101</v>
      </c>
      <c r="G12" s="1" t="n">
        <v>6</v>
      </c>
      <c r="H12" s="1" t="n">
        <v>6</v>
      </c>
      <c r="I12" s="1" t="n">
        <v>11</v>
      </c>
      <c r="J12" s="1" t="n">
        <v>3</v>
      </c>
      <c r="K12" s="1" t="n">
        <v>3</v>
      </c>
      <c r="L12" s="1" t="s">
        <v>102</v>
      </c>
    </row>
    <row r="13" customFormat="false" ht="14.25" hidden="true" customHeight="true" outlineLevel="0" collapsed="false">
      <c r="A13" s="1" t="s">
        <v>98</v>
      </c>
      <c r="C13" s="1" t="s">
        <v>106</v>
      </c>
      <c r="D13" s="1" t="n">
        <v>9</v>
      </c>
      <c r="E13" s="1" t="n">
        <v>57</v>
      </c>
      <c r="F13" s="1" t="s">
        <v>101</v>
      </c>
      <c r="G13" s="1" t="n">
        <v>6</v>
      </c>
      <c r="H13" s="1" t="n">
        <v>6</v>
      </c>
      <c r="I13" s="1" t="n">
        <v>11</v>
      </c>
      <c r="J13" s="1" t="n">
        <v>3</v>
      </c>
      <c r="K13" s="1" t="n">
        <v>3</v>
      </c>
      <c r="L13" s="1" t="s">
        <v>102</v>
      </c>
      <c r="N13" s="1" t="s">
        <v>112</v>
      </c>
    </row>
    <row r="14" customFormat="false" ht="14.25" hidden="true" customHeight="true" outlineLevel="0" collapsed="false">
      <c r="A14" s="1" t="s">
        <v>98</v>
      </c>
      <c r="C14" s="1" t="s">
        <v>106</v>
      </c>
      <c r="D14" s="1" t="n">
        <v>10</v>
      </c>
      <c r="E14" s="1" t="n">
        <v>70</v>
      </c>
      <c r="F14" s="1" t="s">
        <v>101</v>
      </c>
      <c r="G14" s="1" t="n">
        <v>7.4</v>
      </c>
      <c r="H14" s="1" t="n">
        <v>7.4</v>
      </c>
      <c r="I14" s="1" t="n">
        <v>10.5</v>
      </c>
      <c r="J14" s="1" t="n">
        <v>3</v>
      </c>
      <c r="K14" s="1" t="n">
        <v>3</v>
      </c>
      <c r="L14" s="1" t="s">
        <v>102</v>
      </c>
      <c r="N14" s="1" t="s">
        <v>110</v>
      </c>
    </row>
    <row r="15" customFormat="false" ht="14.25" hidden="true" customHeight="true" outlineLevel="0" collapsed="false">
      <c r="A15" s="1" t="s">
        <v>98</v>
      </c>
      <c r="C15" s="1" t="s">
        <v>106</v>
      </c>
      <c r="D15" s="1" t="n">
        <v>15</v>
      </c>
      <c r="E15" s="1" t="n">
        <v>70</v>
      </c>
      <c r="F15" s="1" t="s">
        <v>101</v>
      </c>
      <c r="G15" s="1" t="n">
        <v>7.4</v>
      </c>
      <c r="H15" s="1" t="n">
        <v>7.4</v>
      </c>
      <c r="I15" s="1" t="n">
        <v>12</v>
      </c>
      <c r="J15" s="1" t="n">
        <v>2.97168918918919</v>
      </c>
      <c r="K15" s="1" t="n">
        <v>3</v>
      </c>
      <c r="L15" s="1" t="s">
        <v>102</v>
      </c>
    </row>
    <row r="16" customFormat="false" ht="14.25" hidden="true" customHeight="true" outlineLevel="0" collapsed="false">
      <c r="A16" s="1" t="s">
        <v>98</v>
      </c>
      <c r="C16" s="1" t="s">
        <v>106</v>
      </c>
      <c r="D16" s="1" t="n">
        <v>11</v>
      </c>
      <c r="E16" s="1" t="n">
        <v>52</v>
      </c>
      <c r="F16" s="1" t="s">
        <v>101</v>
      </c>
      <c r="G16" s="1" t="n">
        <v>8</v>
      </c>
      <c r="H16" s="1" t="n">
        <v>8</v>
      </c>
      <c r="I16" s="1" t="n">
        <v>11</v>
      </c>
      <c r="J16" s="1" t="n">
        <v>2</v>
      </c>
      <c r="K16" s="1" t="n">
        <v>3</v>
      </c>
      <c r="L16" s="1" t="s">
        <v>102</v>
      </c>
    </row>
    <row r="17" customFormat="false" ht="14.25" hidden="true" customHeight="true" outlineLevel="0" collapsed="false">
      <c r="A17" s="1" t="s">
        <v>98</v>
      </c>
      <c r="C17" s="1" t="s">
        <v>106</v>
      </c>
      <c r="D17" s="1" t="n">
        <v>12</v>
      </c>
      <c r="E17" s="1" t="n">
        <v>67</v>
      </c>
      <c r="F17" s="1" t="s">
        <v>101</v>
      </c>
      <c r="G17" s="1" t="n">
        <v>10.5</v>
      </c>
      <c r="H17" s="1" t="n">
        <v>10.5</v>
      </c>
      <c r="I17" s="1" t="n">
        <v>11</v>
      </c>
      <c r="J17" s="1" t="n">
        <v>2</v>
      </c>
      <c r="K17" s="1" t="n">
        <v>3</v>
      </c>
      <c r="L17" s="1" t="s">
        <v>102</v>
      </c>
      <c r="M17" s="1" t="s">
        <v>113</v>
      </c>
    </row>
    <row r="18" customFormat="false" ht="14.25" hidden="true" customHeight="true" outlineLevel="0" collapsed="false">
      <c r="A18" s="1" t="s">
        <v>98</v>
      </c>
      <c r="C18" s="1" t="s">
        <v>106</v>
      </c>
      <c r="D18" s="1" t="n">
        <v>13</v>
      </c>
      <c r="E18" s="1" t="n">
        <v>48</v>
      </c>
      <c r="F18" s="1" t="s">
        <v>101</v>
      </c>
      <c r="G18" s="1" t="n">
        <v>15</v>
      </c>
      <c r="H18" s="1" t="n">
        <v>15</v>
      </c>
      <c r="I18" s="1" t="n">
        <v>11</v>
      </c>
      <c r="J18" s="1" t="n">
        <v>1</v>
      </c>
      <c r="K18" s="1" t="n">
        <v>3</v>
      </c>
      <c r="L18" s="1" t="s">
        <v>102</v>
      </c>
      <c r="M18" s="1" t="s">
        <v>114</v>
      </c>
    </row>
    <row r="19" customFormat="false" ht="14.25" hidden="true" customHeight="true" outlineLevel="0" collapsed="false">
      <c r="A19" s="1" t="s">
        <v>98</v>
      </c>
      <c r="C19" s="1" t="s">
        <v>106</v>
      </c>
      <c r="D19" s="1" t="n">
        <v>14</v>
      </c>
      <c r="E19" s="1" t="n">
        <v>64</v>
      </c>
      <c r="F19" s="1" t="s">
        <v>101</v>
      </c>
      <c r="G19" s="1" t="n">
        <v>20.1</v>
      </c>
      <c r="H19" s="1" t="n">
        <v>20.1</v>
      </c>
      <c r="I19" s="1" t="n">
        <v>11</v>
      </c>
      <c r="J19" s="1" t="n">
        <v>1</v>
      </c>
      <c r="K19" s="1" t="n">
        <v>3</v>
      </c>
      <c r="L19" s="1" t="s">
        <v>102</v>
      </c>
      <c r="M19" s="1" t="s">
        <v>115</v>
      </c>
    </row>
    <row r="20" customFormat="false" ht="14.25" hidden="true" customHeight="true" outlineLevel="0" collapsed="false">
      <c r="A20" s="1" t="s">
        <v>98</v>
      </c>
    </row>
    <row r="21" customFormat="false" ht="14.25" hidden="true" customHeight="true" outlineLevel="0" collapsed="false">
      <c r="A21" s="1" t="s">
        <v>98</v>
      </c>
      <c r="C21" s="1" t="s">
        <v>104</v>
      </c>
      <c r="D21" s="1" t="n">
        <v>18</v>
      </c>
      <c r="E21" s="1" t="n">
        <v>40</v>
      </c>
      <c r="F21" s="1" t="s">
        <v>116</v>
      </c>
      <c r="G21" s="1" t="s">
        <v>117</v>
      </c>
      <c r="H21" s="1" t="n">
        <v>1.2</v>
      </c>
      <c r="I21" s="1" t="n">
        <v>5</v>
      </c>
      <c r="J21" s="1" t="n">
        <v>11</v>
      </c>
      <c r="K21" s="1" t="n">
        <v>3</v>
      </c>
      <c r="L21" s="1" t="n">
        <v>5</v>
      </c>
    </row>
    <row r="22" customFormat="false" ht="14.25" hidden="true" customHeight="true" outlineLevel="0" collapsed="false">
      <c r="A22" s="1" t="s">
        <v>98</v>
      </c>
      <c r="C22" s="1" t="s">
        <v>104</v>
      </c>
      <c r="D22" s="1" t="n">
        <v>25</v>
      </c>
      <c r="E22" s="1" t="n">
        <v>43</v>
      </c>
      <c r="F22" s="1" t="s">
        <v>116</v>
      </c>
      <c r="G22" s="1" t="s">
        <v>118</v>
      </c>
      <c r="H22" s="1" t="n">
        <v>2.3</v>
      </c>
      <c r="I22" s="1" t="n">
        <v>10</v>
      </c>
      <c r="J22" s="1" t="n">
        <v>6</v>
      </c>
      <c r="K22" s="1" t="n">
        <v>3</v>
      </c>
      <c r="L22" s="1" t="n">
        <v>4</v>
      </c>
      <c r="M22" s="1" t="s">
        <v>119</v>
      </c>
    </row>
    <row r="23" customFormat="false" ht="14.25" hidden="true" customHeight="true" outlineLevel="0" collapsed="false">
      <c r="A23" s="1" t="s">
        <v>98</v>
      </c>
      <c r="B23" s="1" t="s">
        <v>120</v>
      </c>
      <c r="C23" s="1" t="s">
        <v>108</v>
      </c>
      <c r="D23" s="1" t="n">
        <v>19</v>
      </c>
      <c r="E23" s="1" t="n">
        <v>57</v>
      </c>
      <c r="F23" s="1" t="s">
        <v>116</v>
      </c>
      <c r="G23" s="1" t="s">
        <v>121</v>
      </c>
      <c r="H23" s="1" t="n">
        <v>3.5</v>
      </c>
      <c r="I23" s="1" t="n">
        <v>4</v>
      </c>
      <c r="J23" s="1" t="n">
        <v>5</v>
      </c>
      <c r="K23" s="1" t="n">
        <v>3</v>
      </c>
      <c r="L23" s="1" t="n">
        <v>1</v>
      </c>
    </row>
    <row r="24" customFormat="false" ht="14.25" hidden="true" customHeight="true" outlineLevel="0" collapsed="false">
      <c r="A24" s="1" t="s">
        <v>98</v>
      </c>
      <c r="C24" s="1" t="s">
        <v>104</v>
      </c>
      <c r="D24" s="1" t="n">
        <v>20</v>
      </c>
      <c r="E24" s="1" t="n">
        <v>42</v>
      </c>
      <c r="F24" s="1" t="s">
        <v>116</v>
      </c>
      <c r="G24" s="1" t="s">
        <v>122</v>
      </c>
      <c r="H24" s="1" t="n">
        <v>4.5</v>
      </c>
      <c r="I24" s="1" t="n">
        <v>4.7</v>
      </c>
      <c r="J24" s="1" t="n">
        <v>3</v>
      </c>
      <c r="K24" s="1" t="n">
        <v>3</v>
      </c>
      <c r="L24" s="1" t="n">
        <v>1</v>
      </c>
      <c r="M24" s="1" t="s">
        <v>123</v>
      </c>
    </row>
    <row r="25" customFormat="false" ht="14.25" hidden="true" customHeight="true" outlineLevel="0" collapsed="false">
      <c r="A25" s="1" t="s">
        <v>98</v>
      </c>
      <c r="C25" s="1" t="s">
        <v>104</v>
      </c>
      <c r="D25" s="1" t="n">
        <v>21</v>
      </c>
      <c r="E25" s="1" t="n">
        <v>45</v>
      </c>
      <c r="F25" s="1" t="s">
        <v>116</v>
      </c>
      <c r="G25" s="1" t="s">
        <v>124</v>
      </c>
      <c r="H25" s="1" t="n">
        <v>4.8</v>
      </c>
      <c r="I25" s="1" t="n">
        <v>5</v>
      </c>
      <c r="J25" s="1" t="n">
        <v>3</v>
      </c>
      <c r="K25" s="1" t="n">
        <v>3</v>
      </c>
      <c r="L25" s="1" t="n">
        <v>1</v>
      </c>
      <c r="M25" s="1" t="s">
        <v>123</v>
      </c>
    </row>
    <row r="26" customFormat="false" ht="14.25" hidden="true" customHeight="true" outlineLevel="0" collapsed="false">
      <c r="A26" s="1" t="s">
        <v>98</v>
      </c>
      <c r="C26" s="1" t="s">
        <v>104</v>
      </c>
      <c r="D26" s="1" t="n">
        <v>22</v>
      </c>
      <c r="E26" s="1" t="n">
        <v>50</v>
      </c>
      <c r="F26" s="1" t="s">
        <v>116</v>
      </c>
      <c r="G26" s="1" t="s">
        <v>125</v>
      </c>
      <c r="H26" s="1" t="n">
        <v>5.3</v>
      </c>
      <c r="I26" s="1" t="n">
        <v>5.5</v>
      </c>
      <c r="J26" s="1" t="n">
        <v>3</v>
      </c>
      <c r="K26" s="1" t="n">
        <v>3</v>
      </c>
      <c r="L26" s="1" t="n">
        <v>1</v>
      </c>
      <c r="M26" s="1" t="s">
        <v>126</v>
      </c>
    </row>
    <row r="27" customFormat="false" ht="14.25" hidden="true" customHeight="true" outlineLevel="0" collapsed="false">
      <c r="A27" s="1" t="s">
        <v>98</v>
      </c>
      <c r="C27" s="1" t="s">
        <v>104</v>
      </c>
      <c r="D27" s="1" t="n">
        <v>23</v>
      </c>
      <c r="E27" s="1" t="n">
        <v>40</v>
      </c>
      <c r="F27" s="1" t="s">
        <v>116</v>
      </c>
      <c r="G27" s="1" t="s">
        <v>127</v>
      </c>
      <c r="H27" s="1" t="n">
        <v>6.3</v>
      </c>
      <c r="I27" s="1" t="n">
        <v>6.5</v>
      </c>
      <c r="J27" s="1" t="n">
        <v>3</v>
      </c>
      <c r="K27" s="1" t="n">
        <v>3</v>
      </c>
      <c r="L27" s="1" t="n">
        <v>1</v>
      </c>
      <c r="M27" s="1" t="s">
        <v>128</v>
      </c>
    </row>
    <row r="28" customFormat="false" ht="14.25" hidden="true" customHeight="true" outlineLevel="0" collapsed="false">
      <c r="A28" s="1" t="s">
        <v>98</v>
      </c>
      <c r="C28" s="1" t="s">
        <v>104</v>
      </c>
      <c r="D28" s="1" t="n">
        <v>24</v>
      </c>
      <c r="E28" s="1" t="n">
        <v>57</v>
      </c>
      <c r="F28" s="1" t="s">
        <v>116</v>
      </c>
      <c r="G28" s="1" t="s">
        <v>129</v>
      </c>
      <c r="H28" s="1" t="n">
        <v>9.3</v>
      </c>
      <c r="I28" s="1" t="n">
        <v>9.5</v>
      </c>
      <c r="J28" s="1" t="n">
        <v>11</v>
      </c>
      <c r="K28" s="1" t="n">
        <v>3</v>
      </c>
      <c r="L28" s="1" t="n">
        <v>1</v>
      </c>
      <c r="M28" s="1" t="s">
        <v>123</v>
      </c>
    </row>
    <row r="29" customFormat="false" ht="14.25" hidden="true" customHeight="true" outlineLevel="0" collapsed="false">
      <c r="A29" s="1" t="s">
        <v>98</v>
      </c>
    </row>
    <row r="30" customFormat="false" ht="14.25" hidden="true" customHeight="true" outlineLevel="0" collapsed="false">
      <c r="A30" s="1" t="s">
        <v>98</v>
      </c>
      <c r="B30" s="1" t="s">
        <v>130</v>
      </c>
      <c r="C30" s="1" t="s">
        <v>104</v>
      </c>
      <c r="D30" s="1" t="n">
        <v>26</v>
      </c>
      <c r="E30" s="1" t="n">
        <v>42</v>
      </c>
      <c r="F30" s="1" t="s">
        <v>131</v>
      </c>
      <c r="G30" s="1" t="s">
        <v>132</v>
      </c>
      <c r="H30" s="1" t="n">
        <v>2.63886</v>
      </c>
      <c r="I30" s="1" t="n">
        <v>3.5</v>
      </c>
      <c r="J30" s="1" t="n">
        <v>5</v>
      </c>
      <c r="K30" s="1" t="n">
        <v>3</v>
      </c>
      <c r="L30" s="1" t="n">
        <v>2</v>
      </c>
      <c r="M30" s="1" t="s">
        <v>133</v>
      </c>
    </row>
    <row r="31" customFormat="false" ht="14.25" hidden="true" customHeight="true" outlineLevel="0" collapsed="false">
      <c r="A31" s="1" t="s">
        <v>98</v>
      </c>
      <c r="B31" s="1" t="s">
        <v>134</v>
      </c>
      <c r="C31" s="1" t="s">
        <v>106</v>
      </c>
      <c r="D31" s="1" t="n">
        <v>29</v>
      </c>
      <c r="E31" s="1" t="n">
        <v>57</v>
      </c>
      <c r="F31" s="1" t="s">
        <v>131</v>
      </c>
      <c r="G31" s="1" t="s">
        <v>135</v>
      </c>
      <c r="H31" s="1" t="n">
        <v>2.984425</v>
      </c>
      <c r="I31" s="1" t="n">
        <v>5</v>
      </c>
      <c r="J31" s="1" t="n">
        <v>6</v>
      </c>
      <c r="K31" s="1" t="n">
        <v>3</v>
      </c>
      <c r="L31" s="1" t="n">
        <v>1</v>
      </c>
      <c r="M31" s="1" t="s">
        <v>136</v>
      </c>
    </row>
    <row r="32" customFormat="false" ht="14.25" hidden="true" customHeight="true" outlineLevel="0" collapsed="false">
      <c r="A32" s="1" t="s">
        <v>98</v>
      </c>
      <c r="B32" s="1" t="s">
        <v>137</v>
      </c>
      <c r="C32" s="1" t="s">
        <v>106</v>
      </c>
      <c r="D32" s="1" t="n">
        <v>26</v>
      </c>
      <c r="E32" s="1" t="n">
        <v>42</v>
      </c>
      <c r="F32" s="1" t="s">
        <v>131</v>
      </c>
      <c r="G32" s="1" t="s">
        <v>138</v>
      </c>
      <c r="H32" s="1" t="n">
        <v>3.298575</v>
      </c>
      <c r="I32" s="1" t="n">
        <v>2.5</v>
      </c>
      <c r="J32" s="1" t="n">
        <v>4</v>
      </c>
      <c r="K32" s="1" t="n">
        <v>3</v>
      </c>
      <c r="L32" s="1" t="n">
        <v>1</v>
      </c>
    </row>
    <row r="33" customFormat="false" ht="14.25" hidden="true" customHeight="true" outlineLevel="0" collapsed="false">
      <c r="A33" s="1" t="s">
        <v>98</v>
      </c>
      <c r="B33" s="1" t="s">
        <v>139</v>
      </c>
      <c r="C33" s="1" t="s">
        <v>106</v>
      </c>
      <c r="D33" s="1" t="n">
        <v>26</v>
      </c>
      <c r="E33" s="1" t="n">
        <v>42</v>
      </c>
      <c r="F33" s="1" t="s">
        <v>131</v>
      </c>
      <c r="G33" s="1" t="s">
        <v>140</v>
      </c>
      <c r="H33" s="1" t="n">
        <v>4.3981</v>
      </c>
      <c r="I33" s="1" t="n">
        <v>2.7</v>
      </c>
      <c r="J33" s="1" t="n">
        <v>3</v>
      </c>
      <c r="K33" s="1" t="n">
        <v>3</v>
      </c>
      <c r="L33" s="1" t="n">
        <v>1</v>
      </c>
    </row>
    <row r="34" customFormat="false" ht="14.25" hidden="true" customHeight="true" outlineLevel="0" collapsed="false">
      <c r="A34" s="1" t="s">
        <v>98</v>
      </c>
      <c r="B34" s="1" t="s">
        <v>141</v>
      </c>
      <c r="C34" s="1" t="s">
        <v>106</v>
      </c>
      <c r="D34" s="1" t="n">
        <v>27</v>
      </c>
      <c r="E34" s="1" t="n">
        <v>56</v>
      </c>
      <c r="F34" s="1" t="s">
        <v>131</v>
      </c>
      <c r="G34" s="1" t="s">
        <v>142</v>
      </c>
      <c r="H34" s="1" t="n">
        <v>4.3981</v>
      </c>
      <c r="I34" s="1" t="n">
        <v>3</v>
      </c>
      <c r="J34" s="1" t="n">
        <v>4</v>
      </c>
      <c r="K34" s="1" t="n">
        <v>3</v>
      </c>
      <c r="L34" s="1" t="n">
        <v>1</v>
      </c>
    </row>
    <row r="35" customFormat="false" ht="14.25" hidden="true" customHeight="true" outlineLevel="0" collapsed="false">
      <c r="A35" s="1" t="s">
        <v>98</v>
      </c>
      <c r="B35" s="1" t="s">
        <v>143</v>
      </c>
      <c r="C35" s="1" t="s">
        <v>106</v>
      </c>
      <c r="D35" s="1" t="n">
        <v>28</v>
      </c>
      <c r="E35" s="1" t="n">
        <v>57</v>
      </c>
      <c r="F35" s="1" t="s">
        <v>131</v>
      </c>
      <c r="G35" s="1" t="s">
        <v>144</v>
      </c>
      <c r="H35" s="1" t="n">
        <v>4.4766375</v>
      </c>
      <c r="I35" s="1" t="n">
        <v>4</v>
      </c>
      <c r="J35" s="1" t="n">
        <v>4</v>
      </c>
      <c r="K35" s="1" t="n">
        <v>3</v>
      </c>
      <c r="L35" s="1" t="n">
        <v>1</v>
      </c>
      <c r="M35" s="1" t="s">
        <v>145</v>
      </c>
    </row>
    <row r="36" customFormat="false" ht="14.25" hidden="true" customHeight="true" outlineLevel="0" collapsed="false">
      <c r="A36" s="1" t="s">
        <v>98</v>
      </c>
      <c r="C36" s="1" t="s">
        <v>106</v>
      </c>
      <c r="D36" s="1" t="n">
        <v>30</v>
      </c>
      <c r="E36" s="1" t="n">
        <v>48</v>
      </c>
      <c r="F36" s="1" t="s">
        <v>131</v>
      </c>
      <c r="G36" s="1" t="s">
        <v>146</v>
      </c>
      <c r="H36" s="1" t="n">
        <v>5.0264</v>
      </c>
      <c r="I36" s="1" t="n">
        <v>7.5</v>
      </c>
      <c r="J36" s="1" t="n">
        <v>3</v>
      </c>
      <c r="K36" s="1" t="n">
        <v>3</v>
      </c>
      <c r="L36" s="1" t="n">
        <v>1</v>
      </c>
      <c r="M36" s="1" t="s">
        <v>147</v>
      </c>
    </row>
    <row r="37" customFormat="false" ht="14.25" hidden="true" customHeight="true" outlineLevel="0" collapsed="false">
      <c r="A37" s="1" t="s">
        <v>98</v>
      </c>
      <c r="B37" s="1" t="s">
        <v>148</v>
      </c>
      <c r="C37" s="1" t="s">
        <v>106</v>
      </c>
      <c r="D37" s="1" t="n">
        <v>28</v>
      </c>
      <c r="E37" s="1" t="n">
        <v>57</v>
      </c>
      <c r="F37" s="1" t="s">
        <v>131</v>
      </c>
      <c r="G37" s="1" t="s">
        <v>149</v>
      </c>
      <c r="H37" s="1" t="n">
        <v>5.96885</v>
      </c>
      <c r="I37" s="1" t="n">
        <v>4.5</v>
      </c>
      <c r="J37" s="1" t="n">
        <v>3</v>
      </c>
      <c r="K37" s="1" t="n">
        <v>3</v>
      </c>
      <c r="L37" s="1" t="n">
        <v>1</v>
      </c>
      <c r="M37" s="1" t="s">
        <v>150</v>
      </c>
    </row>
    <row r="38" customFormat="false" ht="14.25" hidden="true" customHeight="true" outlineLevel="0" collapsed="false">
      <c r="A38" s="1" t="s">
        <v>98</v>
      </c>
      <c r="B38" s="1" t="s">
        <v>151</v>
      </c>
      <c r="C38" s="1" t="s">
        <v>106</v>
      </c>
      <c r="D38" s="1" t="n">
        <v>31</v>
      </c>
      <c r="E38" s="1" t="n">
        <v>42</v>
      </c>
      <c r="F38" s="1" t="s">
        <v>131</v>
      </c>
      <c r="G38" s="1" t="s">
        <v>152</v>
      </c>
      <c r="H38" s="1" t="n">
        <v>6.59715</v>
      </c>
      <c r="I38" s="1" t="n">
        <v>4</v>
      </c>
      <c r="J38" s="1" t="n">
        <v>2</v>
      </c>
      <c r="K38" s="1" t="n">
        <v>3</v>
      </c>
      <c r="L38" s="1" t="n">
        <v>1</v>
      </c>
      <c r="M38" s="1" t="s">
        <v>153</v>
      </c>
    </row>
    <row r="39" customFormat="false" ht="14.25" hidden="true" customHeight="true" outlineLevel="0" collapsed="false">
      <c r="A39" s="1" t="s">
        <v>98</v>
      </c>
      <c r="C39" s="1" t="s">
        <v>106</v>
      </c>
      <c r="D39" s="1" t="n">
        <v>32</v>
      </c>
      <c r="E39" s="1" t="n">
        <v>42</v>
      </c>
      <c r="F39" s="1" t="s">
        <v>131</v>
      </c>
      <c r="G39" s="1" t="s">
        <v>154</v>
      </c>
      <c r="H39" s="1" t="n">
        <v>6.59715</v>
      </c>
      <c r="I39" s="1" t="n">
        <v>10</v>
      </c>
      <c r="J39" s="1" t="n">
        <v>2</v>
      </c>
      <c r="K39" s="1" t="n">
        <v>3</v>
      </c>
      <c r="L39" s="1" t="n">
        <v>1</v>
      </c>
      <c r="M39" s="1" t="s">
        <v>155</v>
      </c>
    </row>
    <row r="40" customFormat="false" ht="14.25" hidden="true" customHeight="true" outlineLevel="0" collapsed="false">
      <c r="A40" s="1" t="s">
        <v>98</v>
      </c>
    </row>
    <row r="41" customFormat="false" ht="14.25" hidden="true" customHeight="true" outlineLevel="0" collapsed="false">
      <c r="A41" s="1" t="s">
        <v>98</v>
      </c>
      <c r="C41" s="1" t="s">
        <v>156</v>
      </c>
      <c r="D41" s="1" t="n">
        <v>81</v>
      </c>
      <c r="E41" s="1" t="n">
        <v>49</v>
      </c>
      <c r="F41" s="1" t="s">
        <v>157</v>
      </c>
      <c r="G41" s="1" t="s">
        <v>158</v>
      </c>
      <c r="H41" s="1" t="n">
        <v>1.71037222222222</v>
      </c>
      <c r="I41" s="1" t="n">
        <v>7.5</v>
      </c>
      <c r="J41" s="1" t="n">
        <v>9</v>
      </c>
      <c r="K41" s="1" t="n">
        <v>2</v>
      </c>
      <c r="L41" s="1" t="n">
        <v>3</v>
      </c>
      <c r="M41" s="1" t="s">
        <v>159</v>
      </c>
    </row>
    <row r="42" customFormat="false" ht="14.25" hidden="true" customHeight="true" outlineLevel="0" collapsed="false">
      <c r="A42" s="1" t="s">
        <v>98</v>
      </c>
      <c r="C42" s="1" t="s">
        <v>106</v>
      </c>
      <c r="D42" s="1" t="n">
        <v>39</v>
      </c>
      <c r="E42" s="1" t="n">
        <v>43</v>
      </c>
      <c r="F42" s="1" t="s">
        <v>160</v>
      </c>
      <c r="G42" s="1" t="s">
        <v>161</v>
      </c>
      <c r="H42" s="1" t="n">
        <v>2.70169</v>
      </c>
      <c r="I42" s="1" t="n">
        <v>10.5</v>
      </c>
      <c r="J42" s="1" t="n">
        <v>5</v>
      </c>
      <c r="K42" s="1" t="n">
        <v>3</v>
      </c>
      <c r="L42" s="1" t="n">
        <v>1</v>
      </c>
      <c r="M42" s="1" t="s">
        <v>162</v>
      </c>
    </row>
    <row r="43" customFormat="false" ht="14.25" hidden="true" customHeight="true" outlineLevel="0" collapsed="false">
      <c r="A43" s="1" t="s">
        <v>98</v>
      </c>
      <c r="C43" s="1" t="s">
        <v>104</v>
      </c>
      <c r="D43" s="1" t="n">
        <v>84</v>
      </c>
      <c r="E43" s="1" t="n">
        <v>44</v>
      </c>
      <c r="F43" s="1" t="s">
        <v>157</v>
      </c>
      <c r="G43" s="1" t="s">
        <v>163</v>
      </c>
      <c r="H43" s="1" t="n">
        <v>2.30376666666667</v>
      </c>
      <c r="I43" s="1" t="n">
        <v>10</v>
      </c>
      <c r="J43" s="1" t="n">
        <v>6</v>
      </c>
      <c r="K43" s="1" t="n">
        <v>0</v>
      </c>
      <c r="L43" s="1" t="n">
        <v>3</v>
      </c>
      <c r="M43" s="1" t="s">
        <v>164</v>
      </c>
    </row>
    <row r="44" customFormat="false" ht="14.25" hidden="true" customHeight="true" outlineLevel="0" collapsed="false">
      <c r="A44" s="1" t="s">
        <v>98</v>
      </c>
      <c r="C44" s="1" t="s">
        <v>165</v>
      </c>
      <c r="D44" s="1" t="n">
        <v>55</v>
      </c>
      <c r="E44" s="1" t="n">
        <v>45</v>
      </c>
      <c r="F44" s="1" t="s">
        <v>160</v>
      </c>
      <c r="G44" s="1" t="s">
        <v>166</v>
      </c>
      <c r="H44" s="1" t="n">
        <v>2.82735</v>
      </c>
      <c r="I44" s="1" t="n">
        <v>10.5</v>
      </c>
      <c r="J44" s="1" t="n">
        <v>5</v>
      </c>
      <c r="K44" s="1" t="n">
        <v>3</v>
      </c>
      <c r="L44" s="1" t="n">
        <v>3</v>
      </c>
      <c r="M44" s="1" t="s">
        <v>167</v>
      </c>
    </row>
    <row r="45" customFormat="false" ht="14.25" hidden="true" customHeight="true" outlineLevel="0" collapsed="false">
      <c r="A45" s="1" t="s">
        <v>98</v>
      </c>
      <c r="C45" s="1" t="s">
        <v>165</v>
      </c>
      <c r="D45" s="1" t="n">
        <v>82</v>
      </c>
      <c r="E45" s="1" t="n">
        <v>45</v>
      </c>
      <c r="F45" s="1" t="s">
        <v>157</v>
      </c>
      <c r="G45" s="1" t="s">
        <v>166</v>
      </c>
      <c r="H45" s="1" t="n">
        <v>2.82735</v>
      </c>
      <c r="I45" s="1" t="n">
        <v>10.5</v>
      </c>
      <c r="J45" s="1" t="n">
        <v>5</v>
      </c>
      <c r="K45" s="1" t="n">
        <v>3</v>
      </c>
      <c r="L45" s="1" t="n">
        <v>3</v>
      </c>
      <c r="M45" s="1" t="s">
        <v>167</v>
      </c>
    </row>
    <row r="46" customFormat="false" ht="14.25" hidden="true" customHeight="true" outlineLevel="0" collapsed="false">
      <c r="A46" s="1" t="s">
        <v>98</v>
      </c>
      <c r="C46" s="1" t="s">
        <v>106</v>
      </c>
      <c r="D46" s="1" t="n">
        <v>35</v>
      </c>
      <c r="E46" s="1" t="n">
        <v>40</v>
      </c>
      <c r="F46" s="1" t="s">
        <v>160</v>
      </c>
      <c r="G46" s="1" t="s">
        <v>168</v>
      </c>
      <c r="H46" s="1" t="n">
        <v>2.09433333333333</v>
      </c>
      <c r="I46" s="1" t="n">
        <v>10.5</v>
      </c>
      <c r="J46" s="1" t="n">
        <v>6</v>
      </c>
      <c r="K46" s="1" t="n">
        <v>3</v>
      </c>
      <c r="L46" s="1" t="n">
        <v>3</v>
      </c>
      <c r="M46" s="1" t="s">
        <v>169</v>
      </c>
    </row>
    <row r="47" customFormat="false" ht="14.25" hidden="true" customHeight="true" outlineLevel="0" collapsed="false">
      <c r="A47" s="1" t="s">
        <v>98</v>
      </c>
      <c r="C47" s="1" t="s">
        <v>106</v>
      </c>
      <c r="D47" s="1" t="n">
        <v>36</v>
      </c>
      <c r="E47" s="1" t="n">
        <v>40</v>
      </c>
      <c r="F47" s="1" t="s">
        <v>160</v>
      </c>
      <c r="G47" s="1" t="s">
        <v>168</v>
      </c>
      <c r="H47" s="1" t="n">
        <v>2.09433333333333</v>
      </c>
      <c r="I47" s="1" t="n">
        <v>10.5</v>
      </c>
      <c r="J47" s="1" t="n">
        <v>6</v>
      </c>
      <c r="K47" s="1" t="n">
        <v>3</v>
      </c>
      <c r="L47" s="1" t="n">
        <v>3</v>
      </c>
      <c r="M47" s="1" t="s">
        <v>169</v>
      </c>
    </row>
    <row r="48" customFormat="false" ht="14.25" hidden="true" customHeight="true" outlineLevel="0" collapsed="false">
      <c r="A48" s="1" t="s">
        <v>98</v>
      </c>
      <c r="C48" s="1" t="s">
        <v>156</v>
      </c>
      <c r="D48" s="1" t="n">
        <v>36</v>
      </c>
      <c r="E48" s="1" t="n">
        <v>40</v>
      </c>
      <c r="F48" s="1" t="s">
        <v>160</v>
      </c>
      <c r="G48" s="1" t="s">
        <v>168</v>
      </c>
      <c r="H48" s="1" t="n">
        <v>2.09433333333333</v>
      </c>
      <c r="I48" s="1" t="n">
        <v>10.5</v>
      </c>
      <c r="J48" s="1" t="n">
        <v>6</v>
      </c>
      <c r="K48" s="1" t="n">
        <v>3</v>
      </c>
      <c r="L48" s="1" t="n">
        <v>3</v>
      </c>
    </row>
    <row r="49" customFormat="false" ht="14.25" hidden="true" customHeight="true" outlineLevel="0" collapsed="false">
      <c r="A49" s="1" t="s">
        <v>98</v>
      </c>
      <c r="C49" s="1" t="s">
        <v>156</v>
      </c>
      <c r="D49" s="1" t="n">
        <v>75</v>
      </c>
      <c r="E49" s="1" t="n">
        <v>47</v>
      </c>
      <c r="F49" s="1" t="s">
        <v>160</v>
      </c>
      <c r="G49" s="1" t="s">
        <v>170</v>
      </c>
      <c r="H49" s="1" t="n">
        <v>1.476505</v>
      </c>
      <c r="I49" s="1" t="n">
        <v>10.5</v>
      </c>
      <c r="J49" s="1" t="n">
        <v>10</v>
      </c>
      <c r="K49" s="1" t="n">
        <v>0</v>
      </c>
      <c r="L49" s="1" t="n">
        <v>1</v>
      </c>
    </row>
    <row r="50" customFormat="false" ht="14.25" hidden="true" customHeight="true" outlineLevel="0" collapsed="false">
      <c r="A50" s="1" t="s">
        <v>98</v>
      </c>
      <c r="C50" s="1" t="s">
        <v>156</v>
      </c>
      <c r="D50" s="1" t="n">
        <v>76</v>
      </c>
      <c r="E50" s="1" t="n">
        <v>48</v>
      </c>
      <c r="F50" s="1" t="s">
        <v>160</v>
      </c>
      <c r="G50" s="1" t="s">
        <v>171</v>
      </c>
      <c r="H50" s="1" t="n">
        <v>2.5132</v>
      </c>
      <c r="I50" s="1" t="n">
        <v>10.5</v>
      </c>
      <c r="J50" s="1" t="n">
        <v>6</v>
      </c>
      <c r="K50" s="1" t="n">
        <v>3</v>
      </c>
      <c r="L50" s="1" t="n">
        <v>3</v>
      </c>
      <c r="M50" s="1" t="s">
        <v>172</v>
      </c>
    </row>
    <row r="51" customFormat="false" ht="14.25" hidden="true" customHeight="true" outlineLevel="0" collapsed="false">
      <c r="A51" s="1" t="s">
        <v>98</v>
      </c>
      <c r="B51" s="1" t="s">
        <v>22</v>
      </c>
      <c r="C51" s="1" t="s">
        <v>106</v>
      </c>
      <c r="D51" s="1" t="n">
        <v>37</v>
      </c>
      <c r="E51" s="1" t="n">
        <v>54</v>
      </c>
      <c r="F51" s="1" t="s">
        <v>160</v>
      </c>
      <c r="G51" s="1" t="s">
        <v>173</v>
      </c>
      <c r="H51" s="1" t="n">
        <v>4.241025</v>
      </c>
      <c r="I51" s="1" t="n">
        <v>10.5</v>
      </c>
      <c r="J51" s="1" t="n">
        <v>4</v>
      </c>
      <c r="K51" s="1" t="s">
        <v>102</v>
      </c>
      <c r="L51" s="1" t="n">
        <v>5</v>
      </c>
      <c r="M51" s="1" t="s">
        <v>174</v>
      </c>
    </row>
    <row r="52" customFormat="false" ht="14.25" hidden="true" customHeight="true" outlineLevel="0" collapsed="false">
      <c r="A52" s="1" t="s">
        <v>98</v>
      </c>
      <c r="B52" s="1" t="s">
        <v>175</v>
      </c>
      <c r="C52" s="1" t="s">
        <v>106</v>
      </c>
      <c r="D52" s="1" t="n">
        <v>38</v>
      </c>
      <c r="E52" s="1" t="n">
        <v>41</v>
      </c>
      <c r="F52" s="1" t="s">
        <v>160</v>
      </c>
      <c r="G52" s="1" t="s">
        <v>176</v>
      </c>
      <c r="H52" s="1" t="n">
        <v>4.29338333333333</v>
      </c>
      <c r="I52" s="1" t="n">
        <v>4.5</v>
      </c>
      <c r="J52" s="1" t="n">
        <v>3</v>
      </c>
      <c r="K52" s="1" t="n">
        <v>3</v>
      </c>
      <c r="L52" s="1" t="n">
        <v>1</v>
      </c>
      <c r="M52" s="1" t="s">
        <v>177</v>
      </c>
    </row>
    <row r="53" customFormat="false" ht="14.25" hidden="true" customHeight="true" outlineLevel="0" collapsed="false">
      <c r="A53" s="1" t="s">
        <v>98</v>
      </c>
      <c r="C53" s="1" t="s">
        <v>104</v>
      </c>
      <c r="D53" s="1" t="n">
        <v>73</v>
      </c>
      <c r="E53" s="1" t="n">
        <v>41</v>
      </c>
      <c r="F53" s="1" t="s">
        <v>157</v>
      </c>
      <c r="G53" s="1" t="s">
        <v>176</v>
      </c>
      <c r="H53" s="1" t="n">
        <v>4.29338333333333</v>
      </c>
      <c r="I53" s="1" t="n">
        <v>900</v>
      </c>
      <c r="J53" s="1" t="n">
        <v>3</v>
      </c>
      <c r="K53" s="1" t="n">
        <v>3</v>
      </c>
      <c r="L53" s="1" t="n">
        <v>2</v>
      </c>
      <c r="M53" s="1" t="s">
        <v>178</v>
      </c>
    </row>
    <row r="54" customFormat="false" ht="14.25" hidden="true" customHeight="true" outlineLevel="0" collapsed="false">
      <c r="A54" s="1" t="s">
        <v>98</v>
      </c>
      <c r="C54" s="1" t="s">
        <v>106</v>
      </c>
      <c r="D54" s="1" t="n">
        <v>41</v>
      </c>
      <c r="E54" s="1" t="n">
        <v>42</v>
      </c>
      <c r="F54" s="1" t="s">
        <v>160</v>
      </c>
      <c r="G54" s="1" t="s">
        <v>179</v>
      </c>
      <c r="H54" s="1" t="n">
        <v>3.298575</v>
      </c>
      <c r="I54" s="1" t="n">
        <v>10.5</v>
      </c>
      <c r="J54" s="1" t="n">
        <v>4</v>
      </c>
      <c r="K54" s="1" t="n">
        <v>3</v>
      </c>
      <c r="L54" s="1" t="n">
        <v>2</v>
      </c>
      <c r="M54" s="1" t="s">
        <v>180</v>
      </c>
    </row>
    <row r="55" customFormat="false" ht="14.25" hidden="true" customHeight="true" outlineLevel="0" collapsed="false">
      <c r="A55" s="1" t="s">
        <v>98</v>
      </c>
      <c r="C55" s="1" t="s">
        <v>106</v>
      </c>
      <c r="D55" s="1" t="n">
        <v>42</v>
      </c>
      <c r="E55" s="1" t="n">
        <v>53</v>
      </c>
      <c r="F55" s="1" t="s">
        <v>160</v>
      </c>
      <c r="G55" s="1" t="s">
        <v>181</v>
      </c>
      <c r="H55" s="1" t="n">
        <v>5.54998333333333</v>
      </c>
      <c r="I55" s="1" t="n">
        <v>10.5</v>
      </c>
      <c r="J55" s="1" t="n">
        <v>3</v>
      </c>
      <c r="K55" s="1" t="n">
        <v>3</v>
      </c>
      <c r="L55" s="1" t="n">
        <v>3</v>
      </c>
      <c r="M55" s="1" t="s">
        <v>182</v>
      </c>
    </row>
    <row r="56" customFormat="false" ht="14.25" hidden="true" customHeight="true" outlineLevel="0" collapsed="false">
      <c r="A56" s="1" t="s">
        <v>98</v>
      </c>
      <c r="C56" s="1" t="s">
        <v>156</v>
      </c>
      <c r="D56" s="1" t="n">
        <v>34</v>
      </c>
      <c r="E56" s="1" t="n">
        <v>45</v>
      </c>
      <c r="F56" s="1" t="s">
        <v>160</v>
      </c>
      <c r="G56" s="1" t="s">
        <v>183</v>
      </c>
      <c r="H56" s="1" t="n">
        <v>1.76709375</v>
      </c>
      <c r="I56" s="1" t="n">
        <v>6.5</v>
      </c>
      <c r="J56" s="1" t="n">
        <v>8</v>
      </c>
      <c r="K56" s="1" t="n">
        <v>3</v>
      </c>
      <c r="L56" s="1" t="n">
        <v>1</v>
      </c>
      <c r="M56" s="1" t="s">
        <v>184</v>
      </c>
    </row>
    <row r="57" customFormat="false" ht="14.25" hidden="true" customHeight="true" outlineLevel="0" collapsed="false">
      <c r="A57" s="1" t="s">
        <v>98</v>
      </c>
      <c r="B57" s="1" t="s">
        <v>185</v>
      </c>
      <c r="C57" s="1" t="s">
        <v>106</v>
      </c>
      <c r="D57" s="1" t="n">
        <v>31</v>
      </c>
      <c r="E57" s="1" t="n">
        <v>42</v>
      </c>
      <c r="F57" s="1" t="s">
        <v>160</v>
      </c>
      <c r="G57" s="1" t="s">
        <v>186</v>
      </c>
      <c r="H57" s="1" t="n">
        <v>3.298575</v>
      </c>
      <c r="I57" s="1" t="n">
        <v>6.5</v>
      </c>
      <c r="J57" s="1" t="n">
        <v>4</v>
      </c>
      <c r="K57" s="1" t="n">
        <v>3</v>
      </c>
      <c r="L57" s="1" t="n">
        <v>1</v>
      </c>
      <c r="M57" s="1" t="s">
        <v>177</v>
      </c>
    </row>
    <row r="58" customFormat="false" ht="14.25" hidden="true" customHeight="true" outlineLevel="0" collapsed="false">
      <c r="A58" s="1" t="s">
        <v>98</v>
      </c>
      <c r="C58" s="1" t="s">
        <v>106</v>
      </c>
      <c r="D58" s="1" t="n">
        <v>43</v>
      </c>
      <c r="E58" s="1" t="n">
        <v>40</v>
      </c>
      <c r="F58" s="1" t="s">
        <v>160</v>
      </c>
      <c r="G58" s="1" t="s">
        <v>187</v>
      </c>
      <c r="H58" s="1" t="n">
        <v>6.283</v>
      </c>
      <c r="I58" s="1" t="n">
        <v>10.5</v>
      </c>
      <c r="J58" s="1" t="n">
        <v>2</v>
      </c>
      <c r="K58" s="1" t="n">
        <v>3</v>
      </c>
      <c r="L58" s="1" t="n">
        <v>3</v>
      </c>
      <c r="M58" s="1" t="s">
        <v>188</v>
      </c>
    </row>
    <row r="59" customFormat="false" ht="14.25" hidden="true" customHeight="true" outlineLevel="0" collapsed="false">
      <c r="A59" s="1" t="s">
        <v>98</v>
      </c>
      <c r="B59" s="1" t="s">
        <v>189</v>
      </c>
      <c r="C59" s="1" t="s">
        <v>106</v>
      </c>
      <c r="D59" s="1" t="n">
        <v>38</v>
      </c>
      <c r="E59" s="1" t="n">
        <v>41</v>
      </c>
      <c r="F59" s="1" t="s">
        <v>160</v>
      </c>
      <c r="G59" s="1" t="s">
        <v>190</v>
      </c>
      <c r="H59" s="1" t="n">
        <v>4.29338333333333</v>
      </c>
      <c r="I59" s="1" t="n">
        <v>6.5</v>
      </c>
      <c r="J59" s="1" t="n">
        <v>3</v>
      </c>
      <c r="K59" s="1" t="n">
        <v>3</v>
      </c>
      <c r="L59" s="1" t="n">
        <v>1</v>
      </c>
      <c r="M59" s="1" t="s">
        <v>177</v>
      </c>
    </row>
    <row r="60" customFormat="false" ht="14.25" hidden="true" customHeight="true" outlineLevel="0" collapsed="false">
      <c r="A60" s="1" t="s">
        <v>98</v>
      </c>
      <c r="B60" s="1" t="s">
        <v>191</v>
      </c>
      <c r="C60" s="1" t="s">
        <v>156</v>
      </c>
      <c r="D60" s="1" t="n">
        <v>17</v>
      </c>
      <c r="E60" s="1" t="n">
        <v>43</v>
      </c>
      <c r="F60" s="1" t="s">
        <v>160</v>
      </c>
      <c r="G60" s="1" t="s">
        <v>192</v>
      </c>
      <c r="H60" s="1" t="n">
        <v>0.900563333333333</v>
      </c>
      <c r="I60" s="1" t="n">
        <v>7</v>
      </c>
      <c r="J60" s="1" t="n">
        <v>15</v>
      </c>
      <c r="K60" s="1" t="n">
        <v>3</v>
      </c>
      <c r="L60" s="1" t="n">
        <v>1</v>
      </c>
      <c r="M60" s="1" t="s">
        <v>193</v>
      </c>
    </row>
    <row r="61" customFormat="false" ht="14.25" hidden="true" customHeight="true" outlineLevel="0" collapsed="false">
      <c r="A61" s="1" t="s">
        <v>98</v>
      </c>
      <c r="B61" s="1" t="s">
        <v>22</v>
      </c>
      <c r="C61" s="1" t="s">
        <v>106</v>
      </c>
      <c r="D61" s="1" t="n">
        <v>44</v>
      </c>
      <c r="E61" s="1" t="n">
        <v>49</v>
      </c>
      <c r="F61" s="1" t="s">
        <v>160</v>
      </c>
      <c r="G61" s="1" t="s">
        <v>194</v>
      </c>
      <c r="H61" s="1" t="n">
        <v>3.8483375</v>
      </c>
      <c r="I61" s="1" t="n">
        <v>7</v>
      </c>
      <c r="J61" s="1" t="n">
        <v>4</v>
      </c>
      <c r="K61" s="1" t="n">
        <v>2</v>
      </c>
      <c r="L61" s="1" t="n">
        <v>1</v>
      </c>
    </row>
    <row r="62" customFormat="false" ht="14.25" hidden="true" customHeight="true" outlineLevel="0" collapsed="false">
      <c r="A62" s="1" t="s">
        <v>98</v>
      </c>
      <c r="B62" s="1" t="s">
        <v>195</v>
      </c>
      <c r="C62" s="1" t="s">
        <v>106</v>
      </c>
      <c r="D62" s="1" t="n">
        <v>45</v>
      </c>
      <c r="E62" s="1" t="n">
        <v>48</v>
      </c>
      <c r="F62" s="1" t="s">
        <v>160</v>
      </c>
      <c r="G62" s="1" t="s">
        <v>196</v>
      </c>
      <c r="H62" s="1" t="n">
        <v>5.0264</v>
      </c>
      <c r="I62" s="1" t="n">
        <v>7.3</v>
      </c>
      <c r="J62" s="1" t="n">
        <v>3</v>
      </c>
      <c r="K62" s="1" t="n">
        <v>3</v>
      </c>
      <c r="L62" s="1" t="n">
        <v>1</v>
      </c>
      <c r="M62" s="1" t="s">
        <v>197</v>
      </c>
    </row>
    <row r="63" customFormat="false" ht="14.25" hidden="true" customHeight="true" outlineLevel="0" collapsed="false">
      <c r="A63" s="1" t="s">
        <v>98</v>
      </c>
      <c r="C63" s="1" t="s">
        <v>156</v>
      </c>
      <c r="D63" s="1" t="n">
        <v>54</v>
      </c>
      <c r="E63" s="1" t="n">
        <v>45</v>
      </c>
      <c r="F63" s="1" t="s">
        <v>160</v>
      </c>
      <c r="G63" s="1" t="s">
        <v>198</v>
      </c>
      <c r="H63" s="1" t="n">
        <v>1.76709375</v>
      </c>
      <c r="I63" s="1" t="n">
        <v>6.7</v>
      </c>
      <c r="J63" s="1" t="n">
        <v>8</v>
      </c>
      <c r="K63" s="1" t="n">
        <v>3</v>
      </c>
      <c r="L63" s="1" t="n">
        <v>1</v>
      </c>
      <c r="M63" s="1" t="s">
        <v>164</v>
      </c>
    </row>
    <row r="64" customFormat="false" ht="14.25" hidden="true" customHeight="true" outlineLevel="0" collapsed="false">
      <c r="A64" s="1" t="s">
        <v>98</v>
      </c>
      <c r="C64" s="1" t="s">
        <v>106</v>
      </c>
      <c r="D64" s="1" t="n">
        <v>33</v>
      </c>
      <c r="E64" s="1" t="n">
        <v>42</v>
      </c>
      <c r="F64" s="1" t="s">
        <v>160</v>
      </c>
      <c r="G64" s="1" t="s">
        <v>199</v>
      </c>
      <c r="H64" s="1" t="n">
        <v>1.6492875</v>
      </c>
      <c r="I64" s="1" t="n">
        <v>7.5</v>
      </c>
      <c r="J64" s="1" t="n">
        <v>8</v>
      </c>
      <c r="K64" s="1" t="n">
        <v>3</v>
      </c>
      <c r="L64" s="1" t="n">
        <v>1</v>
      </c>
      <c r="M64" s="1" t="s">
        <v>200</v>
      </c>
    </row>
    <row r="65" customFormat="false" ht="14.25" hidden="true" customHeight="true" outlineLevel="0" collapsed="false">
      <c r="A65" s="1" t="s">
        <v>98</v>
      </c>
      <c r="C65" s="1" t="s">
        <v>108</v>
      </c>
      <c r="D65" s="1" t="n">
        <v>51</v>
      </c>
      <c r="E65" s="1" t="n">
        <v>48</v>
      </c>
      <c r="F65" s="1" t="s">
        <v>160</v>
      </c>
      <c r="G65" s="1" t="s">
        <v>201</v>
      </c>
      <c r="H65" s="1" t="n">
        <v>3.7698</v>
      </c>
      <c r="I65" s="1" t="n">
        <v>7.5</v>
      </c>
      <c r="J65" s="1" t="n">
        <v>4</v>
      </c>
      <c r="K65" s="1" t="n">
        <v>3</v>
      </c>
      <c r="L65" s="1" t="n">
        <v>1</v>
      </c>
      <c r="M65" s="1" t="s">
        <v>202</v>
      </c>
    </row>
    <row r="66" customFormat="false" ht="14.25" hidden="true" customHeight="true" outlineLevel="0" collapsed="false">
      <c r="A66" s="1" t="s">
        <v>98</v>
      </c>
      <c r="C66" s="1" t="s">
        <v>106</v>
      </c>
      <c r="D66" s="1" t="n">
        <v>52</v>
      </c>
      <c r="E66" s="1" t="n">
        <v>49</v>
      </c>
      <c r="F66" s="1" t="s">
        <v>160</v>
      </c>
      <c r="G66" s="1" t="s">
        <v>203</v>
      </c>
      <c r="H66" s="1" t="n">
        <v>1.39939545454545</v>
      </c>
      <c r="I66" s="1" t="n">
        <v>7.7</v>
      </c>
      <c r="J66" s="1" t="n">
        <v>11</v>
      </c>
      <c r="K66" s="1" t="n">
        <v>2</v>
      </c>
      <c r="L66" s="1" t="n">
        <v>1</v>
      </c>
      <c r="M66" s="1" t="s">
        <v>193</v>
      </c>
    </row>
    <row r="67" customFormat="false" ht="14.25" hidden="true" customHeight="true" outlineLevel="0" collapsed="false">
      <c r="A67" s="1" t="s">
        <v>98</v>
      </c>
      <c r="B67" s="1" t="s">
        <v>204</v>
      </c>
      <c r="C67" s="1" t="s">
        <v>106</v>
      </c>
      <c r="D67" s="1" t="n">
        <v>93</v>
      </c>
      <c r="E67" s="1" t="n">
        <v>52</v>
      </c>
      <c r="F67" s="1" t="s">
        <v>160</v>
      </c>
      <c r="G67" s="1" t="s">
        <v>205</v>
      </c>
      <c r="H67" s="1" t="n">
        <v>5.5</v>
      </c>
      <c r="I67" s="1" t="n">
        <v>7.8</v>
      </c>
      <c r="J67" s="1" t="n">
        <v>3</v>
      </c>
      <c r="K67" s="1" t="n">
        <v>3</v>
      </c>
      <c r="L67" s="1" t="n">
        <v>1</v>
      </c>
    </row>
    <row r="68" customFormat="false" ht="14.25" hidden="true" customHeight="true" outlineLevel="0" collapsed="false">
      <c r="A68" s="1" t="s">
        <v>98</v>
      </c>
      <c r="C68" s="1" t="s">
        <v>156</v>
      </c>
      <c r="D68" s="1" t="n">
        <v>70</v>
      </c>
      <c r="E68" s="1" t="n">
        <v>48</v>
      </c>
      <c r="F68" s="1" t="s">
        <v>160</v>
      </c>
      <c r="G68" s="1" t="s">
        <v>206</v>
      </c>
      <c r="H68" s="1" t="n">
        <v>3.7698</v>
      </c>
      <c r="I68" s="1" t="n">
        <v>8</v>
      </c>
      <c r="J68" s="1" t="n">
        <v>4</v>
      </c>
      <c r="K68" s="1" t="n">
        <v>3</v>
      </c>
      <c r="L68" s="1" t="n">
        <v>1</v>
      </c>
      <c r="M68" s="1" t="s">
        <v>119</v>
      </c>
    </row>
    <row r="69" customFormat="false" ht="14.25" hidden="true" customHeight="true" outlineLevel="0" collapsed="false">
      <c r="A69" s="1" t="s">
        <v>98</v>
      </c>
      <c r="B69" s="1" t="s">
        <v>195</v>
      </c>
      <c r="C69" s="1" t="s">
        <v>106</v>
      </c>
      <c r="D69" s="1" t="n">
        <v>46</v>
      </c>
      <c r="E69" s="1" t="n">
        <v>50</v>
      </c>
      <c r="F69" s="1" t="s">
        <v>160</v>
      </c>
      <c r="G69" s="1" t="s">
        <v>207</v>
      </c>
      <c r="H69" s="1" t="n">
        <v>7.85375</v>
      </c>
      <c r="I69" s="1" t="n">
        <v>8.5</v>
      </c>
      <c r="J69" s="1" t="n">
        <v>2</v>
      </c>
      <c r="K69" s="1" t="n">
        <v>3</v>
      </c>
      <c r="L69" s="1" t="n">
        <v>1</v>
      </c>
      <c r="M69" s="1" t="s">
        <v>208</v>
      </c>
    </row>
    <row r="70" customFormat="false" ht="14.25" hidden="true" customHeight="true" outlineLevel="0" collapsed="false">
      <c r="A70" s="1" t="s">
        <v>98</v>
      </c>
      <c r="C70" s="1" t="s">
        <v>106</v>
      </c>
      <c r="D70" s="1" t="n">
        <v>71</v>
      </c>
      <c r="E70" s="1" t="n">
        <v>43</v>
      </c>
      <c r="F70" s="1" t="s">
        <v>160</v>
      </c>
      <c r="G70" s="1" t="s">
        <v>209</v>
      </c>
      <c r="H70" s="1" t="n">
        <v>2.25140833333333</v>
      </c>
      <c r="I70" s="1" t="n">
        <v>9</v>
      </c>
      <c r="J70" s="1" t="n">
        <v>6</v>
      </c>
      <c r="K70" s="1" t="n">
        <v>3</v>
      </c>
      <c r="L70" s="1" t="n">
        <v>1</v>
      </c>
      <c r="M70" s="1" t="s">
        <v>119</v>
      </c>
    </row>
    <row r="71" customFormat="false" ht="14.25" hidden="true" customHeight="true" outlineLevel="0" collapsed="false">
      <c r="A71" s="1" t="s">
        <v>98</v>
      </c>
      <c r="C71" s="1" t="s">
        <v>106</v>
      </c>
      <c r="D71" s="1" t="n">
        <v>47</v>
      </c>
      <c r="E71" s="1" t="n">
        <v>43</v>
      </c>
      <c r="F71" s="1" t="s">
        <v>160</v>
      </c>
      <c r="G71" s="1" t="s">
        <v>210</v>
      </c>
      <c r="H71" s="1" t="n">
        <v>4.50281666666667</v>
      </c>
      <c r="I71" s="1" t="n">
        <v>9</v>
      </c>
      <c r="J71" s="1" t="n">
        <v>3</v>
      </c>
      <c r="K71" s="1" t="n">
        <v>3</v>
      </c>
      <c r="L71" s="1" t="n">
        <v>1</v>
      </c>
      <c r="M71" s="1" t="s">
        <v>211</v>
      </c>
    </row>
    <row r="72" customFormat="false" ht="14.25" hidden="true" customHeight="true" outlineLevel="0" collapsed="false">
      <c r="A72" s="1" t="s">
        <v>98</v>
      </c>
      <c r="C72" s="1" t="s">
        <v>106</v>
      </c>
      <c r="D72" s="1" t="n">
        <v>92</v>
      </c>
      <c r="E72" s="1" t="n">
        <v>56</v>
      </c>
      <c r="F72" s="1" t="s">
        <v>160</v>
      </c>
      <c r="G72" s="1" t="s">
        <v>212</v>
      </c>
      <c r="H72" s="1" t="n">
        <v>5.86413333333333</v>
      </c>
      <c r="I72" s="1" t="n">
        <v>9</v>
      </c>
      <c r="J72" s="1" t="n">
        <v>3</v>
      </c>
      <c r="K72" s="1" t="n">
        <v>3</v>
      </c>
      <c r="L72" s="1" t="n">
        <v>1</v>
      </c>
      <c r="M72" s="1" t="s">
        <v>200</v>
      </c>
    </row>
    <row r="73" customFormat="false" ht="14.25" hidden="true" customHeight="true" outlineLevel="0" collapsed="false">
      <c r="A73" s="1" t="s">
        <v>98</v>
      </c>
      <c r="C73" s="1" t="s">
        <v>108</v>
      </c>
      <c r="D73" s="1" t="n">
        <v>72</v>
      </c>
      <c r="E73" s="1" t="n">
        <v>56</v>
      </c>
      <c r="F73" s="1" t="s">
        <v>160</v>
      </c>
      <c r="G73" s="1" t="s">
        <v>213</v>
      </c>
      <c r="H73" s="1" t="n">
        <v>5.86413333333333</v>
      </c>
      <c r="I73" s="1" t="n">
        <v>9</v>
      </c>
      <c r="J73" s="1" t="n">
        <v>3</v>
      </c>
      <c r="K73" s="1" t="n">
        <v>3</v>
      </c>
      <c r="L73" s="1" t="n">
        <v>1</v>
      </c>
      <c r="M73" s="1" t="s">
        <v>119</v>
      </c>
    </row>
    <row r="74" customFormat="false" ht="14.25" hidden="true" customHeight="true" outlineLevel="0" collapsed="false">
      <c r="A74" s="1" t="s">
        <v>98</v>
      </c>
      <c r="C74" s="1" t="s">
        <v>156</v>
      </c>
      <c r="D74" s="1" t="n">
        <v>74</v>
      </c>
      <c r="E74" s="1" t="n">
        <v>47</v>
      </c>
      <c r="F74" s="1" t="s">
        <v>160</v>
      </c>
      <c r="G74" s="1" t="s">
        <v>214</v>
      </c>
      <c r="H74" s="1" t="n">
        <v>1.476505</v>
      </c>
      <c r="I74" s="1" t="n">
        <v>9.5</v>
      </c>
      <c r="J74" s="1" t="n">
        <v>10</v>
      </c>
      <c r="K74" s="1" t="n">
        <v>0</v>
      </c>
      <c r="L74" s="1" t="n">
        <v>1</v>
      </c>
      <c r="M74" s="1" t="s">
        <v>215</v>
      </c>
    </row>
    <row r="75" customFormat="false" ht="14.25" hidden="true" customHeight="true" outlineLevel="0" collapsed="false">
      <c r="A75" s="1" t="s">
        <v>98</v>
      </c>
      <c r="C75" s="1" t="s">
        <v>156</v>
      </c>
      <c r="D75" s="1" t="n">
        <v>68</v>
      </c>
      <c r="E75" s="1" t="n">
        <v>43</v>
      </c>
      <c r="F75" s="1" t="s">
        <v>160</v>
      </c>
      <c r="G75" s="1" t="s">
        <v>216</v>
      </c>
      <c r="H75" s="1" t="n">
        <v>2.25140833333333</v>
      </c>
      <c r="I75" s="1" t="n">
        <v>9.5</v>
      </c>
      <c r="J75" s="1" t="n">
        <v>6</v>
      </c>
      <c r="K75" s="1" t="n">
        <v>3</v>
      </c>
      <c r="L75" s="1" t="n">
        <v>1</v>
      </c>
      <c r="M75" s="1" t="s">
        <v>119</v>
      </c>
    </row>
    <row r="76" customFormat="false" ht="14.25" hidden="true" customHeight="true" outlineLevel="0" collapsed="false">
      <c r="A76" s="1" t="s">
        <v>98</v>
      </c>
      <c r="C76" s="1" t="s">
        <v>111</v>
      </c>
      <c r="D76" s="1" t="n">
        <v>53</v>
      </c>
      <c r="E76" s="1" t="n">
        <v>46</v>
      </c>
      <c r="F76" s="1" t="s">
        <v>160</v>
      </c>
      <c r="G76" s="1" t="s">
        <v>217</v>
      </c>
      <c r="H76" s="1" t="n">
        <v>4.81696666666667</v>
      </c>
      <c r="I76" s="1" t="n">
        <v>10.5</v>
      </c>
      <c r="J76" s="1" t="n">
        <v>3</v>
      </c>
      <c r="K76" s="1" t="s">
        <v>102</v>
      </c>
      <c r="L76" s="1" t="n">
        <v>1</v>
      </c>
      <c r="M76" s="1" t="s">
        <v>218</v>
      </c>
    </row>
    <row r="77" customFormat="false" ht="14.25" hidden="true" customHeight="true" outlineLevel="0" collapsed="false">
      <c r="A77" s="1" t="s">
        <v>98</v>
      </c>
      <c r="B77" s="1" t="s">
        <v>219</v>
      </c>
      <c r="C77" s="1" t="s">
        <v>220</v>
      </c>
      <c r="D77" s="1" t="n">
        <v>48</v>
      </c>
      <c r="E77" s="1" t="n">
        <v>50</v>
      </c>
      <c r="F77" s="1" t="s">
        <v>160</v>
      </c>
      <c r="G77" s="1" t="s">
        <v>221</v>
      </c>
      <c r="H77" s="1" t="n">
        <v>5.23583333333333</v>
      </c>
      <c r="I77" s="1" t="n">
        <v>10.5</v>
      </c>
      <c r="J77" s="1" t="n">
        <v>3</v>
      </c>
      <c r="K77" s="1" t="n">
        <v>3</v>
      </c>
      <c r="L77" s="1" t="n">
        <v>1</v>
      </c>
      <c r="M77" s="1" t="s">
        <v>222</v>
      </c>
    </row>
    <row r="78" customFormat="false" ht="14.25" hidden="true" customHeight="true" outlineLevel="0" collapsed="false">
      <c r="A78" s="1" t="s">
        <v>98</v>
      </c>
      <c r="C78" s="1" t="s">
        <v>220</v>
      </c>
      <c r="D78" s="1" t="n">
        <v>49</v>
      </c>
      <c r="E78" s="1" t="n">
        <v>55</v>
      </c>
      <c r="F78" s="1" t="s">
        <v>160</v>
      </c>
      <c r="G78" s="1" t="s">
        <v>223</v>
      </c>
      <c r="H78" s="1" t="n">
        <v>5.75941666666667</v>
      </c>
      <c r="I78" s="1" t="n">
        <v>10.5</v>
      </c>
      <c r="J78" s="1" t="n">
        <v>3</v>
      </c>
      <c r="K78" s="1" t="s">
        <v>102</v>
      </c>
      <c r="L78" s="1" t="n">
        <v>1</v>
      </c>
      <c r="M78" s="1" t="s">
        <v>188</v>
      </c>
    </row>
    <row r="79" customFormat="false" ht="14.25" hidden="true" customHeight="true" outlineLevel="0" collapsed="false">
      <c r="A79" s="1" t="s">
        <v>98</v>
      </c>
      <c r="C79" s="1" t="s">
        <v>106</v>
      </c>
      <c r="D79" s="1" t="n">
        <v>50</v>
      </c>
      <c r="E79" s="1" t="n">
        <v>66</v>
      </c>
      <c r="F79" s="1" t="s">
        <v>160</v>
      </c>
      <c r="G79" s="1" t="s">
        <v>224</v>
      </c>
      <c r="H79" s="1" t="n">
        <v>10.36695</v>
      </c>
      <c r="I79" s="1" t="n">
        <v>6</v>
      </c>
      <c r="J79" s="1" t="n">
        <v>2</v>
      </c>
      <c r="K79" s="1" t="n">
        <v>3</v>
      </c>
      <c r="L79" s="1" t="n">
        <v>1</v>
      </c>
      <c r="M79" s="1" t="s">
        <v>225</v>
      </c>
    </row>
    <row r="80" customFormat="false" ht="14.25" hidden="true" customHeight="true" outlineLevel="0" collapsed="false">
      <c r="A80" s="1" t="s">
        <v>98</v>
      </c>
      <c r="B80" s="1" t="s">
        <v>226</v>
      </c>
      <c r="C80" s="1" t="s">
        <v>106</v>
      </c>
      <c r="D80" s="1" t="n">
        <v>56</v>
      </c>
      <c r="E80" s="1" t="n">
        <v>40</v>
      </c>
      <c r="F80" s="1" t="s">
        <v>160</v>
      </c>
      <c r="G80" s="1" t="s">
        <v>227</v>
      </c>
      <c r="H80" s="1" t="n">
        <v>6.283</v>
      </c>
      <c r="I80" s="1" t="n">
        <v>10.5</v>
      </c>
      <c r="J80" s="1" t="n">
        <v>2</v>
      </c>
      <c r="K80" s="1" t="n">
        <v>3</v>
      </c>
      <c r="L80" s="1" t="n">
        <v>1</v>
      </c>
      <c r="M80" s="1" t="s">
        <v>228</v>
      </c>
    </row>
    <row r="81" customFormat="false" ht="14.25" hidden="true" customHeight="true" outlineLevel="0" collapsed="false">
      <c r="A81" s="1" t="s">
        <v>98</v>
      </c>
      <c r="C81" s="1" t="s">
        <v>111</v>
      </c>
      <c r="D81" s="1" t="n">
        <v>94</v>
      </c>
      <c r="E81" s="1" t="n">
        <v>50</v>
      </c>
      <c r="F81" s="1" t="s">
        <v>160</v>
      </c>
      <c r="G81" s="1" t="s">
        <v>229</v>
      </c>
      <c r="H81" s="1" t="n">
        <v>7.85375</v>
      </c>
      <c r="I81" s="1" t="n">
        <v>11</v>
      </c>
      <c r="J81" s="1" t="n">
        <v>2</v>
      </c>
      <c r="K81" s="1" t="n">
        <v>2</v>
      </c>
      <c r="L81" s="1" t="n">
        <v>1</v>
      </c>
      <c r="M81" s="1" t="s">
        <v>230</v>
      </c>
    </row>
    <row r="82" customFormat="false" ht="14.25" hidden="true" customHeight="true" outlineLevel="0" collapsed="false">
      <c r="A82" s="1" t="s">
        <v>98</v>
      </c>
      <c r="C82" s="1" t="s">
        <v>106</v>
      </c>
      <c r="D82" s="1" t="n">
        <v>57</v>
      </c>
      <c r="E82" s="1" t="n">
        <v>52</v>
      </c>
      <c r="F82" s="1" t="s">
        <v>160</v>
      </c>
      <c r="G82" s="1" t="s">
        <v>231</v>
      </c>
      <c r="H82" s="1" t="n">
        <v>8.1679</v>
      </c>
      <c r="I82" s="1" t="n">
        <v>10.5</v>
      </c>
      <c r="J82" s="1" t="n">
        <v>2</v>
      </c>
      <c r="K82" s="1" t="n">
        <v>3</v>
      </c>
      <c r="L82" s="1" t="n">
        <v>1</v>
      </c>
      <c r="M82" s="1" t="s">
        <v>232</v>
      </c>
    </row>
    <row r="83" customFormat="false" ht="14.25" hidden="true" customHeight="true" outlineLevel="0" collapsed="false">
      <c r="A83" s="1" t="s">
        <v>98</v>
      </c>
      <c r="C83" s="1" t="s">
        <v>106</v>
      </c>
      <c r="D83" s="1" t="n">
        <v>58</v>
      </c>
      <c r="E83" s="1" t="n">
        <v>70</v>
      </c>
      <c r="F83" s="1" t="s">
        <v>160</v>
      </c>
      <c r="G83" s="1" t="s">
        <v>233</v>
      </c>
      <c r="H83" s="1" t="n">
        <v>7.33016666666667</v>
      </c>
      <c r="I83" s="1" t="n">
        <v>11</v>
      </c>
      <c r="J83" s="1" t="n">
        <v>3</v>
      </c>
      <c r="K83" s="1" t="n">
        <v>3</v>
      </c>
      <c r="L83" s="1" t="n">
        <v>1</v>
      </c>
      <c r="M83" s="1" t="s">
        <v>234</v>
      </c>
    </row>
    <row r="84" customFormat="false" ht="14.25" hidden="true" customHeight="true" outlineLevel="0" collapsed="false">
      <c r="A84" s="1" t="s">
        <v>98</v>
      </c>
      <c r="C84" s="1" t="s">
        <v>156</v>
      </c>
      <c r="D84" s="1" t="n">
        <v>69</v>
      </c>
      <c r="E84" s="1" t="n">
        <v>43</v>
      </c>
      <c r="F84" s="1" t="s">
        <v>160</v>
      </c>
      <c r="G84" s="1" t="s">
        <v>235</v>
      </c>
      <c r="H84" s="1" t="n">
        <v>2.25140833333333</v>
      </c>
      <c r="I84" s="1" t="n">
        <v>11</v>
      </c>
      <c r="J84" s="1" t="n">
        <v>6</v>
      </c>
      <c r="K84" s="1" t="n">
        <v>3</v>
      </c>
      <c r="L84" s="1" t="n">
        <v>1</v>
      </c>
      <c r="M84" s="1" t="s">
        <v>119</v>
      </c>
    </row>
    <row r="85" customFormat="false" ht="14.25" hidden="true" customHeight="true" outlineLevel="0" collapsed="false">
      <c r="A85" s="1" t="s">
        <v>98</v>
      </c>
      <c r="C85" s="1" t="s">
        <v>111</v>
      </c>
      <c r="D85" s="1" t="n">
        <v>77</v>
      </c>
      <c r="E85" s="1" t="n">
        <v>72</v>
      </c>
      <c r="F85" s="1" t="s">
        <v>160</v>
      </c>
      <c r="G85" s="1" t="s">
        <v>236</v>
      </c>
      <c r="H85" s="1" t="n">
        <v>11.3094</v>
      </c>
      <c r="I85" s="1" t="n">
        <v>9.5</v>
      </c>
      <c r="J85" s="1" t="n">
        <v>2</v>
      </c>
      <c r="K85" s="1" t="n">
        <v>0</v>
      </c>
      <c r="L85" s="1" t="n">
        <v>1</v>
      </c>
      <c r="M85" s="1" t="s">
        <v>237</v>
      </c>
    </row>
    <row r="86" customFormat="false" ht="14.25" hidden="true" customHeight="true" outlineLevel="0" collapsed="false">
      <c r="A86" s="1" t="s">
        <v>98</v>
      </c>
      <c r="C86" s="1" t="s">
        <v>106</v>
      </c>
      <c r="D86" s="1" t="n">
        <v>59</v>
      </c>
      <c r="E86" s="1" t="n">
        <v>75</v>
      </c>
      <c r="F86" s="1" t="s">
        <v>160</v>
      </c>
      <c r="G86" s="1" t="s">
        <v>238</v>
      </c>
      <c r="H86" s="1" t="n">
        <v>11.780625</v>
      </c>
      <c r="I86" s="1" t="n">
        <v>10.5</v>
      </c>
      <c r="J86" s="1" t="n">
        <v>2</v>
      </c>
      <c r="K86" s="1" t="n">
        <v>3</v>
      </c>
      <c r="L86" s="1" t="n">
        <v>1</v>
      </c>
      <c r="M86" s="1" t="s">
        <v>239</v>
      </c>
    </row>
    <row r="87" customFormat="false" ht="14.25" hidden="true" customHeight="true" outlineLevel="0" collapsed="false">
      <c r="A87" s="1" t="s">
        <v>98</v>
      </c>
      <c r="D87" s="1" t="n">
        <v>83</v>
      </c>
      <c r="E87" s="1" t="n">
        <v>42</v>
      </c>
      <c r="F87" s="1" t="s">
        <v>157</v>
      </c>
      <c r="G87" s="1" t="s">
        <v>240</v>
      </c>
      <c r="H87" s="1" t="n">
        <v>13.1943</v>
      </c>
      <c r="I87" s="1" t="n">
        <v>5.5</v>
      </c>
      <c r="J87" s="1" t="n">
        <v>1</v>
      </c>
      <c r="K87" s="1" t="n">
        <v>3</v>
      </c>
      <c r="L87" s="1" t="n">
        <v>1</v>
      </c>
    </row>
    <row r="88" customFormat="false" ht="14.25" hidden="true" customHeight="true" outlineLevel="0" collapsed="false">
      <c r="A88" s="1" t="s">
        <v>98</v>
      </c>
      <c r="C88" s="1" t="s">
        <v>106</v>
      </c>
      <c r="D88" s="1" t="n">
        <v>60</v>
      </c>
      <c r="E88" s="1" t="n">
        <v>41</v>
      </c>
      <c r="F88" s="1" t="s">
        <v>160</v>
      </c>
      <c r="G88" s="1" t="s">
        <v>241</v>
      </c>
      <c r="H88" s="1" t="n">
        <v>12.88015</v>
      </c>
      <c r="I88" s="1" t="n">
        <v>8.5</v>
      </c>
      <c r="J88" s="1" t="n">
        <v>1</v>
      </c>
      <c r="K88" s="1" t="n">
        <v>3</v>
      </c>
      <c r="L88" s="1" t="n">
        <v>1</v>
      </c>
      <c r="M88" s="1" t="s">
        <v>242</v>
      </c>
    </row>
    <row r="89" customFormat="false" ht="14.25" hidden="true" customHeight="true" outlineLevel="0" collapsed="false">
      <c r="A89" s="1" t="s">
        <v>98</v>
      </c>
      <c r="C89" s="1" t="s">
        <v>106</v>
      </c>
      <c r="D89" s="1" t="n">
        <v>61</v>
      </c>
      <c r="E89" s="1" t="n">
        <v>42</v>
      </c>
      <c r="F89" s="1" t="s">
        <v>160</v>
      </c>
      <c r="G89" s="1" t="s">
        <v>243</v>
      </c>
      <c r="H89" s="1" t="n">
        <v>13.1943</v>
      </c>
      <c r="I89" s="1" t="n">
        <v>7.5</v>
      </c>
      <c r="J89" s="1" t="n">
        <v>1</v>
      </c>
      <c r="K89" s="1" t="n">
        <v>3</v>
      </c>
      <c r="L89" s="1" t="n">
        <v>1</v>
      </c>
      <c r="M89" s="1" t="s">
        <v>244</v>
      </c>
    </row>
    <row r="90" customFormat="false" ht="14.25" hidden="true" customHeight="true" outlineLevel="0" collapsed="false">
      <c r="A90" s="1" t="s">
        <v>98</v>
      </c>
      <c r="C90" s="1" t="s">
        <v>106</v>
      </c>
      <c r="D90" s="1" t="n">
        <v>62</v>
      </c>
      <c r="E90" s="1" t="n">
        <v>49</v>
      </c>
      <c r="F90" s="1" t="s">
        <v>160</v>
      </c>
      <c r="G90" s="1" t="s">
        <v>245</v>
      </c>
      <c r="H90" s="1" t="n">
        <v>15.39335</v>
      </c>
      <c r="I90" s="1" t="n">
        <v>10</v>
      </c>
      <c r="J90" s="1" t="n">
        <v>1</v>
      </c>
      <c r="K90" s="1" t="n">
        <v>2</v>
      </c>
      <c r="L90" s="1" t="n">
        <v>3</v>
      </c>
      <c r="M90" s="1" t="s">
        <v>246</v>
      </c>
    </row>
    <row r="91" customFormat="false" ht="14.25" hidden="true" customHeight="true" outlineLevel="0" collapsed="false">
      <c r="A91" s="1" t="s">
        <v>98</v>
      </c>
      <c r="C91" s="1" t="s">
        <v>106</v>
      </c>
      <c r="D91" s="1" t="n">
        <v>63</v>
      </c>
      <c r="E91" s="1" t="n">
        <v>52</v>
      </c>
      <c r="F91" s="1" t="s">
        <v>160</v>
      </c>
      <c r="G91" s="1" t="s">
        <v>247</v>
      </c>
      <c r="H91" s="1" t="n">
        <v>16.3358</v>
      </c>
      <c r="I91" s="1" t="n">
        <v>7.5</v>
      </c>
      <c r="J91" s="1" t="n">
        <v>1</v>
      </c>
      <c r="K91" s="1" t="n">
        <v>3</v>
      </c>
      <c r="L91" s="1" t="n">
        <v>1</v>
      </c>
      <c r="M91" s="1" t="s">
        <v>248</v>
      </c>
    </row>
    <row r="92" customFormat="false" ht="14.25" hidden="true" customHeight="true" outlineLevel="0" collapsed="false">
      <c r="A92" s="1" t="s">
        <v>98</v>
      </c>
      <c r="C92" s="1" t="s">
        <v>106</v>
      </c>
      <c r="D92" s="1" t="n">
        <v>67</v>
      </c>
      <c r="E92" s="1" t="n">
        <v>62</v>
      </c>
      <c r="F92" s="1" t="s">
        <v>160</v>
      </c>
      <c r="G92" s="1" t="s">
        <v>249</v>
      </c>
      <c r="H92" s="1" t="n">
        <v>19.4773</v>
      </c>
      <c r="I92" s="1" t="n">
        <v>10.5</v>
      </c>
      <c r="J92" s="1" t="n">
        <v>1</v>
      </c>
      <c r="K92" s="1" t="n">
        <v>3</v>
      </c>
      <c r="L92" s="1" t="n">
        <v>2</v>
      </c>
      <c r="M92" s="1" t="s">
        <v>250</v>
      </c>
    </row>
    <row r="93" customFormat="false" ht="14.25" hidden="true" customHeight="true" outlineLevel="0" collapsed="false">
      <c r="A93" s="1" t="s">
        <v>98</v>
      </c>
      <c r="B93" s="1" t="s">
        <v>23</v>
      </c>
      <c r="C93" s="1" t="s">
        <v>108</v>
      </c>
      <c r="D93" s="1" t="n">
        <v>64</v>
      </c>
      <c r="E93" s="1" t="n">
        <v>64</v>
      </c>
      <c r="F93" s="1" t="s">
        <v>160</v>
      </c>
      <c r="G93" s="1" t="s">
        <v>251</v>
      </c>
      <c r="H93" s="1" t="n">
        <v>20.1056</v>
      </c>
      <c r="I93" s="1" t="n">
        <v>10.5</v>
      </c>
      <c r="J93" s="1" t="n">
        <v>1</v>
      </c>
      <c r="K93" s="1" t="n">
        <v>3</v>
      </c>
      <c r="L93" s="1" t="n">
        <v>1</v>
      </c>
      <c r="M93" s="1" t="s">
        <v>252</v>
      </c>
    </row>
    <row r="94" customFormat="false" ht="14.25" hidden="true" customHeight="true" outlineLevel="0" collapsed="false">
      <c r="A94" s="1" t="s">
        <v>98</v>
      </c>
      <c r="C94" s="1" t="s">
        <v>106</v>
      </c>
      <c r="D94" s="1" t="n">
        <v>66</v>
      </c>
      <c r="E94" s="1" t="n">
        <v>73</v>
      </c>
      <c r="F94" s="1" t="s">
        <v>160</v>
      </c>
      <c r="G94" s="1" t="s">
        <v>253</v>
      </c>
      <c r="H94" s="1" t="n">
        <v>22.93295</v>
      </c>
      <c r="I94" s="1" t="n">
        <v>11</v>
      </c>
      <c r="J94" s="1" t="n">
        <v>1</v>
      </c>
      <c r="K94" s="1" t="n">
        <v>1</v>
      </c>
      <c r="L94" s="1" t="n">
        <v>1</v>
      </c>
      <c r="M94" s="1" t="s">
        <v>250</v>
      </c>
    </row>
    <row r="95" customFormat="false" ht="14.25" hidden="true" customHeight="true" outlineLevel="0" collapsed="false">
      <c r="A95" s="1" t="s">
        <v>98</v>
      </c>
    </row>
    <row r="96" customFormat="false" ht="14.25" hidden="true" customHeight="true" outlineLevel="0" collapsed="false">
      <c r="A96" s="1" t="s">
        <v>98</v>
      </c>
    </row>
    <row r="97" customFormat="false" ht="14.25" hidden="true" customHeight="true" outlineLevel="0" collapsed="false">
      <c r="A97" s="1" t="s">
        <v>98</v>
      </c>
      <c r="B97" s="1" t="s">
        <v>254</v>
      </c>
      <c r="C97" s="1" t="s">
        <v>106</v>
      </c>
      <c r="D97" s="1" t="n">
        <v>78</v>
      </c>
      <c r="E97" s="1" t="n">
        <v>48</v>
      </c>
      <c r="F97" s="1" t="s">
        <v>255</v>
      </c>
      <c r="G97" s="1" t="s">
        <v>256</v>
      </c>
      <c r="H97" s="1" t="n">
        <v>3.7698</v>
      </c>
      <c r="I97" s="1" t="n">
        <v>5</v>
      </c>
      <c r="J97" s="1" t="n">
        <v>4</v>
      </c>
      <c r="K97" s="1" t="n">
        <v>3</v>
      </c>
      <c r="L97" s="1" t="n">
        <v>3</v>
      </c>
      <c r="M97" s="1" t="s">
        <v>257</v>
      </c>
    </row>
    <row r="98" customFormat="false" ht="14.25" hidden="true" customHeight="true" outlineLevel="0" collapsed="false">
      <c r="A98" s="1" t="s">
        <v>98</v>
      </c>
      <c r="B98" s="1" t="s">
        <v>258</v>
      </c>
      <c r="C98" s="1" t="s">
        <v>106</v>
      </c>
      <c r="D98" s="1" t="n">
        <v>78</v>
      </c>
      <c r="E98" s="1" t="n">
        <v>48</v>
      </c>
      <c r="F98" s="1" t="s">
        <v>255</v>
      </c>
      <c r="G98" s="1" t="s">
        <v>259</v>
      </c>
      <c r="H98" s="1" t="n">
        <v>5.0264</v>
      </c>
      <c r="I98" s="1" t="n">
        <v>4.5</v>
      </c>
      <c r="J98" s="1" t="n">
        <v>3</v>
      </c>
      <c r="K98" s="1" t="n">
        <v>3</v>
      </c>
      <c r="L98" s="1" t="n">
        <v>1</v>
      </c>
      <c r="M98" s="1" t="s">
        <v>260</v>
      </c>
    </row>
    <row r="99" customFormat="false" ht="14.25" hidden="true" customHeight="true" outlineLevel="0" collapsed="false">
      <c r="A99" s="1" t="s">
        <v>98</v>
      </c>
      <c r="C99" s="1" t="s">
        <v>106</v>
      </c>
      <c r="D99" s="1" t="n">
        <v>27</v>
      </c>
      <c r="E99" s="1" t="n">
        <v>56</v>
      </c>
      <c r="F99" s="1" t="s">
        <v>255</v>
      </c>
      <c r="G99" s="1" t="s">
        <v>261</v>
      </c>
      <c r="H99" s="1" t="n">
        <v>5.86413333333333</v>
      </c>
      <c r="I99" s="1" t="n">
        <v>4</v>
      </c>
      <c r="J99" s="1" t="n">
        <v>3</v>
      </c>
      <c r="K99" s="1" t="n">
        <v>3</v>
      </c>
      <c r="L99" s="1" t="n">
        <v>1</v>
      </c>
      <c r="M99" s="1" t="s">
        <v>262</v>
      </c>
    </row>
    <row r="100" customFormat="false" ht="14.25" hidden="true" customHeight="true" outlineLevel="0" collapsed="false">
      <c r="A100" s="1" t="s">
        <v>98</v>
      </c>
      <c r="C100" s="1" t="s">
        <v>106</v>
      </c>
      <c r="D100" s="1" t="n">
        <v>29</v>
      </c>
      <c r="E100" s="1" t="n">
        <v>57</v>
      </c>
      <c r="F100" s="1" t="s">
        <v>255</v>
      </c>
      <c r="G100" s="1" t="s">
        <v>263</v>
      </c>
      <c r="H100" s="1" t="n">
        <v>5.96885</v>
      </c>
      <c r="I100" s="1" t="n">
        <v>3.5</v>
      </c>
      <c r="J100" s="1" t="n">
        <v>3</v>
      </c>
      <c r="K100" s="1" t="n">
        <v>3</v>
      </c>
      <c r="L100" s="1" t="n">
        <v>1</v>
      </c>
      <c r="M100" s="1" t="s">
        <v>264</v>
      </c>
    </row>
    <row r="101" customFormat="false" ht="14.25" hidden="true" customHeight="true" outlineLevel="0" collapsed="false">
      <c r="A101" s="1" t="s">
        <v>98</v>
      </c>
      <c r="B101" s="1" t="s">
        <v>265</v>
      </c>
      <c r="C101" s="1" t="s">
        <v>106</v>
      </c>
      <c r="D101" s="1" t="n">
        <v>1</v>
      </c>
      <c r="E101" s="1" t="n">
        <v>40</v>
      </c>
      <c r="F101" s="1" t="s">
        <v>255</v>
      </c>
      <c r="G101" s="1" t="s">
        <v>266</v>
      </c>
      <c r="H101" s="1" t="n">
        <v>3.1415</v>
      </c>
      <c r="I101" s="1" t="n">
        <v>7.5</v>
      </c>
      <c r="J101" s="1" t="n">
        <v>4</v>
      </c>
      <c r="K101" s="1" t="n">
        <v>3</v>
      </c>
      <c r="L101" s="1" t="n">
        <v>1</v>
      </c>
      <c r="M101" s="1" t="s">
        <v>267</v>
      </c>
    </row>
    <row r="102" customFormat="false" ht="14.25" hidden="true" customHeight="true" outlineLevel="0" collapsed="false">
      <c r="A102" s="1" t="s">
        <v>98</v>
      </c>
      <c r="C102" s="1" t="s">
        <v>106</v>
      </c>
      <c r="D102" s="1" t="n">
        <v>79</v>
      </c>
      <c r="E102" s="1" t="n">
        <v>57</v>
      </c>
      <c r="F102" s="1" t="s">
        <v>255</v>
      </c>
      <c r="G102" s="1" t="s">
        <v>268</v>
      </c>
      <c r="H102" s="1" t="n">
        <v>8.953275</v>
      </c>
      <c r="I102" s="1" t="n">
        <v>8</v>
      </c>
      <c r="J102" s="1" t="n">
        <v>2</v>
      </c>
      <c r="K102" s="1" t="n">
        <v>3</v>
      </c>
      <c r="L102" s="1" t="n">
        <v>1</v>
      </c>
      <c r="M102" s="1" t="s">
        <v>260</v>
      </c>
    </row>
    <row r="103" customFormat="false" ht="14.25" hidden="true" customHeight="true" outlineLevel="0" collapsed="false">
      <c r="A103" s="1" t="s">
        <v>98</v>
      </c>
      <c r="C103" s="1" t="s">
        <v>106</v>
      </c>
      <c r="D103" s="1" t="n">
        <v>80</v>
      </c>
      <c r="E103" s="1" t="n">
        <v>64</v>
      </c>
      <c r="F103" s="1" t="s">
        <v>255</v>
      </c>
      <c r="G103" s="1" t="s">
        <v>269</v>
      </c>
      <c r="H103" s="1" t="n">
        <v>10.0528</v>
      </c>
      <c r="I103" s="1" t="n">
        <v>7</v>
      </c>
      <c r="J103" s="1" t="n">
        <v>2</v>
      </c>
      <c r="K103" s="1" t="n">
        <v>3</v>
      </c>
      <c r="L103" s="1" t="n">
        <v>1</v>
      </c>
      <c r="M103" s="1" t="s">
        <v>270</v>
      </c>
    </row>
    <row r="104" customFormat="false" ht="14.25" hidden="true" customHeight="true" outlineLevel="0" collapsed="false">
      <c r="A104" s="1" t="s">
        <v>98</v>
      </c>
      <c r="C104" s="1" t="s">
        <v>108</v>
      </c>
      <c r="D104" s="1" t="n">
        <v>19</v>
      </c>
      <c r="E104" s="1" t="n">
        <v>57</v>
      </c>
      <c r="F104" s="1" t="s">
        <v>255</v>
      </c>
      <c r="G104" s="1" t="s">
        <v>271</v>
      </c>
      <c r="H104" s="1" t="n">
        <v>17.90655</v>
      </c>
      <c r="I104" s="1" t="n">
        <v>4</v>
      </c>
      <c r="J104" s="1" t="n">
        <v>1</v>
      </c>
      <c r="K104" s="1" t="n">
        <v>3</v>
      </c>
      <c r="L104" s="1" t="n">
        <v>1</v>
      </c>
      <c r="M104" s="1" t="s">
        <v>272</v>
      </c>
    </row>
    <row r="105" customFormat="false" ht="14.25" hidden="true" customHeight="true" outlineLevel="0" collapsed="false">
      <c r="A105" s="1" t="s">
        <v>98</v>
      </c>
    </row>
    <row r="106" customFormat="false" ht="14.25" hidden="true" customHeight="true" outlineLevel="0" collapsed="false">
      <c r="A106" s="1" t="s">
        <v>98</v>
      </c>
      <c r="C106" s="1" t="s">
        <v>111</v>
      </c>
      <c r="D106" s="1" t="n">
        <v>85</v>
      </c>
      <c r="E106" s="1" t="n">
        <v>51</v>
      </c>
      <c r="F106" s="1" t="s">
        <v>273</v>
      </c>
      <c r="G106" s="1" t="s">
        <v>274</v>
      </c>
      <c r="H106" s="1" t="n">
        <v>16.2</v>
      </c>
      <c r="I106" s="1" t="n">
        <v>11</v>
      </c>
      <c r="J106" s="1" t="n">
        <v>1</v>
      </c>
      <c r="K106" s="1" t="n">
        <v>1</v>
      </c>
      <c r="L106" s="1" t="n">
        <v>2</v>
      </c>
      <c r="M106" s="1" t="s">
        <v>275</v>
      </c>
    </row>
    <row r="107" customFormat="false" ht="14.25" hidden="true" customHeight="true" outlineLevel="0" collapsed="false">
      <c r="A107" s="1" t="s">
        <v>98</v>
      </c>
    </row>
    <row r="108" customFormat="false" ht="14.25" hidden="true" customHeight="true" outlineLevel="0" collapsed="false">
      <c r="A108" s="1" t="s">
        <v>98</v>
      </c>
      <c r="D108" s="1" t="n">
        <v>86</v>
      </c>
      <c r="E108" s="1" t="n">
        <v>44</v>
      </c>
      <c r="F108" s="1" t="s">
        <v>23</v>
      </c>
      <c r="G108" s="1" t="s">
        <v>163</v>
      </c>
      <c r="M108" s="1" t="s">
        <v>164</v>
      </c>
    </row>
    <row r="109" customFormat="false" ht="14.25" hidden="true" customHeight="true" outlineLevel="0" collapsed="false">
      <c r="A109" s="1" t="s">
        <v>98</v>
      </c>
      <c r="B109" s="1" t="s">
        <v>23</v>
      </c>
      <c r="C109" s="1" t="s">
        <v>111</v>
      </c>
      <c r="D109" s="1" t="n">
        <v>65</v>
      </c>
      <c r="E109" s="1" t="n">
        <v>46</v>
      </c>
      <c r="F109" s="1" t="s">
        <v>23</v>
      </c>
      <c r="G109" s="1" t="s">
        <v>276</v>
      </c>
      <c r="H109" s="1" t="n">
        <v>4.8</v>
      </c>
      <c r="I109" s="1" t="n">
        <v>10.5</v>
      </c>
      <c r="J109" s="1" t="n">
        <v>3</v>
      </c>
      <c r="K109" s="1" t="n">
        <v>3</v>
      </c>
      <c r="L109" s="1" t="n">
        <v>1</v>
      </c>
      <c r="M109" s="1" t="s">
        <v>218</v>
      </c>
    </row>
    <row r="110" customFormat="false" ht="14.25" hidden="true" customHeight="true" outlineLevel="0" collapsed="false">
      <c r="A110" s="1" t="s">
        <v>98</v>
      </c>
      <c r="D110" s="1" t="n">
        <v>87</v>
      </c>
      <c r="E110" s="1" t="n">
        <v>50</v>
      </c>
      <c r="F110" s="1" t="s">
        <v>23</v>
      </c>
      <c r="G110" s="1" t="s">
        <v>277</v>
      </c>
      <c r="H110" s="1" t="n">
        <v>5.2</v>
      </c>
      <c r="I110" s="1" t="n">
        <v>10.5</v>
      </c>
      <c r="J110" s="1" t="n">
        <v>3</v>
      </c>
      <c r="K110" s="1" t="n">
        <v>3</v>
      </c>
      <c r="L110" s="1" t="n">
        <v>1</v>
      </c>
      <c r="M110" s="1" t="s">
        <v>278</v>
      </c>
    </row>
    <row r="111" customFormat="false" ht="14.25" hidden="true" customHeight="true" outlineLevel="0" collapsed="false">
      <c r="A111" s="1" t="s">
        <v>98</v>
      </c>
      <c r="C111" s="1" t="s">
        <v>111</v>
      </c>
      <c r="D111" s="1" t="n">
        <v>95</v>
      </c>
      <c r="E111" s="1" t="n">
        <v>50</v>
      </c>
      <c r="F111" s="1" t="s">
        <v>23</v>
      </c>
      <c r="G111" s="1" t="s">
        <v>279</v>
      </c>
      <c r="H111" s="1" t="n">
        <v>7.8</v>
      </c>
      <c r="I111" s="1" t="n">
        <v>10.5</v>
      </c>
      <c r="J111" s="1" t="n">
        <v>2</v>
      </c>
      <c r="K111" s="1" t="n">
        <v>2</v>
      </c>
      <c r="L111" s="1" t="n">
        <v>1</v>
      </c>
      <c r="M111" s="1" t="s">
        <v>280</v>
      </c>
    </row>
    <row r="112" customFormat="false" ht="14.25" hidden="true" customHeight="true" outlineLevel="0" collapsed="false">
      <c r="A112" s="1" t="s">
        <v>98</v>
      </c>
      <c r="D112" s="1" t="n">
        <v>88</v>
      </c>
      <c r="E112" s="1" t="n">
        <v>64</v>
      </c>
      <c r="F112" s="1" t="s">
        <v>191</v>
      </c>
      <c r="M112" s="1" t="s">
        <v>252</v>
      </c>
    </row>
    <row r="113" customFormat="false" ht="14.25" hidden="true" customHeight="true" outlineLevel="0" collapsed="false">
      <c r="A113" s="1" t="s">
        <v>98</v>
      </c>
      <c r="D113" s="1" t="n">
        <v>89</v>
      </c>
      <c r="E113" s="1" t="n">
        <v>60</v>
      </c>
      <c r="F113" s="1" t="s">
        <v>281</v>
      </c>
    </row>
    <row r="114" customFormat="false" ht="14.25" hidden="true" customHeight="true" outlineLevel="0" collapsed="false">
      <c r="A114" s="1" t="s">
        <v>98</v>
      </c>
      <c r="D114" s="1" t="n">
        <v>90</v>
      </c>
      <c r="E114" s="1" t="n">
        <v>38</v>
      </c>
      <c r="F114" s="1" t="s">
        <v>281</v>
      </c>
      <c r="G114" s="1" t="n">
        <v>10</v>
      </c>
    </row>
    <row r="115" customFormat="false" ht="14.25" hidden="true" customHeight="true" outlineLevel="0" collapsed="false">
      <c r="A115" s="1" t="s">
        <v>98</v>
      </c>
      <c r="D115" s="1" t="n">
        <v>91</v>
      </c>
      <c r="E115" s="1" t="n">
        <v>66</v>
      </c>
      <c r="F115" s="1" t="s">
        <v>282</v>
      </c>
      <c r="M115" s="1" t="s">
        <v>283</v>
      </c>
    </row>
    <row r="116" customFormat="false" ht="14.25" hidden="true" customHeight="true" outlineLevel="0" collapsed="false">
      <c r="A116" s="1" t="s">
        <v>284</v>
      </c>
      <c r="B116" s="1" t="s">
        <v>285</v>
      </c>
      <c r="C116" s="1" t="s">
        <v>104</v>
      </c>
      <c r="D116" s="1" t="n">
        <v>1</v>
      </c>
      <c r="E116" s="1" t="n">
        <v>63</v>
      </c>
      <c r="F116" s="1" t="s">
        <v>101</v>
      </c>
      <c r="G116" s="1" t="n">
        <v>4</v>
      </c>
      <c r="H116" s="1" t="n">
        <v>4</v>
      </c>
      <c r="I116" s="1" t="n">
        <v>12.5</v>
      </c>
      <c r="J116" s="1" t="n">
        <v>5</v>
      </c>
      <c r="K116" s="1" t="n">
        <v>5</v>
      </c>
      <c r="L116" s="1" t="s">
        <v>102</v>
      </c>
      <c r="P116" s="1" t="s">
        <v>88</v>
      </c>
    </row>
    <row r="117" customFormat="false" ht="14.25" hidden="true" customHeight="true" outlineLevel="0" collapsed="false">
      <c r="A117" s="1" t="s">
        <v>284</v>
      </c>
      <c r="C117" s="1" t="s">
        <v>104</v>
      </c>
      <c r="D117" s="1" t="n">
        <v>2</v>
      </c>
      <c r="E117" s="1" t="n">
        <v>47</v>
      </c>
      <c r="F117" s="1" t="s">
        <v>101</v>
      </c>
      <c r="G117" s="1" t="n">
        <v>5</v>
      </c>
      <c r="H117" s="1" t="n">
        <v>5</v>
      </c>
      <c r="I117" s="1" t="n">
        <v>25</v>
      </c>
      <c r="J117" s="1" t="n">
        <v>3</v>
      </c>
      <c r="K117" s="1" t="n">
        <v>5</v>
      </c>
      <c r="L117" s="1" t="s">
        <v>102</v>
      </c>
      <c r="N117" s="1" t="s">
        <v>286</v>
      </c>
      <c r="P117" s="1" t="s">
        <v>285</v>
      </c>
    </row>
    <row r="118" customFormat="false" ht="14.25" hidden="true" customHeight="true" outlineLevel="0" collapsed="false">
      <c r="A118" s="1" t="s">
        <v>284</v>
      </c>
      <c r="B118" s="1" t="s">
        <v>287</v>
      </c>
      <c r="C118" s="1" t="s">
        <v>104</v>
      </c>
      <c r="D118" s="1" t="n">
        <v>3</v>
      </c>
      <c r="E118" s="1" t="n">
        <v>63</v>
      </c>
      <c r="F118" s="1" t="s">
        <v>101</v>
      </c>
      <c r="G118" s="1" t="n">
        <v>6.6</v>
      </c>
      <c r="H118" s="1" t="n">
        <v>6.6</v>
      </c>
      <c r="I118" s="1" t="n">
        <v>13</v>
      </c>
      <c r="J118" s="1" t="n">
        <v>3</v>
      </c>
      <c r="K118" s="1" t="n">
        <v>5</v>
      </c>
      <c r="L118" s="1" t="s">
        <v>102</v>
      </c>
    </row>
    <row r="119" customFormat="false" ht="14.25" hidden="true" customHeight="true" outlineLevel="0" collapsed="false">
      <c r="A119" s="1" t="s">
        <v>284</v>
      </c>
      <c r="C119" s="1" t="s">
        <v>104</v>
      </c>
      <c r="D119" s="1" t="n">
        <v>4</v>
      </c>
      <c r="E119" s="1" t="n">
        <v>47</v>
      </c>
      <c r="F119" s="1" t="s">
        <v>101</v>
      </c>
      <c r="G119" s="1" t="n">
        <v>7.5</v>
      </c>
      <c r="H119" s="1" t="n">
        <v>7.5</v>
      </c>
      <c r="I119" s="1" t="n">
        <v>25</v>
      </c>
      <c r="J119" s="1" t="n">
        <v>2</v>
      </c>
      <c r="K119" s="1" t="n">
        <v>5</v>
      </c>
      <c r="L119" s="1" t="s">
        <v>102</v>
      </c>
      <c r="N119" s="1" t="s">
        <v>286</v>
      </c>
      <c r="P119" s="1" t="s">
        <v>287</v>
      </c>
    </row>
    <row r="120" customFormat="false" ht="14.25" hidden="true" customHeight="true" outlineLevel="0" collapsed="false">
      <c r="A120" s="1" t="s">
        <v>284</v>
      </c>
      <c r="B120" s="1" t="s">
        <v>288</v>
      </c>
      <c r="C120" s="1" t="s">
        <v>104</v>
      </c>
      <c r="D120" s="1" t="n">
        <v>5</v>
      </c>
      <c r="E120" s="1" t="n">
        <v>51</v>
      </c>
      <c r="F120" s="1" t="s">
        <v>101</v>
      </c>
      <c r="G120" s="1" t="n">
        <v>8.1</v>
      </c>
      <c r="H120" s="1" t="n">
        <v>8.1</v>
      </c>
      <c r="I120" s="1" t="n">
        <v>13</v>
      </c>
      <c r="J120" s="1" t="n">
        <v>2</v>
      </c>
      <c r="K120" s="1" t="n">
        <v>4</v>
      </c>
      <c r="L120" s="1" t="s">
        <v>102</v>
      </c>
    </row>
    <row r="121" customFormat="false" ht="14.25" hidden="true" customHeight="true" outlineLevel="0" collapsed="false">
      <c r="A121" s="1" t="s">
        <v>284</v>
      </c>
      <c r="B121" s="1" t="s">
        <v>289</v>
      </c>
      <c r="C121" s="1" t="s">
        <v>104</v>
      </c>
      <c r="D121" s="1" t="n">
        <v>6</v>
      </c>
      <c r="E121" s="1" t="n">
        <v>63</v>
      </c>
      <c r="F121" s="1" t="s">
        <v>290</v>
      </c>
      <c r="G121" s="1" t="n">
        <v>10</v>
      </c>
      <c r="H121" s="1" t="n">
        <v>10</v>
      </c>
      <c r="I121" s="1" t="n">
        <v>17</v>
      </c>
      <c r="J121" s="1" t="n">
        <v>2</v>
      </c>
      <c r="K121" s="1" t="n">
        <v>5</v>
      </c>
      <c r="L121" s="1" t="s">
        <v>102</v>
      </c>
      <c r="M121" s="1" t="s">
        <v>291</v>
      </c>
      <c r="N121" s="1" t="s">
        <v>292</v>
      </c>
      <c r="P121" s="1" t="s">
        <v>288</v>
      </c>
    </row>
    <row r="122" customFormat="false" ht="14.25" hidden="true" customHeight="true" outlineLevel="0" collapsed="false">
      <c r="A122" s="1" t="s">
        <v>284</v>
      </c>
      <c r="C122" s="1" t="s">
        <v>104</v>
      </c>
      <c r="D122" s="1" t="n">
        <v>7</v>
      </c>
      <c r="E122" s="1" t="n">
        <v>49</v>
      </c>
      <c r="F122" s="1" t="s">
        <v>101</v>
      </c>
      <c r="G122" s="1" t="n">
        <v>15.5</v>
      </c>
      <c r="H122" s="1" t="n">
        <v>15.5</v>
      </c>
      <c r="I122" s="1" t="n">
        <v>10.4</v>
      </c>
      <c r="J122" s="1" t="n">
        <v>2</v>
      </c>
      <c r="K122" s="1" t="n">
        <v>4</v>
      </c>
      <c r="L122" s="1" t="s">
        <v>102</v>
      </c>
      <c r="M122" s="1" t="s">
        <v>293</v>
      </c>
      <c r="P122" s="1" t="s">
        <v>289</v>
      </c>
    </row>
    <row r="123" customFormat="false" ht="14.25" hidden="true" customHeight="true" outlineLevel="0" collapsed="false">
      <c r="A123" s="1" t="s">
        <v>284</v>
      </c>
    </row>
    <row r="124" customFormat="false" ht="14.25" hidden="true" customHeight="true" outlineLevel="0" collapsed="false">
      <c r="A124" s="1" t="s">
        <v>284</v>
      </c>
      <c r="C124" s="1" t="s">
        <v>104</v>
      </c>
      <c r="D124" s="1" t="n">
        <v>8</v>
      </c>
      <c r="E124" s="1" t="n">
        <v>59</v>
      </c>
      <c r="F124" s="1" t="s">
        <v>116</v>
      </c>
      <c r="G124" s="1" t="n">
        <v>6</v>
      </c>
      <c r="H124" s="1" t="n">
        <v>6.3</v>
      </c>
      <c r="I124" s="1" t="n">
        <v>19</v>
      </c>
      <c r="J124" s="1" t="n">
        <v>3</v>
      </c>
      <c r="K124" s="1" t="n">
        <v>4</v>
      </c>
      <c r="L124" s="1" t="n">
        <v>3</v>
      </c>
      <c r="M124" s="1" t="s">
        <v>294</v>
      </c>
    </row>
    <row r="125" customFormat="false" ht="14.25" hidden="true" customHeight="true" outlineLevel="0" collapsed="false">
      <c r="A125" s="1" t="s">
        <v>284</v>
      </c>
      <c r="B125" s="1" t="s">
        <v>295</v>
      </c>
      <c r="C125" s="1" t="s">
        <v>104</v>
      </c>
      <c r="D125" s="1" t="n">
        <v>9</v>
      </c>
      <c r="E125" s="1" t="n">
        <v>68</v>
      </c>
      <c r="F125" s="1" t="s">
        <v>116</v>
      </c>
      <c r="G125" s="1" t="n">
        <v>6.9</v>
      </c>
      <c r="H125" s="1" t="n">
        <v>7.2</v>
      </c>
      <c r="I125" s="1" t="n">
        <v>7.5</v>
      </c>
      <c r="J125" s="1" t="n">
        <v>3</v>
      </c>
      <c r="K125" s="1" t="n">
        <v>4</v>
      </c>
      <c r="L125" s="1" t="n">
        <v>1</v>
      </c>
      <c r="M125" s="1" t="s">
        <v>296</v>
      </c>
    </row>
    <row r="126" customFormat="false" ht="14.25" hidden="true" customHeight="true" outlineLevel="0" collapsed="false">
      <c r="A126" s="1" t="s">
        <v>284</v>
      </c>
      <c r="B126" s="1" t="s">
        <v>297</v>
      </c>
      <c r="C126" s="1" t="s">
        <v>104</v>
      </c>
      <c r="D126" s="1" t="n">
        <v>9</v>
      </c>
      <c r="E126" s="1" t="n">
        <v>68</v>
      </c>
      <c r="F126" s="1" t="s">
        <v>116</v>
      </c>
      <c r="G126" s="1" t="n">
        <v>10.5</v>
      </c>
      <c r="H126" s="1" t="n">
        <v>10.8</v>
      </c>
      <c r="I126" s="1" t="n">
        <v>11</v>
      </c>
      <c r="J126" s="1" t="n">
        <v>2</v>
      </c>
      <c r="K126" s="1" t="n">
        <v>4</v>
      </c>
      <c r="L126" s="1" t="n">
        <v>1</v>
      </c>
      <c r="M126" s="1" t="s">
        <v>298</v>
      </c>
      <c r="P126" s="1" t="s">
        <v>295</v>
      </c>
    </row>
    <row r="127" customFormat="false" ht="14.25" hidden="true" customHeight="true" outlineLevel="0" collapsed="false">
      <c r="A127" s="1" t="s">
        <v>284</v>
      </c>
      <c r="B127" s="1" t="s">
        <v>299</v>
      </c>
      <c r="C127" s="1" t="s">
        <v>104</v>
      </c>
      <c r="D127" s="1" t="n">
        <v>10</v>
      </c>
      <c r="E127" s="1" t="n">
        <v>59</v>
      </c>
      <c r="F127" s="1" t="s">
        <v>116</v>
      </c>
      <c r="G127" s="1" t="n">
        <v>9.1</v>
      </c>
      <c r="H127" s="1" t="n">
        <v>9.4</v>
      </c>
      <c r="I127" s="1" t="n">
        <v>9.5</v>
      </c>
      <c r="J127" s="1" t="n">
        <v>2</v>
      </c>
      <c r="K127" s="1" t="n">
        <v>4</v>
      </c>
      <c r="L127" s="1" t="n">
        <v>1</v>
      </c>
      <c r="M127" s="1" t="s">
        <v>300</v>
      </c>
      <c r="P127" s="1" t="s">
        <v>297</v>
      </c>
    </row>
    <row r="128" customFormat="false" ht="14.25" hidden="true" customHeight="true" outlineLevel="0" collapsed="false">
      <c r="A128" s="1" t="s">
        <v>284</v>
      </c>
      <c r="P128" s="1" t="s">
        <v>299</v>
      </c>
    </row>
    <row r="129" customFormat="false" ht="14.25" hidden="true" customHeight="true" outlineLevel="0" collapsed="false">
      <c r="A129" s="1" t="s">
        <v>284</v>
      </c>
      <c r="B129" s="1" t="s">
        <v>301</v>
      </c>
      <c r="C129" s="1" t="s">
        <v>104</v>
      </c>
      <c r="D129" s="1" t="n">
        <v>10</v>
      </c>
      <c r="E129" s="1" t="n">
        <v>59</v>
      </c>
      <c r="F129" s="1" t="s">
        <v>131</v>
      </c>
      <c r="G129" s="1" t="s">
        <v>302</v>
      </c>
      <c r="H129" s="1" t="n">
        <v>4.683125</v>
      </c>
      <c r="I129" s="1" t="n">
        <v>2.5</v>
      </c>
      <c r="J129" s="1" t="n">
        <v>4</v>
      </c>
      <c r="K129" s="1" t="n">
        <v>4</v>
      </c>
      <c r="L129" s="1" t="n">
        <v>1</v>
      </c>
    </row>
    <row r="130" customFormat="false" ht="14.25" hidden="true" customHeight="true" outlineLevel="0" collapsed="false">
      <c r="A130" s="1" t="s">
        <v>284</v>
      </c>
      <c r="B130" s="1" t="s">
        <v>303</v>
      </c>
      <c r="C130" s="1" t="s">
        <v>104</v>
      </c>
      <c r="D130" s="1" t="n">
        <v>11</v>
      </c>
      <c r="E130" s="1" t="n">
        <v>47</v>
      </c>
      <c r="F130" s="1" t="s">
        <v>131</v>
      </c>
      <c r="G130" s="1" t="s">
        <v>304</v>
      </c>
      <c r="H130" s="1" t="n">
        <v>4.97416666666667</v>
      </c>
      <c r="I130" s="1" t="n">
        <v>6.5</v>
      </c>
      <c r="J130" s="1" t="n">
        <v>3</v>
      </c>
      <c r="K130" s="1" t="n">
        <v>5</v>
      </c>
      <c r="L130" s="1" t="n">
        <v>1</v>
      </c>
      <c r="M130" s="1" t="s">
        <v>305</v>
      </c>
      <c r="P130" s="1" t="s">
        <v>301</v>
      </c>
    </row>
    <row r="131" customFormat="false" ht="14.25" hidden="true" customHeight="true" outlineLevel="0" collapsed="false">
      <c r="A131" s="1" t="s">
        <v>284</v>
      </c>
      <c r="B131" s="1" t="s">
        <v>306</v>
      </c>
      <c r="C131" s="1" t="s">
        <v>104</v>
      </c>
      <c r="D131" s="1" t="n">
        <v>9</v>
      </c>
      <c r="E131" s="1" t="n">
        <v>68</v>
      </c>
      <c r="F131" s="1" t="s">
        <v>131</v>
      </c>
      <c r="G131" s="1" t="s">
        <v>307</v>
      </c>
      <c r="H131" s="1" t="n">
        <v>10.795</v>
      </c>
      <c r="I131" s="1" t="n">
        <v>6.5</v>
      </c>
      <c r="J131" s="1" t="n">
        <v>2</v>
      </c>
      <c r="K131" s="1" t="n">
        <v>4</v>
      </c>
      <c r="L131" s="1" t="n">
        <v>1</v>
      </c>
      <c r="M131" s="1" t="s">
        <v>308</v>
      </c>
      <c r="P131" s="1" t="s">
        <v>303</v>
      </c>
    </row>
    <row r="132" customFormat="false" ht="14.25" hidden="true" customHeight="true" outlineLevel="0" collapsed="false">
      <c r="A132" s="1" t="s">
        <v>284</v>
      </c>
      <c r="P132" s="1" t="s">
        <v>306</v>
      </c>
    </row>
    <row r="133" customFormat="false" ht="14.25" hidden="true" customHeight="true" outlineLevel="0" collapsed="false">
      <c r="A133" s="1" t="s">
        <v>284</v>
      </c>
      <c r="B133" s="1" t="s">
        <v>309</v>
      </c>
      <c r="C133" s="1" t="s">
        <v>104</v>
      </c>
      <c r="D133" s="1" t="n">
        <v>12</v>
      </c>
      <c r="E133" s="1" t="n">
        <v>47</v>
      </c>
      <c r="F133" s="1" t="s">
        <v>160</v>
      </c>
      <c r="G133" s="1" t="s">
        <v>170</v>
      </c>
      <c r="H133" s="1" t="n">
        <v>1.49225</v>
      </c>
      <c r="I133" s="1" t="n">
        <v>10.5</v>
      </c>
      <c r="J133" s="1" t="n">
        <v>10</v>
      </c>
      <c r="K133" s="1" t="n">
        <v>5</v>
      </c>
      <c r="L133" s="1" t="n">
        <v>3</v>
      </c>
      <c r="M133" s="1" t="s">
        <v>310</v>
      </c>
    </row>
    <row r="134" customFormat="false" ht="14.25" hidden="true" customHeight="true" outlineLevel="0" collapsed="false">
      <c r="A134" s="1" t="s">
        <v>284</v>
      </c>
      <c r="C134" s="1" t="s">
        <v>111</v>
      </c>
      <c r="D134" s="1" t="n">
        <v>13</v>
      </c>
      <c r="E134" s="1" t="n">
        <v>53</v>
      </c>
      <c r="F134" s="1" t="s">
        <v>160</v>
      </c>
      <c r="G134" s="1" t="s">
        <v>168</v>
      </c>
      <c r="H134" s="1" t="n">
        <v>2.1034375</v>
      </c>
      <c r="I134" s="1" t="n">
        <v>21</v>
      </c>
      <c r="J134" s="1" t="n">
        <v>8</v>
      </c>
      <c r="K134" s="1" t="n">
        <v>5</v>
      </c>
      <c r="L134" s="1" t="n">
        <v>6</v>
      </c>
      <c r="M134" s="1" t="s">
        <v>311</v>
      </c>
      <c r="P134" s="1" t="s">
        <v>309</v>
      </c>
    </row>
    <row r="135" customFormat="false" ht="14.25" hidden="true" customHeight="true" outlineLevel="0" collapsed="false">
      <c r="A135" s="1" t="s">
        <v>284</v>
      </c>
      <c r="C135" s="1" t="s">
        <v>111</v>
      </c>
      <c r="D135" s="1" t="n">
        <v>13</v>
      </c>
      <c r="E135" s="1" t="n">
        <v>53</v>
      </c>
      <c r="F135" s="1" t="s">
        <v>160</v>
      </c>
      <c r="G135" s="1" t="s">
        <v>168</v>
      </c>
      <c r="H135" s="1" t="n">
        <v>2.1034375</v>
      </c>
      <c r="I135" s="1" t="n">
        <v>21</v>
      </c>
      <c r="J135" s="1" t="n">
        <v>8</v>
      </c>
      <c r="K135" s="1" t="n">
        <v>5</v>
      </c>
      <c r="L135" s="1" t="n">
        <v>6</v>
      </c>
      <c r="M135" s="1" t="s">
        <v>311</v>
      </c>
    </row>
    <row r="136" customFormat="false" ht="14.25" hidden="true" customHeight="true" outlineLevel="0" collapsed="false">
      <c r="A136" s="1" t="s">
        <v>284</v>
      </c>
      <c r="B136" s="1" t="s">
        <v>312</v>
      </c>
      <c r="C136" s="1" t="s">
        <v>104</v>
      </c>
      <c r="D136" s="1" t="n">
        <v>18</v>
      </c>
      <c r="E136" s="1" t="n">
        <v>49</v>
      </c>
      <c r="F136" s="1" t="s">
        <v>160</v>
      </c>
      <c r="G136" s="1" t="s">
        <v>313</v>
      </c>
      <c r="H136" s="1" t="n">
        <v>2.59291666666667</v>
      </c>
      <c r="I136" s="1" t="n">
        <v>21</v>
      </c>
      <c r="J136" s="1" t="n">
        <v>6</v>
      </c>
      <c r="K136" s="1" t="n">
        <v>4</v>
      </c>
      <c r="L136" s="1" t="n">
        <v>6</v>
      </c>
      <c r="M136" s="1" t="s">
        <v>314</v>
      </c>
    </row>
    <row r="137" customFormat="false" ht="14.25" hidden="true" customHeight="true" outlineLevel="0" collapsed="false">
      <c r="A137" s="1" t="s">
        <v>284</v>
      </c>
      <c r="B137" s="1" t="s">
        <v>312</v>
      </c>
      <c r="C137" s="1" t="s">
        <v>104</v>
      </c>
      <c r="D137" s="1" t="n">
        <v>18</v>
      </c>
      <c r="E137" s="1" t="n">
        <v>49</v>
      </c>
      <c r="F137" s="1" t="s">
        <v>160</v>
      </c>
      <c r="G137" s="1" t="s">
        <v>313</v>
      </c>
      <c r="H137" s="1" t="n">
        <v>2.59291666666667</v>
      </c>
      <c r="I137" s="1" t="n">
        <v>21</v>
      </c>
      <c r="J137" s="1" t="n">
        <v>6</v>
      </c>
      <c r="K137" s="1" t="n">
        <v>4</v>
      </c>
      <c r="L137" s="1" t="n">
        <v>6</v>
      </c>
      <c r="M137" s="1" t="s">
        <v>314</v>
      </c>
      <c r="P137" s="1" t="s">
        <v>315</v>
      </c>
    </row>
    <row r="138" customFormat="false" ht="14.25" hidden="true" customHeight="true" outlineLevel="0" collapsed="false">
      <c r="A138" s="1" t="s">
        <v>284</v>
      </c>
      <c r="B138" s="1" t="s">
        <v>316</v>
      </c>
      <c r="C138" s="1" t="s">
        <v>104</v>
      </c>
      <c r="D138" s="1" t="n">
        <v>1</v>
      </c>
      <c r="E138" s="1" t="n">
        <v>63</v>
      </c>
      <c r="F138" s="1" t="s">
        <v>160</v>
      </c>
      <c r="G138" s="1" t="s">
        <v>317</v>
      </c>
      <c r="H138" s="1" t="n">
        <v>4.0005</v>
      </c>
      <c r="I138" s="1" t="n">
        <v>12</v>
      </c>
      <c r="J138" s="1" t="n">
        <v>5</v>
      </c>
      <c r="K138" s="1" t="n">
        <v>5</v>
      </c>
      <c r="L138" s="1" t="n">
        <v>2</v>
      </c>
      <c r="M138" s="1" t="s">
        <v>318</v>
      </c>
      <c r="P138" s="1" t="s">
        <v>319</v>
      </c>
    </row>
    <row r="139" customFormat="false" ht="14.25" hidden="true" customHeight="true" outlineLevel="0" collapsed="false">
      <c r="A139" s="1" t="s">
        <v>284</v>
      </c>
      <c r="B139" s="1" t="s">
        <v>320</v>
      </c>
      <c r="C139" s="1" t="s">
        <v>104</v>
      </c>
      <c r="D139" s="1" t="n">
        <v>16</v>
      </c>
      <c r="E139" s="1" t="n">
        <v>54</v>
      </c>
      <c r="F139" s="1" t="s">
        <v>160</v>
      </c>
      <c r="G139" s="1" t="s">
        <v>321</v>
      </c>
      <c r="H139" s="1" t="n">
        <v>4.28625</v>
      </c>
      <c r="I139" s="1" t="n">
        <v>25</v>
      </c>
      <c r="J139" s="1" t="n">
        <v>4</v>
      </c>
      <c r="K139" s="1" t="n">
        <v>3</v>
      </c>
      <c r="L139" s="1" t="n">
        <v>6</v>
      </c>
      <c r="M139" s="1" t="s">
        <v>322</v>
      </c>
      <c r="P139" s="1" t="s">
        <v>319</v>
      </c>
    </row>
    <row r="140" customFormat="false" ht="14.25" hidden="true" customHeight="true" outlineLevel="0" collapsed="false">
      <c r="A140" s="1" t="s">
        <v>284</v>
      </c>
      <c r="B140" s="1" t="s">
        <v>320</v>
      </c>
      <c r="C140" s="1" t="s">
        <v>104</v>
      </c>
      <c r="D140" s="1" t="n">
        <v>16</v>
      </c>
      <c r="E140" s="1" t="n">
        <v>54</v>
      </c>
      <c r="F140" s="1" t="s">
        <v>160</v>
      </c>
      <c r="G140" s="1" t="s">
        <v>321</v>
      </c>
      <c r="H140" s="1" t="n">
        <v>4.28625</v>
      </c>
      <c r="I140" s="1" t="n">
        <v>25</v>
      </c>
      <c r="J140" s="1" t="n">
        <v>4</v>
      </c>
      <c r="K140" s="1" t="n">
        <v>3</v>
      </c>
      <c r="L140" s="1" t="n">
        <v>6</v>
      </c>
      <c r="M140" s="1" t="s">
        <v>322</v>
      </c>
      <c r="P140" s="1" t="s">
        <v>320</v>
      </c>
    </row>
    <row r="141" customFormat="false" ht="14.25" hidden="true" customHeight="true" outlineLevel="0" collapsed="false">
      <c r="A141" s="1" t="s">
        <v>284</v>
      </c>
      <c r="C141" s="1" t="s">
        <v>104</v>
      </c>
      <c r="D141" s="1" t="n">
        <v>56</v>
      </c>
      <c r="E141" s="1" t="n">
        <v>60</v>
      </c>
      <c r="F141" s="1" t="s">
        <v>160</v>
      </c>
      <c r="G141" s="1" t="s">
        <v>323</v>
      </c>
      <c r="H141" s="1" t="n">
        <v>6.35</v>
      </c>
      <c r="I141" s="1" t="n">
        <v>25</v>
      </c>
      <c r="J141" s="1" t="n">
        <v>3</v>
      </c>
      <c r="K141" s="1" t="n">
        <v>5</v>
      </c>
      <c r="L141" s="1" t="n">
        <v>6</v>
      </c>
      <c r="M141" s="1" t="s">
        <v>322</v>
      </c>
      <c r="P141" s="1" t="s">
        <v>320</v>
      </c>
    </row>
    <row r="142" customFormat="false" ht="14.25" hidden="true" customHeight="true" outlineLevel="0" collapsed="false">
      <c r="A142" s="1" t="s">
        <v>284</v>
      </c>
      <c r="B142" s="1" t="s">
        <v>315</v>
      </c>
      <c r="C142" s="1" t="s">
        <v>104</v>
      </c>
      <c r="D142" s="1" t="n">
        <v>14</v>
      </c>
      <c r="E142" s="1" t="n">
        <v>63</v>
      </c>
      <c r="F142" s="1" t="s">
        <v>160</v>
      </c>
      <c r="G142" s="1" t="s">
        <v>179</v>
      </c>
      <c r="H142" s="1" t="n">
        <v>3.33375</v>
      </c>
      <c r="I142" s="1" t="n">
        <v>5.5</v>
      </c>
      <c r="J142" s="1" t="n">
        <v>6</v>
      </c>
      <c r="K142" s="1" t="n">
        <v>5</v>
      </c>
      <c r="L142" s="1" t="n">
        <v>1</v>
      </c>
      <c r="M142" s="1" t="s">
        <v>324</v>
      </c>
      <c r="P142" s="1" t="s">
        <v>319</v>
      </c>
    </row>
    <row r="143" customFormat="false" ht="14.25" hidden="true" customHeight="true" outlineLevel="0" collapsed="false">
      <c r="A143" s="1" t="s">
        <v>284</v>
      </c>
      <c r="B143" s="1" t="s">
        <v>319</v>
      </c>
      <c r="C143" s="1" t="s">
        <v>104</v>
      </c>
      <c r="D143" s="1" t="n">
        <v>15</v>
      </c>
      <c r="E143" s="1" t="n">
        <v>63</v>
      </c>
      <c r="F143" s="1" t="s">
        <v>160</v>
      </c>
      <c r="G143" s="1" t="s">
        <v>179</v>
      </c>
      <c r="H143" s="1" t="n">
        <v>3.33375</v>
      </c>
      <c r="I143" s="1" t="n">
        <v>21</v>
      </c>
      <c r="J143" s="1" t="n">
        <v>6</v>
      </c>
      <c r="K143" s="1" t="n">
        <v>5</v>
      </c>
      <c r="L143" s="1" t="n">
        <v>4</v>
      </c>
      <c r="M143" s="1" t="s">
        <v>325</v>
      </c>
      <c r="P143" s="1" t="s">
        <v>312</v>
      </c>
    </row>
    <row r="144" customFormat="false" ht="14.25" hidden="true" customHeight="true" outlineLevel="0" collapsed="false">
      <c r="A144" s="1" t="s">
        <v>284</v>
      </c>
      <c r="B144" s="1" t="s">
        <v>319</v>
      </c>
      <c r="C144" s="1" t="s">
        <v>108</v>
      </c>
      <c r="D144" s="1" t="n">
        <v>15</v>
      </c>
      <c r="E144" s="1" t="n">
        <v>63</v>
      </c>
      <c r="F144" s="1" t="s">
        <v>160</v>
      </c>
      <c r="G144" s="1" t="s">
        <v>179</v>
      </c>
      <c r="H144" s="1" t="n">
        <v>3.33375</v>
      </c>
      <c r="I144" s="1" t="n">
        <v>21</v>
      </c>
      <c r="J144" s="1" t="n">
        <v>6</v>
      </c>
      <c r="K144" s="1" t="n">
        <v>5</v>
      </c>
      <c r="L144" s="1" t="n">
        <v>4</v>
      </c>
      <c r="P144" s="1" t="s">
        <v>312</v>
      </c>
    </row>
    <row r="145" customFormat="false" ht="14.25" hidden="true" customHeight="true" outlineLevel="0" collapsed="false">
      <c r="A145" s="1" t="s">
        <v>284</v>
      </c>
      <c r="B145" s="1" t="s">
        <v>326</v>
      </c>
      <c r="C145" s="1" t="s">
        <v>104</v>
      </c>
      <c r="D145" s="1" t="n">
        <v>19</v>
      </c>
      <c r="E145" s="1" t="n">
        <v>54</v>
      </c>
      <c r="F145" s="1" t="s">
        <v>160</v>
      </c>
      <c r="G145" s="1" t="s">
        <v>327</v>
      </c>
      <c r="H145" s="1" t="n">
        <v>4.28625</v>
      </c>
      <c r="I145" s="1" t="n">
        <v>21</v>
      </c>
      <c r="J145" s="1" t="n">
        <v>4</v>
      </c>
      <c r="K145" s="1" t="n">
        <v>3</v>
      </c>
      <c r="L145" s="1" t="n">
        <v>4</v>
      </c>
      <c r="M145" s="1" t="s">
        <v>328</v>
      </c>
      <c r="P145" s="1" t="s">
        <v>316</v>
      </c>
    </row>
    <row r="146" customFormat="false" ht="14.25" hidden="true" customHeight="true" outlineLevel="0" collapsed="false">
      <c r="A146" s="1" t="s">
        <v>284</v>
      </c>
      <c r="B146" s="1" t="s">
        <v>326</v>
      </c>
      <c r="C146" s="1" t="s">
        <v>104</v>
      </c>
      <c r="D146" s="1" t="n">
        <v>20</v>
      </c>
      <c r="E146" s="1" t="n">
        <v>54</v>
      </c>
      <c r="F146" s="1" t="s">
        <v>160</v>
      </c>
      <c r="G146" s="1" t="s">
        <v>327</v>
      </c>
      <c r="H146" s="1" t="n">
        <v>4.28625</v>
      </c>
      <c r="I146" s="1" t="n">
        <v>21</v>
      </c>
      <c r="J146" s="1" t="n">
        <v>4</v>
      </c>
      <c r="K146" s="1" t="n">
        <v>3</v>
      </c>
      <c r="L146" s="1" t="n">
        <v>4</v>
      </c>
      <c r="M146" s="1" t="s">
        <v>328</v>
      </c>
      <c r="P146" s="1" t="s">
        <v>326</v>
      </c>
    </row>
    <row r="147" customFormat="false" ht="14.25" hidden="true" customHeight="true" outlineLevel="0" collapsed="false">
      <c r="A147" s="1" t="s">
        <v>284</v>
      </c>
      <c r="C147" s="1" t="s">
        <v>104</v>
      </c>
      <c r="D147" s="1" t="n">
        <v>43</v>
      </c>
      <c r="E147" s="1" t="n">
        <v>65</v>
      </c>
      <c r="F147" s="1" t="s">
        <v>160</v>
      </c>
      <c r="G147" s="1" t="s">
        <v>329</v>
      </c>
      <c r="H147" s="1" t="n">
        <v>10.31875</v>
      </c>
      <c r="I147" s="1" t="n">
        <v>21</v>
      </c>
      <c r="J147" s="1" t="n">
        <v>2</v>
      </c>
      <c r="K147" s="1" t="n">
        <v>4</v>
      </c>
      <c r="L147" s="1" t="n">
        <v>4</v>
      </c>
      <c r="M147" s="1" t="s">
        <v>330</v>
      </c>
      <c r="P147" s="1" t="s">
        <v>326</v>
      </c>
    </row>
    <row r="148" customFormat="false" ht="14.25" hidden="true" customHeight="true" outlineLevel="0" collapsed="false">
      <c r="A148" s="1" t="s">
        <v>284</v>
      </c>
      <c r="C148" s="1" t="s">
        <v>156</v>
      </c>
      <c r="D148" s="1" t="n">
        <v>42</v>
      </c>
      <c r="E148" s="1" t="n">
        <v>51</v>
      </c>
      <c r="F148" s="1" t="s">
        <v>160</v>
      </c>
      <c r="G148" s="1" t="s">
        <v>331</v>
      </c>
      <c r="H148" s="1" t="n">
        <v>16.1925</v>
      </c>
      <c r="I148" s="1" t="n">
        <v>21</v>
      </c>
      <c r="J148" s="1" t="n">
        <v>1</v>
      </c>
      <c r="K148" s="1" t="n">
        <v>4</v>
      </c>
      <c r="L148" s="1" t="n">
        <v>4</v>
      </c>
      <c r="M148" s="1" t="s">
        <v>275</v>
      </c>
    </row>
    <row r="149" customFormat="false" ht="14.25" hidden="true" customHeight="true" outlineLevel="0" collapsed="false">
      <c r="A149" s="1" t="s">
        <v>284</v>
      </c>
      <c r="B149" s="1" t="s">
        <v>319</v>
      </c>
      <c r="C149" s="1" t="s">
        <v>104</v>
      </c>
      <c r="D149" s="1" t="n">
        <v>17</v>
      </c>
      <c r="E149" s="1" t="n">
        <v>63</v>
      </c>
      <c r="F149" s="1" t="s">
        <v>160</v>
      </c>
      <c r="G149" s="1" t="s">
        <v>186</v>
      </c>
      <c r="H149" s="1" t="n">
        <v>3.33375</v>
      </c>
      <c r="I149" s="1" t="n">
        <v>18.7</v>
      </c>
      <c r="J149" s="1" t="n">
        <v>6</v>
      </c>
      <c r="K149" s="1" t="n">
        <v>5</v>
      </c>
      <c r="L149" s="1" t="n">
        <v>3</v>
      </c>
      <c r="M149" s="1" t="s">
        <v>322</v>
      </c>
    </row>
    <row r="150" customFormat="false" ht="14.25" hidden="true" customHeight="true" outlineLevel="0" collapsed="false">
      <c r="A150" s="1" t="s">
        <v>284</v>
      </c>
      <c r="C150" s="1" t="s">
        <v>332</v>
      </c>
      <c r="D150" s="1" t="n">
        <v>21</v>
      </c>
      <c r="E150" s="1" t="n">
        <v>63</v>
      </c>
      <c r="F150" s="1" t="s">
        <v>157</v>
      </c>
      <c r="G150" s="1" t="s">
        <v>333</v>
      </c>
      <c r="H150" s="1" t="n">
        <v>3.33375</v>
      </c>
      <c r="I150" s="1" t="n">
        <v>25</v>
      </c>
      <c r="J150" s="1" t="n">
        <v>6</v>
      </c>
      <c r="K150" s="1" t="n">
        <v>5</v>
      </c>
      <c r="L150" s="1" t="n">
        <v>4</v>
      </c>
      <c r="M150" s="1" t="s">
        <v>334</v>
      </c>
    </row>
    <row r="151" customFormat="false" ht="14.25" hidden="true" customHeight="true" outlineLevel="0" collapsed="false">
      <c r="A151" s="1" t="s">
        <v>284</v>
      </c>
      <c r="C151" s="1" t="s">
        <v>104</v>
      </c>
      <c r="D151" s="1" t="n">
        <v>57</v>
      </c>
      <c r="E151" s="1" t="n">
        <v>63</v>
      </c>
      <c r="F151" s="1" t="s">
        <v>157</v>
      </c>
      <c r="G151" s="1" t="s">
        <v>333</v>
      </c>
      <c r="H151" s="1" t="n">
        <v>3.33375</v>
      </c>
      <c r="I151" s="1" t="n">
        <v>25</v>
      </c>
      <c r="J151" s="1" t="n">
        <v>6</v>
      </c>
      <c r="K151" s="1" t="n">
        <v>5</v>
      </c>
      <c r="L151" s="1" t="n">
        <v>4</v>
      </c>
      <c r="M151" s="1" t="s">
        <v>177</v>
      </c>
    </row>
    <row r="152" customFormat="false" ht="14.25" hidden="true" customHeight="true" outlineLevel="0" collapsed="false">
      <c r="A152" s="1" t="s">
        <v>284</v>
      </c>
      <c r="C152" s="1" t="s">
        <v>104</v>
      </c>
      <c r="D152" s="1" t="n">
        <v>23</v>
      </c>
      <c r="E152" s="1" t="n">
        <v>60</v>
      </c>
      <c r="F152" s="1" t="s">
        <v>160</v>
      </c>
      <c r="G152" s="1" t="s">
        <v>187</v>
      </c>
      <c r="H152" s="1" t="n">
        <v>6.35</v>
      </c>
      <c r="I152" s="1" t="n">
        <v>21</v>
      </c>
      <c r="J152" s="1" t="n">
        <v>3</v>
      </c>
      <c r="K152" s="1" t="n">
        <v>1</v>
      </c>
      <c r="L152" s="1" t="n">
        <v>6</v>
      </c>
      <c r="M152" s="1" t="s">
        <v>188</v>
      </c>
    </row>
    <row r="153" customFormat="false" ht="14.25" hidden="true" customHeight="true" outlineLevel="0" collapsed="false">
      <c r="A153" s="1" t="s">
        <v>284</v>
      </c>
      <c r="C153" s="1" t="s">
        <v>108</v>
      </c>
      <c r="D153" s="1" t="n">
        <v>22</v>
      </c>
      <c r="E153" s="1" t="n">
        <v>54</v>
      </c>
      <c r="F153" s="1" t="s">
        <v>160</v>
      </c>
      <c r="G153" s="1" t="s">
        <v>190</v>
      </c>
      <c r="H153" s="1" t="n">
        <v>4.28625</v>
      </c>
      <c r="I153" s="1" t="n">
        <v>25</v>
      </c>
      <c r="J153" s="1" t="n">
        <v>4</v>
      </c>
      <c r="K153" s="1" t="n">
        <v>3</v>
      </c>
      <c r="L153" s="1" t="n">
        <v>4</v>
      </c>
      <c r="M153" s="1" t="s">
        <v>322</v>
      </c>
    </row>
    <row r="154" customFormat="false" ht="14.25" hidden="true" customHeight="true" outlineLevel="0" collapsed="false">
      <c r="A154" s="1" t="s">
        <v>284</v>
      </c>
      <c r="C154" s="1" t="s">
        <v>104</v>
      </c>
      <c r="D154" s="1" t="n">
        <v>22</v>
      </c>
      <c r="E154" s="1" t="n">
        <v>54</v>
      </c>
      <c r="F154" s="1" t="s">
        <v>160</v>
      </c>
      <c r="G154" s="1" t="s">
        <v>190</v>
      </c>
      <c r="H154" s="1" t="n">
        <v>4.28625</v>
      </c>
      <c r="I154" s="1" t="n">
        <v>25</v>
      </c>
      <c r="J154" s="1" t="n">
        <v>4</v>
      </c>
      <c r="K154" s="1" t="n">
        <v>3</v>
      </c>
      <c r="L154" s="1" t="n">
        <v>4</v>
      </c>
      <c r="M154" s="1" t="s">
        <v>322</v>
      </c>
    </row>
    <row r="155" customFormat="false" ht="14.25" hidden="true" customHeight="true" outlineLevel="0" collapsed="false">
      <c r="A155" s="1" t="s">
        <v>284</v>
      </c>
      <c r="C155" s="1" t="s">
        <v>104</v>
      </c>
      <c r="D155" s="1" t="n">
        <v>22</v>
      </c>
      <c r="E155" s="1" t="n">
        <v>54</v>
      </c>
      <c r="F155" s="1" t="s">
        <v>160</v>
      </c>
      <c r="G155" s="1" t="s">
        <v>190</v>
      </c>
      <c r="H155" s="1" t="n">
        <v>4.28625</v>
      </c>
      <c r="I155" s="1" t="n">
        <v>25</v>
      </c>
      <c r="J155" s="1" t="n">
        <v>4</v>
      </c>
      <c r="K155" s="1" t="n">
        <v>3</v>
      </c>
      <c r="L155" s="1" t="n">
        <v>4</v>
      </c>
      <c r="M155" s="1" t="s">
        <v>322</v>
      </c>
    </row>
    <row r="156" customFormat="false" ht="14.25" hidden="true" customHeight="true" outlineLevel="0" collapsed="false">
      <c r="A156" s="1" t="s">
        <v>284</v>
      </c>
      <c r="C156" s="1" t="s">
        <v>104</v>
      </c>
      <c r="D156" s="1" t="n">
        <v>24</v>
      </c>
      <c r="E156" s="1" t="n">
        <v>46</v>
      </c>
      <c r="F156" s="1" t="s">
        <v>160</v>
      </c>
      <c r="G156" s="1" t="s">
        <v>335</v>
      </c>
      <c r="H156" s="1" t="n">
        <v>7.3025</v>
      </c>
      <c r="I156" s="1" t="n">
        <v>25</v>
      </c>
      <c r="J156" s="1" t="n">
        <v>2</v>
      </c>
      <c r="K156" s="1" t="n">
        <v>2</v>
      </c>
      <c r="L156" s="1" t="n">
        <v>4</v>
      </c>
      <c r="M156" s="1" t="s">
        <v>322</v>
      </c>
      <c r="P156" s="1" t="s">
        <v>336</v>
      </c>
    </row>
    <row r="157" customFormat="false" ht="14.25" hidden="true" customHeight="true" outlineLevel="0" collapsed="false">
      <c r="A157" s="1" t="s">
        <v>284</v>
      </c>
      <c r="B157" s="1" t="s">
        <v>336</v>
      </c>
      <c r="C157" s="1" t="s">
        <v>104</v>
      </c>
      <c r="D157" s="1" t="n">
        <v>6</v>
      </c>
      <c r="E157" s="1" t="n">
        <v>63</v>
      </c>
      <c r="F157" s="1" t="s">
        <v>160</v>
      </c>
      <c r="G157" s="1" t="s">
        <v>337</v>
      </c>
      <c r="H157" s="1" t="n">
        <v>10.00125</v>
      </c>
      <c r="I157" s="1" t="n">
        <v>6.5</v>
      </c>
      <c r="J157" s="1" t="n">
        <v>2</v>
      </c>
      <c r="K157" s="1" t="n">
        <v>5</v>
      </c>
      <c r="L157" s="1" t="n">
        <v>1</v>
      </c>
      <c r="M157" s="1" t="s">
        <v>338</v>
      </c>
      <c r="P157" s="1" t="s">
        <v>339</v>
      </c>
    </row>
    <row r="158" customFormat="false" ht="14.25" hidden="true" customHeight="true" outlineLevel="0" collapsed="false">
      <c r="A158" s="1" t="s">
        <v>284</v>
      </c>
      <c r="B158" s="1" t="s">
        <v>339</v>
      </c>
      <c r="C158" s="1" t="s">
        <v>108</v>
      </c>
      <c r="D158" s="1" t="n">
        <v>54</v>
      </c>
      <c r="E158" s="1" t="n">
        <v>74</v>
      </c>
      <c r="F158" s="1" t="s">
        <v>160</v>
      </c>
      <c r="G158" s="1" t="s">
        <v>340</v>
      </c>
      <c r="H158" s="1" t="n">
        <v>11.7475</v>
      </c>
      <c r="I158" s="1" t="n">
        <v>25</v>
      </c>
      <c r="J158" s="1" t="n">
        <v>2</v>
      </c>
      <c r="K158" s="1" t="n">
        <v>2</v>
      </c>
      <c r="L158" s="1" t="n">
        <v>4</v>
      </c>
      <c r="M158" s="1" t="s">
        <v>341</v>
      </c>
      <c r="P158" s="1" t="s">
        <v>342</v>
      </c>
    </row>
    <row r="159" customFormat="false" ht="14.25" hidden="true" customHeight="true" outlineLevel="0" collapsed="false">
      <c r="A159" s="1" t="s">
        <v>284</v>
      </c>
      <c r="B159" s="1" t="s">
        <v>342</v>
      </c>
      <c r="C159" s="1" t="s">
        <v>108</v>
      </c>
      <c r="D159" s="1" t="n">
        <v>54</v>
      </c>
      <c r="E159" s="1" t="n">
        <v>74</v>
      </c>
      <c r="F159" s="1" t="s">
        <v>160</v>
      </c>
      <c r="G159" s="1" t="s">
        <v>340</v>
      </c>
      <c r="H159" s="1" t="n">
        <v>11.7475</v>
      </c>
      <c r="I159" s="1" t="n">
        <v>25</v>
      </c>
      <c r="J159" s="1" t="n">
        <v>2</v>
      </c>
      <c r="K159" s="1" t="n">
        <v>2</v>
      </c>
      <c r="L159" s="1" t="n">
        <v>4</v>
      </c>
      <c r="M159" s="1" t="s">
        <v>341</v>
      </c>
    </row>
    <row r="160" customFormat="false" ht="14.25" hidden="true" customHeight="true" outlineLevel="0" collapsed="false">
      <c r="A160" s="1" t="s">
        <v>284</v>
      </c>
      <c r="C160" s="1" t="s">
        <v>104</v>
      </c>
      <c r="D160" s="1" t="n">
        <v>58</v>
      </c>
      <c r="E160" s="1" t="n">
        <v>53</v>
      </c>
      <c r="F160" s="1" t="s">
        <v>160</v>
      </c>
      <c r="G160" s="1" t="s">
        <v>343</v>
      </c>
      <c r="H160" s="1" t="n">
        <v>2.80458333333333</v>
      </c>
      <c r="I160" s="1" t="n">
        <v>24</v>
      </c>
      <c r="J160" s="1" t="n">
        <v>6</v>
      </c>
      <c r="K160" s="1" t="n">
        <v>6</v>
      </c>
      <c r="L160" s="1" t="n">
        <v>3</v>
      </c>
      <c r="M160" s="1" t="s">
        <v>344</v>
      </c>
      <c r="P160" s="1" t="s">
        <v>345</v>
      </c>
    </row>
    <row r="161" customFormat="false" ht="14.25" hidden="true" customHeight="true" outlineLevel="0" collapsed="false">
      <c r="A161" s="1" t="s">
        <v>284</v>
      </c>
      <c r="C161" s="1" t="s">
        <v>104</v>
      </c>
      <c r="D161" s="1" t="n">
        <v>25</v>
      </c>
      <c r="E161" s="1" t="n">
        <v>74</v>
      </c>
      <c r="F161" s="1" t="s">
        <v>160</v>
      </c>
      <c r="G161" s="1" t="s">
        <v>346</v>
      </c>
      <c r="H161" s="1" t="n">
        <v>7.83166666666667</v>
      </c>
      <c r="I161" s="1" t="n">
        <v>24</v>
      </c>
      <c r="J161" s="1" t="n">
        <v>3</v>
      </c>
      <c r="K161" s="1" t="n">
        <v>1</v>
      </c>
      <c r="L161" s="1" t="n">
        <v>3</v>
      </c>
      <c r="M161" s="1" t="s">
        <v>208</v>
      </c>
    </row>
    <row r="162" customFormat="false" ht="14.25" hidden="true" customHeight="true" outlineLevel="0" collapsed="false">
      <c r="A162" s="1" t="s">
        <v>284</v>
      </c>
      <c r="B162" s="1" t="s">
        <v>345</v>
      </c>
      <c r="C162" s="1" t="s">
        <v>104</v>
      </c>
      <c r="D162" s="1" t="n">
        <v>26</v>
      </c>
      <c r="E162" s="1" t="n">
        <v>68</v>
      </c>
      <c r="F162" s="1" t="s">
        <v>160</v>
      </c>
      <c r="G162" s="1" t="s">
        <v>347</v>
      </c>
      <c r="H162" s="1" t="n">
        <v>3.59833333333333</v>
      </c>
      <c r="I162" s="1" t="n">
        <v>10</v>
      </c>
      <c r="J162" s="1" t="n">
        <v>6</v>
      </c>
      <c r="K162" s="1" t="n">
        <v>4</v>
      </c>
      <c r="L162" s="1" t="n">
        <v>1</v>
      </c>
      <c r="M162" s="1" t="s">
        <v>348</v>
      </c>
      <c r="P162" s="1" t="s">
        <v>349</v>
      </c>
    </row>
    <row r="163" customFormat="false" ht="14.25" hidden="true" customHeight="true" outlineLevel="0" collapsed="false">
      <c r="A163" s="1" t="s">
        <v>284</v>
      </c>
      <c r="C163" s="1" t="s">
        <v>100</v>
      </c>
      <c r="D163" s="1" t="n">
        <v>27</v>
      </c>
      <c r="E163" s="1" t="n">
        <v>60</v>
      </c>
      <c r="F163" s="1" t="s">
        <v>157</v>
      </c>
      <c r="G163" s="1" t="s">
        <v>350</v>
      </c>
      <c r="H163" s="1" t="n">
        <v>6.35</v>
      </c>
      <c r="I163" s="1" t="n">
        <v>20</v>
      </c>
      <c r="J163" s="1" t="n">
        <v>3</v>
      </c>
      <c r="L163" s="1" t="n">
        <v>2</v>
      </c>
      <c r="M163" s="1" t="s">
        <v>351</v>
      </c>
    </row>
    <row r="164" customFormat="false" ht="14.25" hidden="true" customHeight="true" outlineLevel="0" collapsed="false">
      <c r="A164" s="1" t="s">
        <v>284</v>
      </c>
      <c r="B164" s="1" t="s">
        <v>349</v>
      </c>
      <c r="C164" s="1" t="s">
        <v>104</v>
      </c>
      <c r="D164" s="1" t="n">
        <v>36</v>
      </c>
      <c r="E164" s="1" t="n">
        <v>61</v>
      </c>
      <c r="F164" s="1" t="s">
        <v>160</v>
      </c>
      <c r="G164" s="1" t="s">
        <v>352</v>
      </c>
      <c r="H164" s="1" t="n">
        <v>9.68375</v>
      </c>
      <c r="I164" s="1" t="n">
        <v>25</v>
      </c>
      <c r="J164" s="1" t="n">
        <v>2</v>
      </c>
      <c r="K164" s="1" t="n">
        <v>4</v>
      </c>
      <c r="L164" s="1" t="n">
        <v>2</v>
      </c>
      <c r="M164" s="1" t="s">
        <v>353</v>
      </c>
    </row>
    <row r="165" customFormat="false" ht="14.25" hidden="true" customHeight="true" outlineLevel="0" collapsed="false">
      <c r="A165" s="1" t="s">
        <v>284</v>
      </c>
      <c r="C165" s="1" t="s">
        <v>156</v>
      </c>
      <c r="D165" s="1" t="n">
        <v>28</v>
      </c>
      <c r="E165" s="1" t="n">
        <v>52</v>
      </c>
      <c r="F165" s="1" t="s">
        <v>160</v>
      </c>
      <c r="G165" s="1" t="s">
        <v>354</v>
      </c>
      <c r="H165" s="1" t="n">
        <v>3.302</v>
      </c>
      <c r="I165" s="1" t="n">
        <v>21</v>
      </c>
      <c r="J165" s="1" t="n">
        <v>5</v>
      </c>
      <c r="K165" s="1" t="s">
        <v>355</v>
      </c>
      <c r="L165" s="1" t="n">
        <v>2</v>
      </c>
      <c r="M165" s="1" t="s">
        <v>232</v>
      </c>
      <c r="P165" s="1" t="s">
        <v>356</v>
      </c>
    </row>
    <row r="166" customFormat="false" ht="14.25" hidden="true" customHeight="true" outlineLevel="0" collapsed="false">
      <c r="A166" s="1" t="s">
        <v>284</v>
      </c>
      <c r="C166" s="1" t="s">
        <v>165</v>
      </c>
      <c r="D166" s="1" t="n">
        <v>41</v>
      </c>
      <c r="E166" s="1" t="n">
        <v>72</v>
      </c>
      <c r="F166" s="1" t="s">
        <v>160</v>
      </c>
      <c r="G166" s="1" t="s">
        <v>357</v>
      </c>
      <c r="H166" s="1" t="n">
        <v>3.81</v>
      </c>
      <c r="I166" s="1" t="n">
        <v>21</v>
      </c>
      <c r="J166" s="1" t="n">
        <v>6</v>
      </c>
      <c r="K166" s="1" t="n">
        <v>5</v>
      </c>
      <c r="L166" s="1" t="n">
        <v>2</v>
      </c>
      <c r="M166" s="1" t="s">
        <v>358</v>
      </c>
    </row>
    <row r="167" customFormat="false" ht="14.25" hidden="true" customHeight="true" outlineLevel="0" collapsed="false">
      <c r="A167" s="1" t="s">
        <v>284</v>
      </c>
      <c r="B167" s="1" t="s">
        <v>356</v>
      </c>
      <c r="C167" s="1" t="s">
        <v>104</v>
      </c>
      <c r="D167" s="1" t="n">
        <v>26</v>
      </c>
      <c r="E167" s="1" t="n">
        <v>54</v>
      </c>
      <c r="F167" s="1" t="s">
        <v>157</v>
      </c>
      <c r="G167" s="1" t="s">
        <v>359</v>
      </c>
      <c r="H167" s="1" t="n">
        <v>4.28625</v>
      </c>
      <c r="I167" s="1" t="n">
        <v>21</v>
      </c>
      <c r="J167" s="1" t="n">
        <v>4</v>
      </c>
      <c r="L167" s="1" t="n">
        <v>1</v>
      </c>
    </row>
    <row r="168" customFormat="false" ht="14.25" hidden="true" customHeight="true" outlineLevel="0" collapsed="false">
      <c r="A168" s="1" t="s">
        <v>284</v>
      </c>
      <c r="C168" s="1" t="s">
        <v>104</v>
      </c>
      <c r="D168" s="1" t="n">
        <v>31</v>
      </c>
      <c r="E168" s="1" t="n">
        <v>54</v>
      </c>
      <c r="F168" s="1" t="s">
        <v>157</v>
      </c>
      <c r="G168" s="1" t="s">
        <v>359</v>
      </c>
      <c r="H168" s="1" t="n">
        <v>4.28625</v>
      </c>
      <c r="I168" s="1" t="n">
        <v>21</v>
      </c>
      <c r="J168" s="1" t="n">
        <v>4</v>
      </c>
      <c r="L168" s="1" t="n">
        <v>2</v>
      </c>
    </row>
    <row r="169" customFormat="false" ht="14.25" hidden="true" customHeight="true" outlineLevel="0" collapsed="false">
      <c r="A169" s="1" t="s">
        <v>284</v>
      </c>
      <c r="C169" s="1" t="s">
        <v>104</v>
      </c>
      <c r="D169" s="1" t="n">
        <v>30</v>
      </c>
      <c r="E169" s="1" t="n">
        <v>49</v>
      </c>
      <c r="F169" s="1" t="s">
        <v>160</v>
      </c>
      <c r="G169" s="1" t="s">
        <v>360</v>
      </c>
      <c r="H169" s="1" t="n">
        <v>5.18583333333333</v>
      </c>
      <c r="I169" s="1" t="n">
        <v>21</v>
      </c>
      <c r="J169" s="1" t="n">
        <v>3</v>
      </c>
      <c r="K169" s="1" t="n">
        <v>4</v>
      </c>
      <c r="L169" s="1" t="n">
        <v>2</v>
      </c>
      <c r="M169" s="1" t="s">
        <v>361</v>
      </c>
    </row>
    <row r="170" customFormat="false" ht="14.25" hidden="true" customHeight="true" outlineLevel="0" collapsed="false">
      <c r="A170" s="1" t="s">
        <v>284</v>
      </c>
      <c r="C170" s="1" t="s">
        <v>104</v>
      </c>
      <c r="D170" s="1" t="n">
        <v>32</v>
      </c>
      <c r="E170" s="1" t="n">
        <v>49</v>
      </c>
      <c r="F170" s="1" t="s">
        <v>160</v>
      </c>
      <c r="G170" s="1" t="s">
        <v>362</v>
      </c>
      <c r="H170" s="1" t="n">
        <v>5.18583333333333</v>
      </c>
      <c r="I170" s="1" t="n">
        <v>10.5</v>
      </c>
      <c r="J170" s="1" t="n">
        <v>3</v>
      </c>
      <c r="K170" s="1" t="n">
        <v>2</v>
      </c>
      <c r="L170" s="1" t="n">
        <v>2</v>
      </c>
      <c r="M170" s="1" t="s">
        <v>363</v>
      </c>
      <c r="P170" s="1" t="s">
        <v>364</v>
      </c>
    </row>
    <row r="171" customFormat="false" ht="14.25" hidden="true" customHeight="true" outlineLevel="0" collapsed="false">
      <c r="A171" s="1" t="s">
        <v>284</v>
      </c>
      <c r="C171" s="1" t="s">
        <v>104</v>
      </c>
      <c r="D171" s="1" t="n">
        <v>37</v>
      </c>
      <c r="E171" s="1" t="n">
        <v>60</v>
      </c>
      <c r="F171" s="1" t="s">
        <v>160</v>
      </c>
      <c r="G171" s="1" t="s">
        <v>227</v>
      </c>
      <c r="H171" s="1" t="n">
        <v>6.35</v>
      </c>
      <c r="I171" s="1" t="n">
        <v>11</v>
      </c>
      <c r="J171" s="1" t="n">
        <v>3</v>
      </c>
      <c r="K171" s="1" t="n">
        <v>4</v>
      </c>
      <c r="L171" s="1" t="n">
        <v>2</v>
      </c>
      <c r="M171" s="1" t="s">
        <v>169</v>
      </c>
    </row>
    <row r="172" customFormat="false" ht="14.25" hidden="true" customHeight="true" outlineLevel="0" collapsed="false">
      <c r="A172" s="1" t="s">
        <v>284</v>
      </c>
      <c r="B172" s="1" t="s">
        <v>364</v>
      </c>
      <c r="C172" s="1" t="s">
        <v>104</v>
      </c>
      <c r="D172" s="1" t="n">
        <v>44</v>
      </c>
      <c r="E172" s="1" t="n">
        <v>46</v>
      </c>
      <c r="F172" s="1" t="s">
        <v>160</v>
      </c>
      <c r="G172" s="1" t="s">
        <v>365</v>
      </c>
      <c r="H172" s="1" t="n">
        <v>7.3025</v>
      </c>
      <c r="I172" s="1" t="n">
        <v>21.5</v>
      </c>
      <c r="J172" s="1" t="n">
        <v>2</v>
      </c>
      <c r="K172" s="1" t="n">
        <v>2</v>
      </c>
      <c r="L172" s="1" t="n">
        <v>2</v>
      </c>
      <c r="M172" s="1" t="s">
        <v>366</v>
      </c>
    </row>
    <row r="173" customFormat="false" ht="14.25" hidden="true" customHeight="true" outlineLevel="0" collapsed="false">
      <c r="A173" s="1" t="s">
        <v>284</v>
      </c>
      <c r="C173" s="1" t="s">
        <v>104</v>
      </c>
      <c r="D173" s="1" t="n">
        <v>29</v>
      </c>
      <c r="E173" s="1" t="n">
        <v>52</v>
      </c>
      <c r="F173" s="1" t="s">
        <v>157</v>
      </c>
      <c r="G173" s="1" t="s">
        <v>367</v>
      </c>
      <c r="H173" s="1" t="n">
        <v>8.255</v>
      </c>
      <c r="I173" s="1" t="n">
        <v>21</v>
      </c>
      <c r="J173" s="1" t="n">
        <v>2</v>
      </c>
      <c r="L173" s="1" t="n">
        <v>2</v>
      </c>
      <c r="M173" s="1" t="s">
        <v>232</v>
      </c>
    </row>
    <row r="174" customFormat="false" ht="14.25" hidden="true" customHeight="true" outlineLevel="0" collapsed="false">
      <c r="A174" s="1" t="s">
        <v>284</v>
      </c>
      <c r="C174" s="1" t="s">
        <v>104</v>
      </c>
      <c r="D174" s="1" t="n">
        <v>33</v>
      </c>
      <c r="E174" s="1" t="n">
        <v>52</v>
      </c>
      <c r="F174" s="1" t="s">
        <v>157</v>
      </c>
      <c r="G174" s="1" t="s">
        <v>367</v>
      </c>
      <c r="H174" s="1" t="n">
        <v>8.255</v>
      </c>
      <c r="I174" s="1" t="n">
        <v>21</v>
      </c>
      <c r="J174" s="1" t="n">
        <v>2</v>
      </c>
      <c r="L174" s="1" t="n">
        <v>2</v>
      </c>
      <c r="M174" s="1" t="s">
        <v>232</v>
      </c>
    </row>
    <row r="175" customFormat="false" ht="14.25" hidden="true" customHeight="true" outlineLevel="0" collapsed="false">
      <c r="A175" s="1" t="s">
        <v>284</v>
      </c>
      <c r="C175" s="1" t="s">
        <v>220</v>
      </c>
      <c r="D175" s="1" t="n">
        <v>34</v>
      </c>
      <c r="E175" s="1" t="n">
        <v>65</v>
      </c>
      <c r="F175" s="1" t="s">
        <v>160</v>
      </c>
      <c r="G175" s="1" t="s">
        <v>368</v>
      </c>
      <c r="H175" s="1" t="n">
        <v>10.31875</v>
      </c>
      <c r="I175" s="1" t="n">
        <v>21</v>
      </c>
      <c r="J175" s="1" t="n">
        <v>2</v>
      </c>
      <c r="K175" s="1" t="s">
        <v>369</v>
      </c>
      <c r="L175" s="1" t="n">
        <v>2</v>
      </c>
      <c r="M175" s="1" t="s">
        <v>370</v>
      </c>
    </row>
    <row r="176" customFormat="false" ht="14.25" hidden="true" customHeight="true" outlineLevel="0" collapsed="false">
      <c r="A176" s="1" t="s">
        <v>284</v>
      </c>
      <c r="C176" s="1" t="s">
        <v>156</v>
      </c>
      <c r="D176" s="1" t="n">
        <v>35</v>
      </c>
      <c r="E176" s="1" t="n">
        <v>51</v>
      </c>
      <c r="F176" s="1" t="s">
        <v>160</v>
      </c>
      <c r="G176" s="1" t="s">
        <v>371</v>
      </c>
      <c r="H176" s="1" t="n">
        <v>4.048125</v>
      </c>
      <c r="I176" s="1" t="n">
        <v>11</v>
      </c>
      <c r="J176" s="1" t="n">
        <v>4</v>
      </c>
      <c r="K176" s="1" t="n">
        <v>4</v>
      </c>
      <c r="L176" s="1" t="n">
        <v>2</v>
      </c>
      <c r="M176" s="1" t="s">
        <v>169</v>
      </c>
    </row>
    <row r="177" customFormat="false" ht="14.25" hidden="true" customHeight="true" outlineLevel="0" collapsed="false">
      <c r="A177" s="1" t="s">
        <v>284</v>
      </c>
      <c r="C177" s="1" t="s">
        <v>104</v>
      </c>
      <c r="D177" s="1" t="n">
        <v>38</v>
      </c>
      <c r="E177" s="1" t="n">
        <v>60</v>
      </c>
      <c r="F177" s="1" t="s">
        <v>160</v>
      </c>
      <c r="G177" s="1" t="s">
        <v>372</v>
      </c>
      <c r="H177" s="1" t="n">
        <v>6.35</v>
      </c>
      <c r="I177" s="1" t="n">
        <v>22</v>
      </c>
      <c r="J177" s="1" t="n">
        <v>3</v>
      </c>
      <c r="K177" s="1" t="n">
        <v>1</v>
      </c>
      <c r="L177" s="1" t="n">
        <v>2</v>
      </c>
      <c r="M177" s="1" t="s">
        <v>373</v>
      </c>
    </row>
    <row r="178" customFormat="false" ht="14.25" hidden="true" customHeight="true" outlineLevel="0" collapsed="false">
      <c r="A178" s="1" t="s">
        <v>284</v>
      </c>
      <c r="C178" s="1" t="s">
        <v>156</v>
      </c>
      <c r="D178" s="1" t="n">
        <v>39</v>
      </c>
      <c r="E178" s="1" t="n">
        <v>48</v>
      </c>
      <c r="F178" s="1" t="s">
        <v>160</v>
      </c>
      <c r="G178" s="1" t="s">
        <v>374</v>
      </c>
      <c r="H178" s="1" t="n">
        <v>15.24</v>
      </c>
      <c r="I178" s="1" t="n">
        <v>21</v>
      </c>
      <c r="J178" s="1" t="n">
        <v>1</v>
      </c>
      <c r="K178" s="1" t="n">
        <v>4</v>
      </c>
      <c r="L178" s="1" t="n">
        <v>2</v>
      </c>
      <c r="M178" s="1" t="s">
        <v>373</v>
      </c>
    </row>
    <row r="179" customFormat="false" ht="14.25" hidden="true" customHeight="true" outlineLevel="0" collapsed="false">
      <c r="A179" s="1" t="s">
        <v>284</v>
      </c>
      <c r="C179" s="1" t="s">
        <v>104</v>
      </c>
      <c r="D179" s="1" t="n">
        <v>55</v>
      </c>
      <c r="E179" s="1" t="n">
        <v>48</v>
      </c>
      <c r="F179" s="1" t="s">
        <v>160</v>
      </c>
      <c r="G179" s="1" t="s">
        <v>374</v>
      </c>
      <c r="H179" s="1" t="n">
        <v>15.24</v>
      </c>
      <c r="I179" s="1" t="n">
        <v>21</v>
      </c>
      <c r="J179" s="1" t="n">
        <v>1</v>
      </c>
      <c r="K179" s="1" t="n">
        <v>4</v>
      </c>
      <c r="L179" s="1" t="n">
        <v>2</v>
      </c>
      <c r="M179" s="1" t="s">
        <v>375</v>
      </c>
    </row>
    <row r="180" customFormat="false" ht="14.25" hidden="true" customHeight="true" outlineLevel="0" collapsed="false">
      <c r="A180" s="1" t="s">
        <v>284</v>
      </c>
      <c r="C180" s="1" t="s">
        <v>104</v>
      </c>
      <c r="D180" s="1" t="n">
        <v>40</v>
      </c>
      <c r="E180" s="1" t="n">
        <v>61</v>
      </c>
      <c r="F180" s="1" t="s">
        <v>160</v>
      </c>
      <c r="G180" s="1" t="s">
        <v>376</v>
      </c>
      <c r="H180" s="1" t="n">
        <v>19.3675</v>
      </c>
      <c r="I180" s="1" t="n">
        <v>15.5</v>
      </c>
      <c r="J180" s="1" t="n">
        <v>1</v>
      </c>
      <c r="K180" s="1" t="n">
        <v>4</v>
      </c>
      <c r="L180" s="1" t="n">
        <v>1</v>
      </c>
      <c r="M180" s="1" t="s">
        <v>377</v>
      </c>
      <c r="P180" s="1" t="s">
        <v>378</v>
      </c>
    </row>
    <row r="181" customFormat="false" ht="14.25" hidden="true" customHeight="true" outlineLevel="0" collapsed="false">
      <c r="A181" s="1" t="s">
        <v>284</v>
      </c>
      <c r="P181" s="1" t="s">
        <v>379</v>
      </c>
    </row>
    <row r="182" customFormat="false" ht="14.25" hidden="true" customHeight="true" outlineLevel="0" collapsed="false">
      <c r="A182" s="1" t="s">
        <v>284</v>
      </c>
      <c r="B182" s="1" t="s">
        <v>378</v>
      </c>
      <c r="C182" s="1" t="s">
        <v>104</v>
      </c>
      <c r="D182" s="1" t="n">
        <v>11</v>
      </c>
      <c r="E182" s="1" t="n">
        <v>47</v>
      </c>
      <c r="F182" s="1" t="s">
        <v>255</v>
      </c>
      <c r="G182" s="1" t="s">
        <v>380</v>
      </c>
      <c r="H182" s="1" t="n">
        <v>4.97416666666667</v>
      </c>
      <c r="I182" s="1" t="n">
        <v>4.5</v>
      </c>
      <c r="J182" s="1" t="n">
        <v>3</v>
      </c>
      <c r="K182" s="1" t="n">
        <v>5</v>
      </c>
      <c r="L182" s="1" t="n">
        <v>1</v>
      </c>
      <c r="M182" s="1" t="s">
        <v>381</v>
      </c>
      <c r="P182" s="1" t="s">
        <v>382</v>
      </c>
    </row>
    <row r="183" customFormat="false" ht="14.25" hidden="true" customHeight="true" outlineLevel="0" collapsed="false">
      <c r="A183" s="1" t="s">
        <v>284</v>
      </c>
      <c r="B183" s="1" t="s">
        <v>379</v>
      </c>
      <c r="C183" s="1" t="s">
        <v>104</v>
      </c>
      <c r="D183" s="1" t="n">
        <v>11</v>
      </c>
      <c r="E183" s="1" t="n">
        <v>47</v>
      </c>
      <c r="F183" s="1" t="s">
        <v>255</v>
      </c>
      <c r="G183" s="1" t="s">
        <v>383</v>
      </c>
      <c r="H183" s="1" t="n">
        <v>4.97416666666667</v>
      </c>
      <c r="I183" s="1" t="n">
        <v>8</v>
      </c>
      <c r="J183" s="1" t="n">
        <v>3</v>
      </c>
      <c r="K183" s="1" t="n">
        <v>5</v>
      </c>
      <c r="L183" s="1" t="n">
        <v>1</v>
      </c>
      <c r="M183" s="1" t="s">
        <v>384</v>
      </c>
      <c r="P183" s="1" t="s">
        <v>385</v>
      </c>
    </row>
    <row r="184" customFormat="false" ht="14.25" hidden="true" customHeight="true" outlineLevel="0" collapsed="false">
      <c r="A184" s="1" t="s">
        <v>284</v>
      </c>
      <c r="B184" s="1" t="s">
        <v>382</v>
      </c>
      <c r="C184" s="1" t="s">
        <v>104</v>
      </c>
      <c r="D184" s="1" t="n">
        <v>14</v>
      </c>
      <c r="E184" s="1" t="n">
        <v>63</v>
      </c>
      <c r="F184" s="1" t="s">
        <v>255</v>
      </c>
      <c r="G184" s="1" t="s">
        <v>386</v>
      </c>
      <c r="H184" s="1" t="n">
        <v>6.6675</v>
      </c>
      <c r="I184" s="1" t="n">
        <v>9</v>
      </c>
      <c r="J184" s="1" t="n">
        <v>3</v>
      </c>
      <c r="K184" s="1" t="n">
        <v>5</v>
      </c>
      <c r="L184" s="1" t="n">
        <v>1</v>
      </c>
      <c r="M184" s="1" t="s">
        <v>387</v>
      </c>
      <c r="P184" s="1" t="s">
        <v>388</v>
      </c>
    </row>
    <row r="185" customFormat="false" ht="14.25" hidden="true" customHeight="true" outlineLevel="0" collapsed="false">
      <c r="A185" s="1" t="s">
        <v>284</v>
      </c>
      <c r="B185" s="1" t="s">
        <v>385</v>
      </c>
      <c r="C185" s="1" t="s">
        <v>104</v>
      </c>
      <c r="D185" s="1" t="n">
        <v>5</v>
      </c>
      <c r="E185" s="1" t="n">
        <v>51</v>
      </c>
      <c r="F185" s="1" t="s">
        <v>255</v>
      </c>
      <c r="G185" s="1" t="s">
        <v>389</v>
      </c>
      <c r="H185" s="1" t="n">
        <v>8.09625</v>
      </c>
      <c r="I185" s="1" t="n">
        <v>11</v>
      </c>
      <c r="J185" s="1" t="n">
        <v>2</v>
      </c>
      <c r="K185" s="1" t="n">
        <v>4</v>
      </c>
      <c r="L185" s="1" t="n">
        <v>2</v>
      </c>
      <c r="M185" s="1" t="s">
        <v>390</v>
      </c>
      <c r="P185" s="1" t="s">
        <v>391</v>
      </c>
    </row>
    <row r="186" customFormat="false" ht="14.25" hidden="true" customHeight="true" outlineLevel="0" collapsed="false">
      <c r="A186" s="1" t="s">
        <v>284</v>
      </c>
      <c r="B186" s="1" t="s">
        <v>388</v>
      </c>
      <c r="C186" s="1" t="s">
        <v>104</v>
      </c>
      <c r="D186" s="1" t="n">
        <v>12</v>
      </c>
      <c r="E186" s="1" t="n">
        <v>47</v>
      </c>
      <c r="F186" s="1" t="s">
        <v>255</v>
      </c>
      <c r="G186" s="1" t="s">
        <v>392</v>
      </c>
      <c r="H186" s="1" t="n">
        <v>1.49225</v>
      </c>
      <c r="I186" s="1" t="n">
        <v>9.5</v>
      </c>
      <c r="J186" s="1" t="n">
        <v>10</v>
      </c>
      <c r="K186" s="1" t="n">
        <v>5</v>
      </c>
      <c r="L186" s="1" t="n">
        <v>1</v>
      </c>
      <c r="M186" s="1" t="s">
        <v>393</v>
      </c>
      <c r="P186" s="1" t="s">
        <v>394</v>
      </c>
    </row>
    <row r="187" customFormat="false" ht="14.25" hidden="true" customHeight="true" outlineLevel="0" collapsed="false">
      <c r="A187" s="1" t="s">
        <v>284</v>
      </c>
      <c r="B187" s="1" t="s">
        <v>391</v>
      </c>
      <c r="C187" s="1" t="s">
        <v>104</v>
      </c>
      <c r="D187" s="1" t="n">
        <v>10</v>
      </c>
      <c r="E187" s="1" t="n">
        <v>59</v>
      </c>
      <c r="F187" s="1" t="s">
        <v>255</v>
      </c>
      <c r="G187" s="1" t="s">
        <v>395</v>
      </c>
      <c r="H187" s="1" t="n">
        <v>9.36625</v>
      </c>
      <c r="I187" s="1" t="n">
        <v>6.5</v>
      </c>
      <c r="J187" s="1" t="n">
        <v>2</v>
      </c>
      <c r="K187" s="1" t="n">
        <v>4</v>
      </c>
      <c r="L187" s="1" t="n">
        <v>1</v>
      </c>
      <c r="M187" s="1" t="s">
        <v>390</v>
      </c>
      <c r="P187" s="1" t="s">
        <v>396</v>
      </c>
    </row>
    <row r="188" customFormat="false" ht="14.25" hidden="true" customHeight="true" outlineLevel="0" collapsed="false">
      <c r="A188" s="1" t="s">
        <v>284</v>
      </c>
      <c r="B188" s="1" t="s">
        <v>394</v>
      </c>
      <c r="C188" s="1" t="s">
        <v>104</v>
      </c>
      <c r="D188" s="1" t="n">
        <v>6</v>
      </c>
      <c r="E188" s="1" t="n">
        <v>63</v>
      </c>
      <c r="F188" s="1" t="s">
        <v>255</v>
      </c>
      <c r="G188" s="1" t="s">
        <v>397</v>
      </c>
      <c r="H188" s="1" t="n">
        <v>10.00125</v>
      </c>
      <c r="I188" s="1" t="n">
        <v>6.5</v>
      </c>
      <c r="J188" s="1" t="n">
        <v>2</v>
      </c>
      <c r="K188" s="1" t="n">
        <v>5</v>
      </c>
      <c r="L188" s="1" t="n">
        <v>1</v>
      </c>
      <c r="M188" s="1" t="s">
        <v>384</v>
      </c>
      <c r="P188" s="1" t="s">
        <v>398</v>
      </c>
    </row>
    <row r="189" customFormat="false" ht="14.25" hidden="true" customHeight="true" outlineLevel="0" collapsed="false">
      <c r="A189" s="1" t="s">
        <v>284</v>
      </c>
      <c r="B189" s="1" t="s">
        <v>396</v>
      </c>
      <c r="C189" s="1" t="s">
        <v>104</v>
      </c>
      <c r="D189" s="1" t="n">
        <v>10</v>
      </c>
      <c r="E189" s="1" t="n">
        <v>59</v>
      </c>
      <c r="F189" s="1" t="s">
        <v>255</v>
      </c>
      <c r="G189" s="1" t="s">
        <v>399</v>
      </c>
      <c r="H189" s="1" t="n">
        <v>18.7325</v>
      </c>
      <c r="I189" s="1" t="n">
        <v>5.5</v>
      </c>
      <c r="J189" s="1" t="n">
        <v>1</v>
      </c>
      <c r="K189" s="1" t="n">
        <v>4</v>
      </c>
      <c r="L189" s="1" t="n">
        <v>1</v>
      </c>
      <c r="M189" s="1" t="s">
        <v>400</v>
      </c>
    </row>
    <row r="190" customFormat="false" ht="14.25" hidden="true" customHeight="true" outlineLevel="0" collapsed="false">
      <c r="A190" s="1" t="s">
        <v>284</v>
      </c>
      <c r="B190" s="1" t="s">
        <v>398</v>
      </c>
      <c r="C190" s="1" t="s">
        <v>104</v>
      </c>
      <c r="D190" s="1" t="n">
        <v>3</v>
      </c>
      <c r="E190" s="1" t="n">
        <v>63</v>
      </c>
      <c r="F190" s="1" t="s">
        <v>255</v>
      </c>
      <c r="G190" s="1" t="s">
        <v>401</v>
      </c>
      <c r="H190" s="1" t="n">
        <v>6.6675</v>
      </c>
      <c r="I190" s="1" t="n">
        <v>10.5</v>
      </c>
      <c r="J190" s="1" t="n">
        <v>3</v>
      </c>
      <c r="K190" s="1" t="n">
        <v>5</v>
      </c>
      <c r="L190" s="1" t="n">
        <v>1</v>
      </c>
      <c r="M190" s="1" t="s">
        <v>390</v>
      </c>
    </row>
    <row r="191" customFormat="false" ht="14.25" hidden="true" customHeight="true" outlineLevel="0" collapsed="false">
      <c r="A191" s="1" t="s">
        <v>284</v>
      </c>
    </row>
    <row r="192" customFormat="false" ht="14.25" hidden="true" customHeight="true" outlineLevel="0" collapsed="false">
      <c r="A192" s="1" t="s">
        <v>284</v>
      </c>
      <c r="C192" s="1" t="s">
        <v>156</v>
      </c>
      <c r="D192" s="1" t="n">
        <v>45</v>
      </c>
      <c r="E192" s="1" t="n">
        <v>50</v>
      </c>
      <c r="F192" s="1" t="s">
        <v>273</v>
      </c>
      <c r="G192" s="1" t="s">
        <v>402</v>
      </c>
      <c r="H192" s="1" t="n">
        <v>4</v>
      </c>
      <c r="I192" s="1" t="n">
        <v>22</v>
      </c>
      <c r="J192" s="1" t="n">
        <v>4</v>
      </c>
      <c r="K192" s="1" t="n">
        <v>5</v>
      </c>
      <c r="L192" s="1" t="n">
        <v>2</v>
      </c>
      <c r="M192" s="1" t="s">
        <v>172</v>
      </c>
    </row>
    <row r="193" customFormat="false" ht="14.25" hidden="true" customHeight="true" outlineLevel="0" collapsed="false">
      <c r="A193" s="1" t="s">
        <v>284</v>
      </c>
      <c r="C193" s="1" t="s">
        <v>156</v>
      </c>
      <c r="D193" s="1" t="n">
        <v>46</v>
      </c>
      <c r="E193" s="1" t="n">
        <v>66</v>
      </c>
      <c r="F193" s="1" t="s">
        <v>273</v>
      </c>
      <c r="G193" s="1" t="s">
        <v>403</v>
      </c>
      <c r="H193" s="1" t="n">
        <v>7</v>
      </c>
      <c r="I193" s="1" t="n">
        <v>22</v>
      </c>
      <c r="J193" s="1" t="n">
        <v>3</v>
      </c>
      <c r="K193" s="1" t="n">
        <v>3</v>
      </c>
      <c r="L193" s="1" t="n">
        <v>2</v>
      </c>
      <c r="M193" s="1" t="s">
        <v>172</v>
      </c>
    </row>
    <row r="194" customFormat="false" ht="14.25" hidden="true" customHeight="true" outlineLevel="0" collapsed="false">
      <c r="A194" s="1" t="s">
        <v>284</v>
      </c>
      <c r="C194" s="1" t="s">
        <v>156</v>
      </c>
      <c r="D194" s="1" t="n">
        <v>47</v>
      </c>
      <c r="E194" s="1" t="n">
        <v>47</v>
      </c>
      <c r="F194" s="1" t="s">
        <v>273</v>
      </c>
      <c r="G194" s="1" t="s">
        <v>404</v>
      </c>
      <c r="H194" s="1" t="n">
        <v>3</v>
      </c>
      <c r="I194" s="1" t="n">
        <v>16</v>
      </c>
      <c r="J194" s="1" t="n">
        <v>6</v>
      </c>
      <c r="K194" s="1" t="n">
        <v>0</v>
      </c>
      <c r="L194" s="1" t="n">
        <v>2</v>
      </c>
      <c r="M194" s="1" t="s">
        <v>172</v>
      </c>
    </row>
    <row r="195" customFormat="false" ht="14.25" hidden="true" customHeight="true" outlineLevel="0" collapsed="false">
      <c r="A195" s="1" t="s">
        <v>284</v>
      </c>
      <c r="C195" s="1" t="s">
        <v>156</v>
      </c>
      <c r="D195" s="1" t="n">
        <v>53</v>
      </c>
      <c r="E195" s="1" t="n">
        <v>47</v>
      </c>
      <c r="F195" s="1" t="s">
        <v>273</v>
      </c>
      <c r="G195" s="1" t="s">
        <v>405</v>
      </c>
      <c r="H195" s="1" t="n">
        <v>3</v>
      </c>
      <c r="I195" s="1" t="n">
        <v>20</v>
      </c>
      <c r="J195" s="1" t="n">
        <v>7</v>
      </c>
      <c r="K195" s="1" t="n">
        <v>0</v>
      </c>
      <c r="L195" s="1" t="n">
        <v>2</v>
      </c>
      <c r="M195" s="1" t="s">
        <v>172</v>
      </c>
    </row>
    <row r="196" customFormat="false" ht="14.25" hidden="true" customHeight="true" outlineLevel="0" collapsed="false">
      <c r="A196" s="1" t="s">
        <v>284</v>
      </c>
      <c r="P196" s="1" t="s">
        <v>349</v>
      </c>
    </row>
    <row r="197" customFormat="false" ht="14.25" hidden="true" customHeight="true" outlineLevel="0" collapsed="false">
      <c r="A197" s="1" t="s">
        <v>284</v>
      </c>
      <c r="P197" s="1" t="s">
        <v>406</v>
      </c>
    </row>
    <row r="198" customFormat="false" ht="14.25" hidden="true" customHeight="true" outlineLevel="0" collapsed="false">
      <c r="A198" s="1" t="s">
        <v>284</v>
      </c>
      <c r="B198" s="1" t="s">
        <v>349</v>
      </c>
      <c r="C198" s="1" t="s">
        <v>332</v>
      </c>
      <c r="D198" s="1" t="n">
        <v>48</v>
      </c>
      <c r="E198" s="1" t="n">
        <v>49</v>
      </c>
      <c r="F198" s="1" t="s">
        <v>349</v>
      </c>
      <c r="G198" s="1" t="s">
        <v>407</v>
      </c>
      <c r="H198" s="1" t="n">
        <v>5.18583333333333</v>
      </c>
      <c r="I198" s="1" t="n">
        <v>21</v>
      </c>
      <c r="J198" s="1" t="n">
        <v>3</v>
      </c>
      <c r="L198" s="1" t="n">
        <v>2</v>
      </c>
      <c r="M198" s="1" t="s">
        <v>408</v>
      </c>
    </row>
    <row r="199" customFormat="false" ht="14.25" hidden="true" customHeight="true" outlineLevel="0" collapsed="false">
      <c r="A199" s="1" t="s">
        <v>284</v>
      </c>
      <c r="B199" s="1" t="s">
        <v>406</v>
      </c>
      <c r="C199" s="1" t="s">
        <v>111</v>
      </c>
      <c r="D199" s="1" t="n">
        <v>51</v>
      </c>
      <c r="E199" s="1" t="n">
        <v>54</v>
      </c>
      <c r="F199" s="1" t="s">
        <v>349</v>
      </c>
      <c r="G199" s="1" t="n">
        <v>22</v>
      </c>
      <c r="I199" s="1" t="n">
        <v>22</v>
      </c>
      <c r="J199" s="1" t="n">
        <v>4</v>
      </c>
      <c r="L199" s="1" t="n">
        <v>1</v>
      </c>
      <c r="M199" s="1" t="s">
        <v>409</v>
      </c>
    </row>
    <row r="200" customFormat="false" ht="14.25" hidden="true" customHeight="true" outlineLevel="0" collapsed="false">
      <c r="A200" s="1" t="s">
        <v>284</v>
      </c>
      <c r="D200" s="1" t="n">
        <v>52</v>
      </c>
      <c r="E200" s="1" t="n">
        <v>59</v>
      </c>
      <c r="F200" s="1" t="s">
        <v>410</v>
      </c>
      <c r="G200" s="1" t="s">
        <v>411</v>
      </c>
      <c r="J200" s="1" t="s">
        <v>369</v>
      </c>
      <c r="K200" s="1" t="s">
        <v>369</v>
      </c>
      <c r="L200" s="1" t="s">
        <v>369</v>
      </c>
    </row>
    <row r="201" customFormat="false" ht="14.25" hidden="true" customHeight="true" outlineLevel="0" collapsed="false">
      <c r="A201" s="1" t="s">
        <v>284</v>
      </c>
      <c r="C201" s="1" t="s">
        <v>220</v>
      </c>
      <c r="D201" s="1" t="n">
        <v>50</v>
      </c>
      <c r="E201" s="1" t="n">
        <v>65</v>
      </c>
      <c r="F201" s="1" t="s">
        <v>349</v>
      </c>
      <c r="G201" s="1" t="s">
        <v>368</v>
      </c>
      <c r="M201" s="1" t="s">
        <v>370</v>
      </c>
      <c r="P201" s="1" t="s">
        <v>412</v>
      </c>
    </row>
    <row r="202" customFormat="false" ht="14.25" hidden="true" customHeight="true" outlineLevel="0" collapsed="false">
      <c r="A202" s="1" t="s">
        <v>22</v>
      </c>
      <c r="B202" s="1" t="s">
        <v>413</v>
      </c>
      <c r="C202" s="1" t="s">
        <v>104</v>
      </c>
      <c r="D202" s="1" t="n">
        <v>1</v>
      </c>
      <c r="E202" s="1" t="n">
        <v>43</v>
      </c>
      <c r="F202" s="1" t="s">
        <v>101</v>
      </c>
      <c r="G202" s="1" t="n">
        <v>0.97</v>
      </c>
      <c r="H202" s="1" t="n">
        <v>0.97</v>
      </c>
      <c r="I202" s="1" t="n">
        <v>7.5</v>
      </c>
      <c r="J202" s="1" t="n">
        <v>14</v>
      </c>
      <c r="K202" s="1" t="n">
        <v>4</v>
      </c>
      <c r="L202" s="1" t="s">
        <v>355</v>
      </c>
    </row>
    <row r="203" customFormat="false" ht="14.25" hidden="true" customHeight="true" outlineLevel="0" collapsed="false">
      <c r="A203" s="1" t="s">
        <v>22</v>
      </c>
      <c r="B203" s="1" t="s">
        <v>414</v>
      </c>
      <c r="D203" s="1" t="n">
        <v>3</v>
      </c>
      <c r="E203" s="1" t="n">
        <v>51</v>
      </c>
      <c r="F203" s="1" t="s">
        <v>101</v>
      </c>
      <c r="G203" s="1" t="n">
        <v>2</v>
      </c>
      <c r="H203" s="1" t="n">
        <v>2</v>
      </c>
      <c r="I203" s="1" t="n">
        <v>6.6</v>
      </c>
      <c r="J203" s="1" t="n">
        <v>8</v>
      </c>
      <c r="K203" s="1" t="n">
        <v>5</v>
      </c>
      <c r="L203" s="1" t="n">
        <v>1</v>
      </c>
    </row>
    <row r="204" customFormat="false" ht="14.25" hidden="true" customHeight="true" outlineLevel="0" collapsed="false">
      <c r="A204" s="1" t="s">
        <v>22</v>
      </c>
      <c r="B204" s="1" t="s">
        <v>415</v>
      </c>
      <c r="C204" s="1" t="s">
        <v>104</v>
      </c>
      <c r="D204" s="1" t="n">
        <v>4</v>
      </c>
      <c r="E204" s="1" t="n">
        <v>43</v>
      </c>
      <c r="F204" s="1" t="s">
        <v>101</v>
      </c>
      <c r="G204" s="1" t="n">
        <v>3.4</v>
      </c>
      <c r="H204" s="1" t="n">
        <v>3.4</v>
      </c>
      <c r="I204" s="1" t="n">
        <v>9.5</v>
      </c>
      <c r="J204" s="1" t="n">
        <v>4.01101470588235</v>
      </c>
      <c r="K204" s="1" t="n">
        <v>4</v>
      </c>
      <c r="L204" s="1" t="s">
        <v>355</v>
      </c>
    </row>
    <row r="205" customFormat="false" ht="14.25" hidden="true" customHeight="true" outlineLevel="0" collapsed="false">
      <c r="A205" s="1" t="s">
        <v>22</v>
      </c>
      <c r="C205" s="1" t="s">
        <v>104</v>
      </c>
      <c r="D205" s="1" t="n">
        <v>5</v>
      </c>
      <c r="E205" s="1" t="n">
        <v>57</v>
      </c>
      <c r="F205" s="1" t="s">
        <v>101</v>
      </c>
      <c r="G205" s="1" t="n">
        <v>4.5</v>
      </c>
      <c r="H205" s="1" t="n">
        <v>4.5</v>
      </c>
      <c r="I205" s="1" t="n">
        <v>16</v>
      </c>
      <c r="J205" s="1" t="n">
        <v>4.01723333333333</v>
      </c>
      <c r="K205" s="1" t="n">
        <v>5</v>
      </c>
      <c r="L205" s="1" t="s">
        <v>355</v>
      </c>
      <c r="N205" s="1" t="s">
        <v>416</v>
      </c>
    </row>
    <row r="206" customFormat="false" ht="14.25" hidden="true" customHeight="true" outlineLevel="0" collapsed="false">
      <c r="A206" s="1" t="s">
        <v>22</v>
      </c>
      <c r="C206" s="1" t="s">
        <v>104</v>
      </c>
      <c r="D206" s="1" t="n">
        <v>6</v>
      </c>
      <c r="E206" s="1" t="n">
        <v>47</v>
      </c>
      <c r="F206" s="1" t="s">
        <v>101</v>
      </c>
      <c r="G206" s="1" t="n">
        <v>5</v>
      </c>
      <c r="H206" s="1" t="n">
        <v>5</v>
      </c>
      <c r="I206" s="1" t="n">
        <v>16</v>
      </c>
      <c r="J206" s="1" t="n">
        <v>2.98121</v>
      </c>
      <c r="K206" s="1" t="n">
        <v>5</v>
      </c>
      <c r="L206" s="1" t="s">
        <v>355</v>
      </c>
      <c r="N206" s="1" t="s">
        <v>416</v>
      </c>
    </row>
    <row r="207" customFormat="false" ht="14.25" hidden="true" customHeight="true" outlineLevel="0" collapsed="false">
      <c r="A207" s="1" t="s">
        <v>22</v>
      </c>
      <c r="C207" s="1" t="s">
        <v>156</v>
      </c>
      <c r="D207" s="1" t="n">
        <v>7</v>
      </c>
      <c r="E207" s="1" t="n">
        <v>47</v>
      </c>
      <c r="F207" s="1" t="s">
        <v>101</v>
      </c>
      <c r="G207" s="1" t="n">
        <v>5</v>
      </c>
      <c r="H207" s="1" t="n">
        <v>5</v>
      </c>
      <c r="I207" s="1" t="n">
        <v>16</v>
      </c>
      <c r="J207" s="1" t="n">
        <v>2.98121</v>
      </c>
      <c r="K207" s="1" t="n">
        <v>5</v>
      </c>
      <c r="L207" s="1" t="s">
        <v>355</v>
      </c>
    </row>
    <row r="208" customFormat="false" ht="14.25" hidden="true" customHeight="true" outlineLevel="0" collapsed="false">
      <c r="A208" s="1" t="s">
        <v>22</v>
      </c>
      <c r="C208" s="1" t="s">
        <v>104</v>
      </c>
      <c r="D208" s="1" t="n">
        <v>8</v>
      </c>
      <c r="E208" s="1" t="n">
        <v>57</v>
      </c>
      <c r="F208" s="1" t="s">
        <v>101</v>
      </c>
      <c r="G208" s="1" t="n">
        <v>6</v>
      </c>
      <c r="H208" s="1" t="n">
        <v>6</v>
      </c>
      <c r="I208" s="1" t="n">
        <v>16</v>
      </c>
      <c r="J208" s="1" t="n">
        <v>3.012925</v>
      </c>
      <c r="K208" s="1" t="n">
        <v>5</v>
      </c>
      <c r="L208" s="1" t="s">
        <v>355</v>
      </c>
    </row>
    <row r="209" customFormat="false" ht="14.25" hidden="true" customHeight="true" outlineLevel="0" collapsed="false">
      <c r="A209" s="1" t="s">
        <v>22</v>
      </c>
      <c r="C209" s="1" t="s">
        <v>104</v>
      </c>
      <c r="D209" s="1" t="n">
        <v>9</v>
      </c>
      <c r="E209" s="1" t="n">
        <v>57</v>
      </c>
      <c r="F209" s="1" t="s">
        <v>101</v>
      </c>
      <c r="G209" s="1" t="n">
        <v>6</v>
      </c>
      <c r="H209" s="1" t="n">
        <v>6</v>
      </c>
      <c r="I209" s="1" t="n">
        <v>16</v>
      </c>
      <c r="J209" s="1" t="n">
        <v>3.012925</v>
      </c>
      <c r="K209" s="1" t="n">
        <v>5</v>
      </c>
      <c r="L209" s="1" t="s">
        <v>355</v>
      </c>
      <c r="N209" s="1" t="s">
        <v>417</v>
      </c>
    </row>
    <row r="210" customFormat="false" ht="14.25" hidden="true" customHeight="true" outlineLevel="0" collapsed="false">
      <c r="A210" s="1" t="s">
        <v>22</v>
      </c>
      <c r="B210" s="1" t="s">
        <v>418</v>
      </c>
      <c r="C210" s="1" t="s">
        <v>104</v>
      </c>
      <c r="D210" s="1" t="n">
        <v>10</v>
      </c>
      <c r="E210" s="1" t="n">
        <v>43</v>
      </c>
      <c r="F210" s="1" t="s">
        <v>101</v>
      </c>
      <c r="G210" s="1" t="n">
        <v>6.8</v>
      </c>
      <c r="H210" s="1" t="n">
        <v>6.8</v>
      </c>
      <c r="I210" s="1" t="n">
        <v>8.5</v>
      </c>
      <c r="J210" s="1" t="n">
        <v>2.00550735294118</v>
      </c>
      <c r="K210" s="1" t="n">
        <v>4</v>
      </c>
      <c r="L210" s="1" t="s">
        <v>355</v>
      </c>
      <c r="M210" s="1" t="s">
        <v>419</v>
      </c>
    </row>
    <row r="211" customFormat="false" ht="14.25" hidden="true" customHeight="true" outlineLevel="0" collapsed="false">
      <c r="A211" s="1" t="s">
        <v>22</v>
      </c>
      <c r="C211" s="1" t="s">
        <v>104</v>
      </c>
      <c r="D211" s="1" t="n">
        <v>11</v>
      </c>
      <c r="E211" s="1" t="n">
        <v>47</v>
      </c>
      <c r="F211" s="1" t="s">
        <v>101</v>
      </c>
      <c r="G211" s="1" t="n">
        <v>7.5</v>
      </c>
      <c r="H211" s="1" t="n">
        <v>7.5</v>
      </c>
      <c r="I211" s="1" t="n">
        <v>16</v>
      </c>
      <c r="J211" s="1" t="n">
        <v>1.98747333333333</v>
      </c>
      <c r="K211" s="1" t="n">
        <v>5</v>
      </c>
      <c r="L211" s="1" t="s">
        <v>355</v>
      </c>
      <c r="N211" s="1" t="s">
        <v>416</v>
      </c>
    </row>
    <row r="212" customFormat="false" ht="14.25" hidden="true" customHeight="true" outlineLevel="0" collapsed="false">
      <c r="A212" s="1" t="s">
        <v>22</v>
      </c>
      <c r="C212" s="1" t="s">
        <v>220</v>
      </c>
      <c r="D212" s="1" t="n">
        <v>12</v>
      </c>
      <c r="E212" s="1" t="n">
        <v>47</v>
      </c>
      <c r="F212" s="1" t="s">
        <v>101</v>
      </c>
      <c r="G212" s="1" t="n">
        <v>7.5</v>
      </c>
      <c r="H212" s="1" t="n">
        <v>7.5</v>
      </c>
      <c r="I212" s="1" t="n">
        <v>15.8</v>
      </c>
      <c r="J212" s="1" t="n">
        <v>1.98747333333333</v>
      </c>
      <c r="K212" s="1" t="n">
        <v>5</v>
      </c>
      <c r="L212" s="1" t="s">
        <v>355</v>
      </c>
      <c r="M212" s="1" t="s">
        <v>420</v>
      </c>
    </row>
    <row r="213" customFormat="false" ht="14.25" hidden="true" customHeight="true" outlineLevel="0" collapsed="false">
      <c r="A213" s="1" t="s">
        <v>22</v>
      </c>
      <c r="B213" s="1" t="s">
        <v>421</v>
      </c>
      <c r="C213" s="1" t="s">
        <v>104</v>
      </c>
      <c r="D213" s="1" t="n">
        <v>13</v>
      </c>
      <c r="E213" s="1" t="n">
        <v>63</v>
      </c>
      <c r="F213" s="1" t="s">
        <v>101</v>
      </c>
      <c r="G213" s="1" t="n">
        <v>10</v>
      </c>
      <c r="H213" s="1" t="n">
        <v>10</v>
      </c>
      <c r="I213" s="1" t="n">
        <v>8.3</v>
      </c>
      <c r="J213" s="1" t="n">
        <v>1.998045</v>
      </c>
      <c r="K213" s="1" t="n">
        <v>5</v>
      </c>
      <c r="L213" s="1" t="s">
        <v>355</v>
      </c>
    </row>
    <row r="214" customFormat="false" ht="14.25" hidden="true" customHeight="true" outlineLevel="0" collapsed="false">
      <c r="A214" s="1" t="s">
        <v>22</v>
      </c>
      <c r="B214" s="1" t="s">
        <v>422</v>
      </c>
      <c r="C214" s="1" t="s">
        <v>220</v>
      </c>
      <c r="D214" s="1" t="n">
        <v>14</v>
      </c>
      <c r="E214" s="1" t="n">
        <v>43</v>
      </c>
      <c r="F214" s="1" t="s">
        <v>101</v>
      </c>
      <c r="G214" s="1" t="n">
        <v>13.5</v>
      </c>
      <c r="H214" s="1" t="n">
        <v>13.5</v>
      </c>
      <c r="I214" s="1" t="n">
        <v>6.5</v>
      </c>
      <c r="J214" s="1" t="n">
        <v>1.01018148148148</v>
      </c>
      <c r="K214" s="1" t="n">
        <v>4</v>
      </c>
      <c r="L214" s="1" t="s">
        <v>355</v>
      </c>
    </row>
    <row r="215" customFormat="false" ht="14.25" hidden="true" customHeight="true" outlineLevel="0" collapsed="false">
      <c r="A215" s="1" t="s">
        <v>22</v>
      </c>
      <c r="B215" s="1" t="s">
        <v>423</v>
      </c>
      <c r="C215" s="1" t="s">
        <v>104</v>
      </c>
      <c r="D215" s="1" t="n">
        <v>113</v>
      </c>
      <c r="E215" s="1" t="n">
        <v>43</v>
      </c>
      <c r="F215" s="1" t="s">
        <v>101</v>
      </c>
      <c r="G215" s="1" t="n">
        <v>13.6</v>
      </c>
      <c r="H215" s="1" t="n">
        <v>13.6</v>
      </c>
      <c r="I215" s="1" t="n">
        <v>8.8</v>
      </c>
      <c r="J215" s="1" t="n">
        <v>1.00275367647059</v>
      </c>
      <c r="K215" s="1" t="n">
        <v>4</v>
      </c>
      <c r="L215" s="1" t="s">
        <v>424</v>
      </c>
    </row>
    <row r="216" customFormat="false" ht="14.25" hidden="true" customHeight="true" outlineLevel="0" collapsed="false">
      <c r="A216" s="1" t="s">
        <v>22</v>
      </c>
      <c r="B216" s="1" t="s">
        <v>425</v>
      </c>
      <c r="C216" s="1" t="s">
        <v>104</v>
      </c>
      <c r="D216" s="1" t="n">
        <v>15</v>
      </c>
      <c r="E216" s="1" t="n">
        <v>47</v>
      </c>
      <c r="F216" s="1" t="s">
        <v>101</v>
      </c>
      <c r="G216" s="1" t="n">
        <v>14.9</v>
      </c>
      <c r="H216" s="1" t="n">
        <v>14.9</v>
      </c>
      <c r="I216" s="1" t="n">
        <v>5.3</v>
      </c>
      <c r="J216" s="1" t="n">
        <v>1</v>
      </c>
      <c r="K216" s="1" t="n">
        <v>5</v>
      </c>
      <c r="L216" s="1" t="s">
        <v>355</v>
      </c>
    </row>
    <row r="217" customFormat="false" ht="14.25" hidden="true" customHeight="true" outlineLevel="0" collapsed="false">
      <c r="A217" s="1" t="s">
        <v>22</v>
      </c>
      <c r="B217" s="1" t="s">
        <v>426</v>
      </c>
      <c r="C217" s="1" t="s">
        <v>104</v>
      </c>
      <c r="D217" s="1" t="n">
        <v>16</v>
      </c>
      <c r="E217" s="1" t="n">
        <v>63</v>
      </c>
      <c r="F217" s="1" t="s">
        <v>101</v>
      </c>
      <c r="G217" s="1" t="n">
        <v>20</v>
      </c>
      <c r="H217" s="1" t="n">
        <v>20</v>
      </c>
      <c r="I217" s="1" t="n">
        <v>9.5</v>
      </c>
      <c r="J217" s="1" t="n">
        <v>1</v>
      </c>
      <c r="K217" s="1" t="n">
        <v>5</v>
      </c>
      <c r="L217" s="1" t="s">
        <v>355</v>
      </c>
      <c r="M217" s="1" t="s">
        <v>427</v>
      </c>
    </row>
    <row r="218" customFormat="false" ht="14.25" hidden="true" customHeight="true" outlineLevel="0" collapsed="false">
      <c r="A218" s="1" t="s">
        <v>22</v>
      </c>
    </row>
    <row r="219" customFormat="false" ht="14.25" hidden="true" customHeight="true" outlineLevel="0" collapsed="false">
      <c r="A219" s="1" t="s">
        <v>22</v>
      </c>
      <c r="B219" s="1" t="s">
        <v>428</v>
      </c>
      <c r="C219" s="1" t="s">
        <v>106</v>
      </c>
      <c r="D219" s="1" t="n">
        <v>26</v>
      </c>
      <c r="E219" s="1" t="n">
        <v>57</v>
      </c>
      <c r="F219" s="1" t="s">
        <v>116</v>
      </c>
      <c r="G219" s="1" t="n">
        <v>1.2</v>
      </c>
      <c r="H219" s="1" t="n">
        <v>1.5</v>
      </c>
      <c r="I219" s="1" t="n">
        <v>3.5</v>
      </c>
      <c r="J219" s="1" t="n">
        <v>15.064625</v>
      </c>
      <c r="K219" s="1" t="n">
        <v>5</v>
      </c>
      <c r="L219" s="1" t="n">
        <v>2</v>
      </c>
    </row>
    <row r="220" customFormat="false" ht="14.25" hidden="true" customHeight="true" outlineLevel="0" collapsed="false">
      <c r="A220" s="1" t="s">
        <v>22</v>
      </c>
      <c r="B220" s="1" t="s">
        <v>429</v>
      </c>
      <c r="C220" s="1" t="s">
        <v>220</v>
      </c>
      <c r="D220" s="1" t="n">
        <v>17</v>
      </c>
      <c r="E220" s="1" t="n">
        <v>43</v>
      </c>
      <c r="F220" s="1" t="s">
        <v>116</v>
      </c>
      <c r="G220" s="1" t="n">
        <v>2</v>
      </c>
      <c r="H220" s="1" t="n">
        <v>2.3</v>
      </c>
      <c r="I220" s="1" t="n">
        <v>2.5</v>
      </c>
      <c r="J220" s="1" t="n">
        <v>6</v>
      </c>
      <c r="K220" s="1" t="n">
        <v>4</v>
      </c>
      <c r="L220" s="1" t="n">
        <v>1</v>
      </c>
    </row>
    <row r="221" customFormat="false" ht="14.25" hidden="true" customHeight="true" outlineLevel="0" collapsed="false">
      <c r="A221" s="1" t="s">
        <v>22</v>
      </c>
      <c r="C221" s="1" t="s">
        <v>220</v>
      </c>
      <c r="D221" s="1" t="n">
        <v>18</v>
      </c>
      <c r="E221" s="1" t="n">
        <v>43</v>
      </c>
      <c r="F221" s="1" t="s">
        <v>116</v>
      </c>
      <c r="G221" s="1" t="n">
        <v>2.5</v>
      </c>
      <c r="H221" s="1" t="n">
        <v>2.8</v>
      </c>
      <c r="I221" s="1" t="n">
        <v>3</v>
      </c>
      <c r="J221" s="1" t="n">
        <v>5.45498</v>
      </c>
      <c r="K221" s="1" t="n">
        <v>4</v>
      </c>
      <c r="L221" s="1" t="n">
        <v>1</v>
      </c>
      <c r="M221" s="1" t="s">
        <v>211</v>
      </c>
    </row>
    <row r="222" customFormat="false" ht="14.25" hidden="true" customHeight="true" outlineLevel="0" collapsed="false">
      <c r="A222" s="1" t="s">
        <v>22</v>
      </c>
      <c r="B222" s="1" t="s">
        <v>430</v>
      </c>
      <c r="C222" s="1" t="s">
        <v>106</v>
      </c>
      <c r="D222" s="1" t="n">
        <v>17</v>
      </c>
      <c r="E222" s="1" t="n">
        <v>43</v>
      </c>
      <c r="F222" s="1" t="s">
        <v>116</v>
      </c>
      <c r="G222" s="1" t="n">
        <v>3.1</v>
      </c>
      <c r="H222" s="1" t="n">
        <v>3.4</v>
      </c>
      <c r="I222" s="1" t="n">
        <v>3.5</v>
      </c>
      <c r="J222" s="1" t="n">
        <v>4.39917741935484</v>
      </c>
      <c r="K222" s="1" t="n">
        <v>4</v>
      </c>
      <c r="L222" s="1" t="n">
        <v>1</v>
      </c>
    </row>
    <row r="223" customFormat="false" ht="14.25" hidden="true" customHeight="true" outlineLevel="0" collapsed="false">
      <c r="A223" s="1" t="s">
        <v>22</v>
      </c>
      <c r="B223" s="1" t="s">
        <v>431</v>
      </c>
      <c r="C223" s="1" t="s">
        <v>106</v>
      </c>
      <c r="D223" s="1" t="n">
        <v>58</v>
      </c>
      <c r="E223" s="1" t="n">
        <v>43</v>
      </c>
      <c r="F223" s="1" t="s">
        <v>116</v>
      </c>
      <c r="G223" s="1" t="n">
        <v>3.1</v>
      </c>
      <c r="H223" s="1" t="n">
        <v>3.4</v>
      </c>
      <c r="I223" s="1" t="n">
        <v>3.5</v>
      </c>
      <c r="J223" s="1" t="n">
        <v>4.39917741935484</v>
      </c>
      <c r="K223" s="1" t="n">
        <v>4</v>
      </c>
      <c r="L223" s="1" t="n">
        <v>1</v>
      </c>
    </row>
    <row r="224" customFormat="false" ht="14.25" hidden="true" customHeight="true" outlineLevel="0" collapsed="false">
      <c r="A224" s="1" t="s">
        <v>22</v>
      </c>
      <c r="B224" s="1" t="s">
        <v>432</v>
      </c>
      <c r="C224" s="1" t="s">
        <v>106</v>
      </c>
      <c r="D224" s="1" t="n">
        <v>20</v>
      </c>
      <c r="E224" s="1" t="n">
        <v>51</v>
      </c>
      <c r="F224" s="1" t="s">
        <v>116</v>
      </c>
      <c r="G224" s="1" t="n">
        <v>3.7</v>
      </c>
      <c r="H224" s="1" t="n">
        <v>4</v>
      </c>
      <c r="I224" s="1" t="n">
        <v>4.2</v>
      </c>
      <c r="J224" s="1" t="n">
        <v>4.37152702702703</v>
      </c>
      <c r="K224" s="1" t="n">
        <v>5</v>
      </c>
      <c r="L224" s="1" t="n">
        <v>1</v>
      </c>
      <c r="M224" s="1" t="s">
        <v>433</v>
      </c>
    </row>
    <row r="225" customFormat="false" ht="14.25" hidden="true" customHeight="true" outlineLevel="0" collapsed="false">
      <c r="A225" s="1" t="s">
        <v>22</v>
      </c>
      <c r="B225" s="1" t="s">
        <v>434</v>
      </c>
      <c r="C225" s="1" t="s">
        <v>106</v>
      </c>
      <c r="D225" s="1" t="n">
        <v>21</v>
      </c>
      <c r="E225" s="1" t="n">
        <v>43</v>
      </c>
      <c r="F225" s="1" t="s">
        <v>116</v>
      </c>
      <c r="G225" s="1" t="n">
        <v>4.3</v>
      </c>
      <c r="H225" s="1" t="n">
        <v>4.6</v>
      </c>
      <c r="I225" s="1" t="n">
        <v>4.8</v>
      </c>
      <c r="J225" s="1" t="n">
        <v>3.1715</v>
      </c>
      <c r="K225" s="1" t="n">
        <v>4</v>
      </c>
      <c r="L225" s="1" t="n">
        <v>1</v>
      </c>
      <c r="M225" s="1" t="s">
        <v>435</v>
      </c>
    </row>
    <row r="226" customFormat="false" ht="14.25" hidden="true" customHeight="true" outlineLevel="0" collapsed="false">
      <c r="A226" s="1" t="s">
        <v>22</v>
      </c>
      <c r="B226" s="1" t="s">
        <v>436</v>
      </c>
      <c r="C226" s="1" t="s">
        <v>156</v>
      </c>
      <c r="D226" s="1" t="n">
        <v>1</v>
      </c>
      <c r="E226" s="1" t="n">
        <v>43</v>
      </c>
      <c r="F226" s="1" t="s">
        <v>116</v>
      </c>
      <c r="G226" s="1" t="n">
        <v>4.3</v>
      </c>
      <c r="H226" s="1" t="n">
        <v>4.6</v>
      </c>
      <c r="I226" s="1" t="n">
        <v>5</v>
      </c>
      <c r="J226" s="1" t="n">
        <v>3.1715</v>
      </c>
      <c r="M226" s="1" t="s">
        <v>437</v>
      </c>
    </row>
    <row r="227" customFormat="false" ht="14.25" hidden="true" customHeight="true" outlineLevel="0" collapsed="false">
      <c r="A227" s="1" t="s">
        <v>22</v>
      </c>
      <c r="B227" s="1" t="s">
        <v>438</v>
      </c>
      <c r="C227" s="1" t="s">
        <v>106</v>
      </c>
      <c r="D227" s="1" t="n">
        <v>23</v>
      </c>
      <c r="E227" s="1" t="n">
        <v>47</v>
      </c>
      <c r="F227" s="1" t="s">
        <v>116</v>
      </c>
      <c r="G227" s="1" t="n">
        <v>4.8</v>
      </c>
      <c r="H227" s="1" t="n">
        <v>5.1</v>
      </c>
      <c r="I227" s="1" t="n">
        <v>5.5</v>
      </c>
      <c r="J227" s="1" t="n">
        <v>3.10542708333333</v>
      </c>
      <c r="K227" s="1" t="n">
        <v>5</v>
      </c>
      <c r="L227" s="1" t="n">
        <v>1</v>
      </c>
    </row>
    <row r="228" customFormat="false" ht="14.25" hidden="true" customHeight="true" outlineLevel="0" collapsed="false">
      <c r="A228" s="1" t="s">
        <v>22</v>
      </c>
      <c r="C228" s="1" t="s">
        <v>106</v>
      </c>
      <c r="D228" s="1" t="n">
        <v>24</v>
      </c>
      <c r="E228" s="1" t="n">
        <v>63</v>
      </c>
      <c r="F228" s="1" t="s">
        <v>116</v>
      </c>
      <c r="G228" s="1" t="n">
        <v>6.45</v>
      </c>
      <c r="H228" s="1" t="n">
        <v>6.75</v>
      </c>
      <c r="I228" s="1" t="n">
        <v>14</v>
      </c>
      <c r="J228" s="1" t="n">
        <v>3.09774418604651</v>
      </c>
      <c r="K228" s="1" t="n">
        <v>5</v>
      </c>
      <c r="L228" s="1" t="n">
        <v>2</v>
      </c>
      <c r="M228" s="1" t="s">
        <v>439</v>
      </c>
    </row>
    <row r="229" customFormat="false" ht="14.25" hidden="true" customHeight="true" outlineLevel="0" collapsed="false">
      <c r="A229" s="1" t="s">
        <v>22</v>
      </c>
      <c r="C229" s="1" t="s">
        <v>156</v>
      </c>
      <c r="D229" s="1" t="n">
        <v>25</v>
      </c>
      <c r="E229" s="1" t="n">
        <v>51</v>
      </c>
      <c r="F229" s="1" t="s">
        <v>116</v>
      </c>
      <c r="G229" s="1" t="n">
        <v>7.8</v>
      </c>
      <c r="H229" s="1" t="n">
        <v>8.1</v>
      </c>
      <c r="I229" s="1" t="n">
        <v>17</v>
      </c>
      <c r="J229" s="1" t="n">
        <v>2.07367307692308</v>
      </c>
      <c r="K229" s="1" t="n">
        <v>5</v>
      </c>
      <c r="L229" s="1" t="n">
        <v>2</v>
      </c>
      <c r="M229" s="1" t="s">
        <v>440</v>
      </c>
    </row>
    <row r="230" customFormat="false" ht="14.25" hidden="true" customHeight="true" outlineLevel="0" collapsed="false">
      <c r="A230" s="1" t="s">
        <v>22</v>
      </c>
      <c r="B230" s="1" t="s">
        <v>441</v>
      </c>
      <c r="C230" s="1" t="s">
        <v>106</v>
      </c>
      <c r="D230" s="1" t="n">
        <v>3</v>
      </c>
      <c r="E230" s="1" t="n">
        <v>51</v>
      </c>
      <c r="F230" s="1" t="s">
        <v>116</v>
      </c>
      <c r="G230" s="1" t="n">
        <v>7.8</v>
      </c>
      <c r="H230" s="1" t="n">
        <v>8.1</v>
      </c>
      <c r="I230" s="1" t="n">
        <v>17</v>
      </c>
      <c r="J230" s="1" t="n">
        <v>2.07367307692308</v>
      </c>
      <c r="K230" s="1" t="n">
        <v>5</v>
      </c>
      <c r="L230" s="1" t="n">
        <v>1</v>
      </c>
    </row>
    <row r="231" customFormat="false" ht="14.25" hidden="true" customHeight="true" outlineLevel="0" collapsed="false">
      <c r="A231" s="1" t="s">
        <v>22</v>
      </c>
      <c r="C231" s="1" t="s">
        <v>106</v>
      </c>
      <c r="D231" s="1" t="n">
        <v>125</v>
      </c>
      <c r="E231" s="1" t="n">
        <v>51</v>
      </c>
      <c r="F231" s="1" t="s">
        <v>116</v>
      </c>
      <c r="G231" s="1" t="n">
        <v>7.8</v>
      </c>
      <c r="H231" s="1" t="n">
        <v>8.1</v>
      </c>
      <c r="I231" s="1" t="n">
        <v>17</v>
      </c>
      <c r="J231" s="1" t="n">
        <v>2.07367307692308</v>
      </c>
      <c r="K231" s="1" t="n">
        <v>5</v>
      </c>
      <c r="L231" s="1" t="n">
        <v>1</v>
      </c>
      <c r="M231" s="1" t="s">
        <v>442</v>
      </c>
    </row>
    <row r="232" customFormat="false" ht="14.25" hidden="true" customHeight="true" outlineLevel="0" collapsed="false">
      <c r="A232" s="1" t="s">
        <v>22</v>
      </c>
      <c r="B232" s="1" t="s">
        <v>443</v>
      </c>
      <c r="C232" s="1" t="s">
        <v>106</v>
      </c>
      <c r="D232" s="1" t="n">
        <v>27</v>
      </c>
      <c r="E232" s="1" t="n">
        <v>60</v>
      </c>
      <c r="F232" s="1" t="s">
        <v>116</v>
      </c>
      <c r="G232" s="1" t="n">
        <v>9.2</v>
      </c>
      <c r="H232" s="1" t="n">
        <v>9.5</v>
      </c>
      <c r="I232" s="1" t="n">
        <v>9.8</v>
      </c>
      <c r="J232" s="1" t="n">
        <v>2.06836956521739</v>
      </c>
      <c r="K232" s="1" t="n">
        <v>4</v>
      </c>
      <c r="L232" s="1" t="n">
        <v>1</v>
      </c>
      <c r="M232" s="1" t="s">
        <v>427</v>
      </c>
    </row>
    <row r="233" customFormat="false" ht="14.25" hidden="true" customHeight="true" outlineLevel="0" collapsed="false">
      <c r="A233" s="1" t="s">
        <v>22</v>
      </c>
      <c r="B233" s="1" t="s">
        <v>444</v>
      </c>
      <c r="C233" s="1" t="s">
        <v>106</v>
      </c>
      <c r="D233" s="1" t="n">
        <v>28</v>
      </c>
      <c r="E233" s="1" t="n">
        <v>63</v>
      </c>
      <c r="F233" s="1" t="s">
        <v>116</v>
      </c>
      <c r="G233" s="1" t="n">
        <v>9.7</v>
      </c>
      <c r="H233" s="1" t="n">
        <v>10</v>
      </c>
      <c r="I233" s="1" t="n">
        <v>10.5</v>
      </c>
      <c r="J233" s="1" t="n">
        <v>2.05984020618557</v>
      </c>
      <c r="K233" s="1" t="n">
        <v>5</v>
      </c>
      <c r="L233" s="1" t="n">
        <v>1</v>
      </c>
      <c r="M233" s="1" t="s">
        <v>445</v>
      </c>
    </row>
    <row r="234" customFormat="false" ht="14.25" hidden="true" customHeight="true" outlineLevel="0" collapsed="false">
      <c r="A234" s="1" t="s">
        <v>22</v>
      </c>
      <c r="C234" s="1" t="s">
        <v>220</v>
      </c>
      <c r="D234" s="1" t="n">
        <v>29</v>
      </c>
      <c r="E234" s="1" t="n">
        <v>43</v>
      </c>
      <c r="F234" s="1" t="s">
        <v>116</v>
      </c>
      <c r="G234" s="1" t="n">
        <v>13.3</v>
      </c>
      <c r="H234" s="1" t="n">
        <v>13.6</v>
      </c>
      <c r="I234" s="1" t="n">
        <v>14</v>
      </c>
      <c r="J234" s="1" t="n">
        <v>1.02537218045113</v>
      </c>
      <c r="K234" s="1" t="n">
        <v>4</v>
      </c>
      <c r="L234" s="1" t="n">
        <v>1</v>
      </c>
      <c r="M234" s="1" t="s">
        <v>446</v>
      </c>
    </row>
    <row r="235" customFormat="false" ht="14.25" hidden="true" customHeight="true" outlineLevel="0" collapsed="false">
      <c r="A235" s="1" t="s">
        <v>22</v>
      </c>
      <c r="B235" s="1" t="s">
        <v>447</v>
      </c>
      <c r="C235" s="1" t="s">
        <v>108</v>
      </c>
      <c r="D235" s="1" t="n">
        <v>30</v>
      </c>
      <c r="E235" s="1" t="n">
        <v>43</v>
      </c>
      <c r="F235" s="1" t="s">
        <v>116</v>
      </c>
      <c r="G235" s="1" t="n">
        <v>12.5</v>
      </c>
      <c r="H235" s="1" t="n">
        <v>13.6</v>
      </c>
      <c r="I235" s="1" t="n">
        <v>13</v>
      </c>
      <c r="J235" s="1" t="n">
        <v>1.090996</v>
      </c>
      <c r="K235" s="1" t="n">
        <v>4</v>
      </c>
      <c r="L235" s="1" t="n">
        <v>1</v>
      </c>
      <c r="M235" s="1" t="s">
        <v>445</v>
      </c>
    </row>
    <row r="236" customFormat="false" ht="14.25" hidden="true" customHeight="true" outlineLevel="0" collapsed="false">
      <c r="A236" s="1" t="s">
        <v>22</v>
      </c>
    </row>
    <row r="237" customFormat="false" ht="14.25" hidden="true" customHeight="true" outlineLevel="0" collapsed="false">
      <c r="A237" s="1" t="s">
        <v>22</v>
      </c>
      <c r="B237" s="1" t="s">
        <v>448</v>
      </c>
      <c r="C237" s="1" t="s">
        <v>106</v>
      </c>
      <c r="D237" s="1" t="n">
        <v>4</v>
      </c>
      <c r="E237" s="1" t="n">
        <v>43</v>
      </c>
      <c r="F237" s="1" t="s">
        <v>131</v>
      </c>
      <c r="G237" s="1" t="s">
        <v>449</v>
      </c>
      <c r="H237" s="1" t="n">
        <v>2.72749</v>
      </c>
      <c r="I237" s="1" t="n">
        <v>5.5</v>
      </c>
      <c r="J237" s="1" t="n">
        <v>5</v>
      </c>
      <c r="K237" s="1" t="n">
        <v>4</v>
      </c>
      <c r="L237" s="1" t="n">
        <v>3</v>
      </c>
      <c r="M237" s="1" t="s">
        <v>450</v>
      </c>
    </row>
    <row r="238" customFormat="false" ht="14.25" hidden="true" customHeight="true" outlineLevel="0" collapsed="false">
      <c r="A238" s="1" t="s">
        <v>22</v>
      </c>
      <c r="B238" s="1" t="s">
        <v>451</v>
      </c>
      <c r="C238" s="1" t="s">
        <v>106</v>
      </c>
      <c r="D238" s="1" t="n">
        <v>32</v>
      </c>
      <c r="E238" s="1" t="n">
        <v>47</v>
      </c>
      <c r="F238" s="1" t="s">
        <v>131</v>
      </c>
      <c r="G238" s="1" t="s">
        <v>452</v>
      </c>
      <c r="H238" s="1" t="n">
        <v>2.48434166666667</v>
      </c>
      <c r="I238" s="1" t="n">
        <v>7.5</v>
      </c>
      <c r="J238" s="1" t="n">
        <v>6</v>
      </c>
      <c r="K238" s="1" t="n">
        <v>5</v>
      </c>
      <c r="L238" s="1" t="n">
        <v>2</v>
      </c>
      <c r="M238" s="1" t="s">
        <v>453</v>
      </c>
    </row>
    <row r="239" customFormat="false" ht="14.25" hidden="true" customHeight="true" outlineLevel="0" collapsed="false">
      <c r="A239" s="1" t="s">
        <v>22</v>
      </c>
      <c r="B239" s="1" t="s">
        <v>454</v>
      </c>
      <c r="C239" s="1" t="s">
        <v>455</v>
      </c>
      <c r="D239" s="1" t="n">
        <v>33</v>
      </c>
      <c r="E239" s="1" t="n">
        <v>43</v>
      </c>
      <c r="F239" s="1" t="s">
        <v>131</v>
      </c>
      <c r="G239" s="1" t="s">
        <v>456</v>
      </c>
      <c r="H239" s="1" t="n">
        <v>4.54581666666667</v>
      </c>
      <c r="I239" s="1" t="n">
        <v>3.5</v>
      </c>
      <c r="J239" s="1" t="n">
        <v>3</v>
      </c>
      <c r="K239" s="1" t="n">
        <v>4</v>
      </c>
      <c r="L239" s="1" t="n">
        <v>1</v>
      </c>
    </row>
    <row r="240" customFormat="false" ht="14.25" hidden="true" customHeight="true" outlineLevel="0" collapsed="false">
      <c r="A240" s="1" t="s">
        <v>22</v>
      </c>
      <c r="B240" s="1" t="s">
        <v>457</v>
      </c>
      <c r="C240" s="1" t="s">
        <v>106</v>
      </c>
      <c r="D240" s="1" t="n">
        <v>34</v>
      </c>
      <c r="E240" s="1" t="n">
        <v>47</v>
      </c>
      <c r="F240" s="1" t="s">
        <v>131</v>
      </c>
      <c r="G240" s="1" t="s">
        <v>458</v>
      </c>
      <c r="H240" s="1" t="n">
        <v>4.96868333333333</v>
      </c>
      <c r="I240" s="1" t="n">
        <v>3.5</v>
      </c>
      <c r="J240" s="1" t="n">
        <v>3</v>
      </c>
      <c r="K240" s="1" t="n">
        <v>5</v>
      </c>
      <c r="L240" s="1" t="n">
        <v>1</v>
      </c>
      <c r="M240" s="1" t="s">
        <v>459</v>
      </c>
    </row>
    <row r="241" customFormat="false" ht="14.25" hidden="true" customHeight="true" outlineLevel="0" collapsed="false">
      <c r="A241" s="1" t="s">
        <v>22</v>
      </c>
      <c r="B241" s="1" t="s">
        <v>460</v>
      </c>
      <c r="C241" s="1" t="s">
        <v>108</v>
      </c>
      <c r="D241" s="1" t="n">
        <v>35</v>
      </c>
      <c r="E241" s="1" t="n">
        <v>43</v>
      </c>
      <c r="F241" s="1" t="s">
        <v>131</v>
      </c>
      <c r="G241" s="1" t="s">
        <v>461</v>
      </c>
      <c r="H241" s="1" t="n">
        <v>6.818725</v>
      </c>
      <c r="I241" s="1" t="n">
        <v>3.5</v>
      </c>
      <c r="J241" s="1" t="n">
        <v>2</v>
      </c>
      <c r="K241" s="1" t="n">
        <v>4</v>
      </c>
      <c r="L241" s="1" t="n">
        <v>1</v>
      </c>
    </row>
    <row r="242" customFormat="false" ht="14.25" hidden="true" customHeight="true" outlineLevel="0" collapsed="false">
      <c r="A242" s="1" t="s">
        <v>22</v>
      </c>
      <c r="B242" s="1" t="s">
        <v>462</v>
      </c>
      <c r="C242" s="1" t="s">
        <v>108</v>
      </c>
      <c r="D242" s="1" t="n">
        <v>36</v>
      </c>
      <c r="E242" s="1" t="n">
        <v>47</v>
      </c>
      <c r="F242" s="1" t="s">
        <v>131</v>
      </c>
      <c r="G242" s="1" t="s">
        <v>463</v>
      </c>
      <c r="H242" s="1" t="n">
        <v>7.453025</v>
      </c>
      <c r="I242" s="1" t="n">
        <v>5.5</v>
      </c>
      <c r="J242" s="1" t="n">
        <v>2</v>
      </c>
      <c r="K242" s="1" t="n">
        <v>5</v>
      </c>
      <c r="L242" s="1" t="n">
        <v>1</v>
      </c>
      <c r="M242" s="1" t="s">
        <v>464</v>
      </c>
    </row>
    <row r="243" customFormat="false" ht="14.25" hidden="true" customHeight="true" outlineLevel="0" collapsed="false">
      <c r="A243" s="1" t="s">
        <v>22</v>
      </c>
      <c r="B243" s="1" t="s">
        <v>465</v>
      </c>
      <c r="C243" s="1" t="s">
        <v>106</v>
      </c>
      <c r="D243" s="1" t="n">
        <v>37</v>
      </c>
      <c r="E243" s="1" t="n">
        <v>63</v>
      </c>
      <c r="F243" s="1" t="s">
        <v>131</v>
      </c>
      <c r="G243" s="1" t="s">
        <v>466</v>
      </c>
      <c r="H243" s="1" t="n">
        <v>4.9951125</v>
      </c>
      <c r="I243" s="1" t="n">
        <v>8</v>
      </c>
      <c r="J243" s="1" t="n">
        <v>4</v>
      </c>
      <c r="K243" s="1" t="n">
        <v>5</v>
      </c>
      <c r="L243" s="1" t="n">
        <v>1</v>
      </c>
      <c r="M243" s="1" t="s">
        <v>147</v>
      </c>
    </row>
    <row r="244" customFormat="false" ht="14.25" hidden="true" customHeight="true" outlineLevel="0" collapsed="false">
      <c r="A244" s="1" t="s">
        <v>22</v>
      </c>
      <c r="B244" s="1" t="s">
        <v>467</v>
      </c>
      <c r="C244" s="1" t="s">
        <v>455</v>
      </c>
      <c r="D244" s="1" t="n">
        <v>35</v>
      </c>
      <c r="E244" s="1" t="n">
        <v>43</v>
      </c>
      <c r="F244" s="1" t="s">
        <v>131</v>
      </c>
      <c r="G244" s="1" t="s">
        <v>468</v>
      </c>
      <c r="H244" s="1" t="n">
        <v>6.818725</v>
      </c>
      <c r="I244" s="1" t="n">
        <v>10</v>
      </c>
      <c r="J244" s="1" t="n">
        <v>2</v>
      </c>
      <c r="K244" s="1" t="n">
        <v>4</v>
      </c>
      <c r="L244" s="1" t="n">
        <v>1</v>
      </c>
      <c r="M244" s="1" t="s">
        <v>469</v>
      </c>
    </row>
    <row r="245" customFormat="false" ht="14.25" hidden="true" customHeight="true" outlineLevel="0" collapsed="false">
      <c r="A245" s="1" t="s">
        <v>22</v>
      </c>
      <c r="B245" s="1" t="s">
        <v>467</v>
      </c>
      <c r="C245" s="1" t="s">
        <v>455</v>
      </c>
      <c r="D245" s="1" t="n">
        <v>122</v>
      </c>
      <c r="E245" s="1" t="n">
        <v>43</v>
      </c>
      <c r="F245" s="1" t="s">
        <v>131</v>
      </c>
      <c r="G245" s="1" t="s">
        <v>468</v>
      </c>
      <c r="H245" s="1" t="n">
        <v>6.818725</v>
      </c>
      <c r="I245" s="1" t="n">
        <v>10</v>
      </c>
      <c r="J245" s="1" t="n">
        <v>2</v>
      </c>
      <c r="K245" s="1" t="n">
        <v>4</v>
      </c>
      <c r="L245" s="1" t="n">
        <v>1</v>
      </c>
      <c r="M245" s="1" t="s">
        <v>470</v>
      </c>
    </row>
    <row r="246" customFormat="false" ht="14.25" hidden="true" customHeight="true" outlineLevel="0" collapsed="false">
      <c r="A246" s="1" t="s">
        <v>22</v>
      </c>
      <c r="C246" s="1" t="s">
        <v>455</v>
      </c>
      <c r="D246" s="1" t="n">
        <v>40</v>
      </c>
      <c r="E246" s="1" t="n">
        <v>57</v>
      </c>
      <c r="F246" s="1" t="s">
        <v>131</v>
      </c>
      <c r="G246" s="1" t="s">
        <v>471</v>
      </c>
      <c r="H246" s="1" t="n">
        <v>9.038775</v>
      </c>
      <c r="I246" s="1" t="n">
        <v>13</v>
      </c>
      <c r="J246" s="1" t="n">
        <v>2</v>
      </c>
      <c r="K246" s="1" t="n">
        <v>5</v>
      </c>
      <c r="L246" s="1" t="n">
        <v>1</v>
      </c>
      <c r="M246" s="1" t="s">
        <v>472</v>
      </c>
    </row>
    <row r="247" customFormat="false" ht="14.25" hidden="true" customHeight="true" outlineLevel="0" collapsed="false">
      <c r="A247" s="1" t="s">
        <v>22</v>
      </c>
      <c r="C247" s="1" t="s">
        <v>106</v>
      </c>
      <c r="D247" s="1" t="n">
        <v>41</v>
      </c>
      <c r="E247" s="1" t="n">
        <v>60</v>
      </c>
      <c r="F247" s="1" t="s">
        <v>131</v>
      </c>
      <c r="G247" s="1" t="s">
        <v>473</v>
      </c>
      <c r="H247" s="1" t="n">
        <v>9.5145</v>
      </c>
      <c r="I247" s="1" t="n">
        <v>14.5</v>
      </c>
      <c r="J247" s="1" t="n">
        <v>2</v>
      </c>
      <c r="K247" s="1" t="n">
        <v>4</v>
      </c>
      <c r="L247" s="1" t="n">
        <v>1</v>
      </c>
      <c r="M247" s="1" t="s">
        <v>474</v>
      </c>
    </row>
    <row r="248" customFormat="false" ht="14.25" hidden="true" customHeight="true" outlineLevel="0" collapsed="false">
      <c r="A248" s="1" t="s">
        <v>22</v>
      </c>
    </row>
    <row r="249" customFormat="false" ht="16.5" hidden="true" customHeight="true" outlineLevel="0" collapsed="false">
      <c r="A249" s="1" t="s">
        <v>22</v>
      </c>
      <c r="B249" s="1" t="s">
        <v>475</v>
      </c>
      <c r="C249" s="1" t="s">
        <v>106</v>
      </c>
      <c r="D249" s="1" t="n">
        <v>72</v>
      </c>
      <c r="E249" s="1" t="n">
        <v>78</v>
      </c>
      <c r="F249" s="1" t="s">
        <v>160</v>
      </c>
      <c r="G249" s="1" t="s">
        <v>476</v>
      </c>
      <c r="H249" s="1" t="n">
        <v>24.7377</v>
      </c>
      <c r="I249" s="1" t="n">
        <v>3.8</v>
      </c>
      <c r="J249" s="1" t="n">
        <v>1</v>
      </c>
      <c r="K249" s="1" t="n">
        <v>5</v>
      </c>
      <c r="L249" s="1" t="n">
        <v>2</v>
      </c>
      <c r="M249" s="1" t="s">
        <v>477</v>
      </c>
    </row>
    <row r="250" customFormat="false" ht="14.25" hidden="true" customHeight="true" outlineLevel="0" collapsed="false">
      <c r="A250" s="1" t="s">
        <v>22</v>
      </c>
      <c r="B250" s="1" t="s">
        <v>478</v>
      </c>
      <c r="C250" s="1" t="s">
        <v>106</v>
      </c>
      <c r="D250" s="1" t="n">
        <v>42</v>
      </c>
      <c r="E250" s="1" t="n">
        <v>47</v>
      </c>
      <c r="F250" s="1" t="s">
        <v>160</v>
      </c>
      <c r="G250" s="1" t="s">
        <v>479</v>
      </c>
      <c r="H250" s="1" t="n">
        <v>1.86325625</v>
      </c>
      <c r="I250" s="1" t="n">
        <v>10.5</v>
      </c>
      <c r="J250" s="1" t="n">
        <v>8</v>
      </c>
      <c r="K250" s="1" t="n">
        <v>5</v>
      </c>
      <c r="L250" s="1" t="n">
        <v>3</v>
      </c>
      <c r="M250" s="1" t="s">
        <v>480</v>
      </c>
    </row>
    <row r="251" customFormat="false" ht="14.25" hidden="true" customHeight="true" outlineLevel="0" collapsed="false">
      <c r="A251" s="1" t="s">
        <v>22</v>
      </c>
      <c r="B251" s="1" t="s">
        <v>481</v>
      </c>
      <c r="C251" s="1" t="s">
        <v>100</v>
      </c>
      <c r="D251" s="1" t="n">
        <v>43</v>
      </c>
      <c r="E251" s="1" t="n">
        <v>68</v>
      </c>
      <c r="F251" s="1" t="s">
        <v>160</v>
      </c>
      <c r="G251" s="1" t="s">
        <v>482</v>
      </c>
      <c r="H251" s="1" t="n">
        <v>3.08088571428571</v>
      </c>
      <c r="I251" s="1" t="n">
        <v>8.5</v>
      </c>
      <c r="J251" s="1" t="n">
        <v>7</v>
      </c>
      <c r="K251" s="1" t="n">
        <v>5</v>
      </c>
      <c r="L251" s="1" t="n">
        <v>2</v>
      </c>
      <c r="M251" s="1" t="s">
        <v>483</v>
      </c>
    </row>
    <row r="252" customFormat="false" ht="14.25" hidden="true" customHeight="true" outlineLevel="0" collapsed="false">
      <c r="A252" s="1" t="s">
        <v>22</v>
      </c>
      <c r="C252" s="1" t="s">
        <v>106</v>
      </c>
      <c r="D252" s="1" t="n">
        <v>44</v>
      </c>
      <c r="E252" s="1" t="n">
        <v>68</v>
      </c>
      <c r="F252" s="1" t="s">
        <v>160</v>
      </c>
      <c r="G252" s="1" t="s">
        <v>176</v>
      </c>
      <c r="H252" s="1" t="n">
        <v>4.31324</v>
      </c>
      <c r="I252" s="1" t="n">
        <v>13.5</v>
      </c>
      <c r="J252" s="1" t="n">
        <v>5</v>
      </c>
      <c r="K252" s="1" t="n">
        <v>5</v>
      </c>
      <c r="L252" s="1" t="n">
        <v>3</v>
      </c>
      <c r="M252" s="1" t="s">
        <v>484</v>
      </c>
      <c r="N252" s="1" t="s">
        <v>485</v>
      </c>
    </row>
    <row r="253" customFormat="false" ht="14.25" hidden="true" customHeight="true" outlineLevel="0" collapsed="false">
      <c r="A253" s="1" t="s">
        <v>22</v>
      </c>
      <c r="B253" s="1" t="s">
        <v>486</v>
      </c>
      <c r="C253" s="1" t="s">
        <v>106</v>
      </c>
      <c r="D253" s="1" t="n">
        <v>28</v>
      </c>
      <c r="E253" s="1" t="n">
        <v>63</v>
      </c>
      <c r="F253" s="1" t="s">
        <v>160</v>
      </c>
      <c r="G253" s="1" t="s">
        <v>487</v>
      </c>
      <c r="H253" s="1" t="n">
        <v>2.22005</v>
      </c>
      <c r="I253" s="1" t="n">
        <v>4.5</v>
      </c>
      <c r="J253" s="1" t="n">
        <v>9</v>
      </c>
      <c r="K253" s="1" t="n">
        <v>5</v>
      </c>
      <c r="L253" s="1" t="n">
        <v>1</v>
      </c>
    </row>
    <row r="254" customFormat="false" ht="14.25" hidden="true" customHeight="true" outlineLevel="0" collapsed="false">
      <c r="A254" s="1" t="s">
        <v>22</v>
      </c>
      <c r="B254" s="1" t="s">
        <v>488</v>
      </c>
      <c r="C254" s="1" t="s">
        <v>106</v>
      </c>
      <c r="D254" s="1" t="n">
        <v>46</v>
      </c>
      <c r="E254" s="1" t="n">
        <v>43</v>
      </c>
      <c r="F254" s="1" t="s">
        <v>160</v>
      </c>
      <c r="G254" s="1" t="s">
        <v>489</v>
      </c>
      <c r="H254" s="1" t="n">
        <v>2.27290833333333</v>
      </c>
      <c r="I254" s="1" t="n">
        <v>5.5</v>
      </c>
      <c r="J254" s="1" t="n">
        <v>6</v>
      </c>
      <c r="K254" s="1" t="n">
        <v>4</v>
      </c>
      <c r="L254" s="1" t="n">
        <v>1</v>
      </c>
      <c r="M254" s="1" t="s">
        <v>182</v>
      </c>
    </row>
    <row r="255" customFormat="false" ht="14.25" hidden="true" customHeight="true" outlineLevel="0" collapsed="false">
      <c r="A255" s="1" t="s">
        <v>22</v>
      </c>
      <c r="B255" s="1" t="s">
        <v>490</v>
      </c>
      <c r="C255" s="1" t="s">
        <v>455</v>
      </c>
      <c r="D255" s="1" t="n">
        <v>33</v>
      </c>
      <c r="E255" s="1" t="n">
        <v>43</v>
      </c>
      <c r="F255" s="1" t="s">
        <v>160</v>
      </c>
      <c r="G255" s="1" t="s">
        <v>491</v>
      </c>
      <c r="H255" s="1" t="n">
        <v>2.72749</v>
      </c>
      <c r="I255" s="1" t="n">
        <v>10.5</v>
      </c>
      <c r="J255" s="1" t="n">
        <v>5</v>
      </c>
      <c r="K255" s="1" t="n">
        <v>4</v>
      </c>
      <c r="L255" s="1" t="n">
        <v>2</v>
      </c>
      <c r="M255" s="1" t="s">
        <v>310</v>
      </c>
      <c r="N255" s="1" t="s">
        <v>492</v>
      </c>
    </row>
    <row r="256" customFormat="false" ht="14.25" hidden="true" customHeight="true" outlineLevel="0" collapsed="false">
      <c r="A256" s="1" t="s">
        <v>22</v>
      </c>
      <c r="B256" s="1" t="s">
        <v>493</v>
      </c>
      <c r="C256" s="1" t="s">
        <v>100</v>
      </c>
      <c r="D256" s="1" t="n">
        <v>43</v>
      </c>
      <c r="E256" s="1" t="n">
        <v>68</v>
      </c>
      <c r="F256" s="1" t="s">
        <v>160</v>
      </c>
      <c r="G256" s="1" t="s">
        <v>494</v>
      </c>
      <c r="H256" s="1" t="n">
        <v>3.59436666666667</v>
      </c>
      <c r="I256" s="1" t="n">
        <v>5.5</v>
      </c>
      <c r="J256" s="1" t="n">
        <v>6</v>
      </c>
      <c r="K256" s="1" t="n">
        <v>5</v>
      </c>
      <c r="L256" s="1" t="n">
        <v>1</v>
      </c>
      <c r="M256" s="1" t="s">
        <v>483</v>
      </c>
    </row>
    <row r="257" customFormat="false" ht="14.25" hidden="true" customHeight="true" outlineLevel="0" collapsed="false">
      <c r="A257" s="1" t="s">
        <v>22</v>
      </c>
      <c r="B257" s="1" t="s">
        <v>495</v>
      </c>
      <c r="C257" s="1" t="s">
        <v>106</v>
      </c>
      <c r="D257" s="1" t="n">
        <v>49</v>
      </c>
      <c r="E257" s="1" t="n">
        <v>60</v>
      </c>
      <c r="F257" s="1" t="s">
        <v>160</v>
      </c>
      <c r="G257" s="1" t="s">
        <v>190</v>
      </c>
      <c r="H257" s="1" t="n">
        <v>6.343</v>
      </c>
      <c r="I257" s="1" t="n">
        <v>9</v>
      </c>
      <c r="J257" s="1" t="n">
        <v>3</v>
      </c>
      <c r="K257" s="1" t="n">
        <v>4</v>
      </c>
      <c r="L257" s="1" t="n">
        <v>2</v>
      </c>
      <c r="M257" s="1" t="s">
        <v>496</v>
      </c>
    </row>
    <row r="258" customFormat="false" ht="14.25" hidden="true" customHeight="true" outlineLevel="0" collapsed="false">
      <c r="A258" s="1" t="s">
        <v>22</v>
      </c>
      <c r="C258" s="1" t="s">
        <v>106</v>
      </c>
      <c r="D258" s="1" t="n">
        <v>50</v>
      </c>
      <c r="E258" s="1" t="n">
        <v>60</v>
      </c>
      <c r="F258" s="1" t="s">
        <v>160</v>
      </c>
      <c r="G258" s="1" t="s">
        <v>497</v>
      </c>
      <c r="H258" s="1" t="n">
        <v>6.343</v>
      </c>
      <c r="I258" s="1" t="n">
        <v>10.5</v>
      </c>
      <c r="J258" s="1" t="n">
        <v>3</v>
      </c>
      <c r="K258" s="1" t="n">
        <v>4</v>
      </c>
      <c r="L258" s="1" t="n">
        <v>3</v>
      </c>
      <c r="M258" s="1" t="s">
        <v>498</v>
      </c>
      <c r="N258" s="1" t="s">
        <v>319</v>
      </c>
    </row>
    <row r="259" customFormat="false" ht="14.25" hidden="true" customHeight="true" outlineLevel="0" collapsed="false">
      <c r="A259" s="1" t="s">
        <v>22</v>
      </c>
      <c r="C259" s="1" t="s">
        <v>106</v>
      </c>
      <c r="D259" s="1" t="n">
        <v>51</v>
      </c>
      <c r="E259" s="1" t="n">
        <v>68</v>
      </c>
      <c r="F259" s="1" t="s">
        <v>160</v>
      </c>
      <c r="G259" s="1" t="s">
        <v>190</v>
      </c>
      <c r="H259" s="1" t="n">
        <v>4.31324</v>
      </c>
      <c r="I259" s="1" t="n">
        <v>13</v>
      </c>
      <c r="J259" s="1" t="n">
        <v>5</v>
      </c>
      <c r="K259" s="1" t="n">
        <v>5</v>
      </c>
      <c r="L259" s="1" t="n">
        <v>2</v>
      </c>
      <c r="M259" s="1" t="s">
        <v>499</v>
      </c>
      <c r="N259" s="1" t="s">
        <v>319</v>
      </c>
    </row>
    <row r="260" customFormat="false" ht="14.25" hidden="true" customHeight="true" outlineLevel="0" collapsed="false">
      <c r="A260" s="1" t="s">
        <v>22</v>
      </c>
      <c r="C260" s="1" t="s">
        <v>106</v>
      </c>
      <c r="D260" s="1" t="n">
        <v>53</v>
      </c>
      <c r="E260" s="1" t="n">
        <v>47</v>
      </c>
      <c r="F260" s="1" t="s">
        <v>160</v>
      </c>
      <c r="G260" s="1" t="s">
        <v>500</v>
      </c>
      <c r="H260" s="1" t="n">
        <v>4.96868333333333</v>
      </c>
      <c r="I260" s="1" t="n">
        <v>15</v>
      </c>
      <c r="J260" s="1" t="n">
        <v>3</v>
      </c>
      <c r="K260" s="1" t="n">
        <v>5</v>
      </c>
      <c r="L260" s="1" t="n">
        <v>2</v>
      </c>
      <c r="N260" s="1" t="s">
        <v>319</v>
      </c>
    </row>
    <row r="261" customFormat="false" ht="14.25" hidden="true" customHeight="true" outlineLevel="0" collapsed="false">
      <c r="A261" s="1" t="s">
        <v>22</v>
      </c>
      <c r="B261" s="1" t="s">
        <v>501</v>
      </c>
      <c r="C261" s="1" t="s">
        <v>332</v>
      </c>
      <c r="D261" s="1" t="n">
        <v>54</v>
      </c>
      <c r="E261" s="1" t="n">
        <v>47</v>
      </c>
      <c r="F261" s="1" t="s">
        <v>160</v>
      </c>
      <c r="G261" s="1" t="s">
        <v>500</v>
      </c>
      <c r="H261" s="1" t="n">
        <v>4.96868333333333</v>
      </c>
      <c r="I261" s="1" t="n">
        <v>11</v>
      </c>
      <c r="J261" s="1" t="n">
        <v>3</v>
      </c>
      <c r="K261" s="1" t="n">
        <v>5</v>
      </c>
      <c r="L261" s="1" t="n">
        <v>2</v>
      </c>
      <c r="M261" s="1" t="s">
        <v>502</v>
      </c>
      <c r="N261" s="1" t="s">
        <v>319</v>
      </c>
    </row>
    <row r="262" customFormat="false" ht="14.25" hidden="true" customHeight="true" outlineLevel="0" collapsed="false">
      <c r="A262" s="1" t="s">
        <v>22</v>
      </c>
      <c r="C262" s="1" t="s">
        <v>104</v>
      </c>
      <c r="D262" s="1" t="n">
        <v>129</v>
      </c>
      <c r="E262" s="1" t="n">
        <v>54</v>
      </c>
      <c r="F262" s="1" t="s">
        <v>157</v>
      </c>
      <c r="G262" s="1" t="s">
        <v>503</v>
      </c>
      <c r="H262" s="1" t="n">
        <v>4.281525</v>
      </c>
      <c r="I262" s="1" t="n">
        <v>15</v>
      </c>
      <c r="J262" s="1" t="n">
        <v>4</v>
      </c>
      <c r="K262" s="1" t="n">
        <v>0</v>
      </c>
      <c r="L262" s="1" t="n">
        <v>2</v>
      </c>
      <c r="M262" s="1" t="s">
        <v>504</v>
      </c>
    </row>
    <row r="263" customFormat="false" ht="14.25" hidden="true" customHeight="true" outlineLevel="0" collapsed="false">
      <c r="A263" s="1" t="s">
        <v>22</v>
      </c>
      <c r="C263" s="1" t="s">
        <v>106</v>
      </c>
      <c r="D263" s="1" t="n">
        <v>55</v>
      </c>
      <c r="E263" s="1" t="n">
        <v>47</v>
      </c>
      <c r="F263" s="1" t="s">
        <v>160</v>
      </c>
      <c r="G263" s="1" t="s">
        <v>505</v>
      </c>
      <c r="H263" s="1" t="n">
        <v>7.453025</v>
      </c>
      <c r="I263" s="1" t="n">
        <v>11</v>
      </c>
      <c r="J263" s="1" t="n">
        <v>2</v>
      </c>
      <c r="K263" s="1" t="n">
        <v>5</v>
      </c>
      <c r="L263" s="1" t="n">
        <v>2</v>
      </c>
      <c r="M263" s="1" t="s">
        <v>208</v>
      </c>
    </row>
    <row r="264" customFormat="false" ht="14.25" hidden="true" customHeight="true" outlineLevel="0" collapsed="false">
      <c r="A264" s="1" t="s">
        <v>22</v>
      </c>
      <c r="C264" s="1" t="s">
        <v>332</v>
      </c>
      <c r="D264" s="1" t="n">
        <v>76</v>
      </c>
      <c r="E264" s="1" t="n">
        <v>43</v>
      </c>
      <c r="F264" s="1" t="s">
        <v>160</v>
      </c>
      <c r="G264" s="1" t="s">
        <v>506</v>
      </c>
      <c r="H264" s="1" t="n">
        <v>3.4093625</v>
      </c>
      <c r="I264" s="1" t="n">
        <v>8.5</v>
      </c>
      <c r="J264" s="1" t="n">
        <v>4</v>
      </c>
      <c r="K264" s="1" t="n">
        <v>4</v>
      </c>
      <c r="L264" s="1" t="n">
        <v>1</v>
      </c>
      <c r="M264" s="1" t="s">
        <v>496</v>
      </c>
    </row>
    <row r="265" customFormat="false" ht="14.25" hidden="true" customHeight="true" outlineLevel="0" collapsed="false">
      <c r="A265" s="1" t="s">
        <v>22</v>
      </c>
      <c r="C265" s="1" t="s">
        <v>106</v>
      </c>
      <c r="D265" s="1" t="n">
        <v>56</v>
      </c>
      <c r="E265" s="1" t="n">
        <v>43</v>
      </c>
      <c r="F265" s="1" t="s">
        <v>160</v>
      </c>
      <c r="G265" s="1" t="s">
        <v>507</v>
      </c>
      <c r="H265" s="1" t="n">
        <v>2.72749</v>
      </c>
      <c r="I265" s="1" t="n">
        <v>9.5</v>
      </c>
      <c r="J265" s="1" t="n">
        <v>5</v>
      </c>
      <c r="K265" s="1" t="n">
        <v>4</v>
      </c>
      <c r="L265" s="1" t="n">
        <v>1</v>
      </c>
      <c r="M265" s="1" t="s">
        <v>508</v>
      </c>
    </row>
    <row r="266" customFormat="false" ht="14.25" hidden="true" customHeight="true" outlineLevel="0" collapsed="false">
      <c r="A266" s="1" t="s">
        <v>22</v>
      </c>
      <c r="C266" s="1" t="s">
        <v>455</v>
      </c>
      <c r="D266" s="1" t="n">
        <v>57</v>
      </c>
      <c r="E266" s="1" t="n">
        <v>60</v>
      </c>
      <c r="F266" s="1" t="s">
        <v>160</v>
      </c>
      <c r="G266" s="1" t="s">
        <v>509</v>
      </c>
      <c r="H266" s="1" t="n">
        <v>3.8058</v>
      </c>
      <c r="I266" s="1" t="n">
        <v>10</v>
      </c>
      <c r="J266" s="1" t="n">
        <v>5</v>
      </c>
      <c r="K266" s="1" t="n">
        <v>4</v>
      </c>
      <c r="L266" s="1" t="n">
        <v>1</v>
      </c>
      <c r="M266" s="1" t="s">
        <v>508</v>
      </c>
      <c r="N266" s="1" t="s">
        <v>510</v>
      </c>
    </row>
    <row r="267" customFormat="false" ht="14.25" hidden="true" customHeight="true" outlineLevel="0" collapsed="false">
      <c r="A267" s="1" t="s">
        <v>22</v>
      </c>
      <c r="B267" s="1" t="s">
        <v>511</v>
      </c>
      <c r="C267" s="1" t="s">
        <v>455</v>
      </c>
      <c r="D267" s="1" t="n">
        <v>75</v>
      </c>
      <c r="E267" s="1" t="n">
        <v>60</v>
      </c>
      <c r="F267" s="1" t="s">
        <v>160</v>
      </c>
      <c r="G267" s="1" t="s">
        <v>512</v>
      </c>
      <c r="H267" s="1" t="n">
        <v>9.5145</v>
      </c>
      <c r="I267" s="1" t="n">
        <v>3.5</v>
      </c>
      <c r="J267" s="1" t="n">
        <v>2</v>
      </c>
      <c r="K267" s="1" t="n">
        <v>4</v>
      </c>
      <c r="L267" s="1" t="n">
        <v>1</v>
      </c>
    </row>
    <row r="268" customFormat="false" ht="14.25" hidden="true" customHeight="true" outlineLevel="0" collapsed="false">
      <c r="A268" s="1" t="s">
        <v>22</v>
      </c>
      <c r="C268" s="1" t="s">
        <v>513</v>
      </c>
      <c r="D268" s="1" t="n">
        <v>77</v>
      </c>
      <c r="E268" s="1" t="n">
        <v>51</v>
      </c>
      <c r="F268" s="1" t="s">
        <v>160</v>
      </c>
      <c r="G268" s="1" t="s">
        <v>514</v>
      </c>
      <c r="H268" s="1" t="n">
        <v>5.39155</v>
      </c>
      <c r="I268" s="1" t="n">
        <v>11</v>
      </c>
      <c r="J268" s="1" t="n">
        <v>3</v>
      </c>
      <c r="K268" s="1" t="n">
        <v>5</v>
      </c>
      <c r="L268" s="1" t="n">
        <v>1</v>
      </c>
      <c r="M268" s="1" t="s">
        <v>496</v>
      </c>
    </row>
    <row r="269" customFormat="false" ht="14.25" hidden="true" customHeight="true" outlineLevel="0" collapsed="false">
      <c r="A269" s="1" t="s">
        <v>22</v>
      </c>
      <c r="B269" s="1" t="s">
        <v>515</v>
      </c>
      <c r="C269" s="1" t="s">
        <v>106</v>
      </c>
      <c r="D269" s="1" t="n">
        <v>22</v>
      </c>
      <c r="E269" s="1" t="n">
        <v>60</v>
      </c>
      <c r="F269" s="1" t="s">
        <v>160</v>
      </c>
      <c r="G269" s="1" t="s">
        <v>516</v>
      </c>
      <c r="H269" s="1" t="n">
        <v>6.343</v>
      </c>
      <c r="I269" s="1" t="n">
        <v>11</v>
      </c>
      <c r="J269" s="1" t="n">
        <v>3</v>
      </c>
      <c r="K269" s="1" t="n">
        <v>4</v>
      </c>
      <c r="L269" s="1" t="n">
        <v>1</v>
      </c>
      <c r="M269" s="1" t="s">
        <v>496</v>
      </c>
    </row>
    <row r="270" customFormat="false" ht="14.25" hidden="true" customHeight="true" outlineLevel="0" collapsed="false">
      <c r="A270" s="1" t="s">
        <v>22</v>
      </c>
      <c r="C270" s="1" t="s">
        <v>455</v>
      </c>
      <c r="D270" s="1" t="n">
        <v>59</v>
      </c>
      <c r="E270" s="1" t="n">
        <v>47</v>
      </c>
      <c r="F270" s="1" t="s">
        <v>160</v>
      </c>
      <c r="G270" s="1" t="s">
        <v>517</v>
      </c>
      <c r="H270" s="1" t="n">
        <v>7.453025</v>
      </c>
      <c r="I270" s="1" t="n">
        <v>15</v>
      </c>
      <c r="J270" s="1" t="n">
        <v>2</v>
      </c>
      <c r="K270" s="1" t="n">
        <v>5</v>
      </c>
      <c r="L270" s="1" t="n">
        <v>2</v>
      </c>
      <c r="M270" s="1" t="s">
        <v>518</v>
      </c>
    </row>
    <row r="271" customFormat="false" ht="14.25" hidden="true" customHeight="true" outlineLevel="0" collapsed="false">
      <c r="A271" s="1" t="s">
        <v>22</v>
      </c>
      <c r="C271" s="1" t="s">
        <v>455</v>
      </c>
      <c r="D271" s="1" t="n">
        <v>61</v>
      </c>
      <c r="E271" s="1" t="n">
        <v>47</v>
      </c>
      <c r="F271" s="1" t="s">
        <v>160</v>
      </c>
      <c r="G271" s="1" t="s">
        <v>519</v>
      </c>
      <c r="H271" s="1" t="n">
        <v>3.7265125</v>
      </c>
      <c r="I271" s="1" t="n">
        <v>11.5</v>
      </c>
      <c r="J271" s="1" t="n">
        <v>4</v>
      </c>
      <c r="K271" s="1" t="n">
        <v>5</v>
      </c>
      <c r="L271" s="1" t="n">
        <v>1</v>
      </c>
      <c r="M271" s="1" t="s">
        <v>520</v>
      </c>
    </row>
    <row r="272" customFormat="false" ht="14.25" hidden="true" customHeight="true" outlineLevel="0" collapsed="false">
      <c r="A272" s="1" t="s">
        <v>22</v>
      </c>
      <c r="C272" s="1" t="s">
        <v>106</v>
      </c>
      <c r="D272" s="1" t="n">
        <v>124</v>
      </c>
      <c r="E272" s="1" t="n">
        <v>43</v>
      </c>
      <c r="F272" s="1" t="s">
        <v>160</v>
      </c>
      <c r="G272" s="1" t="s">
        <v>521</v>
      </c>
      <c r="H272" s="1" t="n">
        <v>2.27290833333333</v>
      </c>
      <c r="I272" s="1" t="n">
        <v>12</v>
      </c>
      <c r="J272" s="1" t="n">
        <v>6</v>
      </c>
      <c r="K272" s="1" t="n">
        <v>4</v>
      </c>
      <c r="L272" s="1" t="n">
        <v>1</v>
      </c>
      <c r="M272" s="1" t="s">
        <v>119</v>
      </c>
    </row>
    <row r="273" customFormat="false" ht="14.25" hidden="true" customHeight="true" outlineLevel="0" collapsed="false">
      <c r="A273" s="1" t="s">
        <v>22</v>
      </c>
      <c r="C273" s="1" t="s">
        <v>455</v>
      </c>
      <c r="D273" s="1" t="n">
        <v>62</v>
      </c>
      <c r="E273" s="1" t="n">
        <v>78</v>
      </c>
      <c r="F273" s="1" t="s">
        <v>160</v>
      </c>
      <c r="G273" s="1" t="s">
        <v>522</v>
      </c>
      <c r="H273" s="1" t="n">
        <v>12.36885</v>
      </c>
      <c r="I273" s="1" t="n">
        <v>13</v>
      </c>
      <c r="J273" s="1" t="n">
        <v>2</v>
      </c>
      <c r="K273" s="1" t="n">
        <v>5</v>
      </c>
      <c r="L273" s="1" t="n">
        <v>2</v>
      </c>
      <c r="M273" s="1" t="s">
        <v>523</v>
      </c>
    </row>
    <row r="274" customFormat="false" ht="14.25" hidden="true" customHeight="true" outlineLevel="0" collapsed="false">
      <c r="A274" s="1" t="s">
        <v>22</v>
      </c>
      <c r="B274" s="1" t="s">
        <v>524</v>
      </c>
      <c r="C274" s="1" t="s">
        <v>220</v>
      </c>
      <c r="D274" s="1" t="n">
        <v>31</v>
      </c>
      <c r="E274" s="1" t="n">
        <v>39</v>
      </c>
      <c r="F274" s="1" t="s">
        <v>160</v>
      </c>
      <c r="G274" s="1" t="s">
        <v>522</v>
      </c>
      <c r="H274" s="1" t="n">
        <v>12.36885</v>
      </c>
      <c r="I274" s="1" t="n">
        <v>13</v>
      </c>
      <c r="J274" s="1" t="n">
        <v>1</v>
      </c>
      <c r="K274" s="1" t="n">
        <v>5</v>
      </c>
      <c r="L274" s="1" t="n">
        <v>2</v>
      </c>
      <c r="M274" s="1" t="s">
        <v>523</v>
      </c>
    </row>
    <row r="275" customFormat="false" ht="14.25" hidden="true" customHeight="true" outlineLevel="0" collapsed="false">
      <c r="A275" s="1" t="s">
        <v>22</v>
      </c>
      <c r="C275" s="1" t="s">
        <v>455</v>
      </c>
      <c r="D275" s="1" t="n">
        <v>65</v>
      </c>
      <c r="E275" s="1" t="n">
        <v>47</v>
      </c>
      <c r="F275" s="1" t="s">
        <v>160</v>
      </c>
      <c r="G275" s="1" t="s">
        <v>525</v>
      </c>
      <c r="H275" s="1" t="n">
        <v>14.90605</v>
      </c>
      <c r="I275" s="1" t="n">
        <v>12.5</v>
      </c>
      <c r="J275" s="1" t="n">
        <v>1</v>
      </c>
      <c r="K275" s="1" t="n">
        <v>5</v>
      </c>
      <c r="L275" s="1" t="n">
        <v>1</v>
      </c>
      <c r="M275" s="1" t="s">
        <v>252</v>
      </c>
    </row>
    <row r="276" customFormat="false" ht="14.25" hidden="true" customHeight="true" outlineLevel="0" collapsed="false">
      <c r="A276" s="1" t="s">
        <v>22</v>
      </c>
      <c r="C276" s="1" t="s">
        <v>513</v>
      </c>
      <c r="D276" s="1" t="n">
        <v>78</v>
      </c>
      <c r="E276" s="1" t="n">
        <v>47</v>
      </c>
      <c r="F276" s="1" t="s">
        <v>160</v>
      </c>
      <c r="G276" s="1" t="s">
        <v>526</v>
      </c>
      <c r="H276" s="1" t="n">
        <v>7.453025</v>
      </c>
      <c r="I276" s="1" t="n">
        <v>13.5</v>
      </c>
      <c r="J276" s="1" t="n">
        <v>2</v>
      </c>
      <c r="K276" s="1" t="n">
        <v>5</v>
      </c>
      <c r="L276" s="1" t="n">
        <v>1</v>
      </c>
      <c r="M276" s="1" t="s">
        <v>496</v>
      </c>
    </row>
    <row r="277" customFormat="false" ht="14.25" hidden="true" customHeight="true" outlineLevel="0" collapsed="false">
      <c r="A277" s="1" t="s">
        <v>22</v>
      </c>
      <c r="B277" s="1" t="s">
        <v>527</v>
      </c>
      <c r="C277" s="1" t="s">
        <v>455</v>
      </c>
      <c r="D277" s="1" t="n">
        <v>14</v>
      </c>
      <c r="E277" s="1" t="n">
        <v>43</v>
      </c>
      <c r="F277" s="1" t="s">
        <v>160</v>
      </c>
      <c r="G277" s="1" t="s">
        <v>528</v>
      </c>
      <c r="H277" s="1" t="n">
        <v>13.63745</v>
      </c>
      <c r="I277" s="1" t="n">
        <v>8.5</v>
      </c>
      <c r="J277" s="1" t="n">
        <v>1</v>
      </c>
      <c r="K277" s="1" t="n">
        <v>4</v>
      </c>
      <c r="L277" s="1" t="n">
        <v>1</v>
      </c>
      <c r="M277" s="1" t="s">
        <v>483</v>
      </c>
    </row>
    <row r="278" customFormat="false" ht="14.25" hidden="true" customHeight="true" outlineLevel="0" collapsed="false">
      <c r="A278" s="1" t="s">
        <v>22</v>
      </c>
      <c r="C278" s="1" t="s">
        <v>455</v>
      </c>
      <c r="D278" s="1" t="n">
        <v>60</v>
      </c>
      <c r="E278" s="1" t="n">
        <v>43</v>
      </c>
      <c r="F278" s="1" t="s">
        <v>160</v>
      </c>
      <c r="G278" s="1" t="s">
        <v>529</v>
      </c>
      <c r="H278" s="1" t="n">
        <v>13.63745</v>
      </c>
      <c r="I278" s="1" t="n">
        <v>11</v>
      </c>
      <c r="J278" s="1" t="n">
        <v>1</v>
      </c>
      <c r="K278" s="1" t="n">
        <v>4</v>
      </c>
      <c r="L278" s="1" t="n">
        <v>1</v>
      </c>
      <c r="M278" s="1" t="s">
        <v>530</v>
      </c>
    </row>
    <row r="279" customFormat="false" ht="14.25" hidden="true" customHeight="true" outlineLevel="0" collapsed="false">
      <c r="A279" s="1" t="s">
        <v>22</v>
      </c>
      <c r="C279" s="1" t="s">
        <v>455</v>
      </c>
      <c r="D279" s="1" t="n">
        <v>2</v>
      </c>
      <c r="E279" s="1" t="n">
        <v>43</v>
      </c>
      <c r="F279" s="1" t="s">
        <v>160</v>
      </c>
      <c r="G279" s="1" t="s">
        <v>529</v>
      </c>
      <c r="H279" s="1" t="n">
        <v>13.63745</v>
      </c>
      <c r="I279" s="1" t="n">
        <v>11</v>
      </c>
      <c r="J279" s="1" t="n">
        <v>1</v>
      </c>
      <c r="K279" s="1" t="n">
        <v>4</v>
      </c>
      <c r="L279" s="1" t="n">
        <v>1</v>
      </c>
      <c r="M279" s="1" t="s">
        <v>530</v>
      </c>
    </row>
    <row r="280" customFormat="false" ht="14.25" hidden="true" customHeight="true" outlineLevel="0" collapsed="false">
      <c r="A280" s="1" t="s">
        <v>22</v>
      </c>
      <c r="C280" s="1" t="s">
        <v>455</v>
      </c>
      <c r="D280" s="1" t="n">
        <v>64</v>
      </c>
      <c r="E280" s="1" t="n">
        <v>47</v>
      </c>
      <c r="F280" s="1" t="s">
        <v>160</v>
      </c>
      <c r="G280" s="1" t="s">
        <v>531</v>
      </c>
      <c r="H280" s="1" t="n">
        <v>14.90605</v>
      </c>
      <c r="I280" s="1" t="n">
        <v>15.5</v>
      </c>
      <c r="J280" s="1" t="n">
        <v>1</v>
      </c>
      <c r="K280" s="1" t="n">
        <v>5</v>
      </c>
      <c r="L280" s="1" t="n">
        <v>2</v>
      </c>
      <c r="M280" s="1" t="s">
        <v>523</v>
      </c>
    </row>
    <row r="281" customFormat="false" ht="14.25" hidden="true" customHeight="true" outlineLevel="0" collapsed="false">
      <c r="A281" s="1" t="s">
        <v>22</v>
      </c>
      <c r="C281" s="1" t="s">
        <v>100</v>
      </c>
      <c r="D281" s="1" t="n">
        <v>67</v>
      </c>
      <c r="E281" s="1" t="n">
        <v>51</v>
      </c>
      <c r="F281" s="1" t="s">
        <v>160</v>
      </c>
      <c r="G281" s="1" t="s">
        <v>532</v>
      </c>
      <c r="H281" s="1" t="n">
        <v>16.17465</v>
      </c>
      <c r="I281" s="1" t="n">
        <v>11</v>
      </c>
      <c r="J281" s="1" t="n">
        <v>1</v>
      </c>
      <c r="K281" s="1" t="n">
        <v>5</v>
      </c>
      <c r="L281" s="1" t="n">
        <v>1</v>
      </c>
      <c r="M281" s="1" t="s">
        <v>533</v>
      </c>
    </row>
    <row r="282" customFormat="false" ht="14.25" hidden="true" customHeight="true" outlineLevel="0" collapsed="false">
      <c r="A282" s="1" t="s">
        <v>22</v>
      </c>
      <c r="C282" s="1" t="s">
        <v>104</v>
      </c>
      <c r="D282" s="1" t="n">
        <v>112</v>
      </c>
      <c r="E282" s="1" t="n">
        <v>57</v>
      </c>
      <c r="F282" s="1" t="s">
        <v>160</v>
      </c>
      <c r="G282" s="1" t="s">
        <v>534</v>
      </c>
      <c r="H282" s="1" t="n">
        <v>18.07755</v>
      </c>
      <c r="I282" s="1" t="n">
        <v>11</v>
      </c>
      <c r="J282" s="1" t="n">
        <v>1</v>
      </c>
      <c r="K282" s="1" t="n">
        <v>4</v>
      </c>
      <c r="L282" s="1" t="n">
        <v>1</v>
      </c>
      <c r="M282" s="1" t="s">
        <v>530</v>
      </c>
    </row>
    <row r="283" customFormat="false" ht="14.25" hidden="true" customHeight="true" outlineLevel="0" collapsed="false">
      <c r="A283" s="1" t="s">
        <v>22</v>
      </c>
      <c r="C283" s="1" t="s">
        <v>106</v>
      </c>
      <c r="D283" s="1" t="n">
        <v>66</v>
      </c>
      <c r="E283" s="1" t="n">
        <v>47</v>
      </c>
      <c r="F283" s="1" t="s">
        <v>160</v>
      </c>
      <c r="G283" s="1" t="s">
        <v>535</v>
      </c>
      <c r="H283" s="1" t="n">
        <v>7.453025</v>
      </c>
      <c r="I283" s="1" t="n">
        <v>15.7</v>
      </c>
      <c r="J283" s="1" t="n">
        <v>2</v>
      </c>
      <c r="K283" s="1" t="n">
        <v>5</v>
      </c>
      <c r="L283" s="1" t="n">
        <v>1</v>
      </c>
      <c r="M283" s="1" t="s">
        <v>536</v>
      </c>
    </row>
    <row r="284" customFormat="false" ht="14.25" hidden="true" customHeight="true" outlineLevel="0" collapsed="false">
      <c r="A284" s="1" t="s">
        <v>22</v>
      </c>
      <c r="B284" s="1" t="s">
        <v>537</v>
      </c>
      <c r="C284" s="1" t="s">
        <v>106</v>
      </c>
      <c r="D284" s="1" t="n">
        <v>68</v>
      </c>
      <c r="E284" s="1" t="n">
        <v>63</v>
      </c>
      <c r="F284" s="1" t="s">
        <v>160</v>
      </c>
      <c r="G284" s="1" t="s">
        <v>538</v>
      </c>
      <c r="H284" s="1" t="n">
        <v>19.98045</v>
      </c>
      <c r="I284" s="1" t="n">
        <v>13.5</v>
      </c>
      <c r="J284" s="1" t="n">
        <v>1</v>
      </c>
      <c r="K284" s="1" t="n">
        <v>5</v>
      </c>
      <c r="L284" s="1" t="n">
        <v>3</v>
      </c>
      <c r="M284" s="1" t="s">
        <v>539</v>
      </c>
    </row>
    <row r="285" customFormat="false" ht="14.25" hidden="true" customHeight="true" outlineLevel="0" collapsed="false">
      <c r="A285" s="1" t="s">
        <v>22</v>
      </c>
      <c r="B285" s="1" t="s">
        <v>540</v>
      </c>
      <c r="C285" s="1" t="s">
        <v>106</v>
      </c>
      <c r="D285" s="1" t="n">
        <v>69</v>
      </c>
      <c r="E285" s="1" t="n">
        <v>63</v>
      </c>
      <c r="F285" s="1" t="s">
        <v>160</v>
      </c>
      <c r="G285" s="1" t="s">
        <v>541</v>
      </c>
      <c r="H285" s="1" t="n">
        <v>19.98045</v>
      </c>
      <c r="I285" s="1" t="n">
        <v>7.5</v>
      </c>
      <c r="J285" s="1" t="n">
        <v>1</v>
      </c>
      <c r="K285" s="1" t="n">
        <v>5</v>
      </c>
      <c r="L285" s="1" t="n">
        <v>1</v>
      </c>
      <c r="M285" s="1" t="s">
        <v>542</v>
      </c>
    </row>
    <row r="286" customFormat="false" ht="14.25" hidden="true" customHeight="true" outlineLevel="0" collapsed="false">
      <c r="A286" s="1" t="s">
        <v>22</v>
      </c>
      <c r="B286" s="1" t="s">
        <v>543</v>
      </c>
      <c r="C286" s="1" t="s">
        <v>106</v>
      </c>
      <c r="D286" s="1" t="n">
        <v>69</v>
      </c>
      <c r="E286" s="1" t="n">
        <v>63</v>
      </c>
      <c r="F286" s="1" t="s">
        <v>160</v>
      </c>
      <c r="G286" s="1" t="s">
        <v>544</v>
      </c>
      <c r="H286" s="1" t="n">
        <v>19.98045</v>
      </c>
      <c r="I286" s="1" t="n">
        <v>8.5</v>
      </c>
      <c r="J286" s="1" t="n">
        <v>1</v>
      </c>
      <c r="K286" s="1" t="n">
        <v>5</v>
      </c>
      <c r="L286" s="1" t="n">
        <v>1</v>
      </c>
      <c r="M286" s="1" t="s">
        <v>542</v>
      </c>
    </row>
    <row r="287" customFormat="false" ht="14.25" hidden="true" customHeight="true" outlineLevel="0" collapsed="false">
      <c r="A287" s="1" t="s">
        <v>22</v>
      </c>
      <c r="C287" s="1" t="s">
        <v>106</v>
      </c>
      <c r="D287" s="1" t="n">
        <v>71</v>
      </c>
      <c r="E287" s="1" t="n">
        <v>63</v>
      </c>
      <c r="F287" s="1" t="s">
        <v>160</v>
      </c>
      <c r="G287" s="1" t="s">
        <v>545</v>
      </c>
      <c r="H287" s="1" t="n">
        <v>19.98045</v>
      </c>
      <c r="I287" s="1" t="n">
        <v>10.5</v>
      </c>
      <c r="J287" s="1" t="n">
        <v>1</v>
      </c>
      <c r="K287" s="1" t="n">
        <v>5</v>
      </c>
      <c r="L287" s="1" t="n">
        <v>1</v>
      </c>
      <c r="M287" s="1" t="s">
        <v>530</v>
      </c>
    </row>
    <row r="288" customFormat="false" ht="14.25" hidden="true" customHeight="true" outlineLevel="0" collapsed="false">
      <c r="A288" s="1" t="s">
        <v>22</v>
      </c>
      <c r="C288" s="1" t="s">
        <v>546</v>
      </c>
      <c r="D288" s="1" t="n">
        <v>111</v>
      </c>
      <c r="E288" s="1" t="n">
        <v>68</v>
      </c>
      <c r="F288" s="1" t="s">
        <v>160</v>
      </c>
      <c r="G288" s="1" t="s">
        <v>547</v>
      </c>
      <c r="H288" s="1" t="n">
        <v>21.5662</v>
      </c>
      <c r="I288" s="1" t="n">
        <v>15.5</v>
      </c>
      <c r="J288" s="1" t="n">
        <v>1</v>
      </c>
      <c r="K288" s="1" t="n">
        <v>5</v>
      </c>
      <c r="L288" s="1" t="n">
        <v>1</v>
      </c>
      <c r="M288" s="1" t="s">
        <v>548</v>
      </c>
    </row>
    <row r="289" customFormat="false" ht="14.25" hidden="true" customHeight="true" outlineLevel="0" collapsed="false">
      <c r="A289" s="1" t="s">
        <v>22</v>
      </c>
      <c r="C289" s="1" t="s">
        <v>104</v>
      </c>
      <c r="D289" s="1" t="n">
        <v>127</v>
      </c>
      <c r="E289" s="1" t="n">
        <v>68</v>
      </c>
      <c r="F289" s="1" t="s">
        <v>157</v>
      </c>
      <c r="G289" s="1" t="s">
        <v>547</v>
      </c>
      <c r="H289" s="1" t="n">
        <v>21.5662</v>
      </c>
      <c r="I289" s="1" t="n">
        <v>15.5</v>
      </c>
      <c r="J289" s="1" t="n">
        <v>1</v>
      </c>
      <c r="K289" s="1" t="n">
        <v>5</v>
      </c>
      <c r="L289" s="1" t="n">
        <v>1</v>
      </c>
      <c r="M289" s="1" t="s">
        <v>548</v>
      </c>
    </row>
    <row r="290" customFormat="false" ht="14.25" hidden="true" customHeight="true" outlineLevel="0" collapsed="false">
      <c r="A290" s="1" t="s">
        <v>22</v>
      </c>
      <c r="C290" s="1" t="s">
        <v>106</v>
      </c>
      <c r="D290" s="1" t="n">
        <v>73</v>
      </c>
      <c r="E290" s="1" t="n">
        <v>98</v>
      </c>
      <c r="F290" s="1" t="s">
        <v>160</v>
      </c>
      <c r="G290" s="1" t="s">
        <v>549</v>
      </c>
      <c r="H290" s="1" t="n">
        <v>31.0807</v>
      </c>
      <c r="I290" s="1" t="n">
        <v>11</v>
      </c>
      <c r="J290" s="1" t="n">
        <v>1</v>
      </c>
      <c r="K290" s="1" t="n">
        <v>5</v>
      </c>
      <c r="L290" s="1" t="n">
        <v>1</v>
      </c>
      <c r="M290" s="1" t="s">
        <v>550</v>
      </c>
    </row>
    <row r="291" customFormat="false" ht="14.25" hidden="true" customHeight="true" outlineLevel="0" collapsed="false">
      <c r="A291" s="1" t="s">
        <v>22</v>
      </c>
      <c r="B291" s="1" t="s">
        <v>469</v>
      </c>
      <c r="C291" s="1" t="s">
        <v>108</v>
      </c>
      <c r="D291" s="1" t="n">
        <v>74</v>
      </c>
      <c r="E291" s="1" t="n">
        <v>98</v>
      </c>
      <c r="F291" s="1" t="s">
        <v>160</v>
      </c>
      <c r="G291" s="1" t="s">
        <v>549</v>
      </c>
      <c r="H291" s="1" t="n">
        <v>31.0807</v>
      </c>
      <c r="I291" s="1" t="n">
        <v>11</v>
      </c>
      <c r="J291" s="1" t="n">
        <v>1</v>
      </c>
      <c r="K291" s="1" t="n">
        <v>5</v>
      </c>
      <c r="L291" s="1" t="n">
        <v>1</v>
      </c>
      <c r="M291" s="1" t="s">
        <v>551</v>
      </c>
    </row>
    <row r="292" customFormat="false" ht="14.25" hidden="true" customHeight="true" outlineLevel="0" collapsed="false">
      <c r="A292" s="1" t="s">
        <v>22</v>
      </c>
    </row>
    <row r="293" customFormat="false" ht="14.25" hidden="true" customHeight="true" outlineLevel="0" collapsed="false">
      <c r="A293" s="1" t="s">
        <v>22</v>
      </c>
      <c r="B293" s="1" t="s">
        <v>552</v>
      </c>
      <c r="C293" s="1" t="s">
        <v>106</v>
      </c>
      <c r="D293" s="1" t="n">
        <v>79</v>
      </c>
      <c r="E293" s="1" t="n">
        <v>43</v>
      </c>
      <c r="F293" s="1" t="s">
        <v>255</v>
      </c>
      <c r="G293" s="1" t="s">
        <v>553</v>
      </c>
      <c r="H293" s="1" t="n">
        <v>2.72749</v>
      </c>
      <c r="I293" s="1" t="n">
        <v>2</v>
      </c>
      <c r="J293" s="1" t="n">
        <v>5</v>
      </c>
      <c r="K293" s="1" t="n">
        <v>4</v>
      </c>
      <c r="L293" s="1" t="n">
        <v>1</v>
      </c>
    </row>
    <row r="294" customFormat="false" ht="14.25" hidden="true" customHeight="true" outlineLevel="0" collapsed="false">
      <c r="A294" s="1" t="s">
        <v>22</v>
      </c>
      <c r="B294" s="1" t="s">
        <v>554</v>
      </c>
      <c r="C294" s="1" t="s">
        <v>106</v>
      </c>
      <c r="D294" s="1" t="n">
        <v>79</v>
      </c>
      <c r="E294" s="1" t="n">
        <v>43</v>
      </c>
      <c r="F294" s="1" t="s">
        <v>255</v>
      </c>
      <c r="G294" s="1" t="s">
        <v>555</v>
      </c>
      <c r="H294" s="1" t="n">
        <v>3.1</v>
      </c>
      <c r="I294" s="1" t="n">
        <v>7</v>
      </c>
      <c r="J294" s="1" t="n">
        <v>5</v>
      </c>
      <c r="K294" s="1" t="n">
        <v>4</v>
      </c>
      <c r="L294" s="1" t="n">
        <v>2</v>
      </c>
      <c r="M294" s="1" t="s">
        <v>556</v>
      </c>
    </row>
    <row r="295" customFormat="false" ht="14.25" hidden="true" customHeight="true" outlineLevel="0" collapsed="false">
      <c r="A295" s="1" t="s">
        <v>22</v>
      </c>
      <c r="B295" s="1" t="s">
        <v>557</v>
      </c>
      <c r="C295" s="1" t="s">
        <v>106</v>
      </c>
      <c r="D295" s="1" t="n">
        <v>84</v>
      </c>
      <c r="E295" s="1" t="n">
        <v>43</v>
      </c>
      <c r="F295" s="1" t="s">
        <v>255</v>
      </c>
      <c r="G295" s="1" t="s">
        <v>558</v>
      </c>
      <c r="H295" s="1" t="n">
        <v>3.4093625</v>
      </c>
      <c r="I295" s="1" t="n">
        <v>2.5</v>
      </c>
      <c r="J295" s="1" t="n">
        <v>4</v>
      </c>
      <c r="K295" s="1" t="n">
        <v>4</v>
      </c>
      <c r="L295" s="1" t="n">
        <v>1</v>
      </c>
      <c r="M295" s="1" t="s">
        <v>559</v>
      </c>
    </row>
    <row r="296" customFormat="false" ht="14.25" hidden="true" customHeight="true" outlineLevel="0" collapsed="false">
      <c r="A296" s="1" t="s">
        <v>22</v>
      </c>
      <c r="B296" s="1" t="s">
        <v>560</v>
      </c>
      <c r="C296" s="1" t="s">
        <v>106</v>
      </c>
      <c r="D296" s="1" t="n">
        <v>81</v>
      </c>
      <c r="E296" s="1" t="n">
        <v>57</v>
      </c>
      <c r="F296" s="1" t="s">
        <v>255</v>
      </c>
      <c r="G296" s="1" t="s">
        <v>561</v>
      </c>
      <c r="H296" s="1" t="n">
        <v>3.61551</v>
      </c>
      <c r="I296" s="1" t="n">
        <v>3</v>
      </c>
      <c r="J296" s="1" t="n">
        <v>5</v>
      </c>
      <c r="K296" s="1" t="n">
        <v>5</v>
      </c>
      <c r="L296" s="1" t="n">
        <v>1</v>
      </c>
      <c r="M296" s="1" t="s">
        <v>562</v>
      </c>
    </row>
    <row r="297" customFormat="false" ht="14.25" hidden="true" customHeight="true" outlineLevel="0" collapsed="false">
      <c r="A297" s="1" t="s">
        <v>22</v>
      </c>
      <c r="B297" s="1" t="s">
        <v>563</v>
      </c>
      <c r="C297" s="1" t="s">
        <v>106</v>
      </c>
      <c r="D297" s="1" t="n">
        <v>79</v>
      </c>
      <c r="E297" s="1" t="n">
        <v>43</v>
      </c>
      <c r="F297" s="1" t="s">
        <v>255</v>
      </c>
      <c r="G297" s="1" t="s">
        <v>564</v>
      </c>
      <c r="H297" s="1" t="n">
        <v>4.3</v>
      </c>
      <c r="I297" s="1" t="n">
        <v>2.5</v>
      </c>
      <c r="J297" s="1" t="n">
        <v>3</v>
      </c>
      <c r="K297" s="1" t="n">
        <v>4</v>
      </c>
      <c r="L297" s="1" t="n">
        <v>2</v>
      </c>
      <c r="M297" s="1" t="s">
        <v>508</v>
      </c>
    </row>
    <row r="298" customFormat="false" ht="14.25" hidden="true" customHeight="true" outlineLevel="0" collapsed="false">
      <c r="A298" s="1" t="s">
        <v>22</v>
      </c>
      <c r="B298" s="1" t="s">
        <v>565</v>
      </c>
      <c r="C298" s="1" t="s">
        <v>106</v>
      </c>
      <c r="D298" s="1" t="n">
        <v>42</v>
      </c>
      <c r="E298" s="1" t="n">
        <v>47</v>
      </c>
      <c r="F298" s="1" t="s">
        <v>255</v>
      </c>
      <c r="G298" s="1" t="s">
        <v>566</v>
      </c>
      <c r="H298" s="1" t="n">
        <v>1.24217083333333</v>
      </c>
      <c r="I298" s="1" t="n">
        <v>4.5</v>
      </c>
      <c r="J298" s="1" t="n">
        <v>12</v>
      </c>
      <c r="K298" s="1" t="n">
        <v>5</v>
      </c>
      <c r="L298" s="1" t="n">
        <v>1</v>
      </c>
      <c r="M298" s="1" t="s">
        <v>567</v>
      </c>
    </row>
    <row r="299" customFormat="false" ht="14.25" hidden="true" customHeight="true" outlineLevel="0" collapsed="false">
      <c r="A299" s="1" t="s">
        <v>22</v>
      </c>
      <c r="B299" s="1" t="s">
        <v>568</v>
      </c>
      <c r="C299" s="1" t="s">
        <v>106</v>
      </c>
      <c r="D299" s="1" t="n">
        <v>79</v>
      </c>
      <c r="E299" s="1" t="n">
        <v>43</v>
      </c>
      <c r="F299" s="1" t="s">
        <v>255</v>
      </c>
      <c r="G299" s="1" t="s">
        <v>569</v>
      </c>
      <c r="H299" s="1" t="n">
        <v>4.54581666666667</v>
      </c>
      <c r="I299" s="1" t="n">
        <v>2.5</v>
      </c>
      <c r="J299" s="1" t="n">
        <v>3</v>
      </c>
      <c r="K299" s="1" t="n">
        <v>4</v>
      </c>
      <c r="L299" s="1" t="n">
        <v>1</v>
      </c>
      <c r="M299" s="1" t="s">
        <v>570</v>
      </c>
    </row>
    <row r="300" customFormat="false" ht="14.25" hidden="true" customHeight="true" outlineLevel="0" collapsed="false">
      <c r="A300" s="1" t="s">
        <v>22</v>
      </c>
      <c r="B300" s="1" t="s">
        <v>571</v>
      </c>
      <c r="C300" s="1" t="s">
        <v>106</v>
      </c>
      <c r="D300" s="1" t="n">
        <v>19</v>
      </c>
      <c r="E300" s="1" t="n">
        <v>60</v>
      </c>
      <c r="F300" s="1" t="s">
        <v>255</v>
      </c>
      <c r="G300" s="1" t="s">
        <v>572</v>
      </c>
      <c r="H300" s="1" t="n">
        <v>4.75725</v>
      </c>
      <c r="I300" s="1" t="n">
        <v>3.5</v>
      </c>
      <c r="J300" s="1" t="n">
        <v>4</v>
      </c>
      <c r="K300" s="1" t="n">
        <v>4</v>
      </c>
      <c r="L300" s="1" t="n">
        <v>1</v>
      </c>
      <c r="M300" s="1" t="s">
        <v>559</v>
      </c>
    </row>
    <row r="301" customFormat="false" ht="14.25" hidden="true" customHeight="true" outlineLevel="0" collapsed="false">
      <c r="A301" s="1" t="s">
        <v>22</v>
      </c>
      <c r="B301" s="1" t="s">
        <v>573</v>
      </c>
      <c r="C301" s="1" t="s">
        <v>106</v>
      </c>
      <c r="D301" s="1" t="n">
        <v>21</v>
      </c>
      <c r="E301" s="1" t="n">
        <v>43</v>
      </c>
      <c r="F301" s="1" t="s">
        <v>255</v>
      </c>
      <c r="G301" s="1" t="s">
        <v>574</v>
      </c>
      <c r="H301" s="1" t="n">
        <v>2.72749</v>
      </c>
      <c r="I301" s="1" t="n">
        <v>10</v>
      </c>
      <c r="J301" s="1" t="n">
        <v>5</v>
      </c>
      <c r="K301" s="1" t="n">
        <v>4</v>
      </c>
      <c r="L301" s="1" t="n">
        <v>2</v>
      </c>
      <c r="M301" s="1" t="s">
        <v>450</v>
      </c>
    </row>
    <row r="302" customFormat="false" ht="14.25" hidden="true" customHeight="true" outlineLevel="0" collapsed="false">
      <c r="A302" s="1" t="s">
        <v>22</v>
      </c>
      <c r="B302" s="1" t="s">
        <v>575</v>
      </c>
      <c r="C302" s="1" t="s">
        <v>106</v>
      </c>
      <c r="D302" s="1" t="n">
        <v>32</v>
      </c>
      <c r="E302" s="1" t="n">
        <v>47</v>
      </c>
      <c r="F302" s="1" t="s">
        <v>255</v>
      </c>
      <c r="G302" s="1" t="s">
        <v>576</v>
      </c>
      <c r="H302" s="1" t="n">
        <v>4.96868333333333</v>
      </c>
      <c r="I302" s="1" t="n">
        <v>6</v>
      </c>
      <c r="J302" s="1" t="n">
        <v>3</v>
      </c>
      <c r="K302" s="1" t="n">
        <v>5</v>
      </c>
      <c r="L302" s="1" t="n">
        <v>1</v>
      </c>
      <c r="M302" s="1" t="s">
        <v>577</v>
      </c>
    </row>
    <row r="303" customFormat="false" ht="14.25" hidden="true" customHeight="true" outlineLevel="0" collapsed="false">
      <c r="A303" s="1" t="s">
        <v>22</v>
      </c>
      <c r="B303" s="1" t="s">
        <v>578</v>
      </c>
      <c r="C303" s="1" t="s">
        <v>106</v>
      </c>
      <c r="D303" s="1" t="n">
        <v>22</v>
      </c>
      <c r="E303" s="1" t="n">
        <v>60</v>
      </c>
      <c r="F303" s="1" t="s">
        <v>255</v>
      </c>
      <c r="G303" s="1" t="s">
        <v>579</v>
      </c>
      <c r="H303" s="1" t="n">
        <v>5.8</v>
      </c>
      <c r="I303" s="1" t="n">
        <v>4</v>
      </c>
      <c r="J303" s="1" t="n">
        <v>3</v>
      </c>
      <c r="K303" s="1" t="n">
        <v>4</v>
      </c>
      <c r="L303" s="1" t="n">
        <v>1</v>
      </c>
      <c r="M303" s="1" t="s">
        <v>496</v>
      </c>
    </row>
    <row r="304" customFormat="false" ht="14.25" hidden="true" customHeight="true" outlineLevel="0" collapsed="false">
      <c r="A304" s="1" t="s">
        <v>22</v>
      </c>
      <c r="B304" s="1" t="s">
        <v>580</v>
      </c>
      <c r="C304" s="1" t="s">
        <v>106</v>
      </c>
      <c r="D304" s="1" t="n">
        <v>83</v>
      </c>
      <c r="E304" s="1" t="n">
        <v>57</v>
      </c>
      <c r="F304" s="1" t="s">
        <v>255</v>
      </c>
      <c r="G304" s="1" t="s">
        <v>581</v>
      </c>
      <c r="H304" s="1" t="n">
        <v>6.02585</v>
      </c>
      <c r="I304" s="1" t="n">
        <v>3.5</v>
      </c>
      <c r="J304" s="1" t="n">
        <v>3</v>
      </c>
      <c r="K304" s="1" t="n">
        <v>5</v>
      </c>
      <c r="L304" s="1" t="n">
        <v>1</v>
      </c>
      <c r="M304" s="1" t="s">
        <v>582</v>
      </c>
    </row>
    <row r="305" customFormat="false" ht="14.25" hidden="true" customHeight="true" outlineLevel="0" collapsed="false">
      <c r="A305" s="1" t="s">
        <v>22</v>
      </c>
      <c r="B305" s="1" t="s">
        <v>583</v>
      </c>
      <c r="C305" s="1" t="s">
        <v>106</v>
      </c>
      <c r="D305" s="1" t="n">
        <v>49</v>
      </c>
      <c r="E305" s="1" t="n">
        <v>60</v>
      </c>
      <c r="F305" s="1" t="s">
        <v>255</v>
      </c>
      <c r="G305" s="1" t="s">
        <v>190</v>
      </c>
      <c r="H305" s="1" t="n">
        <v>6.343</v>
      </c>
      <c r="I305" s="1" t="n">
        <v>4.5</v>
      </c>
      <c r="J305" s="1" t="n">
        <v>3</v>
      </c>
      <c r="K305" s="1" t="n">
        <v>4</v>
      </c>
      <c r="L305" s="1" t="n">
        <v>1</v>
      </c>
      <c r="M305" s="1" t="s">
        <v>584</v>
      </c>
    </row>
    <row r="306" customFormat="false" ht="14.25" hidden="true" customHeight="true" outlineLevel="0" collapsed="false">
      <c r="A306" s="1" t="s">
        <v>22</v>
      </c>
      <c r="B306" s="1" t="s">
        <v>585</v>
      </c>
      <c r="C306" s="1" t="s">
        <v>106</v>
      </c>
      <c r="D306" s="1" t="n">
        <v>27</v>
      </c>
      <c r="E306" s="1" t="n">
        <v>60</v>
      </c>
      <c r="F306" s="1" t="s">
        <v>255</v>
      </c>
      <c r="G306" s="1" t="s">
        <v>586</v>
      </c>
      <c r="H306" s="1" t="n">
        <v>6.3</v>
      </c>
      <c r="I306" s="1" t="n">
        <v>5</v>
      </c>
      <c r="J306" s="1" t="n">
        <v>3</v>
      </c>
      <c r="K306" s="1" t="n">
        <v>4</v>
      </c>
      <c r="L306" s="1" t="n">
        <v>1</v>
      </c>
      <c r="M306" s="1" t="s">
        <v>427</v>
      </c>
    </row>
    <row r="307" customFormat="false" ht="14.25" hidden="true" customHeight="true" outlineLevel="0" collapsed="false">
      <c r="A307" s="1" t="s">
        <v>22</v>
      </c>
      <c r="C307" s="1" t="s">
        <v>106</v>
      </c>
      <c r="D307" s="1" t="n">
        <v>109</v>
      </c>
      <c r="E307" s="1" t="n">
        <v>60</v>
      </c>
      <c r="F307" s="1" t="s">
        <v>255</v>
      </c>
      <c r="G307" s="1" t="s">
        <v>587</v>
      </c>
      <c r="H307" s="1" t="n">
        <v>6.343</v>
      </c>
      <c r="I307" s="1" t="n">
        <v>16</v>
      </c>
      <c r="J307" s="1" t="n">
        <v>3</v>
      </c>
      <c r="K307" s="1" t="n">
        <v>4</v>
      </c>
      <c r="L307" s="1" t="n">
        <v>3</v>
      </c>
      <c r="M307" s="1" t="s">
        <v>588</v>
      </c>
    </row>
    <row r="308" customFormat="false" ht="14.25" hidden="true" customHeight="true" outlineLevel="0" collapsed="false">
      <c r="A308" s="1" t="s">
        <v>22</v>
      </c>
      <c r="B308" s="1" t="s">
        <v>589</v>
      </c>
      <c r="C308" s="1" t="s">
        <v>106</v>
      </c>
      <c r="D308" s="1" t="n">
        <v>37</v>
      </c>
      <c r="E308" s="1" t="n">
        <v>63</v>
      </c>
      <c r="F308" s="1" t="s">
        <v>255</v>
      </c>
      <c r="G308" s="1" t="s">
        <v>590</v>
      </c>
      <c r="H308" s="1" t="n">
        <v>4.9951125</v>
      </c>
      <c r="I308" s="1" t="n">
        <v>6.5</v>
      </c>
      <c r="J308" s="1" t="n">
        <v>4</v>
      </c>
      <c r="K308" s="1" t="n">
        <v>5</v>
      </c>
      <c r="L308" s="1" t="n">
        <v>1</v>
      </c>
    </row>
    <row r="309" customFormat="false" ht="14.25" hidden="true" customHeight="true" outlineLevel="0" collapsed="false">
      <c r="A309" s="1" t="s">
        <v>22</v>
      </c>
      <c r="B309" s="1" t="s">
        <v>591</v>
      </c>
      <c r="C309" s="1" t="s">
        <v>106</v>
      </c>
      <c r="D309" s="1" t="n">
        <v>10</v>
      </c>
      <c r="E309" s="1" t="n">
        <v>43</v>
      </c>
      <c r="F309" s="1" t="s">
        <v>255</v>
      </c>
      <c r="G309" s="1" t="s">
        <v>592</v>
      </c>
      <c r="H309" s="1" t="n">
        <v>4.54581666666667</v>
      </c>
      <c r="I309" s="1" t="n">
        <v>7</v>
      </c>
      <c r="J309" s="1" t="n">
        <v>3</v>
      </c>
      <c r="K309" s="1" t="n">
        <v>4</v>
      </c>
      <c r="L309" s="1" t="n">
        <v>1</v>
      </c>
      <c r="M309" s="1" t="s">
        <v>419</v>
      </c>
    </row>
    <row r="310" customFormat="false" ht="14.25" hidden="true" customHeight="true" outlineLevel="0" collapsed="false">
      <c r="A310" s="1" t="s">
        <v>22</v>
      </c>
      <c r="B310" s="1" t="s">
        <v>593</v>
      </c>
      <c r="C310" s="1" t="s">
        <v>455</v>
      </c>
      <c r="D310" s="1" t="n">
        <v>17</v>
      </c>
      <c r="E310" s="1" t="n">
        <v>43</v>
      </c>
      <c r="F310" s="1" t="s">
        <v>255</v>
      </c>
      <c r="G310" s="1" t="s">
        <v>594</v>
      </c>
      <c r="H310" s="1" t="n">
        <v>6.818725</v>
      </c>
      <c r="I310" s="1" t="n">
        <v>5.5</v>
      </c>
      <c r="J310" s="1" t="n">
        <v>2</v>
      </c>
      <c r="K310" s="1" t="n">
        <v>4</v>
      </c>
      <c r="L310" s="1" t="n">
        <v>1</v>
      </c>
      <c r="M310" s="1" t="s">
        <v>595</v>
      </c>
    </row>
    <row r="311" customFormat="false" ht="14.25" hidden="true" customHeight="true" outlineLevel="0" collapsed="false">
      <c r="A311" s="1" t="s">
        <v>22</v>
      </c>
      <c r="B311" s="1" t="s">
        <v>596</v>
      </c>
      <c r="C311" s="1" t="s">
        <v>106</v>
      </c>
      <c r="D311" s="1" t="n">
        <v>46</v>
      </c>
      <c r="E311" s="1" t="n">
        <v>43</v>
      </c>
      <c r="F311" s="1" t="s">
        <v>255</v>
      </c>
      <c r="G311" s="1" t="s">
        <v>597</v>
      </c>
      <c r="H311" s="1" t="n">
        <v>6.818725</v>
      </c>
      <c r="I311" s="1" t="n">
        <v>8</v>
      </c>
      <c r="J311" s="1" t="n">
        <v>2</v>
      </c>
      <c r="K311" s="1" t="n">
        <v>4</v>
      </c>
      <c r="L311" s="1" t="n">
        <v>1</v>
      </c>
      <c r="M311" s="1" t="s">
        <v>598</v>
      </c>
    </row>
    <row r="312" customFormat="false" ht="14.25" hidden="true" customHeight="true" outlineLevel="0" collapsed="false">
      <c r="A312" s="1" t="s">
        <v>22</v>
      </c>
      <c r="B312" s="1" t="s">
        <v>599</v>
      </c>
      <c r="C312" s="1" t="s">
        <v>106</v>
      </c>
      <c r="D312" s="1" t="n">
        <v>38</v>
      </c>
      <c r="E312" s="1" t="n">
        <v>57</v>
      </c>
      <c r="F312" s="1" t="s">
        <v>255</v>
      </c>
      <c r="G312" s="1" t="s">
        <v>600</v>
      </c>
      <c r="H312" s="1" t="n">
        <v>9.2</v>
      </c>
      <c r="I312" s="1" t="n">
        <v>6.5</v>
      </c>
      <c r="J312" s="1" t="n">
        <v>2</v>
      </c>
      <c r="K312" s="1" t="n">
        <v>5</v>
      </c>
      <c r="L312" s="1" t="n">
        <v>1</v>
      </c>
      <c r="M312" s="1" t="s">
        <v>601</v>
      </c>
    </row>
    <row r="313" customFormat="false" ht="14.25" hidden="true" customHeight="true" outlineLevel="0" collapsed="false">
      <c r="A313" s="1" t="s">
        <v>22</v>
      </c>
      <c r="B313" s="1" t="s">
        <v>602</v>
      </c>
      <c r="C313" s="1" t="s">
        <v>106</v>
      </c>
      <c r="D313" s="1" t="n">
        <v>38</v>
      </c>
      <c r="E313" s="1" t="n">
        <v>57</v>
      </c>
      <c r="F313" s="1" t="s">
        <v>255</v>
      </c>
      <c r="G313" s="1" t="s">
        <v>600</v>
      </c>
      <c r="H313" s="1" t="n">
        <v>9.2</v>
      </c>
      <c r="I313" s="1" t="n">
        <v>6.5</v>
      </c>
      <c r="J313" s="1" t="n">
        <v>2</v>
      </c>
      <c r="K313" s="1" t="n">
        <v>5</v>
      </c>
      <c r="L313" s="1" t="n">
        <v>1</v>
      </c>
      <c r="M313" s="1" t="s">
        <v>390</v>
      </c>
    </row>
    <row r="314" customFormat="false" ht="14.25" hidden="true" customHeight="true" outlineLevel="0" collapsed="false">
      <c r="A314" s="1" t="s">
        <v>22</v>
      </c>
      <c r="C314" s="1" t="s">
        <v>100</v>
      </c>
      <c r="D314" s="1" t="n">
        <v>39</v>
      </c>
      <c r="E314" s="1" t="n">
        <v>56</v>
      </c>
      <c r="F314" s="1" t="s">
        <v>255</v>
      </c>
      <c r="G314" s="1" t="s">
        <v>603</v>
      </c>
      <c r="H314" s="1" t="n">
        <v>1.6</v>
      </c>
      <c r="I314" s="1" t="n">
        <v>9.5</v>
      </c>
      <c r="J314" s="1" t="n">
        <v>12</v>
      </c>
      <c r="K314" s="1" t="s">
        <v>355</v>
      </c>
      <c r="L314" s="1" t="n">
        <v>1</v>
      </c>
      <c r="M314" s="1" t="s">
        <v>604</v>
      </c>
    </row>
    <row r="315" customFormat="false" ht="14.25" hidden="true" customHeight="true" outlineLevel="0" collapsed="false">
      <c r="A315" s="1" t="s">
        <v>22</v>
      </c>
      <c r="C315" s="1" t="s">
        <v>332</v>
      </c>
      <c r="D315" s="1" t="n">
        <v>45</v>
      </c>
      <c r="E315" s="1" t="n">
        <v>47</v>
      </c>
      <c r="F315" s="1" t="s">
        <v>255</v>
      </c>
      <c r="G315" s="1" t="s">
        <v>605</v>
      </c>
      <c r="H315" s="1" t="n">
        <v>7.453025</v>
      </c>
      <c r="I315" s="1" t="n">
        <v>9.5</v>
      </c>
      <c r="J315" s="1" t="n">
        <v>2</v>
      </c>
      <c r="K315" s="1" t="n">
        <v>5</v>
      </c>
      <c r="L315" s="1" t="n">
        <v>1</v>
      </c>
      <c r="M315" s="1" t="s">
        <v>606</v>
      </c>
    </row>
    <row r="316" customFormat="false" ht="14.25" hidden="true" customHeight="true" outlineLevel="0" collapsed="false">
      <c r="A316" s="1" t="s">
        <v>22</v>
      </c>
      <c r="C316" s="1" t="s">
        <v>106</v>
      </c>
      <c r="D316" s="1" t="n">
        <v>47</v>
      </c>
      <c r="E316" s="1" t="n">
        <v>60</v>
      </c>
      <c r="F316" s="1" t="s">
        <v>255</v>
      </c>
      <c r="G316" s="1" t="s">
        <v>607</v>
      </c>
      <c r="H316" s="1" t="n">
        <v>9.5145</v>
      </c>
      <c r="I316" s="1" t="n">
        <v>8</v>
      </c>
      <c r="J316" s="1" t="n">
        <v>2</v>
      </c>
      <c r="K316" s="1" t="n">
        <v>4</v>
      </c>
      <c r="L316" s="1" t="n">
        <v>2</v>
      </c>
      <c r="M316" s="1" t="s">
        <v>608</v>
      </c>
    </row>
    <row r="317" customFormat="false" ht="14.25" hidden="true" customHeight="true" outlineLevel="0" collapsed="false">
      <c r="A317" s="1" t="s">
        <v>22</v>
      </c>
      <c r="C317" s="1" t="s">
        <v>106</v>
      </c>
      <c r="D317" s="1" t="n">
        <v>48</v>
      </c>
      <c r="E317" s="1" t="n">
        <v>60</v>
      </c>
      <c r="F317" s="1" t="s">
        <v>255</v>
      </c>
      <c r="G317" s="1" t="s">
        <v>609</v>
      </c>
      <c r="H317" s="1" t="n">
        <v>9.5145</v>
      </c>
      <c r="I317" s="1" t="n">
        <v>10</v>
      </c>
      <c r="J317" s="1" t="n">
        <v>2</v>
      </c>
      <c r="K317" s="1" t="n">
        <v>4</v>
      </c>
      <c r="L317" s="1" t="n">
        <v>1</v>
      </c>
      <c r="M317" s="1" t="s">
        <v>610</v>
      </c>
    </row>
    <row r="318" customFormat="false" ht="14.25" hidden="true" customHeight="true" outlineLevel="0" collapsed="false">
      <c r="A318" s="1" t="s">
        <v>22</v>
      </c>
      <c r="B318" s="1" t="s">
        <v>611</v>
      </c>
      <c r="C318" s="1" t="s">
        <v>106</v>
      </c>
      <c r="D318" s="1" t="n">
        <v>83</v>
      </c>
      <c r="E318" s="1" t="n">
        <v>57</v>
      </c>
      <c r="F318" s="1" t="s">
        <v>255</v>
      </c>
      <c r="G318" s="1" t="s">
        <v>612</v>
      </c>
      <c r="H318" s="1" t="n">
        <v>6.02585</v>
      </c>
      <c r="I318" s="1" t="n">
        <v>10</v>
      </c>
      <c r="J318" s="1" t="n">
        <v>3</v>
      </c>
      <c r="K318" s="1" t="n">
        <v>5</v>
      </c>
      <c r="L318" s="1" t="n">
        <v>1</v>
      </c>
      <c r="M318" s="1" t="s">
        <v>613</v>
      </c>
    </row>
    <row r="319" customFormat="false" ht="14.25" hidden="true" customHeight="true" outlineLevel="0" collapsed="false">
      <c r="A319" s="1" t="s">
        <v>22</v>
      </c>
      <c r="C319" s="1" t="s">
        <v>332</v>
      </c>
      <c r="D319" s="1" t="n">
        <v>70</v>
      </c>
      <c r="E319" s="1" t="n">
        <v>51</v>
      </c>
      <c r="F319" s="1" t="s">
        <v>255</v>
      </c>
      <c r="G319" s="1" t="s">
        <v>614</v>
      </c>
      <c r="H319" s="1" t="n">
        <v>8.087325</v>
      </c>
      <c r="I319" s="1" t="n">
        <v>10</v>
      </c>
      <c r="J319" s="1" t="n">
        <v>2</v>
      </c>
      <c r="K319" s="1" t="n">
        <v>5</v>
      </c>
      <c r="L319" s="1" t="n">
        <v>1</v>
      </c>
      <c r="M319" s="1" t="s">
        <v>615</v>
      </c>
    </row>
    <row r="320" customFormat="false" ht="14.25" hidden="true" customHeight="true" outlineLevel="0" collapsed="false">
      <c r="A320" s="1" t="s">
        <v>22</v>
      </c>
      <c r="C320" s="1" t="s">
        <v>108</v>
      </c>
      <c r="D320" s="1" t="n">
        <v>80</v>
      </c>
      <c r="E320" s="1" t="n">
        <v>51</v>
      </c>
      <c r="F320" s="1" t="s">
        <v>255</v>
      </c>
      <c r="G320" s="1" t="s">
        <v>614</v>
      </c>
      <c r="H320" s="1" t="n">
        <v>8.087325</v>
      </c>
      <c r="I320" s="1" t="n">
        <v>10</v>
      </c>
      <c r="J320" s="1" t="n">
        <v>2</v>
      </c>
      <c r="K320" s="1" t="n">
        <v>5</v>
      </c>
      <c r="L320" s="1" t="n">
        <v>1</v>
      </c>
      <c r="M320" s="1" t="s">
        <v>615</v>
      </c>
    </row>
    <row r="321" customFormat="false" ht="14.25" hidden="true" customHeight="true" outlineLevel="0" collapsed="false">
      <c r="A321" s="1" t="s">
        <v>22</v>
      </c>
      <c r="C321" s="1" t="s">
        <v>455</v>
      </c>
      <c r="D321" s="1" t="n">
        <v>63</v>
      </c>
      <c r="E321" s="1" t="n">
        <v>63</v>
      </c>
      <c r="F321" s="1" t="s">
        <v>255</v>
      </c>
      <c r="G321" s="1" t="s">
        <v>616</v>
      </c>
      <c r="H321" s="1" t="n">
        <v>9.990225</v>
      </c>
      <c r="I321" s="1" t="n">
        <v>8</v>
      </c>
      <c r="J321" s="1" t="n">
        <v>2</v>
      </c>
      <c r="K321" s="1" t="n">
        <v>5</v>
      </c>
      <c r="L321" s="1" t="n">
        <v>2</v>
      </c>
      <c r="M321" s="1" t="s">
        <v>523</v>
      </c>
    </row>
    <row r="322" customFormat="false" ht="14.25" hidden="true" customHeight="true" outlineLevel="0" collapsed="false">
      <c r="A322" s="1" t="s">
        <v>22</v>
      </c>
      <c r="C322" s="1" t="s">
        <v>106</v>
      </c>
      <c r="D322" s="1" t="n">
        <v>82</v>
      </c>
      <c r="E322" s="1" t="n">
        <v>63</v>
      </c>
      <c r="F322" s="1" t="s">
        <v>255</v>
      </c>
      <c r="G322" s="1" t="s">
        <v>617</v>
      </c>
      <c r="H322" s="1" t="n">
        <v>6.66015</v>
      </c>
      <c r="I322" s="1" t="n">
        <v>10.5</v>
      </c>
      <c r="J322" s="1" t="n">
        <v>3</v>
      </c>
      <c r="K322" s="1" t="n">
        <v>5</v>
      </c>
      <c r="L322" s="1" t="n">
        <v>1</v>
      </c>
      <c r="M322" s="1" t="s">
        <v>291</v>
      </c>
    </row>
    <row r="323" customFormat="false" ht="14.25" hidden="true" customHeight="true" outlineLevel="0" collapsed="false">
      <c r="A323" s="1" t="s">
        <v>22</v>
      </c>
      <c r="C323" s="1" t="s">
        <v>455</v>
      </c>
      <c r="D323" s="1" t="n">
        <v>85</v>
      </c>
      <c r="E323" s="1" t="n">
        <v>43</v>
      </c>
      <c r="F323" s="1" t="s">
        <v>255</v>
      </c>
      <c r="G323" s="1" t="s">
        <v>618</v>
      </c>
      <c r="H323" s="1" t="n">
        <v>6.818725</v>
      </c>
      <c r="I323" s="1" t="n">
        <v>11</v>
      </c>
      <c r="J323" s="1" t="n">
        <v>2</v>
      </c>
      <c r="K323" s="1" t="n">
        <v>4</v>
      </c>
      <c r="L323" s="1" t="n">
        <v>1</v>
      </c>
      <c r="M323" s="1" t="s">
        <v>496</v>
      </c>
    </row>
    <row r="324" customFormat="false" ht="14.25" hidden="true" customHeight="true" outlineLevel="0" collapsed="false">
      <c r="A324" s="1" t="s">
        <v>22</v>
      </c>
      <c r="B324" s="1" t="s">
        <v>619</v>
      </c>
      <c r="C324" s="1" t="s">
        <v>106</v>
      </c>
      <c r="D324" s="1" t="n">
        <v>20</v>
      </c>
      <c r="E324" s="1" t="n">
        <v>51</v>
      </c>
      <c r="F324" s="1" t="s">
        <v>255</v>
      </c>
      <c r="G324" s="1" t="s">
        <v>514</v>
      </c>
      <c r="H324" s="1" t="n">
        <v>5.39155</v>
      </c>
      <c r="I324" s="1" t="n">
        <v>11</v>
      </c>
      <c r="J324" s="1" t="n">
        <v>3</v>
      </c>
      <c r="K324" s="1" t="n">
        <v>5</v>
      </c>
      <c r="L324" s="1" t="n">
        <v>1</v>
      </c>
      <c r="M324" s="1" t="s">
        <v>584</v>
      </c>
    </row>
    <row r="325" customFormat="false" ht="14.25" hidden="true" customHeight="true" outlineLevel="0" collapsed="false">
      <c r="A325" s="1" t="s">
        <v>22</v>
      </c>
      <c r="B325" s="1" t="s">
        <v>620</v>
      </c>
      <c r="C325" s="1" t="s">
        <v>106</v>
      </c>
      <c r="D325" s="1" t="n">
        <v>81</v>
      </c>
      <c r="E325" s="1" t="n">
        <v>57</v>
      </c>
      <c r="F325" s="1" t="s">
        <v>255</v>
      </c>
      <c r="G325" s="1" t="s">
        <v>621</v>
      </c>
      <c r="H325" s="1" t="n">
        <v>6.02585</v>
      </c>
      <c r="I325" s="1" t="n">
        <v>11</v>
      </c>
      <c r="J325" s="1" t="n">
        <v>3</v>
      </c>
      <c r="K325" s="1" t="n">
        <v>5</v>
      </c>
      <c r="L325" s="1" t="n">
        <v>1</v>
      </c>
      <c r="M325" s="1" t="s">
        <v>622</v>
      </c>
    </row>
    <row r="326" customFormat="false" ht="14.25" hidden="true" customHeight="true" outlineLevel="0" collapsed="false">
      <c r="A326" s="1" t="s">
        <v>22</v>
      </c>
      <c r="C326" s="1" t="s">
        <v>106</v>
      </c>
      <c r="D326" s="1" t="n">
        <v>86</v>
      </c>
      <c r="E326" s="1" t="n">
        <v>57</v>
      </c>
      <c r="F326" s="1" t="s">
        <v>255</v>
      </c>
      <c r="G326" s="1" t="s">
        <v>621</v>
      </c>
      <c r="H326" s="1" t="n">
        <v>6</v>
      </c>
      <c r="I326" s="1" t="n">
        <v>11</v>
      </c>
      <c r="J326" s="1" t="n">
        <v>2</v>
      </c>
      <c r="K326" s="1" t="n">
        <v>5</v>
      </c>
      <c r="L326" s="1" t="n">
        <v>1</v>
      </c>
      <c r="M326" s="1" t="s">
        <v>622</v>
      </c>
    </row>
    <row r="327" customFormat="false" ht="14.25" hidden="true" customHeight="true" outlineLevel="0" collapsed="false">
      <c r="A327" s="1" t="s">
        <v>22</v>
      </c>
      <c r="B327" s="1" t="s">
        <v>623</v>
      </c>
      <c r="C327" s="1" t="s">
        <v>106</v>
      </c>
      <c r="D327" s="1" t="n">
        <v>34</v>
      </c>
      <c r="E327" s="1" t="n">
        <v>47</v>
      </c>
      <c r="F327" s="1" t="s">
        <v>255</v>
      </c>
      <c r="G327" s="1" t="s">
        <v>624</v>
      </c>
      <c r="H327" s="1" t="n">
        <v>8.1</v>
      </c>
      <c r="I327" s="1" t="n">
        <v>11</v>
      </c>
      <c r="J327" s="1" t="n">
        <v>2</v>
      </c>
      <c r="K327" s="1" t="n">
        <v>5</v>
      </c>
      <c r="L327" s="1" t="n">
        <v>1</v>
      </c>
      <c r="M327" s="1" t="s">
        <v>598</v>
      </c>
    </row>
    <row r="328" customFormat="false" ht="14.25" hidden="true" customHeight="true" outlineLevel="0" collapsed="false">
      <c r="A328" s="1" t="s">
        <v>22</v>
      </c>
      <c r="B328" s="1" t="s">
        <v>625</v>
      </c>
      <c r="C328" s="1" t="s">
        <v>455</v>
      </c>
      <c r="D328" s="1" t="n">
        <v>52</v>
      </c>
      <c r="E328" s="1" t="n">
        <v>68</v>
      </c>
      <c r="F328" s="1" t="s">
        <v>255</v>
      </c>
      <c r="G328" s="1" t="s">
        <v>626</v>
      </c>
      <c r="H328" s="1" t="n">
        <v>10.7831</v>
      </c>
      <c r="I328" s="1" t="n">
        <v>7</v>
      </c>
      <c r="J328" s="1" t="n">
        <v>2</v>
      </c>
      <c r="K328" s="1" t="n">
        <v>5</v>
      </c>
      <c r="L328" s="1" t="n">
        <v>1</v>
      </c>
      <c r="M328" s="1" t="s">
        <v>390</v>
      </c>
    </row>
    <row r="329" customFormat="false" ht="14.25" hidden="true" customHeight="true" outlineLevel="0" collapsed="false">
      <c r="A329" s="1" t="s">
        <v>22</v>
      </c>
      <c r="B329" s="1" t="s">
        <v>627</v>
      </c>
      <c r="C329" s="1" t="s">
        <v>455</v>
      </c>
      <c r="D329" s="1" t="n">
        <v>52</v>
      </c>
      <c r="E329" s="1" t="n">
        <v>68</v>
      </c>
      <c r="F329" s="1" t="s">
        <v>255</v>
      </c>
      <c r="G329" s="1" t="s">
        <v>628</v>
      </c>
      <c r="H329" s="1" t="n">
        <v>10.7831</v>
      </c>
      <c r="I329" s="1" t="n">
        <v>7.5</v>
      </c>
      <c r="J329" s="1" t="n">
        <v>2</v>
      </c>
      <c r="K329" s="1" t="n">
        <v>5</v>
      </c>
      <c r="L329" s="1" t="n">
        <v>1</v>
      </c>
      <c r="M329" s="1" t="s">
        <v>629</v>
      </c>
    </row>
    <row r="330" customFormat="false" ht="14.25" hidden="true" customHeight="true" outlineLevel="0" collapsed="false">
      <c r="A330" s="1" t="s">
        <v>22</v>
      </c>
      <c r="B330" s="1" t="s">
        <v>630</v>
      </c>
      <c r="C330" s="1" t="s">
        <v>106</v>
      </c>
      <c r="D330" s="1" t="n">
        <v>23</v>
      </c>
      <c r="E330" s="1" t="n">
        <v>47</v>
      </c>
      <c r="F330" s="1" t="s">
        <v>255</v>
      </c>
      <c r="G330" s="1" t="s">
        <v>517</v>
      </c>
      <c r="H330" s="1" t="n">
        <v>7.5</v>
      </c>
      <c r="I330" s="1" t="n">
        <v>11</v>
      </c>
      <c r="J330" s="1" t="n">
        <v>2</v>
      </c>
      <c r="K330" s="1" t="n">
        <v>5</v>
      </c>
      <c r="L330" s="1" t="n">
        <v>1</v>
      </c>
      <c r="M330" s="1" t="s">
        <v>631</v>
      </c>
    </row>
    <row r="331" customFormat="false" ht="14.25" hidden="true" customHeight="true" outlineLevel="0" collapsed="false">
      <c r="A331" s="1" t="s">
        <v>22</v>
      </c>
      <c r="C331" s="1" t="s">
        <v>100</v>
      </c>
      <c r="D331" s="1" t="n">
        <v>62</v>
      </c>
      <c r="E331" s="1" t="n">
        <v>57</v>
      </c>
      <c r="F331" s="1" t="s">
        <v>255</v>
      </c>
      <c r="G331" s="1" t="s">
        <v>632</v>
      </c>
      <c r="H331" s="1" t="n">
        <v>9.1</v>
      </c>
      <c r="I331" s="1" t="n">
        <v>11</v>
      </c>
      <c r="J331" s="1" t="n">
        <v>2</v>
      </c>
      <c r="K331" s="1" t="n">
        <v>5</v>
      </c>
      <c r="L331" s="1" t="n">
        <v>1</v>
      </c>
      <c r="M331" s="1" t="s">
        <v>633</v>
      </c>
    </row>
    <row r="332" customFormat="false" ht="14.25" hidden="true" customHeight="true" outlineLevel="0" collapsed="false">
      <c r="A332" s="1" t="s">
        <v>22</v>
      </c>
      <c r="C332" s="1" t="s">
        <v>332</v>
      </c>
      <c r="D332" s="1" t="n">
        <v>88</v>
      </c>
      <c r="E332" s="1" t="n">
        <v>60</v>
      </c>
      <c r="F332" s="1" t="s">
        <v>255</v>
      </c>
      <c r="G332" s="1" t="s">
        <v>634</v>
      </c>
      <c r="H332" s="1" t="n">
        <v>9.5145</v>
      </c>
      <c r="I332" s="1" t="n">
        <v>11</v>
      </c>
      <c r="J332" s="1" t="n">
        <v>2</v>
      </c>
      <c r="K332" s="1" t="n">
        <v>4</v>
      </c>
      <c r="L332" s="1" t="n">
        <v>1</v>
      </c>
      <c r="M332" s="1" t="s">
        <v>635</v>
      </c>
    </row>
    <row r="333" customFormat="false" ht="14.25" hidden="true" customHeight="true" outlineLevel="0" collapsed="false">
      <c r="A333" s="1" t="s">
        <v>22</v>
      </c>
      <c r="C333" s="1" t="s">
        <v>108</v>
      </c>
      <c r="D333" s="1" t="n">
        <v>87</v>
      </c>
      <c r="E333" s="1" t="n">
        <v>51</v>
      </c>
      <c r="F333" s="1" t="s">
        <v>255</v>
      </c>
      <c r="G333" s="1" t="s">
        <v>636</v>
      </c>
      <c r="H333" s="1" t="n">
        <v>4.5</v>
      </c>
      <c r="I333" s="1" t="n">
        <v>11</v>
      </c>
      <c r="J333" s="1" t="n">
        <v>5</v>
      </c>
      <c r="K333" s="1" t="n">
        <v>5</v>
      </c>
      <c r="L333" s="1" t="n">
        <v>1</v>
      </c>
      <c r="M333" s="1" t="s">
        <v>637</v>
      </c>
    </row>
    <row r="334" customFormat="false" ht="14.25" hidden="true" customHeight="true" outlineLevel="0" collapsed="false">
      <c r="A334" s="1" t="s">
        <v>22</v>
      </c>
      <c r="B334" s="1" t="s">
        <v>638</v>
      </c>
      <c r="C334" s="1" t="s">
        <v>106</v>
      </c>
      <c r="D334" s="1" t="n">
        <v>26</v>
      </c>
      <c r="E334" s="1" t="n">
        <v>57</v>
      </c>
      <c r="F334" s="1" t="s">
        <v>255</v>
      </c>
      <c r="G334" s="1" t="s">
        <v>639</v>
      </c>
      <c r="H334" s="1" t="n">
        <v>6.02585</v>
      </c>
      <c r="I334" s="1" t="n">
        <v>11</v>
      </c>
      <c r="J334" s="1" t="n">
        <v>3</v>
      </c>
      <c r="K334" s="1" t="n">
        <v>5</v>
      </c>
      <c r="L334" s="1" t="n">
        <v>1</v>
      </c>
      <c r="M334" s="1" t="s">
        <v>622</v>
      </c>
    </row>
    <row r="335" customFormat="false" ht="14.25" hidden="true" customHeight="true" outlineLevel="0" collapsed="false">
      <c r="A335" s="1" t="s">
        <v>22</v>
      </c>
      <c r="C335" s="1" t="s">
        <v>106</v>
      </c>
      <c r="D335" s="1" t="n">
        <v>89</v>
      </c>
      <c r="E335" s="1" t="n">
        <v>43</v>
      </c>
      <c r="F335" s="1" t="s">
        <v>255</v>
      </c>
      <c r="G335" s="1" t="s">
        <v>640</v>
      </c>
      <c r="H335" s="1" t="n">
        <v>13.63745</v>
      </c>
      <c r="I335" s="1" t="n">
        <v>6.8</v>
      </c>
      <c r="J335" s="1" t="n">
        <v>1</v>
      </c>
      <c r="K335" s="1" t="n">
        <v>4</v>
      </c>
      <c r="L335" s="1" t="n">
        <v>2</v>
      </c>
      <c r="M335" s="1" t="s">
        <v>641</v>
      </c>
    </row>
    <row r="336" customFormat="false" ht="14.25" hidden="true" customHeight="true" outlineLevel="0" collapsed="false">
      <c r="A336" s="1" t="s">
        <v>22</v>
      </c>
      <c r="C336" s="1" t="s">
        <v>106</v>
      </c>
      <c r="D336" s="1" t="n">
        <v>110</v>
      </c>
      <c r="E336" s="1" t="n">
        <v>51</v>
      </c>
      <c r="F336" s="1" t="s">
        <v>255</v>
      </c>
      <c r="G336" s="1" t="s">
        <v>642</v>
      </c>
      <c r="H336" s="1" t="n">
        <v>8.087325</v>
      </c>
      <c r="I336" s="1" t="n">
        <v>12.5</v>
      </c>
      <c r="J336" s="1" t="n">
        <v>2</v>
      </c>
      <c r="L336" s="1" t="n">
        <v>1</v>
      </c>
      <c r="M336" s="1" t="s">
        <v>643</v>
      </c>
    </row>
    <row r="337" customFormat="false" ht="14.25" hidden="true" customHeight="true" outlineLevel="0" collapsed="false">
      <c r="A337" s="1" t="s">
        <v>22</v>
      </c>
      <c r="C337" s="1" t="s">
        <v>106</v>
      </c>
      <c r="D337" s="1" t="n">
        <v>90</v>
      </c>
      <c r="E337" s="1" t="n">
        <v>78</v>
      </c>
      <c r="F337" s="1" t="s">
        <v>255</v>
      </c>
      <c r="G337" s="1" t="s">
        <v>644</v>
      </c>
      <c r="H337" s="1" t="n">
        <v>12.36885</v>
      </c>
      <c r="I337" s="1" t="n">
        <v>6</v>
      </c>
      <c r="J337" s="1" t="n">
        <v>2</v>
      </c>
      <c r="K337" s="1" t="n">
        <v>5</v>
      </c>
      <c r="L337" s="1" t="n">
        <v>2</v>
      </c>
      <c r="M337" s="1" t="s">
        <v>390</v>
      </c>
    </row>
    <row r="338" customFormat="false" ht="14.25" hidden="true" customHeight="true" outlineLevel="0" collapsed="false">
      <c r="A338" s="1" t="s">
        <v>22</v>
      </c>
      <c r="C338" s="1" t="s">
        <v>106</v>
      </c>
      <c r="D338" s="1" t="n">
        <v>91</v>
      </c>
      <c r="E338" s="1" t="n">
        <v>78</v>
      </c>
      <c r="F338" s="1" t="s">
        <v>255</v>
      </c>
      <c r="G338" s="1" t="s">
        <v>645</v>
      </c>
      <c r="H338" s="1" t="n">
        <v>12.36885</v>
      </c>
      <c r="I338" s="1" t="n">
        <v>6.85</v>
      </c>
      <c r="J338" s="1" t="n">
        <v>2</v>
      </c>
      <c r="K338" s="1" t="n">
        <v>5</v>
      </c>
      <c r="L338" s="1" t="n">
        <v>2</v>
      </c>
      <c r="M338" s="1" t="s">
        <v>608</v>
      </c>
    </row>
    <row r="339" customFormat="false" ht="14.25" hidden="true" customHeight="true" outlineLevel="0" collapsed="false">
      <c r="A339" s="1" t="s">
        <v>22</v>
      </c>
      <c r="C339" s="1" t="s">
        <v>106</v>
      </c>
      <c r="D339" s="1" t="n">
        <v>123</v>
      </c>
      <c r="E339" s="1" t="n">
        <v>39</v>
      </c>
      <c r="F339" s="1" t="s">
        <v>255</v>
      </c>
      <c r="G339" s="1" t="s">
        <v>645</v>
      </c>
      <c r="H339" s="1" t="n">
        <v>12.36885</v>
      </c>
      <c r="I339" s="1" t="n">
        <v>6.85</v>
      </c>
      <c r="J339" s="1" t="n">
        <v>1</v>
      </c>
      <c r="K339" s="1" t="n">
        <v>5</v>
      </c>
      <c r="L339" s="1" t="n">
        <v>2</v>
      </c>
      <c r="M339" s="1" t="s">
        <v>608</v>
      </c>
    </row>
    <row r="340" customFormat="false" ht="14.25" hidden="true" customHeight="true" outlineLevel="0" collapsed="false">
      <c r="A340" s="1" t="s">
        <v>22</v>
      </c>
      <c r="B340" s="1" t="s">
        <v>646</v>
      </c>
      <c r="C340" s="1" t="s">
        <v>106</v>
      </c>
      <c r="D340" s="1" t="n">
        <v>84</v>
      </c>
      <c r="E340" s="1" t="n">
        <v>43</v>
      </c>
      <c r="F340" s="1" t="s">
        <v>255</v>
      </c>
      <c r="G340" s="1" t="s">
        <v>647</v>
      </c>
      <c r="H340" s="1" t="n">
        <v>13.63745</v>
      </c>
      <c r="I340" s="1" t="n">
        <v>2.3</v>
      </c>
      <c r="J340" s="1" t="n">
        <v>1</v>
      </c>
      <c r="K340" s="1" t="n">
        <v>4</v>
      </c>
      <c r="L340" s="1" t="n">
        <v>4</v>
      </c>
      <c r="M340" s="1" t="s">
        <v>584</v>
      </c>
    </row>
    <row r="341" customFormat="false" ht="14.25" hidden="true" customHeight="true" outlineLevel="0" collapsed="false">
      <c r="A341" s="1" t="s">
        <v>22</v>
      </c>
      <c r="C341" s="1" t="s">
        <v>455</v>
      </c>
      <c r="D341" s="1" t="n">
        <v>92</v>
      </c>
      <c r="E341" s="1" t="n">
        <v>43</v>
      </c>
      <c r="F341" s="1" t="s">
        <v>255</v>
      </c>
      <c r="G341" s="1" t="s">
        <v>648</v>
      </c>
      <c r="H341" s="1" t="n">
        <v>5.3</v>
      </c>
      <c r="I341" s="1" t="n">
        <v>13.8</v>
      </c>
      <c r="J341" s="1" t="n">
        <v>2</v>
      </c>
      <c r="K341" s="1" t="n">
        <v>4</v>
      </c>
      <c r="L341" s="1" t="n">
        <v>1</v>
      </c>
      <c r="M341" s="1" t="s">
        <v>584</v>
      </c>
    </row>
    <row r="342" customFormat="false" ht="14.25" hidden="true" customHeight="true" outlineLevel="0" collapsed="false">
      <c r="A342" s="1" t="s">
        <v>22</v>
      </c>
      <c r="C342" s="1" t="s">
        <v>100</v>
      </c>
      <c r="D342" s="1" t="n">
        <v>93</v>
      </c>
      <c r="E342" s="1" t="n">
        <v>43</v>
      </c>
      <c r="F342" s="1" t="s">
        <v>255</v>
      </c>
      <c r="G342" s="1" t="s">
        <v>649</v>
      </c>
      <c r="H342" s="1" t="n">
        <v>13.6</v>
      </c>
      <c r="I342" s="1" t="n">
        <v>7.5</v>
      </c>
      <c r="J342" s="1" t="n">
        <v>1</v>
      </c>
      <c r="K342" s="1" t="n">
        <v>4</v>
      </c>
      <c r="L342" s="1" t="n">
        <v>1</v>
      </c>
      <c r="M342" s="1" t="s">
        <v>633</v>
      </c>
    </row>
    <row r="343" customFormat="false" ht="14.25" hidden="true" customHeight="true" outlineLevel="0" collapsed="false">
      <c r="A343" s="1" t="s">
        <v>22</v>
      </c>
      <c r="C343" s="1" t="s">
        <v>106</v>
      </c>
      <c r="D343" s="1" t="n">
        <v>94</v>
      </c>
      <c r="E343" s="1" t="n">
        <v>43</v>
      </c>
      <c r="F343" s="1" t="s">
        <v>255</v>
      </c>
      <c r="G343" s="1" t="s">
        <v>650</v>
      </c>
      <c r="H343" s="1" t="n">
        <v>13.63745</v>
      </c>
      <c r="I343" s="1" t="n">
        <v>8.5</v>
      </c>
      <c r="J343" s="1" t="n">
        <v>1</v>
      </c>
      <c r="K343" s="1" t="n">
        <v>4</v>
      </c>
      <c r="L343" s="1" t="n">
        <v>1</v>
      </c>
      <c r="M343" s="1" t="s">
        <v>651</v>
      </c>
    </row>
    <row r="344" customFormat="false" ht="14.25" hidden="true" customHeight="true" outlineLevel="0" collapsed="false">
      <c r="A344" s="1" t="s">
        <v>22</v>
      </c>
      <c r="C344" s="1" t="s">
        <v>332</v>
      </c>
      <c r="D344" s="1" t="n">
        <v>95</v>
      </c>
      <c r="E344" s="1" t="n">
        <v>43</v>
      </c>
      <c r="F344" s="1" t="s">
        <v>255</v>
      </c>
      <c r="G344" s="1" t="s">
        <v>652</v>
      </c>
      <c r="H344" s="1" t="n">
        <v>13.63745</v>
      </c>
      <c r="I344" s="1" t="n">
        <v>9.5</v>
      </c>
      <c r="J344" s="1" t="n">
        <v>1</v>
      </c>
      <c r="K344" s="1" t="n">
        <v>4</v>
      </c>
      <c r="L344" s="1" t="n">
        <v>1</v>
      </c>
      <c r="M344" s="1" t="s">
        <v>653</v>
      </c>
    </row>
    <row r="345" customFormat="false" ht="14.25" hidden="true" customHeight="true" outlineLevel="0" collapsed="false">
      <c r="A345" s="1" t="s">
        <v>22</v>
      </c>
      <c r="C345" s="1" t="s">
        <v>332</v>
      </c>
      <c r="D345" s="1" t="n">
        <v>96</v>
      </c>
      <c r="E345" s="1" t="n">
        <v>43</v>
      </c>
      <c r="F345" s="1" t="s">
        <v>255</v>
      </c>
      <c r="G345" s="1" t="s">
        <v>652</v>
      </c>
      <c r="H345" s="1" t="n">
        <v>13.63745</v>
      </c>
      <c r="I345" s="1" t="n">
        <v>9.5</v>
      </c>
      <c r="J345" s="1" t="n">
        <v>1</v>
      </c>
      <c r="K345" s="1" t="n">
        <v>4</v>
      </c>
      <c r="L345" s="1" t="n">
        <v>1</v>
      </c>
      <c r="M345" s="1" t="s">
        <v>654</v>
      </c>
    </row>
    <row r="346" customFormat="false" ht="14.25" hidden="true" customHeight="true" outlineLevel="0" collapsed="false">
      <c r="A346" s="1" t="s">
        <v>22</v>
      </c>
      <c r="D346" s="1" t="n">
        <v>97</v>
      </c>
      <c r="E346" s="1" t="n">
        <v>43</v>
      </c>
      <c r="F346" s="1" t="s">
        <v>255</v>
      </c>
      <c r="G346" s="1" t="s">
        <v>652</v>
      </c>
      <c r="H346" s="1" t="n">
        <v>13.63745</v>
      </c>
      <c r="I346" s="1" t="n">
        <v>9.5</v>
      </c>
      <c r="J346" s="1" t="n">
        <v>1</v>
      </c>
      <c r="K346" s="1" t="n">
        <v>4</v>
      </c>
      <c r="L346" s="1" t="n">
        <v>1</v>
      </c>
      <c r="M346" s="1" t="s">
        <v>653</v>
      </c>
    </row>
    <row r="347" customFormat="false" ht="14.25" hidden="true" customHeight="true" outlineLevel="0" collapsed="false">
      <c r="A347" s="1" t="s">
        <v>22</v>
      </c>
      <c r="C347" s="1" t="s">
        <v>455</v>
      </c>
      <c r="D347" s="1" t="n">
        <v>98</v>
      </c>
      <c r="E347" s="1" t="n">
        <v>43</v>
      </c>
      <c r="F347" s="1" t="s">
        <v>255</v>
      </c>
      <c r="G347" s="1" t="s">
        <v>655</v>
      </c>
      <c r="H347" s="1" t="n">
        <v>6.818725</v>
      </c>
      <c r="I347" s="1" t="n">
        <v>14.5</v>
      </c>
      <c r="J347" s="1" t="n">
        <v>2</v>
      </c>
      <c r="K347" s="1" t="n">
        <v>4</v>
      </c>
      <c r="L347" s="1" t="n">
        <v>1</v>
      </c>
      <c r="M347" s="1" t="s">
        <v>656</v>
      </c>
    </row>
    <row r="348" customFormat="false" ht="14.25" hidden="true" customHeight="true" outlineLevel="0" collapsed="false">
      <c r="A348" s="1" t="s">
        <v>22</v>
      </c>
      <c r="B348" s="1" t="s">
        <v>657</v>
      </c>
      <c r="C348" s="1" t="s">
        <v>106</v>
      </c>
      <c r="D348" s="1" t="n">
        <v>15</v>
      </c>
      <c r="E348" s="1" t="n">
        <v>47</v>
      </c>
      <c r="F348" s="1" t="s">
        <v>255</v>
      </c>
      <c r="G348" s="1" t="s">
        <v>658</v>
      </c>
      <c r="H348" s="1" t="n">
        <v>14.9</v>
      </c>
      <c r="I348" s="1" t="n">
        <v>10.5</v>
      </c>
      <c r="J348" s="1" t="n">
        <v>1</v>
      </c>
      <c r="K348" s="1" t="n">
        <v>5</v>
      </c>
      <c r="L348" s="1" t="n">
        <v>1</v>
      </c>
      <c r="M348" s="1" t="s">
        <v>659</v>
      </c>
    </row>
    <row r="349" customFormat="false" ht="14.25" hidden="true" customHeight="true" outlineLevel="0" collapsed="false">
      <c r="A349" s="1" t="s">
        <v>22</v>
      </c>
      <c r="C349" s="1" t="s">
        <v>455</v>
      </c>
      <c r="D349" s="1" t="n">
        <v>99</v>
      </c>
      <c r="E349" s="1" t="n">
        <v>47</v>
      </c>
      <c r="F349" s="1" t="s">
        <v>255</v>
      </c>
      <c r="G349" s="1" t="s">
        <v>660</v>
      </c>
      <c r="H349" s="1" t="n">
        <v>14.90605</v>
      </c>
      <c r="I349" s="1" t="n">
        <v>7</v>
      </c>
      <c r="J349" s="1" t="n">
        <v>1</v>
      </c>
      <c r="K349" s="1" t="n">
        <v>5</v>
      </c>
      <c r="L349" s="1" t="n">
        <v>2</v>
      </c>
      <c r="M349" s="1" t="s">
        <v>390</v>
      </c>
    </row>
    <row r="350" customFormat="false" ht="14.25" hidden="true" customHeight="true" outlineLevel="0" collapsed="false">
      <c r="A350" s="1" t="s">
        <v>22</v>
      </c>
      <c r="C350" s="1" t="s">
        <v>106</v>
      </c>
      <c r="D350" s="1" t="n">
        <v>100</v>
      </c>
      <c r="E350" s="1" t="n">
        <v>47</v>
      </c>
      <c r="F350" s="1" t="s">
        <v>255</v>
      </c>
      <c r="G350" s="1" t="s">
        <v>661</v>
      </c>
      <c r="H350" s="1" t="n">
        <v>14.90605</v>
      </c>
      <c r="I350" s="1" t="n">
        <v>5.5</v>
      </c>
      <c r="J350" s="1" t="n">
        <v>1</v>
      </c>
      <c r="K350" s="1" t="n">
        <v>5</v>
      </c>
      <c r="L350" s="1" t="n">
        <v>2</v>
      </c>
      <c r="M350" s="1" t="s">
        <v>390</v>
      </c>
    </row>
    <row r="351" customFormat="false" ht="14.25" hidden="true" customHeight="true" outlineLevel="0" collapsed="false">
      <c r="A351" s="1" t="s">
        <v>22</v>
      </c>
      <c r="B351" s="1" t="s">
        <v>662</v>
      </c>
      <c r="C351" s="1" t="s">
        <v>108</v>
      </c>
      <c r="D351" s="1" t="n">
        <v>36</v>
      </c>
      <c r="E351" s="1" t="n">
        <v>47</v>
      </c>
      <c r="F351" s="1" t="s">
        <v>255</v>
      </c>
      <c r="G351" s="1" t="s">
        <v>663</v>
      </c>
      <c r="H351" s="1" t="n">
        <v>14.90605</v>
      </c>
      <c r="I351" s="1" t="n">
        <v>10</v>
      </c>
      <c r="J351" s="1" t="n">
        <v>1</v>
      </c>
      <c r="K351" s="1" t="n">
        <v>5</v>
      </c>
      <c r="L351" s="1" t="n">
        <v>1</v>
      </c>
      <c r="M351" s="1" t="s">
        <v>518</v>
      </c>
    </row>
    <row r="352" customFormat="false" ht="14.25" hidden="true" customHeight="true" outlineLevel="0" collapsed="false">
      <c r="A352" s="1" t="s">
        <v>22</v>
      </c>
      <c r="C352" s="1" t="s">
        <v>106</v>
      </c>
      <c r="D352" s="1" t="n">
        <v>101</v>
      </c>
      <c r="E352" s="1" t="n">
        <v>98</v>
      </c>
      <c r="F352" s="1" t="s">
        <v>255</v>
      </c>
      <c r="G352" s="1" t="s">
        <v>664</v>
      </c>
      <c r="H352" s="1" t="n">
        <v>5.18011666666667</v>
      </c>
      <c r="I352" s="1" t="n">
        <v>15.5</v>
      </c>
      <c r="J352" s="1" t="n">
        <v>6</v>
      </c>
      <c r="K352" s="1" t="n">
        <v>5</v>
      </c>
      <c r="L352" s="1" t="n">
        <v>1</v>
      </c>
      <c r="M352" s="1" t="s">
        <v>665</v>
      </c>
    </row>
    <row r="353" customFormat="false" ht="14.25" hidden="true" customHeight="true" outlineLevel="0" collapsed="false">
      <c r="A353" s="1" t="s">
        <v>22</v>
      </c>
      <c r="C353" s="1" t="s">
        <v>455</v>
      </c>
      <c r="D353" s="1" t="n">
        <v>102</v>
      </c>
      <c r="E353" s="1" t="n">
        <v>57</v>
      </c>
      <c r="F353" s="1" t="s">
        <v>255</v>
      </c>
      <c r="G353" s="1" t="s">
        <v>666</v>
      </c>
      <c r="H353" s="1" t="n">
        <v>9.038775</v>
      </c>
      <c r="I353" s="1" t="n">
        <v>15.5</v>
      </c>
      <c r="J353" s="1" t="n">
        <v>2</v>
      </c>
      <c r="K353" s="1" t="n">
        <v>5</v>
      </c>
      <c r="L353" s="1" t="n">
        <v>1</v>
      </c>
      <c r="M353" s="1" t="s">
        <v>622</v>
      </c>
    </row>
    <row r="354" customFormat="false" ht="14.25" hidden="true" customHeight="true" outlineLevel="0" collapsed="false">
      <c r="A354" s="1" t="s">
        <v>22</v>
      </c>
      <c r="C354" s="1" t="s">
        <v>455</v>
      </c>
      <c r="D354" s="1" t="n">
        <v>103</v>
      </c>
      <c r="E354" s="1" t="n">
        <v>57</v>
      </c>
      <c r="F354" s="1" t="s">
        <v>255</v>
      </c>
      <c r="G354" s="1" t="s">
        <v>666</v>
      </c>
      <c r="H354" s="1" t="n">
        <v>9.038775</v>
      </c>
      <c r="I354" s="1" t="n">
        <v>15.5</v>
      </c>
      <c r="J354" s="1" t="n">
        <v>2</v>
      </c>
      <c r="K354" s="1" t="n">
        <v>5</v>
      </c>
      <c r="L354" s="1" t="n">
        <v>1</v>
      </c>
      <c r="M354" s="1" t="s">
        <v>667</v>
      </c>
    </row>
    <row r="355" customFormat="false" ht="14.25" hidden="true" customHeight="true" outlineLevel="0" collapsed="false">
      <c r="A355" s="1" t="s">
        <v>22</v>
      </c>
      <c r="C355" s="1" t="s">
        <v>108</v>
      </c>
      <c r="D355" s="1" t="n">
        <v>104</v>
      </c>
      <c r="E355" s="1" t="n">
        <v>51</v>
      </c>
      <c r="F355" s="1" t="s">
        <v>255</v>
      </c>
      <c r="G355" s="1" t="s">
        <v>668</v>
      </c>
      <c r="H355" s="1" t="n">
        <v>5.39155</v>
      </c>
      <c r="I355" s="1" t="n">
        <v>16.3</v>
      </c>
      <c r="J355" s="1" t="n">
        <v>3</v>
      </c>
      <c r="K355" s="1" t="n">
        <v>5</v>
      </c>
      <c r="L355" s="1" t="n">
        <v>1</v>
      </c>
      <c r="M355" s="1" t="s">
        <v>637</v>
      </c>
    </row>
    <row r="356" customFormat="false" ht="14.25" hidden="true" customHeight="true" outlineLevel="0" collapsed="false">
      <c r="A356" s="1" t="s">
        <v>22</v>
      </c>
      <c r="C356" s="1" t="s">
        <v>106</v>
      </c>
      <c r="D356" s="1" t="n">
        <v>105</v>
      </c>
      <c r="E356" s="1" t="n">
        <v>51</v>
      </c>
      <c r="F356" s="1" t="s">
        <v>255</v>
      </c>
      <c r="G356" s="1" t="s">
        <v>669</v>
      </c>
      <c r="H356" s="1" t="n">
        <v>16.17465</v>
      </c>
      <c r="I356" s="1" t="n">
        <v>7.5</v>
      </c>
      <c r="J356" s="1" t="n">
        <v>1</v>
      </c>
      <c r="K356" s="1" t="n">
        <v>5</v>
      </c>
      <c r="L356" s="1" t="n">
        <v>2</v>
      </c>
      <c r="M356" s="1" t="s">
        <v>390</v>
      </c>
    </row>
    <row r="357" customFormat="false" ht="14.25" hidden="true" customHeight="true" outlineLevel="0" collapsed="false">
      <c r="A357" s="1" t="s">
        <v>22</v>
      </c>
      <c r="C357" s="1" t="s">
        <v>106</v>
      </c>
      <c r="D357" s="1" t="n">
        <v>106</v>
      </c>
      <c r="E357" s="1" t="n">
        <v>51</v>
      </c>
      <c r="F357" s="1" t="s">
        <v>255</v>
      </c>
      <c r="G357" s="1" t="s">
        <v>670</v>
      </c>
      <c r="H357" s="1" t="n">
        <v>16.17465</v>
      </c>
      <c r="I357" s="1" t="n">
        <v>11.5</v>
      </c>
      <c r="J357" s="1" t="n">
        <v>1</v>
      </c>
      <c r="K357" s="1" t="n">
        <v>5</v>
      </c>
      <c r="L357" s="1" t="n">
        <v>1</v>
      </c>
      <c r="M357" s="1" t="s">
        <v>651</v>
      </c>
    </row>
    <row r="358" customFormat="false" ht="14.25" hidden="true" customHeight="true" outlineLevel="0" collapsed="false">
      <c r="A358" s="1" t="s">
        <v>22</v>
      </c>
      <c r="C358" s="1" t="s">
        <v>106</v>
      </c>
      <c r="D358" s="1" t="n">
        <v>107</v>
      </c>
      <c r="E358" s="1" t="n">
        <v>57</v>
      </c>
      <c r="F358" s="1" t="s">
        <v>255</v>
      </c>
      <c r="G358" s="1" t="s">
        <v>671</v>
      </c>
      <c r="H358" s="1" t="n">
        <v>18.07755</v>
      </c>
      <c r="I358" s="1" t="n">
        <v>15</v>
      </c>
      <c r="J358" s="1" t="n">
        <v>1</v>
      </c>
      <c r="K358" s="1" t="n">
        <v>4</v>
      </c>
      <c r="L358" s="1" t="n">
        <v>1</v>
      </c>
      <c r="M358" s="1" t="s">
        <v>672</v>
      </c>
    </row>
    <row r="359" customFormat="false" ht="14.25" hidden="true" customHeight="true" outlineLevel="0" collapsed="false">
      <c r="A359" s="1" t="s">
        <v>22</v>
      </c>
      <c r="B359" s="1" t="s">
        <v>673</v>
      </c>
      <c r="C359" s="1" t="s">
        <v>106</v>
      </c>
      <c r="D359" s="1" t="n">
        <v>19</v>
      </c>
      <c r="E359" s="1" t="n">
        <v>60</v>
      </c>
      <c r="F359" s="1" t="s">
        <v>255</v>
      </c>
      <c r="G359" s="1" t="s">
        <v>674</v>
      </c>
      <c r="H359" s="1" t="n">
        <v>19.029</v>
      </c>
      <c r="I359" s="1" t="n">
        <v>5</v>
      </c>
      <c r="J359" s="1" t="n">
        <v>1</v>
      </c>
      <c r="K359" s="1" t="n">
        <v>4</v>
      </c>
      <c r="L359" s="1" t="n">
        <v>2</v>
      </c>
      <c r="M359" s="1" t="s">
        <v>584</v>
      </c>
    </row>
    <row r="360" customFormat="false" ht="14.25" hidden="true" customHeight="true" outlineLevel="0" collapsed="false">
      <c r="A360" s="1" t="s">
        <v>22</v>
      </c>
      <c r="B360" s="1" t="s">
        <v>675</v>
      </c>
      <c r="D360" s="1" t="n">
        <v>16</v>
      </c>
      <c r="E360" s="1" t="n">
        <v>63</v>
      </c>
      <c r="F360" s="1" t="s">
        <v>255</v>
      </c>
      <c r="G360" s="1" t="s">
        <v>676</v>
      </c>
      <c r="H360" s="1" t="n">
        <v>19.98045</v>
      </c>
      <c r="I360" s="1" t="n">
        <v>5.5</v>
      </c>
      <c r="J360" s="1" t="n">
        <v>1</v>
      </c>
      <c r="K360" s="1" t="n">
        <v>5</v>
      </c>
      <c r="L360" s="1" t="n">
        <v>1</v>
      </c>
      <c r="M360" s="1" t="s">
        <v>677</v>
      </c>
    </row>
    <row r="361" customFormat="false" ht="14.25" hidden="true" customHeight="true" outlineLevel="0" collapsed="false">
      <c r="A361" s="1" t="s">
        <v>22</v>
      </c>
      <c r="C361" s="1" t="s">
        <v>106</v>
      </c>
      <c r="D361" s="1" t="n">
        <v>108</v>
      </c>
      <c r="E361" s="1" t="n">
        <v>63</v>
      </c>
      <c r="F361" s="1" t="s">
        <v>255</v>
      </c>
      <c r="G361" s="1" t="s">
        <v>678</v>
      </c>
      <c r="H361" s="1" t="n">
        <v>19.98045</v>
      </c>
      <c r="I361" s="1" t="n">
        <v>11.5</v>
      </c>
      <c r="J361" s="1" t="n">
        <v>1</v>
      </c>
      <c r="K361" s="1" t="n">
        <v>5</v>
      </c>
      <c r="L361" s="1" t="n">
        <v>2</v>
      </c>
      <c r="M361" s="1" t="s">
        <v>641</v>
      </c>
    </row>
    <row r="362" customFormat="false" ht="14.25" hidden="true" customHeight="true" outlineLevel="0" collapsed="false">
      <c r="A362" s="1" t="s">
        <v>22</v>
      </c>
      <c r="B362" s="1" t="s">
        <v>679</v>
      </c>
      <c r="D362" s="1" t="n">
        <v>13</v>
      </c>
      <c r="E362" s="1" t="n">
        <v>63</v>
      </c>
      <c r="F362" s="1" t="s">
        <v>255</v>
      </c>
      <c r="G362" s="1" t="s">
        <v>680</v>
      </c>
      <c r="H362" s="1" t="n">
        <v>19.98045</v>
      </c>
      <c r="I362" s="1" t="n">
        <v>6</v>
      </c>
      <c r="J362" s="1" t="n">
        <v>1</v>
      </c>
      <c r="K362" s="1" t="n">
        <v>5</v>
      </c>
      <c r="L362" s="1" t="n">
        <v>1</v>
      </c>
      <c r="M362" s="1" t="s">
        <v>681</v>
      </c>
    </row>
    <row r="363" customFormat="false" ht="14.25" hidden="true" customHeight="true" outlineLevel="0" collapsed="false">
      <c r="A363" s="1" t="s">
        <v>22</v>
      </c>
      <c r="B363" s="1" t="s">
        <v>682</v>
      </c>
      <c r="C363" s="1" t="s">
        <v>106</v>
      </c>
      <c r="D363" s="1" t="n">
        <v>72</v>
      </c>
      <c r="E363" s="1" t="n">
        <v>78</v>
      </c>
      <c r="F363" s="1" t="s">
        <v>255</v>
      </c>
      <c r="G363" s="1" t="s">
        <v>683</v>
      </c>
      <c r="H363" s="1" t="n">
        <v>24.7377</v>
      </c>
      <c r="I363" s="1" t="n">
        <v>6</v>
      </c>
      <c r="J363" s="1" t="n">
        <v>1</v>
      </c>
      <c r="K363" s="1" t="n">
        <v>5</v>
      </c>
      <c r="L363" s="1" t="n">
        <v>2</v>
      </c>
      <c r="M363" s="1" t="s">
        <v>684</v>
      </c>
    </row>
    <row r="364" customFormat="false" ht="14.25" hidden="true" customHeight="true" outlineLevel="0" collapsed="false">
      <c r="A364" s="1" t="s">
        <v>22</v>
      </c>
    </row>
    <row r="365" customFormat="false" ht="14.25" hidden="true" customHeight="true" outlineLevel="0" collapsed="false">
      <c r="A365" s="1" t="s">
        <v>22</v>
      </c>
      <c r="B365" s="1" t="s">
        <v>685</v>
      </c>
      <c r="C365" s="1" t="s">
        <v>106</v>
      </c>
      <c r="D365" s="1" t="n">
        <v>113</v>
      </c>
      <c r="E365" s="1" t="n">
        <v>43</v>
      </c>
      <c r="F365" s="1" t="s">
        <v>23</v>
      </c>
      <c r="G365" s="1" t="s">
        <v>686</v>
      </c>
      <c r="M365" s="1" t="s">
        <v>687</v>
      </c>
    </row>
    <row r="366" customFormat="false" ht="14.25" hidden="true" customHeight="true" outlineLevel="0" collapsed="false">
      <c r="A366" s="1" t="s">
        <v>22</v>
      </c>
      <c r="B366" s="1" t="s">
        <v>688</v>
      </c>
      <c r="C366" s="1" t="s">
        <v>106</v>
      </c>
      <c r="D366" s="1" t="n">
        <v>58</v>
      </c>
      <c r="E366" s="1" t="n">
        <v>43</v>
      </c>
      <c r="F366" s="1" t="s">
        <v>23</v>
      </c>
      <c r="G366" s="1" t="s">
        <v>491</v>
      </c>
      <c r="M366" s="1" t="s">
        <v>689</v>
      </c>
    </row>
    <row r="367" customFormat="false" ht="14.25" hidden="true" customHeight="true" outlineLevel="0" collapsed="false">
      <c r="A367" s="1" t="s">
        <v>22</v>
      </c>
      <c r="B367" s="1" t="s">
        <v>690</v>
      </c>
      <c r="C367" s="1" t="s">
        <v>104</v>
      </c>
      <c r="D367" s="1" t="n">
        <v>114</v>
      </c>
      <c r="E367" s="1" t="n">
        <v>47</v>
      </c>
      <c r="F367" s="1" t="s">
        <v>23</v>
      </c>
      <c r="G367" s="1" t="s">
        <v>691</v>
      </c>
      <c r="M367" s="1" t="s">
        <v>208</v>
      </c>
    </row>
    <row r="368" customFormat="false" ht="14.25" hidden="true" customHeight="true" outlineLevel="0" collapsed="false">
      <c r="A368" s="1" t="s">
        <v>22</v>
      </c>
      <c r="C368" s="1" t="s">
        <v>106</v>
      </c>
      <c r="D368" s="1" t="n">
        <v>115</v>
      </c>
      <c r="E368" s="1" t="n">
        <v>43</v>
      </c>
      <c r="F368" s="1" t="s">
        <v>406</v>
      </c>
      <c r="G368" s="1" t="s">
        <v>507</v>
      </c>
      <c r="M368" s="1" t="s">
        <v>406</v>
      </c>
    </row>
    <row r="369" customFormat="false" ht="14.25" hidden="true" customHeight="true" outlineLevel="0" collapsed="false">
      <c r="A369" s="1" t="s">
        <v>22</v>
      </c>
      <c r="D369" s="1" t="n">
        <v>121</v>
      </c>
      <c r="E369" s="1" t="n">
        <v>60</v>
      </c>
      <c r="F369" s="1" t="s">
        <v>23</v>
      </c>
      <c r="G369" s="1" t="s">
        <v>15</v>
      </c>
    </row>
    <row r="370" customFormat="false" ht="14.25" hidden="true" customHeight="true" outlineLevel="0" collapsed="false">
      <c r="A370" s="1" t="s">
        <v>22</v>
      </c>
      <c r="C370" s="1" t="s">
        <v>455</v>
      </c>
      <c r="D370" s="1" t="n">
        <v>116</v>
      </c>
      <c r="E370" s="1" t="n">
        <v>60</v>
      </c>
      <c r="F370" s="1" t="s">
        <v>406</v>
      </c>
      <c r="G370" s="1" t="s">
        <v>15</v>
      </c>
      <c r="M370" s="1" t="s">
        <v>406</v>
      </c>
    </row>
    <row r="371" customFormat="false" ht="14.25" hidden="true" customHeight="true" outlineLevel="0" collapsed="false">
      <c r="A371" s="1" t="s">
        <v>22</v>
      </c>
      <c r="C371" s="1" t="s">
        <v>111</v>
      </c>
      <c r="D371" s="1" t="n">
        <v>118</v>
      </c>
      <c r="E371" s="1" t="n">
        <v>92</v>
      </c>
      <c r="F371" s="1" t="s">
        <v>23</v>
      </c>
      <c r="G371" s="1" t="s">
        <v>692</v>
      </c>
      <c r="H371" s="1" t="n">
        <v>29.2</v>
      </c>
      <c r="I371" s="1" t="n">
        <v>12.5</v>
      </c>
      <c r="J371" s="1" t="n">
        <v>1</v>
      </c>
      <c r="K371" s="1" t="n">
        <v>1</v>
      </c>
      <c r="L371" s="1" t="n">
        <v>5</v>
      </c>
      <c r="M371" s="1" t="s">
        <v>693</v>
      </c>
    </row>
    <row r="372" customFormat="false" ht="14.25" hidden="true" customHeight="true" outlineLevel="0" collapsed="false">
      <c r="A372" s="1" t="s">
        <v>22</v>
      </c>
      <c r="C372" s="1" t="s">
        <v>111</v>
      </c>
      <c r="D372" s="1" t="n">
        <v>120</v>
      </c>
      <c r="E372" s="1" t="n">
        <v>92</v>
      </c>
      <c r="F372" s="1" t="s">
        <v>191</v>
      </c>
      <c r="G372" s="1" t="s">
        <v>692</v>
      </c>
      <c r="H372" s="1" t="n">
        <v>29.2</v>
      </c>
      <c r="I372" s="1" t="n">
        <v>12.5</v>
      </c>
      <c r="J372" s="1" t="n">
        <v>1</v>
      </c>
      <c r="K372" s="1" t="n">
        <v>1</v>
      </c>
      <c r="L372" s="1" t="n">
        <v>5</v>
      </c>
      <c r="M372" s="1" t="s">
        <v>693</v>
      </c>
    </row>
    <row r="373" customFormat="false" ht="14.25" hidden="true" customHeight="true" outlineLevel="0" collapsed="false">
      <c r="A373" s="1" t="s">
        <v>22</v>
      </c>
      <c r="B373" s="1" t="s">
        <v>191</v>
      </c>
      <c r="C373" s="1" t="s">
        <v>106</v>
      </c>
      <c r="D373" s="1" t="n">
        <v>117</v>
      </c>
      <c r="E373" s="1" t="n">
        <v>63</v>
      </c>
      <c r="F373" s="1" t="s">
        <v>23</v>
      </c>
      <c r="G373" s="1" t="s">
        <v>694</v>
      </c>
      <c r="M373" s="1" t="s">
        <v>695</v>
      </c>
    </row>
    <row r="374" customFormat="false" ht="14.25" hidden="true" customHeight="true" outlineLevel="0" collapsed="false">
      <c r="A374" s="1" t="s">
        <v>22</v>
      </c>
      <c r="C374" s="1" t="s">
        <v>696</v>
      </c>
      <c r="D374" s="1" t="n">
        <v>119</v>
      </c>
      <c r="E374" s="1" t="n">
        <v>98</v>
      </c>
      <c r="F374" s="1" t="s">
        <v>406</v>
      </c>
      <c r="M374" s="1" t="s">
        <v>406</v>
      </c>
    </row>
    <row r="375" customFormat="false" ht="14.25" hidden="true" customHeight="true" outlineLevel="0" collapsed="false">
      <c r="A375" s="1" t="s">
        <v>22</v>
      </c>
      <c r="D375" s="1" t="n">
        <v>126</v>
      </c>
      <c r="F375" s="1" t="s">
        <v>697</v>
      </c>
      <c r="G375" s="1" t="n">
        <v>10</v>
      </c>
      <c r="M375" s="1" t="s">
        <v>698</v>
      </c>
    </row>
    <row r="376" customFormat="false" ht="14.25" hidden="true" customHeight="true" outlineLevel="0" collapsed="false">
      <c r="A376" s="1" t="s">
        <v>22</v>
      </c>
      <c r="D376" s="1" t="n">
        <v>128</v>
      </c>
      <c r="E376" s="1" t="n">
        <v>64</v>
      </c>
      <c r="F376" s="1" t="s">
        <v>697</v>
      </c>
      <c r="M376" s="1" t="s">
        <v>698</v>
      </c>
    </row>
    <row r="377" customFormat="false" ht="14.25" hidden="true" customHeight="true" outlineLevel="0" collapsed="false">
      <c r="A377" s="1" t="s">
        <v>699</v>
      </c>
      <c r="C377" s="1" t="s">
        <v>111</v>
      </c>
      <c r="D377" s="1" t="n">
        <v>14</v>
      </c>
      <c r="E377" s="1" t="n">
        <v>57</v>
      </c>
      <c r="F377" s="1" t="s">
        <v>101</v>
      </c>
      <c r="G377" s="1" t="n">
        <v>6</v>
      </c>
      <c r="H377" s="1" t="n">
        <v>6.02585</v>
      </c>
      <c r="I377" s="1" t="n">
        <v>25</v>
      </c>
      <c r="J377" s="1" t="n">
        <v>3</v>
      </c>
      <c r="K377" s="1" t="n">
        <v>6</v>
      </c>
      <c r="L377" s="1" t="n">
        <v>1</v>
      </c>
      <c r="M377" s="1" t="s">
        <v>700</v>
      </c>
    </row>
    <row r="378" customFormat="false" ht="14.25" hidden="true" customHeight="true" outlineLevel="0" collapsed="false">
      <c r="A378" s="1" t="s">
        <v>699</v>
      </c>
      <c r="B378" s="1" t="s">
        <v>633</v>
      </c>
      <c r="C378" s="1" t="s">
        <v>111</v>
      </c>
      <c r="D378" s="1" t="n">
        <v>41</v>
      </c>
      <c r="E378" s="1" t="n">
        <v>47</v>
      </c>
      <c r="F378" s="1" t="s">
        <v>101</v>
      </c>
      <c r="G378" s="1" t="n">
        <v>7.5</v>
      </c>
      <c r="H378" s="1" t="n">
        <v>7.453025</v>
      </c>
      <c r="I378" s="1" t="n">
        <v>10.5</v>
      </c>
      <c r="J378" s="1" t="n">
        <v>2</v>
      </c>
      <c r="K378" s="1" t="n">
        <v>6</v>
      </c>
      <c r="L378" s="1" t="n">
        <v>1</v>
      </c>
      <c r="M378" s="1" t="s">
        <v>701</v>
      </c>
    </row>
    <row r="379" customFormat="false" ht="14.25" hidden="true" customHeight="true" outlineLevel="0" collapsed="false">
      <c r="A379" s="1" t="s">
        <v>699</v>
      </c>
      <c r="B379" s="1" t="s">
        <v>702</v>
      </c>
      <c r="C379" s="1" t="s">
        <v>156</v>
      </c>
      <c r="D379" s="1" t="n">
        <v>15</v>
      </c>
      <c r="E379" s="1" t="n">
        <v>57</v>
      </c>
      <c r="F379" s="1" t="s">
        <v>101</v>
      </c>
      <c r="G379" s="1" t="n">
        <v>9.048</v>
      </c>
      <c r="H379" s="1" t="n">
        <v>9.038775</v>
      </c>
      <c r="I379" s="1" t="n">
        <v>60</v>
      </c>
      <c r="J379" s="1" t="n">
        <v>2</v>
      </c>
      <c r="K379" s="1" t="n">
        <v>6</v>
      </c>
      <c r="L379" s="1" t="n">
        <v>1</v>
      </c>
    </row>
    <row r="380" customFormat="false" ht="14.25" hidden="true" customHeight="true" outlineLevel="0" collapsed="false">
      <c r="A380" s="1" t="s">
        <v>699</v>
      </c>
      <c r="B380" s="1" t="s">
        <v>703</v>
      </c>
      <c r="C380" s="1" t="s">
        <v>104</v>
      </c>
      <c r="D380" s="1" t="n">
        <v>31</v>
      </c>
      <c r="E380" s="1" t="n">
        <v>63</v>
      </c>
      <c r="F380" s="1" t="s">
        <v>101</v>
      </c>
      <c r="G380" s="1" t="n">
        <v>10</v>
      </c>
      <c r="H380" s="1" t="n">
        <v>9.990225</v>
      </c>
      <c r="I380" s="1" t="n">
        <v>10</v>
      </c>
      <c r="J380" s="1" t="n">
        <v>2</v>
      </c>
      <c r="L380" s="1" t="n">
        <v>1</v>
      </c>
      <c r="M380" s="1" t="s">
        <v>704</v>
      </c>
    </row>
    <row r="381" customFormat="false" ht="14.25" hidden="true" customHeight="true" outlineLevel="0" collapsed="false">
      <c r="A381" s="1" t="s">
        <v>699</v>
      </c>
      <c r="C381" s="1" t="s">
        <v>111</v>
      </c>
      <c r="D381" s="1" t="n">
        <v>18</v>
      </c>
      <c r="E381" s="1" t="n">
        <v>98</v>
      </c>
      <c r="F381" s="1" t="s">
        <v>101</v>
      </c>
      <c r="G381" s="1" t="n">
        <v>31</v>
      </c>
      <c r="H381" s="1" t="n">
        <v>31.0807</v>
      </c>
      <c r="I381" s="1" t="n">
        <v>25</v>
      </c>
      <c r="J381" s="1" t="n">
        <v>1</v>
      </c>
      <c r="K381" s="1" t="n">
        <v>6</v>
      </c>
      <c r="L381" s="1" t="n">
        <v>1</v>
      </c>
      <c r="M381" s="1" t="s">
        <v>705</v>
      </c>
    </row>
    <row r="382" customFormat="false" ht="14.25" hidden="true" customHeight="true" outlineLevel="0" collapsed="false">
      <c r="A382" s="1" t="s">
        <v>699</v>
      </c>
    </row>
    <row r="383" customFormat="false" ht="14.25" hidden="true" customHeight="true" outlineLevel="0" collapsed="false">
      <c r="A383" s="1" t="s">
        <v>699</v>
      </c>
      <c r="B383" s="1" t="s">
        <v>706</v>
      </c>
      <c r="C383" s="1" t="s">
        <v>104</v>
      </c>
      <c r="D383" s="1" t="n">
        <v>26</v>
      </c>
      <c r="E383" s="1" t="n">
        <v>47</v>
      </c>
      <c r="F383" s="1" t="s">
        <v>116</v>
      </c>
      <c r="G383" s="1" t="n">
        <v>3</v>
      </c>
      <c r="H383" s="1" t="n">
        <v>3.7265125</v>
      </c>
      <c r="I383" s="1" t="n">
        <v>3.5</v>
      </c>
      <c r="J383" s="1" t="n">
        <v>4</v>
      </c>
      <c r="K383" s="1" t="n">
        <v>6</v>
      </c>
      <c r="L383" s="1" t="n">
        <v>1</v>
      </c>
      <c r="M383" s="1" t="s">
        <v>707</v>
      </c>
    </row>
    <row r="384" customFormat="false" ht="14.25" hidden="true" customHeight="true" outlineLevel="0" collapsed="false">
      <c r="A384" s="1" t="s">
        <v>699</v>
      </c>
      <c r="B384" s="1" t="s">
        <v>708</v>
      </c>
      <c r="C384" s="1" t="s">
        <v>104</v>
      </c>
      <c r="D384" s="1" t="n">
        <v>42</v>
      </c>
      <c r="E384" s="1" t="n">
        <v>47</v>
      </c>
      <c r="F384" s="1" t="s">
        <v>116</v>
      </c>
      <c r="G384" s="1" t="n">
        <v>3.4</v>
      </c>
      <c r="H384" s="1" t="n">
        <v>3.7265125</v>
      </c>
      <c r="I384" s="1" t="n">
        <v>4.5</v>
      </c>
      <c r="J384" s="1" t="n">
        <v>4</v>
      </c>
      <c r="K384" s="1" t="n">
        <v>6</v>
      </c>
      <c r="L384" s="1" t="n">
        <v>1</v>
      </c>
    </row>
    <row r="385" customFormat="false" ht="14.25" hidden="true" customHeight="true" outlineLevel="0" collapsed="false">
      <c r="A385" s="1" t="s">
        <v>699</v>
      </c>
      <c r="C385" s="1" t="s">
        <v>111</v>
      </c>
      <c r="D385" s="1" t="n">
        <v>19</v>
      </c>
      <c r="E385" s="1" t="n">
        <v>63</v>
      </c>
      <c r="F385" s="1" t="s">
        <v>116</v>
      </c>
      <c r="G385" s="1" t="n">
        <v>4.8</v>
      </c>
      <c r="H385" s="1" t="n">
        <v>4.9951125</v>
      </c>
      <c r="I385" s="1" t="n">
        <v>21</v>
      </c>
      <c r="J385" s="1" t="n">
        <v>4</v>
      </c>
      <c r="K385" s="1" t="n">
        <v>6</v>
      </c>
      <c r="L385" s="1" t="n">
        <v>4</v>
      </c>
      <c r="M385" s="1" t="s">
        <v>709</v>
      </c>
    </row>
    <row r="386" customFormat="false" ht="14.25" hidden="true" customHeight="true" outlineLevel="0" collapsed="false">
      <c r="A386" s="1" t="s">
        <v>699</v>
      </c>
      <c r="B386" s="1" t="s">
        <v>710</v>
      </c>
      <c r="C386" s="1" t="s">
        <v>111</v>
      </c>
      <c r="D386" s="1" t="n">
        <v>16</v>
      </c>
      <c r="E386" s="1" t="n">
        <v>57</v>
      </c>
      <c r="F386" s="1" t="s">
        <v>116</v>
      </c>
      <c r="G386" s="1" t="n">
        <v>8.8</v>
      </c>
      <c r="H386" s="1" t="n">
        <v>9.038775</v>
      </c>
      <c r="I386" s="1" t="n">
        <v>9.5</v>
      </c>
      <c r="J386" s="1" t="n">
        <v>2</v>
      </c>
      <c r="K386" s="1" t="n">
        <v>6</v>
      </c>
      <c r="L386" s="1" t="n">
        <v>1</v>
      </c>
      <c r="M386" s="1" t="s">
        <v>711</v>
      </c>
    </row>
    <row r="387" customFormat="false" ht="14.25" hidden="true" customHeight="true" outlineLevel="0" collapsed="false">
      <c r="A387" s="1" t="s">
        <v>699</v>
      </c>
    </row>
    <row r="388" customFormat="false" ht="14.25" hidden="true" customHeight="true" outlineLevel="0" collapsed="false">
      <c r="A388" s="1" t="s">
        <v>699</v>
      </c>
      <c r="B388" s="1" t="s">
        <v>712</v>
      </c>
      <c r="C388" s="1" t="s">
        <v>156</v>
      </c>
      <c r="D388" s="1" t="n">
        <v>32</v>
      </c>
      <c r="E388" s="1" t="n">
        <v>63</v>
      </c>
      <c r="F388" s="1" t="s">
        <v>131</v>
      </c>
      <c r="G388" s="1" t="s">
        <v>713</v>
      </c>
      <c r="H388" s="1" t="n">
        <v>9.990225</v>
      </c>
      <c r="I388" s="1" t="n">
        <v>7.5</v>
      </c>
      <c r="J388" s="1" t="n">
        <v>2</v>
      </c>
      <c r="K388" s="1" t="n">
        <v>6</v>
      </c>
      <c r="L388" s="1" t="n">
        <v>2</v>
      </c>
    </row>
    <row r="389" customFormat="false" ht="14.25" hidden="true" customHeight="true" outlineLevel="0" collapsed="false">
      <c r="A389" s="1" t="s">
        <v>699</v>
      </c>
      <c r="B389" s="1" t="s">
        <v>714</v>
      </c>
      <c r="C389" s="1" t="s">
        <v>156</v>
      </c>
      <c r="D389" s="1" t="n">
        <v>4</v>
      </c>
      <c r="E389" s="1" t="n">
        <v>47</v>
      </c>
      <c r="F389" s="1" t="s">
        <v>131</v>
      </c>
      <c r="G389" s="1" t="s">
        <v>715</v>
      </c>
      <c r="H389" s="1" t="n">
        <v>7.453025</v>
      </c>
      <c r="I389" s="1" t="n">
        <v>11</v>
      </c>
      <c r="J389" s="1" t="n">
        <v>2</v>
      </c>
      <c r="K389" s="1" t="n">
        <v>6</v>
      </c>
      <c r="L389" s="1" t="n">
        <v>1</v>
      </c>
      <c r="M389" s="1" t="s">
        <v>131</v>
      </c>
    </row>
    <row r="390" customFormat="false" ht="14.25" hidden="true" customHeight="true" outlineLevel="0" collapsed="false">
      <c r="A390" s="1" t="s">
        <v>699</v>
      </c>
      <c r="B390" s="1" t="s">
        <v>716</v>
      </c>
      <c r="C390" s="1" t="s">
        <v>104</v>
      </c>
      <c r="D390" s="1" t="n">
        <v>31</v>
      </c>
      <c r="E390" s="1" t="n">
        <v>63</v>
      </c>
      <c r="F390" s="1" t="s">
        <v>131</v>
      </c>
      <c r="G390" s="1" t="s">
        <v>717</v>
      </c>
      <c r="H390" s="1" t="n">
        <v>6.66015</v>
      </c>
      <c r="I390" s="1" t="n">
        <v>125</v>
      </c>
      <c r="J390" s="1" t="n">
        <v>3</v>
      </c>
      <c r="K390" s="1" t="n">
        <v>6</v>
      </c>
      <c r="L390" s="1" t="n">
        <v>1</v>
      </c>
      <c r="M390" s="1" t="s">
        <v>718</v>
      </c>
    </row>
    <row r="391" customFormat="false" ht="14.25" hidden="true" customHeight="true" outlineLevel="0" collapsed="false">
      <c r="A391" s="1" t="s">
        <v>699</v>
      </c>
    </row>
    <row r="392" customFormat="false" ht="14.25" hidden="true" customHeight="true" outlineLevel="0" collapsed="false">
      <c r="A392" s="1" t="s">
        <v>699</v>
      </c>
      <c r="C392" s="1" t="s">
        <v>104</v>
      </c>
      <c r="D392" s="1" t="n">
        <v>23</v>
      </c>
      <c r="E392" s="1" t="n">
        <v>69</v>
      </c>
      <c r="F392" s="1" t="s">
        <v>157</v>
      </c>
      <c r="G392" s="1" t="s">
        <v>719</v>
      </c>
      <c r="H392" s="1" t="n">
        <v>7.29445</v>
      </c>
      <c r="I392" s="1" t="n">
        <v>21</v>
      </c>
      <c r="J392" s="1" t="n">
        <v>3</v>
      </c>
      <c r="K392" s="1" t="n">
        <v>6</v>
      </c>
      <c r="L392" s="1" t="n">
        <v>4</v>
      </c>
      <c r="M392" s="1" t="s">
        <v>377</v>
      </c>
    </row>
    <row r="393" customFormat="false" ht="14.25" hidden="true" customHeight="true" outlineLevel="0" collapsed="false">
      <c r="A393" s="1" t="s">
        <v>699</v>
      </c>
      <c r="C393" s="1" t="s">
        <v>111</v>
      </c>
      <c r="D393" s="1" t="n">
        <v>11</v>
      </c>
      <c r="E393" s="1" t="n">
        <v>54</v>
      </c>
      <c r="F393" s="1" t="s">
        <v>157</v>
      </c>
      <c r="G393" s="1" t="s">
        <v>720</v>
      </c>
      <c r="H393" s="1" t="n">
        <v>4.281525</v>
      </c>
      <c r="I393" s="1" t="n">
        <v>25</v>
      </c>
      <c r="J393" s="1" t="n">
        <v>4</v>
      </c>
      <c r="K393" s="1" t="n">
        <v>2</v>
      </c>
      <c r="L393" s="1" t="n">
        <v>4</v>
      </c>
      <c r="M393" s="1" t="s">
        <v>721</v>
      </c>
    </row>
    <row r="394" customFormat="false" ht="14.25" hidden="true" customHeight="true" outlineLevel="0" collapsed="false">
      <c r="A394" s="1" t="s">
        <v>699</v>
      </c>
      <c r="C394" s="1" t="s">
        <v>111</v>
      </c>
      <c r="D394" s="1" t="n">
        <v>5</v>
      </c>
      <c r="E394" s="1" t="n">
        <v>50</v>
      </c>
      <c r="F394" s="1" t="s">
        <v>157</v>
      </c>
      <c r="G394" s="1" t="s">
        <v>722</v>
      </c>
      <c r="H394" s="1" t="n">
        <v>5.28583333333333</v>
      </c>
      <c r="I394" s="1" t="n">
        <v>25</v>
      </c>
      <c r="J394" s="1" t="n">
        <v>3</v>
      </c>
      <c r="K394" s="1" t="n">
        <v>2</v>
      </c>
      <c r="L394" s="1" t="n">
        <v>4</v>
      </c>
      <c r="M394" s="1" t="s">
        <v>723</v>
      </c>
    </row>
    <row r="395" customFormat="false" ht="14.25" hidden="true" customHeight="true" outlineLevel="0" collapsed="false">
      <c r="A395" s="1" t="s">
        <v>699</v>
      </c>
      <c r="C395" s="1" t="s">
        <v>111</v>
      </c>
      <c r="D395" s="1" t="n">
        <v>7</v>
      </c>
      <c r="E395" s="1" t="n">
        <v>50</v>
      </c>
      <c r="F395" s="1" t="s">
        <v>157</v>
      </c>
      <c r="G395" s="1" t="s">
        <v>722</v>
      </c>
      <c r="H395" s="1" t="n">
        <v>5.28583333333333</v>
      </c>
      <c r="I395" s="1" t="n">
        <v>25</v>
      </c>
      <c r="J395" s="1" t="n">
        <v>3</v>
      </c>
      <c r="K395" s="1" t="n">
        <v>2</v>
      </c>
      <c r="L395" s="1" t="n">
        <v>4</v>
      </c>
      <c r="M395" s="1" t="s">
        <v>178</v>
      </c>
    </row>
    <row r="396" customFormat="false" ht="14.25" hidden="true" customHeight="true" outlineLevel="0" collapsed="false">
      <c r="A396" s="1" t="s">
        <v>699</v>
      </c>
      <c r="C396" s="1" t="s">
        <v>108</v>
      </c>
      <c r="D396" s="1" t="n">
        <v>8</v>
      </c>
      <c r="E396" s="1" t="n">
        <v>50</v>
      </c>
      <c r="F396" s="1" t="s">
        <v>157</v>
      </c>
      <c r="G396" s="1" t="s">
        <v>722</v>
      </c>
      <c r="H396" s="1" t="n">
        <v>5.28583333333333</v>
      </c>
      <c r="I396" s="1" t="n">
        <v>25</v>
      </c>
      <c r="J396" s="1" t="n">
        <v>3</v>
      </c>
      <c r="K396" s="1" t="n">
        <v>2</v>
      </c>
      <c r="L396" s="1" t="n">
        <v>4</v>
      </c>
      <c r="M396" s="1" t="s">
        <v>178</v>
      </c>
    </row>
    <row r="397" customFormat="false" ht="14.25" hidden="true" customHeight="true" outlineLevel="0" collapsed="false">
      <c r="A397" s="1" t="s">
        <v>699</v>
      </c>
      <c r="C397" s="1" t="s">
        <v>108</v>
      </c>
      <c r="D397" s="1" t="n">
        <v>29</v>
      </c>
      <c r="E397" s="1" t="n">
        <v>78</v>
      </c>
      <c r="F397" s="1" t="s">
        <v>160</v>
      </c>
      <c r="G397" s="1" t="s">
        <v>724</v>
      </c>
      <c r="H397" s="1" t="n">
        <v>12.36885</v>
      </c>
      <c r="I397" s="1" t="n">
        <v>25</v>
      </c>
      <c r="J397" s="1" t="n">
        <v>2</v>
      </c>
      <c r="K397" s="1" t="n">
        <v>6</v>
      </c>
      <c r="L397" s="1" t="n">
        <v>4</v>
      </c>
      <c r="M397" s="1" t="s">
        <v>177</v>
      </c>
    </row>
    <row r="398" customFormat="false" ht="14.25" hidden="true" customHeight="true" outlineLevel="0" collapsed="false">
      <c r="A398" s="1" t="s">
        <v>699</v>
      </c>
      <c r="C398" s="1" t="s">
        <v>108</v>
      </c>
      <c r="D398" s="1" t="n">
        <v>30</v>
      </c>
      <c r="E398" s="1" t="n">
        <v>71</v>
      </c>
      <c r="F398" s="1" t="s">
        <v>160</v>
      </c>
      <c r="G398" s="1" t="s">
        <v>725</v>
      </c>
      <c r="H398" s="1" t="n">
        <v>11.258825</v>
      </c>
      <c r="I398" s="1" t="n">
        <v>25</v>
      </c>
      <c r="J398" s="1" t="n">
        <v>2</v>
      </c>
      <c r="K398" s="1" t="n">
        <v>6</v>
      </c>
      <c r="L398" s="1" t="n">
        <v>4</v>
      </c>
      <c r="M398" s="1" t="s">
        <v>172</v>
      </c>
    </row>
    <row r="399" customFormat="false" ht="14.25" hidden="true" customHeight="true" outlineLevel="0" collapsed="false">
      <c r="A399" s="1" t="s">
        <v>699</v>
      </c>
      <c r="B399" s="1" t="s">
        <v>726</v>
      </c>
      <c r="C399" s="1" t="s">
        <v>104</v>
      </c>
      <c r="D399" s="1" t="n">
        <v>1</v>
      </c>
      <c r="E399" s="1" t="n">
        <v>47</v>
      </c>
      <c r="F399" s="1" t="s">
        <v>157</v>
      </c>
      <c r="G399" s="1" t="s">
        <v>727</v>
      </c>
      <c r="H399" s="1" t="n">
        <v>7.453025</v>
      </c>
      <c r="I399" s="1" t="n">
        <v>8</v>
      </c>
      <c r="J399" s="1" t="n">
        <v>2</v>
      </c>
      <c r="K399" s="1" t="n">
        <v>6</v>
      </c>
      <c r="L399" s="1" t="n">
        <v>1</v>
      </c>
      <c r="M399" s="1" t="s">
        <v>728</v>
      </c>
    </row>
    <row r="400" customFormat="false" ht="14.25" hidden="true" customHeight="true" outlineLevel="0" collapsed="false">
      <c r="A400" s="1" t="s">
        <v>699</v>
      </c>
      <c r="C400" s="1" t="s">
        <v>111</v>
      </c>
      <c r="D400" s="1" t="n">
        <v>10</v>
      </c>
      <c r="E400" s="1" t="n">
        <v>54</v>
      </c>
      <c r="F400" s="1" t="s">
        <v>157</v>
      </c>
      <c r="G400" s="1" t="s">
        <v>729</v>
      </c>
      <c r="H400" s="1" t="n">
        <v>4.281525</v>
      </c>
      <c r="I400" s="1" t="n">
        <v>25</v>
      </c>
      <c r="J400" s="1" t="n">
        <v>4</v>
      </c>
      <c r="K400" s="1" t="n">
        <v>6</v>
      </c>
      <c r="L400" s="1" t="n">
        <v>3</v>
      </c>
      <c r="M400" s="1" t="s">
        <v>730</v>
      </c>
    </row>
    <row r="401" customFormat="false" ht="14.25" hidden="true" customHeight="true" outlineLevel="0" collapsed="false">
      <c r="A401" s="1" t="s">
        <v>699</v>
      </c>
      <c r="C401" s="1" t="s">
        <v>156</v>
      </c>
      <c r="D401" s="1" t="n">
        <v>15</v>
      </c>
      <c r="E401" s="1" t="n">
        <v>57</v>
      </c>
      <c r="F401" s="1" t="s">
        <v>157</v>
      </c>
      <c r="G401" s="1" t="s">
        <v>731</v>
      </c>
      <c r="H401" s="1" t="n">
        <v>4.5193875</v>
      </c>
      <c r="I401" s="1" t="n">
        <v>180</v>
      </c>
      <c r="J401" s="1" t="n">
        <v>4</v>
      </c>
      <c r="K401" s="1" t="n">
        <v>6</v>
      </c>
      <c r="L401" s="1" t="n">
        <v>2</v>
      </c>
      <c r="M401" s="1" t="s">
        <v>732</v>
      </c>
    </row>
    <row r="402" customFormat="false" ht="14.25" hidden="true" customHeight="true" outlineLevel="0" collapsed="false">
      <c r="A402" s="1" t="s">
        <v>699</v>
      </c>
      <c r="C402" s="1" t="s">
        <v>104</v>
      </c>
      <c r="D402" s="1" t="n">
        <v>45</v>
      </c>
      <c r="E402" s="1" t="n">
        <v>78</v>
      </c>
      <c r="F402" s="1" t="s">
        <v>157</v>
      </c>
      <c r="G402" s="1" t="s">
        <v>733</v>
      </c>
      <c r="H402" s="1" t="n">
        <v>8.2459</v>
      </c>
      <c r="I402" s="1" t="n">
        <v>25</v>
      </c>
      <c r="J402" s="1" t="n">
        <v>3</v>
      </c>
      <c r="K402" s="1" t="n">
        <v>6</v>
      </c>
      <c r="L402" s="1" t="n">
        <v>3</v>
      </c>
      <c r="M402" s="1" t="s">
        <v>734</v>
      </c>
    </row>
    <row r="403" customFormat="false" ht="14.25" hidden="true" customHeight="true" outlineLevel="0" collapsed="false">
      <c r="A403" s="1" t="s">
        <v>699</v>
      </c>
      <c r="B403" s="1" t="s">
        <v>735</v>
      </c>
      <c r="C403" s="1" t="s">
        <v>104</v>
      </c>
      <c r="D403" s="1" t="n">
        <v>44</v>
      </c>
      <c r="E403" s="1" t="n">
        <v>51</v>
      </c>
      <c r="F403" s="1" t="s">
        <v>157</v>
      </c>
      <c r="G403" s="1" t="s">
        <v>507</v>
      </c>
      <c r="H403" s="1" t="n">
        <v>2.695775</v>
      </c>
      <c r="I403" s="1" t="n">
        <v>10</v>
      </c>
      <c r="J403" s="1" t="n">
        <v>6</v>
      </c>
      <c r="K403" s="1" t="n">
        <v>6</v>
      </c>
      <c r="L403" s="1" t="n">
        <v>1</v>
      </c>
      <c r="M403" s="1" t="s">
        <v>736</v>
      </c>
    </row>
    <row r="404" customFormat="false" ht="14.25" hidden="true" customHeight="true" outlineLevel="0" collapsed="false">
      <c r="A404" s="1" t="s">
        <v>699</v>
      </c>
      <c r="C404" s="1" t="s">
        <v>156</v>
      </c>
      <c r="D404" s="1" t="n">
        <v>32</v>
      </c>
      <c r="E404" s="1" t="n">
        <v>63</v>
      </c>
      <c r="F404" s="1" t="s">
        <v>157</v>
      </c>
      <c r="G404" s="1" t="s">
        <v>713</v>
      </c>
      <c r="H404" s="1" t="n">
        <v>9.990225</v>
      </c>
      <c r="I404" s="1" t="n">
        <v>7.5</v>
      </c>
      <c r="J404" s="1" t="n">
        <v>2</v>
      </c>
      <c r="K404" s="1" t="n">
        <v>6</v>
      </c>
      <c r="L404" s="1" t="n">
        <v>1</v>
      </c>
      <c r="M404" s="1" t="s">
        <v>737</v>
      </c>
    </row>
    <row r="405" customFormat="false" ht="14.25" hidden="true" customHeight="true" outlineLevel="0" collapsed="false">
      <c r="A405" s="1" t="s">
        <v>699</v>
      </c>
      <c r="C405" s="1" t="s">
        <v>104</v>
      </c>
      <c r="D405" s="1" t="n">
        <v>38</v>
      </c>
      <c r="E405" s="1" t="n">
        <v>63</v>
      </c>
      <c r="F405" s="1" t="s">
        <v>160</v>
      </c>
      <c r="G405" s="1" t="s">
        <v>738</v>
      </c>
      <c r="H405" s="1" t="n">
        <v>3.330075</v>
      </c>
      <c r="I405" s="1" t="n">
        <v>10.5</v>
      </c>
      <c r="J405" s="1" t="n">
        <v>6</v>
      </c>
      <c r="K405" s="1" t="n">
        <v>6</v>
      </c>
      <c r="L405" s="1" t="n">
        <v>1</v>
      </c>
      <c r="M405" s="1" t="s">
        <v>736</v>
      </c>
    </row>
    <row r="406" customFormat="false" ht="14.25" hidden="true" customHeight="true" outlineLevel="0" collapsed="false">
      <c r="A406" s="1" t="s">
        <v>699</v>
      </c>
      <c r="B406" s="1" t="s">
        <v>739</v>
      </c>
      <c r="C406" s="1" t="s">
        <v>104</v>
      </c>
      <c r="D406" s="1" t="n">
        <v>50</v>
      </c>
      <c r="E406" s="1" t="n">
        <v>51</v>
      </c>
      <c r="F406" s="1" t="s">
        <v>160</v>
      </c>
      <c r="G406" s="1" t="s">
        <v>740</v>
      </c>
      <c r="H406" s="1" t="n">
        <v>8.087325</v>
      </c>
      <c r="I406" s="1" t="n">
        <v>10.5</v>
      </c>
      <c r="J406" s="1" t="n">
        <v>2</v>
      </c>
      <c r="K406" s="1" t="n">
        <v>6</v>
      </c>
      <c r="L406" s="1" t="n">
        <v>1</v>
      </c>
      <c r="M406" s="1" t="s">
        <v>741</v>
      </c>
    </row>
    <row r="407" customFormat="false" ht="14.25" hidden="true" customHeight="true" outlineLevel="0" collapsed="false">
      <c r="A407" s="1" t="s">
        <v>699</v>
      </c>
      <c r="B407" s="1" t="s">
        <v>742</v>
      </c>
      <c r="C407" s="1" t="s">
        <v>104</v>
      </c>
      <c r="D407" s="1" t="n">
        <v>38</v>
      </c>
      <c r="E407" s="1" t="n">
        <v>63</v>
      </c>
      <c r="F407" s="1" t="s">
        <v>160</v>
      </c>
      <c r="G407" s="1" t="s">
        <v>743</v>
      </c>
      <c r="H407" s="1" t="n">
        <v>3.330075</v>
      </c>
      <c r="I407" s="1" t="n">
        <v>11</v>
      </c>
      <c r="J407" s="1" t="n">
        <v>6</v>
      </c>
      <c r="K407" s="1" t="n">
        <v>6</v>
      </c>
      <c r="L407" s="1" t="n">
        <v>1</v>
      </c>
      <c r="M407" s="1" t="s">
        <v>744</v>
      </c>
    </row>
    <row r="408" customFormat="false" ht="14.25" hidden="true" customHeight="true" outlineLevel="0" collapsed="false">
      <c r="A408" s="1" t="s">
        <v>699</v>
      </c>
      <c r="C408" s="1" t="s">
        <v>104</v>
      </c>
      <c r="D408" s="1" t="n">
        <v>44</v>
      </c>
      <c r="E408" s="1" t="n">
        <v>51</v>
      </c>
      <c r="F408" s="1" t="s">
        <v>160</v>
      </c>
      <c r="G408" s="1" t="s">
        <v>735</v>
      </c>
      <c r="H408" s="1" t="n">
        <v>4.0436625</v>
      </c>
      <c r="I408" s="1" t="n">
        <v>11.2</v>
      </c>
      <c r="J408" s="1" t="n">
        <v>4</v>
      </c>
      <c r="K408" s="1" t="n">
        <v>6</v>
      </c>
      <c r="L408" s="1" t="n">
        <v>1</v>
      </c>
      <c r="M408" s="1" t="s">
        <v>736</v>
      </c>
    </row>
    <row r="409" customFormat="false" ht="14.25" hidden="true" customHeight="true" outlineLevel="0" collapsed="false">
      <c r="A409" s="1" t="s">
        <v>699</v>
      </c>
      <c r="B409" s="1" t="s">
        <v>745</v>
      </c>
      <c r="C409" s="1" t="s">
        <v>104</v>
      </c>
      <c r="D409" s="1" t="n">
        <v>39</v>
      </c>
      <c r="E409" s="1" t="n">
        <v>63</v>
      </c>
      <c r="F409" s="1" t="s">
        <v>160</v>
      </c>
      <c r="G409" s="1" t="s">
        <v>746</v>
      </c>
      <c r="H409" s="1" t="n">
        <v>19.98045</v>
      </c>
      <c r="I409" s="1" t="n">
        <v>11</v>
      </c>
      <c r="J409" s="1" t="n">
        <v>1</v>
      </c>
      <c r="K409" s="1" t="n">
        <v>6</v>
      </c>
      <c r="L409" s="1" t="n">
        <v>1</v>
      </c>
      <c r="M409" s="1" t="s">
        <v>747</v>
      </c>
    </row>
    <row r="410" customFormat="false" ht="14.25" hidden="true" customHeight="true" outlineLevel="0" collapsed="false">
      <c r="A410" s="1" t="s">
        <v>699</v>
      </c>
      <c r="B410" s="1" t="s">
        <v>748</v>
      </c>
      <c r="C410" s="1" t="s">
        <v>104</v>
      </c>
      <c r="D410" s="1" t="n">
        <v>20</v>
      </c>
      <c r="E410" s="1" t="n">
        <v>63</v>
      </c>
      <c r="F410" s="1" t="s">
        <v>157</v>
      </c>
      <c r="G410" s="1" t="s">
        <v>749</v>
      </c>
      <c r="H410" s="1" t="n">
        <v>9.990225</v>
      </c>
      <c r="I410" s="1" t="n">
        <v>12</v>
      </c>
      <c r="J410" s="1" t="n">
        <v>2</v>
      </c>
      <c r="K410" s="1" t="n">
        <v>6</v>
      </c>
      <c r="L410" s="1" t="n">
        <v>1</v>
      </c>
      <c r="M410" s="1" t="s">
        <v>750</v>
      </c>
    </row>
    <row r="411" customFormat="false" ht="14.25" hidden="true" customHeight="true" outlineLevel="0" collapsed="false">
      <c r="A411" s="1" t="s">
        <v>699</v>
      </c>
      <c r="B411" s="1" t="s">
        <v>751</v>
      </c>
      <c r="C411" s="1" t="s">
        <v>111</v>
      </c>
      <c r="D411" s="1" t="n">
        <v>24</v>
      </c>
      <c r="E411" s="1" t="n">
        <v>78</v>
      </c>
      <c r="F411" s="1" t="s">
        <v>157</v>
      </c>
      <c r="G411" s="1" t="s">
        <v>752</v>
      </c>
      <c r="H411" s="1" t="n">
        <v>12.36885</v>
      </c>
      <c r="I411" s="1" t="n">
        <v>11</v>
      </c>
      <c r="J411" s="1" t="n">
        <v>2</v>
      </c>
      <c r="K411" s="1" t="n">
        <v>6</v>
      </c>
      <c r="L411" s="1" t="n">
        <v>4</v>
      </c>
      <c r="M411" s="1" t="s">
        <v>751</v>
      </c>
    </row>
    <row r="412" customFormat="false" ht="14.25" hidden="true" customHeight="true" outlineLevel="0" collapsed="false">
      <c r="A412" s="1" t="s">
        <v>699</v>
      </c>
      <c r="C412" s="1" t="s">
        <v>104</v>
      </c>
      <c r="D412" s="1" t="n">
        <v>48</v>
      </c>
      <c r="E412" s="1" t="n">
        <v>78</v>
      </c>
      <c r="F412" s="1" t="s">
        <v>157</v>
      </c>
      <c r="G412" s="1" t="s">
        <v>753</v>
      </c>
      <c r="H412" s="1" t="n">
        <v>12.36885</v>
      </c>
      <c r="I412" s="1" t="n">
        <v>21</v>
      </c>
      <c r="J412" s="1" t="n">
        <v>2</v>
      </c>
      <c r="K412" s="1" t="n">
        <v>6</v>
      </c>
      <c r="L412" s="1" t="n">
        <v>2</v>
      </c>
      <c r="M412" s="1" t="s">
        <v>754</v>
      </c>
    </row>
    <row r="413" customFormat="false" ht="14.25" hidden="true" customHeight="true" outlineLevel="0" collapsed="false">
      <c r="A413" s="1" t="s">
        <v>699</v>
      </c>
      <c r="B413" s="1" t="s">
        <v>755</v>
      </c>
      <c r="C413" s="1" t="s">
        <v>156</v>
      </c>
      <c r="D413" s="1" t="n">
        <v>4</v>
      </c>
      <c r="E413" s="1" t="n">
        <v>47</v>
      </c>
      <c r="F413" s="1" t="s">
        <v>157</v>
      </c>
      <c r="G413" s="1" t="s">
        <v>756</v>
      </c>
      <c r="H413" s="1" t="n">
        <v>14.90605</v>
      </c>
      <c r="I413" s="1" t="n">
        <v>11</v>
      </c>
      <c r="J413" s="1" t="n">
        <v>1</v>
      </c>
      <c r="K413" s="1" t="n">
        <v>6</v>
      </c>
      <c r="L413" s="1" t="n">
        <v>1</v>
      </c>
      <c r="M413" s="1" t="s">
        <v>757</v>
      </c>
    </row>
    <row r="414" customFormat="false" ht="14.25" hidden="true" customHeight="true" outlineLevel="0" collapsed="false">
      <c r="A414" s="1" t="s">
        <v>699</v>
      </c>
      <c r="B414" s="1" t="s">
        <v>758</v>
      </c>
      <c r="C414" s="1" t="s">
        <v>104</v>
      </c>
      <c r="D414" s="1" t="n">
        <v>47</v>
      </c>
      <c r="E414" s="1" t="n">
        <v>57</v>
      </c>
      <c r="F414" s="1" t="s">
        <v>160</v>
      </c>
      <c r="G414" s="1" t="s">
        <v>759</v>
      </c>
      <c r="H414" s="1" t="n">
        <v>18.07755</v>
      </c>
      <c r="I414" s="1" t="n">
        <v>8.5</v>
      </c>
      <c r="J414" s="1" t="n">
        <v>1</v>
      </c>
      <c r="K414" s="1" t="n">
        <v>6</v>
      </c>
      <c r="L414" s="1" t="n">
        <v>1</v>
      </c>
      <c r="M414" s="1" t="s">
        <v>760</v>
      </c>
    </row>
    <row r="415" customFormat="false" ht="14.25" hidden="true" customHeight="true" outlineLevel="0" collapsed="false">
      <c r="A415" s="1" t="s">
        <v>699</v>
      </c>
      <c r="C415" s="1" t="s">
        <v>104</v>
      </c>
      <c r="D415" s="1" t="n">
        <v>13</v>
      </c>
      <c r="E415" s="1" t="n">
        <v>57</v>
      </c>
      <c r="F415" s="1" t="s">
        <v>157</v>
      </c>
      <c r="G415" s="1" t="s">
        <v>761</v>
      </c>
      <c r="H415" s="1" t="n">
        <v>18.07755</v>
      </c>
      <c r="I415" s="1" t="n">
        <v>24</v>
      </c>
      <c r="J415" s="1" t="n">
        <v>1</v>
      </c>
      <c r="K415" s="1" t="n">
        <v>6</v>
      </c>
      <c r="L415" s="1" t="n">
        <v>3</v>
      </c>
      <c r="M415" s="1" t="s">
        <v>762</v>
      </c>
    </row>
    <row r="416" customFormat="false" ht="14.25" hidden="true" customHeight="true" outlineLevel="0" collapsed="false">
      <c r="A416" s="1" t="s">
        <v>699</v>
      </c>
      <c r="C416" s="1" t="s">
        <v>104</v>
      </c>
      <c r="D416" s="1" t="n">
        <v>33</v>
      </c>
      <c r="E416" s="1" t="n">
        <v>57</v>
      </c>
      <c r="F416" s="1" t="s">
        <v>157</v>
      </c>
      <c r="G416" s="1" t="s">
        <v>761</v>
      </c>
      <c r="H416" s="1" t="n">
        <v>18.07755</v>
      </c>
      <c r="I416" s="1" t="n">
        <v>24</v>
      </c>
      <c r="J416" s="1" t="n">
        <v>1</v>
      </c>
      <c r="K416" s="1" t="n">
        <v>6</v>
      </c>
      <c r="L416" s="1" t="n">
        <v>3</v>
      </c>
      <c r="M416" s="1" t="s">
        <v>762</v>
      </c>
    </row>
    <row r="417" customFormat="false" ht="14.25" hidden="true" customHeight="true" outlineLevel="0" collapsed="false">
      <c r="A417" s="1" t="s">
        <v>699</v>
      </c>
      <c r="C417" s="1" t="s">
        <v>111</v>
      </c>
      <c r="D417" s="1" t="n">
        <v>3</v>
      </c>
      <c r="E417" s="1" t="n">
        <v>47</v>
      </c>
      <c r="F417" s="1" t="s">
        <v>157</v>
      </c>
      <c r="G417" s="1" t="s">
        <v>763</v>
      </c>
      <c r="H417" s="1" t="n">
        <v>4.96868333333333</v>
      </c>
      <c r="I417" s="1" t="n">
        <v>23.5</v>
      </c>
      <c r="J417" s="1" t="n">
        <v>3</v>
      </c>
      <c r="K417" s="1" t="n">
        <v>6</v>
      </c>
      <c r="L417" s="1" t="n">
        <v>1</v>
      </c>
      <c r="M417" s="1" t="s">
        <v>764</v>
      </c>
    </row>
    <row r="418" customFormat="false" ht="14.25" hidden="true" customHeight="true" outlineLevel="0" collapsed="false">
      <c r="A418" s="1" t="s">
        <v>699</v>
      </c>
      <c r="B418" s="1" t="s">
        <v>765</v>
      </c>
      <c r="C418" s="1" t="s">
        <v>104</v>
      </c>
      <c r="D418" s="1" t="n">
        <v>49</v>
      </c>
      <c r="E418" s="1" t="n">
        <v>63</v>
      </c>
      <c r="F418" s="1" t="s">
        <v>157</v>
      </c>
      <c r="G418" s="1" t="s">
        <v>766</v>
      </c>
      <c r="H418" s="1" t="n">
        <v>19.98045</v>
      </c>
      <c r="I418" s="1" t="n">
        <v>23.5</v>
      </c>
      <c r="J418" s="1" t="n">
        <v>1</v>
      </c>
      <c r="K418" s="1" t="n">
        <v>6</v>
      </c>
      <c r="L418" s="1" t="n">
        <v>1</v>
      </c>
      <c r="M418" s="1" t="s">
        <v>767</v>
      </c>
    </row>
    <row r="419" customFormat="false" ht="14.25" hidden="true" customHeight="true" outlineLevel="0" collapsed="false">
      <c r="A419" s="1" t="s">
        <v>699</v>
      </c>
      <c r="B419" s="1" t="s">
        <v>739</v>
      </c>
      <c r="C419" s="1" t="s">
        <v>104</v>
      </c>
      <c r="D419" s="1" t="n">
        <v>46</v>
      </c>
      <c r="E419" s="1" t="n">
        <v>63</v>
      </c>
      <c r="F419" s="1" t="s">
        <v>160</v>
      </c>
      <c r="G419" s="1" t="s">
        <v>768</v>
      </c>
      <c r="H419" s="1" t="n">
        <v>6.66015</v>
      </c>
      <c r="I419" s="1" t="n">
        <v>10.5</v>
      </c>
      <c r="J419" s="1" t="n">
        <v>3</v>
      </c>
      <c r="K419" s="1" t="n">
        <v>6</v>
      </c>
      <c r="L419" s="1" t="n">
        <v>2</v>
      </c>
      <c r="M419" s="1" t="s">
        <v>769</v>
      </c>
    </row>
    <row r="420" customFormat="false" ht="14.25" hidden="true" customHeight="true" outlineLevel="0" collapsed="false">
      <c r="A420" s="1" t="s">
        <v>699</v>
      </c>
    </row>
    <row r="421" customFormat="false" ht="14.25" hidden="true" customHeight="true" outlineLevel="0" collapsed="false">
      <c r="A421" s="1" t="s">
        <v>699</v>
      </c>
      <c r="B421" s="1" t="s">
        <v>770</v>
      </c>
      <c r="C421" s="1" t="s">
        <v>111</v>
      </c>
      <c r="D421" s="1" t="n">
        <v>12</v>
      </c>
      <c r="E421" s="1" t="n">
        <v>54</v>
      </c>
      <c r="F421" s="1" t="s">
        <v>771</v>
      </c>
      <c r="G421" s="1" t="n">
        <v>4</v>
      </c>
      <c r="H421" s="1" t="n">
        <v>4.281525</v>
      </c>
      <c r="I421" s="1" t="n">
        <v>9</v>
      </c>
      <c r="J421" s="1" t="n">
        <v>4</v>
      </c>
      <c r="K421" s="1" t="n">
        <v>6</v>
      </c>
      <c r="L421" s="1" t="n">
        <v>1</v>
      </c>
      <c r="M421" s="1" t="s">
        <v>772</v>
      </c>
    </row>
    <row r="422" customFormat="false" ht="14.25" hidden="true" customHeight="true" outlineLevel="0" collapsed="false">
      <c r="A422" s="1" t="s">
        <v>699</v>
      </c>
      <c r="B422" s="1" t="s">
        <v>726</v>
      </c>
      <c r="C422" s="1" t="s">
        <v>104</v>
      </c>
      <c r="D422" s="1" t="n">
        <v>1</v>
      </c>
      <c r="E422" s="1" t="n">
        <v>47</v>
      </c>
      <c r="F422" s="1" t="s">
        <v>771</v>
      </c>
      <c r="G422" s="1" t="n">
        <v>4.76</v>
      </c>
      <c r="H422" s="1" t="n">
        <v>4.96868333333333</v>
      </c>
      <c r="I422" s="1" t="n">
        <v>5.5</v>
      </c>
      <c r="J422" s="1" t="n">
        <v>3</v>
      </c>
      <c r="K422" s="1" t="n">
        <v>6</v>
      </c>
      <c r="L422" s="1" t="n">
        <v>1</v>
      </c>
      <c r="M422" s="1" t="s">
        <v>773</v>
      </c>
    </row>
    <row r="423" customFormat="false" ht="14.25" hidden="true" customHeight="true" outlineLevel="0" collapsed="false">
      <c r="A423" s="1" t="s">
        <v>699</v>
      </c>
      <c r="C423" s="1" t="s">
        <v>104</v>
      </c>
      <c r="D423" s="1" t="n">
        <v>34</v>
      </c>
      <c r="E423" s="1" t="n">
        <v>47</v>
      </c>
      <c r="F423" s="1" t="s">
        <v>771</v>
      </c>
      <c r="G423" s="1" t="n">
        <v>4.76</v>
      </c>
      <c r="H423" s="1" t="n">
        <v>4.96868333333333</v>
      </c>
      <c r="I423" s="1" t="n">
        <v>5.5</v>
      </c>
      <c r="J423" s="1" t="n">
        <v>3</v>
      </c>
      <c r="K423" s="1" t="n">
        <v>6</v>
      </c>
      <c r="L423" s="1" t="n">
        <v>4</v>
      </c>
      <c r="M423" s="1" t="s">
        <v>172</v>
      </c>
    </row>
    <row r="424" customFormat="false" ht="14.25" hidden="true" customHeight="true" outlineLevel="0" collapsed="false">
      <c r="A424" s="1" t="s">
        <v>699</v>
      </c>
      <c r="B424" s="1" t="s">
        <v>774</v>
      </c>
      <c r="C424" s="1" t="s">
        <v>104</v>
      </c>
      <c r="D424" s="1" t="n">
        <v>26</v>
      </c>
      <c r="E424" s="1" t="n">
        <v>47</v>
      </c>
      <c r="F424" s="1" t="s">
        <v>771</v>
      </c>
      <c r="G424" s="1" t="s">
        <v>775</v>
      </c>
      <c r="H424" s="1" t="n">
        <v>4.96868333333333</v>
      </c>
      <c r="I424" s="1" t="n">
        <v>12</v>
      </c>
      <c r="J424" s="1" t="n">
        <v>3</v>
      </c>
      <c r="K424" s="1" t="n">
        <v>6</v>
      </c>
      <c r="L424" s="1" t="n">
        <v>1</v>
      </c>
      <c r="M424" s="1" t="s">
        <v>707</v>
      </c>
    </row>
    <row r="425" customFormat="false" ht="14.25" hidden="true" customHeight="true" outlineLevel="0" collapsed="false">
      <c r="A425" s="1" t="s">
        <v>699</v>
      </c>
      <c r="B425" s="1" t="s">
        <v>726</v>
      </c>
      <c r="C425" s="1" t="s">
        <v>104</v>
      </c>
      <c r="D425" s="1" t="n">
        <v>1</v>
      </c>
      <c r="E425" s="1" t="n">
        <v>47</v>
      </c>
      <c r="F425" s="1" t="s">
        <v>771</v>
      </c>
      <c r="G425" s="1" t="s">
        <v>776</v>
      </c>
      <c r="H425" s="1" t="n">
        <v>4.96868333333333</v>
      </c>
      <c r="I425" s="1" t="n">
        <v>5.5</v>
      </c>
      <c r="J425" s="1" t="n">
        <v>3</v>
      </c>
      <c r="K425" s="1" t="n">
        <v>6</v>
      </c>
      <c r="L425" s="1" t="n">
        <v>1</v>
      </c>
      <c r="M425" s="1" t="s">
        <v>728</v>
      </c>
    </row>
    <row r="426" customFormat="false" ht="14.25" hidden="true" customHeight="true" outlineLevel="0" collapsed="false">
      <c r="A426" s="1" t="s">
        <v>699</v>
      </c>
      <c r="B426" s="1" t="s">
        <v>755</v>
      </c>
      <c r="C426" s="1" t="s">
        <v>156</v>
      </c>
      <c r="D426" s="1" t="n">
        <v>4</v>
      </c>
      <c r="E426" s="1" t="n">
        <v>47</v>
      </c>
      <c r="F426" s="1" t="s">
        <v>771</v>
      </c>
      <c r="G426" s="1" t="s">
        <v>777</v>
      </c>
      <c r="H426" s="1" t="n">
        <v>3.7265125</v>
      </c>
      <c r="I426" s="1" t="n">
        <v>11</v>
      </c>
      <c r="J426" s="1" t="n">
        <v>4</v>
      </c>
      <c r="K426" s="1" t="n">
        <v>6</v>
      </c>
      <c r="L426" s="1" t="n">
        <v>2</v>
      </c>
      <c r="M426" s="1" t="s">
        <v>778</v>
      </c>
    </row>
    <row r="427" customFormat="false" ht="14.25" hidden="true" customHeight="true" outlineLevel="0" collapsed="false">
      <c r="A427" s="1" t="s">
        <v>699</v>
      </c>
      <c r="B427" s="1" t="s">
        <v>779</v>
      </c>
      <c r="C427" s="1" t="s">
        <v>111</v>
      </c>
      <c r="D427" s="1" t="n">
        <v>50</v>
      </c>
      <c r="E427" s="1" t="n">
        <v>51</v>
      </c>
      <c r="F427" s="1" t="s">
        <v>771</v>
      </c>
      <c r="G427" s="1" t="s">
        <v>780</v>
      </c>
      <c r="H427" s="1" t="n">
        <v>16.17465</v>
      </c>
      <c r="I427" s="1" t="n">
        <v>13</v>
      </c>
      <c r="J427" s="1" t="n">
        <v>1</v>
      </c>
      <c r="K427" s="1" t="n">
        <v>6</v>
      </c>
      <c r="L427" s="1" t="n">
        <v>2</v>
      </c>
      <c r="M427" s="1" t="s">
        <v>739</v>
      </c>
    </row>
    <row r="428" customFormat="false" ht="14.25" hidden="true" customHeight="true" outlineLevel="0" collapsed="false">
      <c r="A428" s="1" t="s">
        <v>699</v>
      </c>
      <c r="C428" s="1" t="s">
        <v>104</v>
      </c>
      <c r="D428" s="1" t="n">
        <v>9</v>
      </c>
      <c r="E428" s="1" t="n">
        <v>54</v>
      </c>
      <c r="F428" s="1" t="s">
        <v>771</v>
      </c>
      <c r="G428" s="1" t="s">
        <v>781</v>
      </c>
      <c r="H428" s="1" t="n">
        <v>5.7087</v>
      </c>
      <c r="I428" s="1" t="n">
        <v>25</v>
      </c>
      <c r="J428" s="1" t="n">
        <v>3</v>
      </c>
      <c r="K428" s="1" t="n">
        <v>6</v>
      </c>
      <c r="L428" s="1" t="n">
        <v>5</v>
      </c>
      <c r="M428" s="1" t="s">
        <v>164</v>
      </c>
    </row>
    <row r="429" customFormat="false" ht="14.25" hidden="true" customHeight="true" outlineLevel="0" collapsed="false">
      <c r="A429" s="1" t="s">
        <v>699</v>
      </c>
      <c r="B429" s="1" t="s">
        <v>782</v>
      </c>
      <c r="C429" s="1" t="s">
        <v>111</v>
      </c>
      <c r="D429" s="1" t="n">
        <v>12</v>
      </c>
      <c r="E429" s="1" t="n">
        <v>54</v>
      </c>
      <c r="F429" s="1" t="s">
        <v>255</v>
      </c>
      <c r="G429" s="1" t="s">
        <v>783</v>
      </c>
      <c r="H429" s="1" t="n">
        <v>4.281525</v>
      </c>
      <c r="I429" s="1" t="n">
        <v>6.5</v>
      </c>
      <c r="J429" s="1" t="n">
        <v>4</v>
      </c>
      <c r="K429" s="1" t="n">
        <v>6</v>
      </c>
      <c r="L429" s="1" t="n">
        <v>1</v>
      </c>
      <c r="M429" s="1" t="s">
        <v>784</v>
      </c>
    </row>
    <row r="430" customFormat="false" ht="14.25" hidden="true" customHeight="true" outlineLevel="0" collapsed="false">
      <c r="A430" s="1" t="s">
        <v>699</v>
      </c>
      <c r="B430" s="1" t="s">
        <v>785</v>
      </c>
      <c r="C430" s="1" t="s">
        <v>104</v>
      </c>
      <c r="D430" s="1" t="n">
        <v>27</v>
      </c>
      <c r="E430" s="1" t="n">
        <v>57</v>
      </c>
      <c r="F430" s="1" t="s">
        <v>771</v>
      </c>
      <c r="G430" s="1" t="s">
        <v>786</v>
      </c>
      <c r="H430" s="1" t="n">
        <v>6.02585</v>
      </c>
      <c r="I430" s="1" t="n">
        <v>6.5</v>
      </c>
      <c r="J430" s="1" t="n">
        <v>3</v>
      </c>
      <c r="K430" s="1" t="n">
        <v>6</v>
      </c>
      <c r="L430" s="1" t="n">
        <v>1</v>
      </c>
      <c r="M430" s="1" t="s">
        <v>787</v>
      </c>
    </row>
    <row r="431" customFormat="false" ht="14.25" hidden="true" customHeight="true" outlineLevel="0" collapsed="false">
      <c r="A431" s="1" t="s">
        <v>699</v>
      </c>
      <c r="B431" s="1" t="s">
        <v>726</v>
      </c>
      <c r="C431" s="1" t="s">
        <v>104</v>
      </c>
      <c r="D431" s="1" t="n">
        <v>1</v>
      </c>
      <c r="E431" s="1" t="n">
        <v>47</v>
      </c>
      <c r="F431" s="1" t="s">
        <v>255</v>
      </c>
      <c r="G431" s="1" t="s">
        <v>788</v>
      </c>
      <c r="H431" s="1" t="n">
        <v>7.453025</v>
      </c>
      <c r="I431" s="1" t="n">
        <v>7</v>
      </c>
      <c r="J431" s="1" t="n">
        <v>2</v>
      </c>
      <c r="K431" s="1" t="n">
        <v>6</v>
      </c>
      <c r="L431" s="1" t="n">
        <v>1</v>
      </c>
      <c r="M431" s="1" t="s">
        <v>728</v>
      </c>
    </row>
    <row r="432" customFormat="false" ht="14.25" hidden="true" customHeight="true" outlineLevel="0" collapsed="false">
      <c r="A432" s="1" t="s">
        <v>699</v>
      </c>
      <c r="B432" s="1" t="s">
        <v>785</v>
      </c>
      <c r="C432" s="1" t="s">
        <v>104</v>
      </c>
      <c r="D432" s="1" t="n">
        <v>27</v>
      </c>
      <c r="E432" s="1" t="n">
        <v>57</v>
      </c>
      <c r="F432" s="1" t="s">
        <v>771</v>
      </c>
      <c r="G432" s="1" t="s">
        <v>789</v>
      </c>
      <c r="H432" s="1" t="n">
        <v>6.02585</v>
      </c>
      <c r="I432" s="1" t="n">
        <v>7.5</v>
      </c>
      <c r="J432" s="1" t="n">
        <v>3</v>
      </c>
      <c r="K432" s="1" t="n">
        <v>6</v>
      </c>
      <c r="L432" s="1" t="n">
        <v>1</v>
      </c>
      <c r="M432" s="1" t="s">
        <v>790</v>
      </c>
    </row>
    <row r="433" customFormat="false" ht="14.25" hidden="true" customHeight="true" outlineLevel="0" collapsed="false">
      <c r="A433" s="1" t="s">
        <v>699</v>
      </c>
      <c r="B433" s="1" t="s">
        <v>791</v>
      </c>
      <c r="C433" s="1" t="s">
        <v>104</v>
      </c>
      <c r="D433" s="1" t="n">
        <v>43</v>
      </c>
      <c r="E433" s="1" t="n">
        <v>47</v>
      </c>
      <c r="F433" s="1" t="s">
        <v>771</v>
      </c>
      <c r="G433" s="1" t="s">
        <v>792</v>
      </c>
      <c r="H433" s="1" t="n">
        <v>7.453025</v>
      </c>
      <c r="I433" s="1" t="n">
        <v>6.5</v>
      </c>
      <c r="J433" s="1" t="n">
        <v>2</v>
      </c>
      <c r="K433" s="1" t="n">
        <v>6</v>
      </c>
      <c r="L433" s="1" t="n">
        <v>1</v>
      </c>
      <c r="M433" s="1" t="s">
        <v>793</v>
      </c>
    </row>
    <row r="434" customFormat="false" ht="14.25" hidden="true" customHeight="true" outlineLevel="0" collapsed="false">
      <c r="A434" s="1" t="s">
        <v>699</v>
      </c>
      <c r="C434" s="1" t="s">
        <v>111</v>
      </c>
      <c r="D434" s="1" t="n">
        <v>16</v>
      </c>
      <c r="E434" s="1" t="n">
        <v>57</v>
      </c>
      <c r="F434" s="1" t="s">
        <v>771</v>
      </c>
      <c r="G434" s="1" t="s">
        <v>794</v>
      </c>
      <c r="H434" s="1" t="n">
        <v>6.02585</v>
      </c>
      <c r="I434" s="1" t="n">
        <v>8.5</v>
      </c>
      <c r="J434" s="1" t="n">
        <v>3</v>
      </c>
      <c r="K434" s="1" t="n">
        <v>6</v>
      </c>
      <c r="L434" s="1" t="n">
        <v>1</v>
      </c>
      <c r="M434" s="1" t="s">
        <v>496</v>
      </c>
    </row>
    <row r="435" customFormat="false" ht="14.25" hidden="true" customHeight="true" outlineLevel="0" collapsed="false">
      <c r="A435" s="1" t="s">
        <v>699</v>
      </c>
      <c r="B435" s="1" t="s">
        <v>795</v>
      </c>
      <c r="C435" s="1" t="s">
        <v>111</v>
      </c>
      <c r="D435" s="1" t="n">
        <v>12</v>
      </c>
      <c r="E435" s="1" t="n">
        <v>54</v>
      </c>
      <c r="F435" s="1" t="s">
        <v>771</v>
      </c>
      <c r="G435" s="1" t="s">
        <v>796</v>
      </c>
      <c r="H435" s="1" t="n">
        <v>8.56305</v>
      </c>
      <c r="I435" s="1" t="n">
        <v>6.5</v>
      </c>
      <c r="J435" s="1" t="n">
        <v>2</v>
      </c>
      <c r="K435" s="1" t="n">
        <v>6</v>
      </c>
      <c r="L435" s="1" t="n">
        <v>1</v>
      </c>
      <c r="M435" s="1" t="s">
        <v>797</v>
      </c>
    </row>
    <row r="436" customFormat="false" ht="14.25" hidden="true" customHeight="true" outlineLevel="0" collapsed="false">
      <c r="A436" s="1" t="s">
        <v>699</v>
      </c>
      <c r="B436" s="1" t="s">
        <v>793</v>
      </c>
      <c r="C436" s="1" t="s">
        <v>104</v>
      </c>
      <c r="D436" s="1" t="n">
        <v>43</v>
      </c>
      <c r="E436" s="1" t="n">
        <v>47</v>
      </c>
      <c r="F436" s="1" t="s">
        <v>771</v>
      </c>
      <c r="G436" s="1" t="s">
        <v>798</v>
      </c>
      <c r="H436" s="1" t="n">
        <v>4.96868333333333</v>
      </c>
      <c r="I436" s="1" t="n">
        <v>18</v>
      </c>
      <c r="J436" s="1" t="n">
        <v>3</v>
      </c>
      <c r="K436" s="1" t="n">
        <v>6</v>
      </c>
      <c r="L436" s="1" t="n">
        <v>2</v>
      </c>
      <c r="M436" s="1" t="s">
        <v>791</v>
      </c>
    </row>
    <row r="437" customFormat="false" ht="14.25" hidden="true" customHeight="true" outlineLevel="0" collapsed="false">
      <c r="A437" s="1" t="s">
        <v>699</v>
      </c>
      <c r="B437" s="1" t="s">
        <v>799</v>
      </c>
      <c r="C437" s="1" t="s">
        <v>104</v>
      </c>
      <c r="D437" s="1" t="n">
        <v>47</v>
      </c>
      <c r="E437" s="1" t="n">
        <v>57</v>
      </c>
      <c r="F437" s="1" t="s">
        <v>255</v>
      </c>
      <c r="G437" s="1" t="s">
        <v>800</v>
      </c>
      <c r="H437" s="1" t="n">
        <v>9.038775</v>
      </c>
      <c r="I437" s="1" t="n">
        <v>14</v>
      </c>
      <c r="J437" s="1" t="n">
        <v>2</v>
      </c>
      <c r="K437" s="1" t="n">
        <v>6</v>
      </c>
      <c r="L437" s="1" t="n">
        <v>2</v>
      </c>
      <c r="M437" s="1" t="s">
        <v>758</v>
      </c>
    </row>
    <row r="438" customFormat="false" ht="14.25" hidden="true" customHeight="true" outlineLevel="0" collapsed="false">
      <c r="A438" s="1" t="s">
        <v>699</v>
      </c>
      <c r="B438" s="1" t="s">
        <v>801</v>
      </c>
      <c r="C438" s="1" t="s">
        <v>104</v>
      </c>
      <c r="D438" s="1" t="n">
        <v>42</v>
      </c>
      <c r="E438" s="1" t="n">
        <v>47</v>
      </c>
      <c r="F438" s="1" t="s">
        <v>771</v>
      </c>
      <c r="G438" s="1" t="s">
        <v>802</v>
      </c>
      <c r="H438" s="1" t="n">
        <v>14.90605</v>
      </c>
      <c r="I438" s="1" t="n">
        <v>9.5</v>
      </c>
      <c r="J438" s="1" t="n">
        <v>1</v>
      </c>
      <c r="K438" s="1" t="n">
        <v>6</v>
      </c>
      <c r="L438" s="1" t="n">
        <v>1</v>
      </c>
      <c r="M438" s="1" t="s">
        <v>659</v>
      </c>
    </row>
    <row r="439" customFormat="false" ht="14.25" hidden="true" customHeight="true" outlineLevel="0" collapsed="false">
      <c r="A439" s="1" t="s">
        <v>699</v>
      </c>
      <c r="B439" s="1" t="s">
        <v>803</v>
      </c>
      <c r="C439" s="1" t="s">
        <v>104</v>
      </c>
      <c r="D439" s="1" t="n">
        <v>20</v>
      </c>
      <c r="E439" s="1" t="n">
        <v>63</v>
      </c>
      <c r="F439" s="1" t="s">
        <v>771</v>
      </c>
      <c r="G439" s="1" t="s">
        <v>804</v>
      </c>
      <c r="H439" s="1" t="n">
        <v>9.990225</v>
      </c>
      <c r="I439" s="1" t="n">
        <v>6.5</v>
      </c>
      <c r="J439" s="1" t="n">
        <v>2</v>
      </c>
      <c r="K439" s="1" t="n">
        <v>6</v>
      </c>
      <c r="L439" s="1" t="n">
        <v>1</v>
      </c>
      <c r="M439" s="1" t="s">
        <v>805</v>
      </c>
    </row>
    <row r="440" customFormat="false" ht="14.25" hidden="true" customHeight="true" outlineLevel="0" collapsed="false">
      <c r="A440" s="1" t="s">
        <v>699</v>
      </c>
      <c r="B440" s="1" t="s">
        <v>806</v>
      </c>
      <c r="C440" s="1" t="s">
        <v>104</v>
      </c>
      <c r="D440" s="1" t="n">
        <v>21</v>
      </c>
      <c r="E440" s="1" t="n">
        <v>63</v>
      </c>
      <c r="F440" s="1" t="s">
        <v>771</v>
      </c>
      <c r="G440" s="1" t="s">
        <v>807</v>
      </c>
      <c r="H440" s="1" t="n">
        <v>9.990225</v>
      </c>
      <c r="I440" s="1" t="n">
        <v>7</v>
      </c>
      <c r="J440" s="1" t="n">
        <v>2</v>
      </c>
      <c r="K440" s="1" t="n">
        <v>6</v>
      </c>
      <c r="L440" s="1" t="n">
        <v>1</v>
      </c>
      <c r="M440" s="1" t="s">
        <v>808</v>
      </c>
    </row>
    <row r="441" customFormat="false" ht="14.25" hidden="true" customHeight="true" outlineLevel="0" collapsed="false">
      <c r="A441" s="1" t="s">
        <v>699</v>
      </c>
      <c r="B441" s="1" t="s">
        <v>809</v>
      </c>
      <c r="C441" s="1" t="s">
        <v>111</v>
      </c>
      <c r="D441" s="1" t="n">
        <v>17</v>
      </c>
      <c r="E441" s="1" t="n">
        <v>57</v>
      </c>
      <c r="F441" s="1" t="s">
        <v>771</v>
      </c>
      <c r="G441" s="1" t="s">
        <v>810</v>
      </c>
      <c r="H441" s="1" t="n">
        <v>9.038775</v>
      </c>
      <c r="I441" s="1" t="n">
        <v>10.5</v>
      </c>
      <c r="J441" s="1" t="n">
        <v>2</v>
      </c>
      <c r="K441" s="1" t="n">
        <v>6</v>
      </c>
      <c r="L441" s="1" t="n">
        <v>1</v>
      </c>
      <c r="M441" s="1" t="s">
        <v>809</v>
      </c>
    </row>
    <row r="442" customFormat="false" ht="14.25" hidden="true" customHeight="true" outlineLevel="0" collapsed="false">
      <c r="A442" s="1" t="s">
        <v>699</v>
      </c>
    </row>
    <row r="443" customFormat="false" ht="14.25" hidden="true" customHeight="true" outlineLevel="0" collapsed="false">
      <c r="A443" s="1" t="s">
        <v>699</v>
      </c>
      <c r="C443" s="1" t="s">
        <v>104</v>
      </c>
      <c r="D443" s="1" t="n">
        <v>28</v>
      </c>
      <c r="E443" s="1" t="n">
        <v>63</v>
      </c>
      <c r="F443" s="1" t="s">
        <v>771</v>
      </c>
      <c r="G443" s="1" t="s">
        <v>617</v>
      </c>
      <c r="H443" s="1" t="n">
        <v>6.66015</v>
      </c>
      <c r="I443" s="1" t="n">
        <v>10.5</v>
      </c>
      <c r="J443" s="1" t="n">
        <v>3</v>
      </c>
      <c r="K443" s="1" t="n">
        <v>6</v>
      </c>
      <c r="L443" s="1" t="n">
        <v>1</v>
      </c>
      <c r="M443" s="1" t="s">
        <v>811</v>
      </c>
    </row>
    <row r="444" customFormat="false" ht="14.25" hidden="true" customHeight="true" outlineLevel="0" collapsed="false">
      <c r="A444" s="1" t="s">
        <v>699</v>
      </c>
      <c r="B444" s="1" t="s">
        <v>812</v>
      </c>
      <c r="C444" s="1" t="s">
        <v>104</v>
      </c>
      <c r="D444" s="1" t="n">
        <v>2</v>
      </c>
      <c r="E444" s="1" t="n">
        <v>47</v>
      </c>
      <c r="F444" s="1" t="s">
        <v>771</v>
      </c>
      <c r="G444" s="1" t="s">
        <v>813</v>
      </c>
      <c r="H444" s="1" t="n">
        <v>7.453025</v>
      </c>
      <c r="I444" s="1" t="n">
        <v>10.5</v>
      </c>
      <c r="J444" s="1" t="n">
        <v>2</v>
      </c>
      <c r="L444" s="1" t="n">
        <v>1</v>
      </c>
      <c r="M444" s="1" t="s">
        <v>814</v>
      </c>
    </row>
    <row r="445" customFormat="false" ht="14.25" hidden="true" customHeight="true" outlineLevel="0" collapsed="false">
      <c r="A445" s="1" t="s">
        <v>699</v>
      </c>
      <c r="C445" s="1" t="s">
        <v>104</v>
      </c>
      <c r="D445" s="1" t="n">
        <v>37</v>
      </c>
      <c r="E445" s="1" t="n">
        <v>57</v>
      </c>
      <c r="F445" s="1" t="s">
        <v>255</v>
      </c>
      <c r="G445" s="1" t="s">
        <v>815</v>
      </c>
      <c r="H445" s="1" t="n">
        <v>9.038775</v>
      </c>
      <c r="I445" s="1" t="n">
        <v>11</v>
      </c>
      <c r="J445" s="1" t="n">
        <v>2</v>
      </c>
      <c r="K445" s="1" t="n">
        <v>6</v>
      </c>
      <c r="L445" s="1" t="n">
        <v>1</v>
      </c>
      <c r="M445" s="1" t="s">
        <v>816</v>
      </c>
    </row>
    <row r="446" customFormat="false" ht="14.25" hidden="true" customHeight="true" outlineLevel="0" collapsed="false">
      <c r="A446" s="1" t="s">
        <v>699</v>
      </c>
      <c r="B446" s="1" t="s">
        <v>785</v>
      </c>
      <c r="C446" s="1" t="s">
        <v>104</v>
      </c>
      <c r="D446" s="1" t="n">
        <v>27</v>
      </c>
      <c r="E446" s="1" t="n">
        <v>57</v>
      </c>
      <c r="F446" s="1" t="s">
        <v>771</v>
      </c>
      <c r="G446" s="1" t="s">
        <v>817</v>
      </c>
      <c r="H446" s="1" t="n">
        <v>9.038775</v>
      </c>
      <c r="I446" s="1" t="n">
        <v>11</v>
      </c>
      <c r="J446" s="1" t="n">
        <v>2</v>
      </c>
      <c r="K446" s="1" t="n">
        <v>6</v>
      </c>
      <c r="L446" s="1" t="n">
        <v>1</v>
      </c>
      <c r="M446" s="1" t="s">
        <v>818</v>
      </c>
    </row>
    <row r="447" customFormat="false" ht="14.25" hidden="true" customHeight="true" outlineLevel="0" collapsed="false">
      <c r="A447" s="1" t="s">
        <v>699</v>
      </c>
      <c r="C447" s="1" t="s">
        <v>111</v>
      </c>
      <c r="D447" s="1" t="n">
        <v>22</v>
      </c>
      <c r="E447" s="1" t="n">
        <v>63</v>
      </c>
      <c r="F447" s="1" t="s">
        <v>255</v>
      </c>
      <c r="G447" s="1" t="s">
        <v>819</v>
      </c>
      <c r="H447" s="1" t="n">
        <v>9.990225</v>
      </c>
      <c r="I447" s="1" t="n">
        <v>11</v>
      </c>
      <c r="J447" s="1" t="n">
        <v>2</v>
      </c>
      <c r="L447" s="1" t="n">
        <v>1</v>
      </c>
      <c r="M447" s="1" t="s">
        <v>820</v>
      </c>
    </row>
    <row r="448" customFormat="false" ht="14.25" hidden="true" customHeight="true" outlineLevel="0" collapsed="false">
      <c r="A448" s="1" t="s">
        <v>699</v>
      </c>
      <c r="B448" s="1" t="s">
        <v>706</v>
      </c>
      <c r="C448" s="1" t="s">
        <v>104</v>
      </c>
      <c r="D448" s="1" t="n">
        <v>26</v>
      </c>
      <c r="E448" s="1" t="n">
        <v>47</v>
      </c>
      <c r="F448" s="1" t="s">
        <v>255</v>
      </c>
      <c r="G448" s="1" t="s">
        <v>821</v>
      </c>
      <c r="H448" s="1" t="n">
        <v>4.96868333333333</v>
      </c>
      <c r="I448" s="1" t="n">
        <v>12</v>
      </c>
      <c r="J448" s="1" t="n">
        <v>3</v>
      </c>
      <c r="K448" s="1" t="n">
        <v>6</v>
      </c>
      <c r="L448" s="1" t="n">
        <v>1</v>
      </c>
      <c r="M448" s="1" t="s">
        <v>707</v>
      </c>
    </row>
    <row r="449" customFormat="false" ht="14.25" hidden="true" customHeight="true" outlineLevel="0" collapsed="false">
      <c r="A449" s="1" t="s">
        <v>699</v>
      </c>
      <c r="B449" s="1" t="s">
        <v>822</v>
      </c>
      <c r="C449" s="1" t="s">
        <v>104</v>
      </c>
      <c r="D449" s="1" t="n">
        <v>21</v>
      </c>
      <c r="E449" s="1" t="n">
        <v>63</v>
      </c>
      <c r="F449" s="1" t="s">
        <v>771</v>
      </c>
      <c r="G449" s="1" t="s">
        <v>823</v>
      </c>
      <c r="H449" s="1" t="n">
        <v>9.990225</v>
      </c>
      <c r="I449" s="1" t="n">
        <v>11.5</v>
      </c>
      <c r="J449" s="1" t="n">
        <v>2</v>
      </c>
      <c r="K449" s="1" t="n">
        <v>6</v>
      </c>
      <c r="L449" s="1" t="n">
        <v>1</v>
      </c>
      <c r="M449" s="1" t="s">
        <v>824</v>
      </c>
    </row>
    <row r="450" customFormat="false" ht="14.25" hidden="true" customHeight="true" outlineLevel="0" collapsed="false">
      <c r="A450" s="1" t="s">
        <v>699</v>
      </c>
      <c r="C450" s="1" t="s">
        <v>111</v>
      </c>
      <c r="D450" s="1" t="n">
        <v>22</v>
      </c>
      <c r="E450" s="1" t="n">
        <v>63</v>
      </c>
      <c r="F450" s="1" t="s">
        <v>771</v>
      </c>
      <c r="G450" s="1" t="s">
        <v>825</v>
      </c>
      <c r="H450" s="1" t="n">
        <v>6.66015</v>
      </c>
      <c r="I450" s="1" t="n">
        <v>14</v>
      </c>
      <c r="J450" s="1" t="n">
        <v>3</v>
      </c>
      <c r="L450" s="1" t="n">
        <v>1</v>
      </c>
      <c r="M450" s="1" t="s">
        <v>826</v>
      </c>
    </row>
    <row r="451" customFormat="false" ht="14.25" hidden="true" customHeight="true" outlineLevel="0" collapsed="false">
      <c r="A451" s="1" t="s">
        <v>699</v>
      </c>
      <c r="B451" s="1" t="s">
        <v>530</v>
      </c>
      <c r="C451" s="1" t="s">
        <v>104</v>
      </c>
      <c r="D451" s="1" t="n">
        <v>39</v>
      </c>
      <c r="E451" s="1" t="n">
        <v>63</v>
      </c>
      <c r="F451" s="1" t="s">
        <v>771</v>
      </c>
      <c r="G451" s="1" t="s">
        <v>827</v>
      </c>
      <c r="H451" s="1" t="n">
        <v>9.990225</v>
      </c>
      <c r="I451" s="1" t="n">
        <v>14</v>
      </c>
      <c r="J451" s="1" t="n">
        <v>2</v>
      </c>
      <c r="K451" s="1" t="n">
        <v>6</v>
      </c>
      <c r="L451" s="1" t="n">
        <v>1</v>
      </c>
      <c r="M451" s="1" t="s">
        <v>828</v>
      </c>
    </row>
    <row r="452" customFormat="false" ht="14.25" hidden="true" customHeight="true" outlineLevel="0" collapsed="false">
      <c r="A452" s="1" t="s">
        <v>699</v>
      </c>
      <c r="C452" s="1" t="s">
        <v>104</v>
      </c>
      <c r="D452" s="1" t="n">
        <v>37</v>
      </c>
      <c r="E452" s="1" t="n">
        <v>57</v>
      </c>
      <c r="F452" s="1" t="s">
        <v>255</v>
      </c>
      <c r="G452" s="1" t="s">
        <v>829</v>
      </c>
      <c r="H452" s="1" t="n">
        <v>9.038775</v>
      </c>
      <c r="I452" s="1" t="n">
        <v>14.5</v>
      </c>
      <c r="J452" s="1" t="n">
        <v>2</v>
      </c>
      <c r="K452" s="1" t="n">
        <v>6</v>
      </c>
      <c r="L452" s="1" t="n">
        <v>1</v>
      </c>
      <c r="M452" s="1" t="s">
        <v>582</v>
      </c>
    </row>
    <row r="453" customFormat="false" ht="14.25" hidden="true" customHeight="true" outlineLevel="0" collapsed="false">
      <c r="A453" s="1" t="s">
        <v>699</v>
      </c>
      <c r="B453" s="1" t="s">
        <v>830</v>
      </c>
      <c r="C453" s="1" t="s">
        <v>104</v>
      </c>
      <c r="D453" s="1" t="n">
        <v>26</v>
      </c>
      <c r="E453" s="1" t="n">
        <v>47</v>
      </c>
      <c r="F453" s="1" t="s">
        <v>771</v>
      </c>
      <c r="G453" s="1" t="s">
        <v>831</v>
      </c>
      <c r="H453" s="1" t="n">
        <v>14.90605</v>
      </c>
      <c r="I453" s="1" t="n">
        <v>8.5</v>
      </c>
      <c r="J453" s="1" t="n">
        <v>1</v>
      </c>
      <c r="K453" s="1" t="n">
        <v>6</v>
      </c>
      <c r="L453" s="1" t="n">
        <v>1</v>
      </c>
      <c r="M453" s="1" t="s">
        <v>707</v>
      </c>
    </row>
    <row r="454" customFormat="false" ht="14.25" hidden="true" customHeight="true" outlineLevel="0" collapsed="false">
      <c r="A454" s="1" t="s">
        <v>699</v>
      </c>
      <c r="B454" s="1" t="s">
        <v>832</v>
      </c>
      <c r="C454" s="1" t="s">
        <v>104</v>
      </c>
      <c r="D454" s="1" t="n">
        <v>42</v>
      </c>
      <c r="E454" s="1" t="n">
        <v>47</v>
      </c>
      <c r="F454" s="1" t="s">
        <v>771</v>
      </c>
      <c r="G454" s="1" t="s">
        <v>833</v>
      </c>
      <c r="H454" s="1" t="n">
        <v>14.90605</v>
      </c>
      <c r="I454" s="1" t="n">
        <v>11</v>
      </c>
      <c r="J454" s="1" t="n">
        <v>1</v>
      </c>
      <c r="K454" s="1" t="n">
        <v>6</v>
      </c>
      <c r="L454" s="1" t="n">
        <v>1</v>
      </c>
      <c r="M454" s="1" t="s">
        <v>834</v>
      </c>
    </row>
    <row r="455" customFormat="false" ht="14.25" hidden="true" customHeight="true" outlineLevel="0" collapsed="false">
      <c r="A455" s="1" t="s">
        <v>699</v>
      </c>
      <c r="B455" s="1" t="s">
        <v>835</v>
      </c>
      <c r="C455" s="1" t="s">
        <v>104</v>
      </c>
      <c r="D455" s="1" t="n">
        <v>2</v>
      </c>
      <c r="E455" s="1" t="n">
        <v>47</v>
      </c>
      <c r="F455" s="1" t="s">
        <v>771</v>
      </c>
      <c r="G455" s="1" t="s">
        <v>836</v>
      </c>
      <c r="H455" s="1" t="n">
        <v>14.90605</v>
      </c>
      <c r="I455" s="1" t="n">
        <v>13</v>
      </c>
      <c r="J455" s="1" t="n">
        <v>1</v>
      </c>
      <c r="L455" s="1" t="n">
        <v>1</v>
      </c>
      <c r="M455" s="1" t="s">
        <v>814</v>
      </c>
    </row>
    <row r="456" customFormat="false" ht="14.25" hidden="true" customHeight="true" outlineLevel="0" collapsed="false">
      <c r="A456" s="1" t="s">
        <v>699</v>
      </c>
      <c r="B456" s="1" t="s">
        <v>837</v>
      </c>
      <c r="C456" s="1" t="s">
        <v>111</v>
      </c>
      <c r="D456" s="1" t="n">
        <v>41</v>
      </c>
      <c r="E456" s="1" t="n">
        <v>47</v>
      </c>
      <c r="F456" s="1" t="s">
        <v>771</v>
      </c>
      <c r="G456" s="1" t="s">
        <v>838</v>
      </c>
      <c r="H456" s="1" t="n">
        <v>14.90605</v>
      </c>
      <c r="I456" s="1" t="n">
        <v>13.5</v>
      </c>
      <c r="J456" s="1" t="n">
        <v>1</v>
      </c>
      <c r="K456" s="1" t="n">
        <v>6</v>
      </c>
      <c r="L456" s="1" t="n">
        <v>1</v>
      </c>
      <c r="M456" s="1" t="s">
        <v>839</v>
      </c>
    </row>
    <row r="457" customFormat="false" ht="14.25" hidden="true" customHeight="true" outlineLevel="0" collapsed="false">
      <c r="A457" s="1" t="s">
        <v>699</v>
      </c>
      <c r="B457" s="1" t="s">
        <v>840</v>
      </c>
      <c r="C457" s="1" t="s">
        <v>111</v>
      </c>
      <c r="D457" s="1" t="n">
        <v>17</v>
      </c>
      <c r="E457" s="1" t="n">
        <v>57</v>
      </c>
      <c r="F457" s="1" t="s">
        <v>771</v>
      </c>
      <c r="G457" s="1" t="s">
        <v>841</v>
      </c>
      <c r="H457" s="1" t="n">
        <v>18.07755</v>
      </c>
      <c r="I457" s="1" t="n">
        <v>14.5</v>
      </c>
      <c r="J457" s="1" t="n">
        <v>1</v>
      </c>
      <c r="K457" s="1" t="n">
        <v>6</v>
      </c>
      <c r="L457" s="1" t="n">
        <v>2</v>
      </c>
      <c r="M457" s="1" t="s">
        <v>840</v>
      </c>
    </row>
    <row r="458" customFormat="false" ht="14.25" hidden="true" customHeight="true" outlineLevel="0" collapsed="false">
      <c r="A458" s="1" t="s">
        <v>699</v>
      </c>
      <c r="B458" s="1" t="s">
        <v>842</v>
      </c>
      <c r="C458" s="1" t="s">
        <v>104</v>
      </c>
      <c r="D458" s="1" t="n">
        <v>21</v>
      </c>
      <c r="E458" s="1" t="n">
        <v>63</v>
      </c>
      <c r="F458" s="1" t="s">
        <v>771</v>
      </c>
      <c r="G458" s="1" t="s">
        <v>843</v>
      </c>
      <c r="H458" s="1" t="n">
        <v>2.22005</v>
      </c>
      <c r="I458" s="1" t="n">
        <v>6.5</v>
      </c>
      <c r="J458" s="1" t="n">
        <v>9</v>
      </c>
      <c r="K458" s="1" t="n">
        <v>6</v>
      </c>
      <c r="L458" s="1" t="n">
        <v>1</v>
      </c>
      <c r="M458" s="1" t="s">
        <v>808</v>
      </c>
    </row>
    <row r="459" customFormat="false" ht="14.25" hidden="true" customHeight="true" outlineLevel="0" collapsed="false">
      <c r="A459" s="1" t="s">
        <v>699</v>
      </c>
      <c r="B459" s="1" t="s">
        <v>844</v>
      </c>
      <c r="C459" s="1" t="s">
        <v>104</v>
      </c>
      <c r="D459" s="1" t="n">
        <v>49</v>
      </c>
      <c r="E459" s="1" t="n">
        <v>63</v>
      </c>
      <c r="F459" s="1" t="s">
        <v>771</v>
      </c>
      <c r="G459" s="1" t="s">
        <v>845</v>
      </c>
      <c r="H459" s="1" t="n">
        <v>19.98045</v>
      </c>
      <c r="I459" s="1" t="n">
        <v>9.5</v>
      </c>
      <c r="J459" s="1" t="n">
        <v>1</v>
      </c>
      <c r="K459" s="1" t="n">
        <v>6</v>
      </c>
      <c r="L459" s="1" t="n">
        <v>1</v>
      </c>
      <c r="M459" s="1" t="s">
        <v>846</v>
      </c>
    </row>
    <row r="460" customFormat="false" ht="14.25" hidden="true" customHeight="true" outlineLevel="0" collapsed="false">
      <c r="A460" s="1" t="s">
        <v>699</v>
      </c>
      <c r="C460" s="1" t="s">
        <v>104</v>
      </c>
      <c r="D460" s="1" t="n">
        <v>36</v>
      </c>
      <c r="E460" s="1" t="n">
        <v>51</v>
      </c>
      <c r="F460" s="1" t="s">
        <v>771</v>
      </c>
      <c r="G460" s="1" t="s">
        <v>847</v>
      </c>
      <c r="H460" s="1" t="n">
        <v>5.39155</v>
      </c>
      <c r="I460" s="1" t="n">
        <v>230</v>
      </c>
      <c r="J460" s="1" t="n">
        <v>3</v>
      </c>
      <c r="K460" s="1" t="n">
        <v>6</v>
      </c>
      <c r="L460" s="1" t="n">
        <v>1</v>
      </c>
      <c r="M460" s="1" t="s">
        <v>172</v>
      </c>
    </row>
    <row r="461" customFormat="false" ht="14.25" hidden="true" customHeight="true" outlineLevel="0" collapsed="false">
      <c r="A461" s="1" t="s">
        <v>699</v>
      </c>
      <c r="B461" s="1" t="s">
        <v>848</v>
      </c>
      <c r="C461" s="1" t="s">
        <v>111</v>
      </c>
      <c r="D461" s="1" t="n">
        <v>25</v>
      </c>
      <c r="E461" s="1" t="n">
        <v>98</v>
      </c>
      <c r="F461" s="1" t="s">
        <v>771</v>
      </c>
      <c r="G461" s="1" t="s">
        <v>849</v>
      </c>
      <c r="H461" s="1" t="n">
        <v>31.0807</v>
      </c>
      <c r="I461" s="1" t="n">
        <v>11</v>
      </c>
      <c r="J461" s="1" t="n">
        <v>1</v>
      </c>
      <c r="K461" s="1" t="n">
        <v>6</v>
      </c>
      <c r="L461" s="1" t="n">
        <v>3</v>
      </c>
      <c r="M461" s="1" t="s">
        <v>850</v>
      </c>
    </row>
    <row r="462" customFormat="false" ht="14.25" hidden="true" customHeight="true" outlineLevel="0" collapsed="false">
      <c r="A462" s="1" t="s">
        <v>699</v>
      </c>
      <c r="C462" s="1" t="s">
        <v>104</v>
      </c>
      <c r="D462" s="1" t="n">
        <v>35</v>
      </c>
      <c r="E462" s="1" t="n">
        <v>98</v>
      </c>
      <c r="F462" s="1" t="s">
        <v>771</v>
      </c>
      <c r="G462" s="1" t="s">
        <v>851</v>
      </c>
      <c r="H462" s="1" t="n">
        <v>31.0807</v>
      </c>
      <c r="I462" s="1" t="n">
        <v>12.5</v>
      </c>
      <c r="J462" s="1" t="n">
        <v>1</v>
      </c>
      <c r="K462" s="1" t="n">
        <v>6</v>
      </c>
      <c r="L462" s="1" t="n">
        <v>3</v>
      </c>
      <c r="M462" s="1" t="s">
        <v>172</v>
      </c>
    </row>
    <row r="463" customFormat="false" ht="14.25" hidden="true" customHeight="true" outlineLevel="0" collapsed="false">
      <c r="A463" s="1" t="s">
        <v>699</v>
      </c>
      <c r="B463" s="1" t="s">
        <v>852</v>
      </c>
      <c r="C463" s="1" t="s">
        <v>111</v>
      </c>
      <c r="D463" s="1" t="n">
        <v>25</v>
      </c>
      <c r="E463" s="1" t="n">
        <v>98</v>
      </c>
      <c r="F463" s="1" t="s">
        <v>771</v>
      </c>
      <c r="G463" s="1" t="s">
        <v>853</v>
      </c>
      <c r="H463" s="1" t="n">
        <v>31.0807</v>
      </c>
      <c r="I463" s="1" t="n">
        <v>13</v>
      </c>
      <c r="J463" s="1" t="n">
        <v>1</v>
      </c>
      <c r="K463" s="1" t="n">
        <v>6</v>
      </c>
      <c r="L463" s="1" t="n">
        <v>2</v>
      </c>
      <c r="M463" s="1" t="s">
        <v>854</v>
      </c>
    </row>
    <row r="464" customFormat="false" ht="14.25" hidden="true" customHeight="true" outlineLevel="0" collapsed="false">
      <c r="A464" s="1" t="s">
        <v>699</v>
      </c>
      <c r="B464" s="1" t="s">
        <v>855</v>
      </c>
      <c r="C464" s="1" t="s">
        <v>104</v>
      </c>
      <c r="D464" s="1" t="n">
        <v>46</v>
      </c>
      <c r="E464" s="1" t="n">
        <v>63</v>
      </c>
      <c r="F464" s="1" t="s">
        <v>771</v>
      </c>
      <c r="G464" s="1" t="s">
        <v>856</v>
      </c>
      <c r="H464" s="1" t="n">
        <v>9.990225</v>
      </c>
      <c r="I464" s="1" t="n">
        <v>13</v>
      </c>
      <c r="J464" s="1" t="n">
        <v>2</v>
      </c>
      <c r="K464" s="1" t="n">
        <v>6</v>
      </c>
      <c r="L464" s="1" t="n">
        <v>1</v>
      </c>
      <c r="M464" s="1" t="s">
        <v>739</v>
      </c>
    </row>
    <row r="465" customFormat="false" ht="14.25" hidden="true" customHeight="true" outlineLevel="0" collapsed="false">
      <c r="A465" s="1" t="s">
        <v>699</v>
      </c>
      <c r="B465" s="1" t="s">
        <v>857</v>
      </c>
      <c r="C465" s="1" t="s">
        <v>104</v>
      </c>
      <c r="D465" s="1" t="n">
        <v>46</v>
      </c>
      <c r="E465" s="1" t="n">
        <v>63</v>
      </c>
      <c r="F465" s="1" t="s">
        <v>771</v>
      </c>
      <c r="G465" s="1" t="s">
        <v>858</v>
      </c>
      <c r="H465" s="1" t="n">
        <v>6.66015</v>
      </c>
      <c r="I465" s="1" t="n">
        <v>13</v>
      </c>
      <c r="J465" s="1" t="n">
        <v>3</v>
      </c>
      <c r="K465" s="1" t="n">
        <v>6</v>
      </c>
      <c r="L465" s="1" t="n">
        <v>1</v>
      </c>
      <c r="M465" s="1" t="s">
        <v>859</v>
      </c>
    </row>
    <row r="466" customFormat="false" ht="14.25" hidden="true" customHeight="true" outlineLevel="0" collapsed="false">
      <c r="A466" s="1" t="s">
        <v>699</v>
      </c>
    </row>
    <row r="467" customFormat="false" ht="14.25" hidden="true" customHeight="true" outlineLevel="0" collapsed="false">
      <c r="A467" s="1" t="s">
        <v>699</v>
      </c>
      <c r="C467" s="1" t="s">
        <v>104</v>
      </c>
      <c r="D467" s="1" t="n">
        <v>6</v>
      </c>
      <c r="E467" s="1" t="n">
        <v>50</v>
      </c>
      <c r="F467" s="1" t="s">
        <v>23</v>
      </c>
      <c r="G467" s="1" t="s">
        <v>722</v>
      </c>
      <c r="H467" s="1" t="n">
        <v>5.3</v>
      </c>
      <c r="I467" s="1" t="n">
        <v>25</v>
      </c>
      <c r="J467" s="1" t="n">
        <v>3</v>
      </c>
      <c r="K467" s="1" t="n">
        <v>2</v>
      </c>
      <c r="L467" s="1" t="n">
        <v>4</v>
      </c>
      <c r="M467" s="1" t="s">
        <v>349</v>
      </c>
    </row>
    <row r="468" customFormat="false" ht="14.25" hidden="true" customHeight="true" outlineLevel="0" collapsed="false">
      <c r="A468" s="1" t="s">
        <v>699</v>
      </c>
      <c r="C468" s="1" t="s">
        <v>111</v>
      </c>
      <c r="D468" s="1" t="n">
        <v>40</v>
      </c>
      <c r="E468" s="1" t="n">
        <v>51</v>
      </c>
      <c r="F468" s="1" t="s">
        <v>406</v>
      </c>
      <c r="G468" s="1" t="s">
        <v>860</v>
      </c>
      <c r="H468" s="1" t="n">
        <v>2.7</v>
      </c>
      <c r="I468" s="1" t="n">
        <v>11</v>
      </c>
      <c r="J468" s="1" t="n">
        <v>6</v>
      </c>
    </row>
    <row r="469" customFormat="false" ht="14.25" hidden="true" customHeight="true" outlineLevel="0" collapsed="false">
      <c r="A469" s="1" t="s">
        <v>699</v>
      </c>
      <c r="C469" s="1" t="s">
        <v>111</v>
      </c>
      <c r="D469" s="1" t="n">
        <v>40</v>
      </c>
      <c r="E469" s="1" t="n">
        <v>51</v>
      </c>
      <c r="F469" s="1" t="s">
        <v>406</v>
      </c>
      <c r="G469" s="1" t="s">
        <v>735</v>
      </c>
      <c r="H469" s="1" t="n">
        <v>3.9</v>
      </c>
      <c r="I469" s="1" t="n">
        <v>11</v>
      </c>
      <c r="J469" s="1" t="n">
        <v>6</v>
      </c>
    </row>
    <row r="470" customFormat="false" ht="14.25" hidden="true" customHeight="true" outlineLevel="0" collapsed="false">
      <c r="A470" s="1" t="s">
        <v>699</v>
      </c>
      <c r="C470" s="1" t="s">
        <v>104</v>
      </c>
      <c r="D470" s="1" t="n">
        <v>40</v>
      </c>
      <c r="E470" s="1" t="n">
        <v>63</v>
      </c>
      <c r="F470" s="1" t="s">
        <v>406</v>
      </c>
      <c r="G470" s="1" t="s">
        <v>743</v>
      </c>
      <c r="H470" s="1" t="n">
        <v>3.3</v>
      </c>
      <c r="I470" s="1" t="n">
        <v>25</v>
      </c>
      <c r="J470" s="1" t="n">
        <v>6</v>
      </c>
    </row>
    <row r="471" customFormat="false" ht="14.25" hidden="false" customHeight="true" outlineLevel="0" collapsed="false">
      <c r="A471" s="1" t="s">
        <v>861</v>
      </c>
      <c r="C471" s="1" t="s">
        <v>104</v>
      </c>
      <c r="D471" s="1" t="n">
        <v>41</v>
      </c>
      <c r="E471" s="1" t="n">
        <v>64</v>
      </c>
      <c r="F471" s="1" t="s">
        <v>862</v>
      </c>
    </row>
    <row r="472" customFormat="false" ht="14.25" hidden="false" customHeight="true" outlineLevel="0" collapsed="false">
      <c r="A472" s="1" t="s">
        <v>861</v>
      </c>
      <c r="B472" s="1" t="s">
        <v>863</v>
      </c>
      <c r="C472" s="1" t="s">
        <v>104</v>
      </c>
      <c r="D472" s="1" t="n">
        <v>4</v>
      </c>
      <c r="E472" s="1" t="n">
        <v>69</v>
      </c>
      <c r="F472" s="1" t="s">
        <v>160</v>
      </c>
      <c r="G472" s="1" t="s">
        <v>365</v>
      </c>
      <c r="H472" s="1" t="n">
        <v>7.29445</v>
      </c>
      <c r="I472" s="1" t="n">
        <v>10.5</v>
      </c>
      <c r="J472" s="1" t="n">
        <v>3</v>
      </c>
      <c r="K472" s="1" t="n">
        <v>6</v>
      </c>
      <c r="L472" s="1" t="n">
        <v>1</v>
      </c>
      <c r="M472" s="1" t="s">
        <v>635</v>
      </c>
    </row>
    <row r="473" customFormat="false" ht="14.25" hidden="false" customHeight="true" outlineLevel="0" collapsed="false">
      <c r="A473" s="1" t="s">
        <v>861</v>
      </c>
      <c r="B473" s="1" t="s">
        <v>864</v>
      </c>
      <c r="C473" s="1" t="s">
        <v>104</v>
      </c>
      <c r="D473" s="1" t="n">
        <v>4</v>
      </c>
      <c r="E473" s="1" t="n">
        <v>69</v>
      </c>
      <c r="F473" s="1" t="s">
        <v>160</v>
      </c>
      <c r="G473" s="1" t="s">
        <v>863</v>
      </c>
      <c r="H473" s="1" t="n">
        <v>10.941675</v>
      </c>
      <c r="I473" s="1" t="n">
        <v>13.5</v>
      </c>
      <c r="J473" s="1" t="n">
        <v>2</v>
      </c>
      <c r="K473" s="1" t="n">
        <v>6</v>
      </c>
      <c r="L473" s="1" t="n">
        <v>1</v>
      </c>
      <c r="M473" s="1" t="s">
        <v>635</v>
      </c>
    </row>
    <row r="474" customFormat="false" ht="14.25" hidden="false" customHeight="true" outlineLevel="0" collapsed="false">
      <c r="A474" s="1" t="s">
        <v>861</v>
      </c>
      <c r="B474" s="1" t="s">
        <v>760</v>
      </c>
      <c r="C474" s="1" t="s">
        <v>104</v>
      </c>
      <c r="D474" s="1" t="n">
        <v>3</v>
      </c>
      <c r="E474" s="1" t="n">
        <v>63</v>
      </c>
      <c r="F474" s="1" t="s">
        <v>160</v>
      </c>
      <c r="G474" s="1" t="s">
        <v>865</v>
      </c>
      <c r="H474" s="1" t="n">
        <v>19.98045</v>
      </c>
      <c r="I474" s="1" t="n">
        <v>10</v>
      </c>
      <c r="J474" s="1" t="n">
        <v>1</v>
      </c>
      <c r="K474" s="1" t="n">
        <v>6</v>
      </c>
      <c r="L474" s="1" t="n">
        <v>1</v>
      </c>
      <c r="M474" s="1" t="s">
        <v>760</v>
      </c>
    </row>
    <row r="475" customFormat="false" ht="14.25" hidden="false" customHeight="true" outlineLevel="0" collapsed="false">
      <c r="A475" s="1" t="s">
        <v>861</v>
      </c>
      <c r="B475" s="1" t="s">
        <v>866</v>
      </c>
      <c r="C475" s="1" t="s">
        <v>104</v>
      </c>
      <c r="D475" s="1" t="n">
        <v>3</v>
      </c>
      <c r="E475" s="1" t="n">
        <v>66</v>
      </c>
      <c r="F475" s="1" t="s">
        <v>160</v>
      </c>
      <c r="G475" s="1" t="s">
        <v>867</v>
      </c>
      <c r="H475" s="1" t="n">
        <v>20.9319</v>
      </c>
      <c r="I475" s="1" t="n">
        <v>15.5</v>
      </c>
      <c r="J475" s="1" t="n">
        <v>1</v>
      </c>
      <c r="K475" s="1" t="n">
        <v>6</v>
      </c>
      <c r="L475" s="1" t="n">
        <v>1</v>
      </c>
      <c r="M475" s="1" t="s">
        <v>741</v>
      </c>
    </row>
    <row r="476" customFormat="false" ht="14.25" hidden="false" customHeight="true" outlineLevel="0" collapsed="false">
      <c r="A476" s="1" t="s">
        <v>861</v>
      </c>
      <c r="B476" s="1" t="s">
        <v>868</v>
      </c>
      <c r="C476" s="1" t="s">
        <v>104</v>
      </c>
      <c r="D476" s="1" t="n">
        <v>5</v>
      </c>
      <c r="E476" s="1" t="n">
        <v>78</v>
      </c>
      <c r="F476" s="1" t="s">
        <v>160</v>
      </c>
      <c r="G476" s="1" t="s">
        <v>869</v>
      </c>
      <c r="H476" s="1" t="n">
        <v>12.36885</v>
      </c>
      <c r="I476" s="1" t="n">
        <v>10.5</v>
      </c>
      <c r="J476" s="1" t="n">
        <v>2</v>
      </c>
      <c r="K476" s="1" t="n">
        <v>6</v>
      </c>
      <c r="L476" s="1" t="n">
        <v>1</v>
      </c>
      <c r="M476" s="1" t="s">
        <v>868</v>
      </c>
    </row>
    <row r="477" customFormat="false" ht="14.25" hidden="false" customHeight="true" outlineLevel="0" collapsed="false">
      <c r="A477" s="1" t="s">
        <v>861</v>
      </c>
    </row>
    <row r="478" customFormat="false" ht="14.25" hidden="false" customHeight="true" outlineLevel="0" collapsed="false">
      <c r="A478" s="1" t="s">
        <v>861</v>
      </c>
    </row>
    <row r="479" customFormat="false" ht="14.25" hidden="false" customHeight="true" outlineLevel="0" collapsed="false">
      <c r="A479" s="1" t="s">
        <v>861</v>
      </c>
      <c r="B479" s="1" t="s">
        <v>870</v>
      </c>
      <c r="C479" s="1" t="s">
        <v>104</v>
      </c>
      <c r="D479" s="1" t="n">
        <v>7</v>
      </c>
      <c r="E479" s="1" t="n">
        <v>74</v>
      </c>
      <c r="F479" s="1" t="s">
        <v>255</v>
      </c>
      <c r="G479" s="1" t="s">
        <v>871</v>
      </c>
      <c r="H479" s="1" t="n">
        <v>5.867275</v>
      </c>
      <c r="I479" s="1" t="n">
        <v>8.5</v>
      </c>
      <c r="J479" s="1" t="n">
        <v>4</v>
      </c>
      <c r="K479" s="1" t="n">
        <v>6</v>
      </c>
      <c r="L479" s="1" t="n">
        <v>1</v>
      </c>
      <c r="M479" s="1" t="s">
        <v>872</v>
      </c>
    </row>
    <row r="480" customFormat="false" ht="14.25" hidden="false" customHeight="true" outlineLevel="0" collapsed="false">
      <c r="A480" s="1" t="s">
        <v>861</v>
      </c>
      <c r="B480" s="1" t="s">
        <v>870</v>
      </c>
      <c r="C480" s="1" t="s">
        <v>104</v>
      </c>
      <c r="D480" s="1" t="n">
        <v>7</v>
      </c>
      <c r="E480" s="1" t="n">
        <v>74</v>
      </c>
      <c r="F480" s="1" t="s">
        <v>255</v>
      </c>
      <c r="G480" s="1" t="s">
        <v>873</v>
      </c>
      <c r="H480" s="1" t="n">
        <v>11.73455</v>
      </c>
      <c r="I480" s="1" t="n">
        <v>8</v>
      </c>
      <c r="J480" s="1" t="n">
        <v>2</v>
      </c>
      <c r="K480" s="1" t="n">
        <v>6</v>
      </c>
      <c r="L480" s="1" t="n">
        <v>1</v>
      </c>
      <c r="M480" s="1" t="s">
        <v>874</v>
      </c>
    </row>
    <row r="481" customFormat="false" ht="14.25" hidden="false" customHeight="true" outlineLevel="0" collapsed="false">
      <c r="A481" s="1" t="s">
        <v>861</v>
      </c>
      <c r="C481" s="1" t="s">
        <v>104</v>
      </c>
      <c r="D481" s="1" t="n">
        <v>6</v>
      </c>
      <c r="E481" s="1" t="n">
        <v>78</v>
      </c>
      <c r="F481" s="1" t="s">
        <v>771</v>
      </c>
      <c r="G481" s="1" t="s">
        <v>875</v>
      </c>
      <c r="H481" s="1" t="n">
        <v>12.36885</v>
      </c>
      <c r="I481" s="1" t="n">
        <v>17.5</v>
      </c>
      <c r="J481" s="1" t="n">
        <v>2</v>
      </c>
      <c r="K481" s="1" t="n">
        <v>5</v>
      </c>
      <c r="L481" s="1" t="n">
        <v>2</v>
      </c>
      <c r="M481" s="1" t="s">
        <v>876</v>
      </c>
    </row>
    <row r="482" customFormat="false" ht="14.25" hidden="false" customHeight="true" outlineLevel="0" collapsed="false">
      <c r="A482" s="1" t="s">
        <v>861</v>
      </c>
      <c r="C482" s="1" t="s">
        <v>104</v>
      </c>
      <c r="D482" s="1" t="n">
        <v>6</v>
      </c>
      <c r="E482" s="1" t="n">
        <v>78</v>
      </c>
      <c r="F482" s="1" t="s">
        <v>771</v>
      </c>
      <c r="G482" s="1" t="s">
        <v>877</v>
      </c>
      <c r="H482" s="1" t="n">
        <v>6.184425</v>
      </c>
      <c r="I482" s="1" t="n">
        <v>21</v>
      </c>
      <c r="J482" s="1" t="n">
        <v>4</v>
      </c>
      <c r="K482" s="1" t="n">
        <v>6</v>
      </c>
      <c r="L482" s="1" t="n">
        <v>2</v>
      </c>
      <c r="M482" s="1" t="s">
        <v>878</v>
      </c>
    </row>
    <row r="483" customFormat="false" ht="14.25" hidden="false" customHeight="true" outlineLevel="0" collapsed="false">
      <c r="A483" s="1" t="s">
        <v>861</v>
      </c>
      <c r="B483" s="1" t="s">
        <v>879</v>
      </c>
      <c r="C483" s="1" t="s">
        <v>104</v>
      </c>
      <c r="D483" s="1" t="n">
        <v>7</v>
      </c>
      <c r="E483" s="1" t="n">
        <v>74</v>
      </c>
      <c r="F483" s="1" t="s">
        <v>255</v>
      </c>
      <c r="G483" s="1" t="s">
        <v>880</v>
      </c>
      <c r="H483" s="1" t="n">
        <v>11.73455</v>
      </c>
      <c r="I483" s="1" t="n">
        <v>7.5</v>
      </c>
      <c r="J483" s="1" t="n">
        <v>2</v>
      </c>
      <c r="K483" s="1" t="n">
        <v>6</v>
      </c>
      <c r="L483" s="1" t="n">
        <v>1</v>
      </c>
      <c r="M483" s="1" t="s">
        <v>881</v>
      </c>
    </row>
    <row r="484" customFormat="false" ht="14.25" hidden="false" customHeight="true" outlineLevel="0" collapsed="false">
      <c r="A484" s="1" t="s">
        <v>861</v>
      </c>
      <c r="B484" s="1" t="s">
        <v>867</v>
      </c>
      <c r="C484" s="1" t="s">
        <v>104</v>
      </c>
      <c r="D484" s="1" t="n">
        <v>3</v>
      </c>
      <c r="E484" s="1" t="n">
        <v>66</v>
      </c>
      <c r="F484" s="1" t="s">
        <v>771</v>
      </c>
      <c r="G484" s="1" t="s">
        <v>882</v>
      </c>
      <c r="H484" s="1" t="n">
        <v>10.46595</v>
      </c>
      <c r="I484" s="1" t="n">
        <v>10</v>
      </c>
      <c r="J484" s="1" t="n">
        <v>2</v>
      </c>
      <c r="K484" s="1" t="n">
        <v>6</v>
      </c>
      <c r="L484" s="1" t="n">
        <v>1</v>
      </c>
      <c r="M484" s="1" t="s">
        <v>868</v>
      </c>
    </row>
    <row r="485" customFormat="false" ht="14.25" hidden="false" customHeight="true" outlineLevel="0" collapsed="false">
      <c r="A485" s="1" t="s">
        <v>861</v>
      </c>
      <c r="B485" s="1" t="s">
        <v>866</v>
      </c>
      <c r="C485" s="1" t="s">
        <v>104</v>
      </c>
      <c r="D485" s="1" t="n">
        <v>5</v>
      </c>
      <c r="E485" s="1" t="n">
        <v>78</v>
      </c>
      <c r="F485" s="1" t="s">
        <v>255</v>
      </c>
      <c r="G485" s="1" t="s">
        <v>883</v>
      </c>
      <c r="H485" s="1" t="n">
        <v>12.36885</v>
      </c>
      <c r="I485" s="1" t="n">
        <v>10.5</v>
      </c>
      <c r="J485" s="1" t="n">
        <v>2</v>
      </c>
      <c r="K485" s="1" t="n">
        <v>6</v>
      </c>
      <c r="L485" s="1" t="n">
        <v>1</v>
      </c>
      <c r="M485" s="1" t="s">
        <v>741</v>
      </c>
    </row>
    <row r="486" customFormat="false" ht="14.25" hidden="false" customHeight="true" outlineLevel="0" collapsed="false">
      <c r="A486" s="1" t="s">
        <v>861</v>
      </c>
      <c r="B486" s="1" t="s">
        <v>884</v>
      </c>
      <c r="C486" s="1" t="s">
        <v>104</v>
      </c>
      <c r="D486" s="1" t="n">
        <v>2</v>
      </c>
      <c r="E486" s="1" t="n">
        <v>86</v>
      </c>
      <c r="F486" s="1" t="s">
        <v>255</v>
      </c>
      <c r="G486" s="1" t="s">
        <v>885</v>
      </c>
      <c r="H486" s="1" t="n">
        <v>9.09163333333333</v>
      </c>
      <c r="I486" s="1" t="n">
        <v>15.5</v>
      </c>
      <c r="J486" s="1" t="n">
        <v>3</v>
      </c>
      <c r="K486" s="1" t="n">
        <v>6</v>
      </c>
      <c r="L486" s="1" t="n">
        <v>1</v>
      </c>
      <c r="M486" s="1" t="s">
        <v>643</v>
      </c>
    </row>
    <row r="487" customFormat="false" ht="14.25" hidden="false" customHeight="true" outlineLevel="0" collapsed="false">
      <c r="A487" s="1" t="s">
        <v>861</v>
      </c>
      <c r="B487" s="1" t="s">
        <v>886</v>
      </c>
      <c r="C487" s="1" t="s">
        <v>104</v>
      </c>
      <c r="D487" s="1" t="n">
        <v>2</v>
      </c>
      <c r="E487" s="1" t="n">
        <v>63</v>
      </c>
      <c r="F487" s="1" t="s">
        <v>255</v>
      </c>
      <c r="G487" s="1" t="s">
        <v>845</v>
      </c>
      <c r="H487" s="1" t="n">
        <v>19.98045</v>
      </c>
      <c r="I487" s="1" t="n">
        <v>11.5</v>
      </c>
      <c r="J487" s="1" t="n">
        <v>1</v>
      </c>
      <c r="K487" s="1" t="n">
        <v>6</v>
      </c>
      <c r="L487" s="1" t="n">
        <v>1</v>
      </c>
      <c r="M487" s="1" t="s">
        <v>172</v>
      </c>
    </row>
    <row r="488" customFormat="false" ht="14.25" hidden="false" customHeight="true" outlineLevel="0" collapsed="false">
      <c r="A488" s="1" t="s">
        <v>861</v>
      </c>
      <c r="B488" s="1" t="s">
        <v>887</v>
      </c>
      <c r="C488" s="1" t="s">
        <v>104</v>
      </c>
      <c r="D488" s="1" t="n">
        <v>1</v>
      </c>
      <c r="E488" s="1" t="n">
        <v>96</v>
      </c>
      <c r="F488" s="1" t="s">
        <v>771</v>
      </c>
      <c r="G488" s="1" t="s">
        <v>888</v>
      </c>
      <c r="H488" s="1" t="n">
        <v>30.4464</v>
      </c>
      <c r="I488" s="1" t="n">
        <v>11</v>
      </c>
      <c r="J488" s="1" t="n">
        <v>1</v>
      </c>
      <c r="K488" s="1" t="n">
        <v>6</v>
      </c>
      <c r="L488" s="1" t="n">
        <v>3</v>
      </c>
      <c r="M488" s="1" t="s">
        <v>887</v>
      </c>
    </row>
    <row r="489" customFormat="false" ht="14.25" hidden="false" customHeight="true" outlineLevel="0" collapsed="false">
      <c r="A489" s="1" t="s">
        <v>861</v>
      </c>
      <c r="B489" s="1" t="s">
        <v>889</v>
      </c>
      <c r="C489" s="1" t="s">
        <v>104</v>
      </c>
      <c r="D489" s="1" t="n">
        <v>1</v>
      </c>
      <c r="E489" s="1" t="n">
        <v>96</v>
      </c>
      <c r="F489" s="1" t="s">
        <v>771</v>
      </c>
      <c r="G489" s="1" t="s">
        <v>890</v>
      </c>
      <c r="H489" s="1" t="n">
        <v>30.4464</v>
      </c>
      <c r="I489" s="1" t="n">
        <v>6.5</v>
      </c>
      <c r="J489" s="1" t="n">
        <v>1</v>
      </c>
      <c r="K489" s="1" t="n">
        <v>6</v>
      </c>
      <c r="L489" s="1" t="n">
        <v>2</v>
      </c>
      <c r="M489" s="1" t="s">
        <v>889</v>
      </c>
    </row>
    <row r="490" customFormat="false" ht="14.25" hidden="false" customHeight="true" outlineLevel="0" collapsed="false">
      <c r="A490" s="1" t="s">
        <v>861</v>
      </c>
    </row>
    <row r="491" customFormat="false" ht="14.25" hidden="false" customHeight="true" outlineLevel="0" collapsed="false">
      <c r="A491" s="1" t="s">
        <v>861</v>
      </c>
      <c r="B491" s="1" t="s">
        <v>891</v>
      </c>
      <c r="C491" s="1" t="s">
        <v>111</v>
      </c>
      <c r="D491" s="1" t="n">
        <v>8</v>
      </c>
      <c r="E491" s="1" t="n">
        <v>74</v>
      </c>
      <c r="F491" s="1" t="s">
        <v>892</v>
      </c>
      <c r="G491" s="1" t="s">
        <v>720</v>
      </c>
      <c r="H491" s="1" t="n">
        <v>5.867275</v>
      </c>
      <c r="I491" s="1" t="n">
        <v>9</v>
      </c>
      <c r="J491" s="1" t="n">
        <v>4</v>
      </c>
      <c r="K491" s="1" t="n">
        <v>6</v>
      </c>
      <c r="L491" s="1" t="n">
        <v>1</v>
      </c>
      <c r="M491" s="1" t="s">
        <v>893</v>
      </c>
    </row>
    <row r="492" customFormat="false" ht="14.25" hidden="false" customHeight="true" outlineLevel="0" collapsed="false">
      <c r="A492" s="1" t="s">
        <v>861</v>
      </c>
      <c r="B492" s="1" t="s">
        <v>894</v>
      </c>
      <c r="C492" s="1" t="s">
        <v>111</v>
      </c>
      <c r="D492" s="1" t="n">
        <v>8</v>
      </c>
      <c r="E492" s="1" t="n">
        <v>74</v>
      </c>
      <c r="F492" s="1" t="s">
        <v>892</v>
      </c>
      <c r="G492" s="1" t="s">
        <v>895</v>
      </c>
      <c r="H492" s="1" t="n">
        <v>11.73455</v>
      </c>
      <c r="I492" s="1" t="n">
        <v>8</v>
      </c>
      <c r="J492" s="1" t="n">
        <v>2</v>
      </c>
      <c r="K492" s="1" t="n">
        <v>6</v>
      </c>
      <c r="L492" s="1" t="n">
        <v>1</v>
      </c>
      <c r="M492" s="1" t="s">
        <v>896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49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1" topLeftCell="B2" activePane="bottomRight" state="frozen"/>
      <selection pane="topLeft" activeCell="A1" activeCellId="0" sqref="A1"/>
      <selection pane="topRight" activeCell="B1" activeCellId="0" sqref="B1"/>
      <selection pane="bottomLeft" activeCell="A2" activeCellId="0" sqref="A2"/>
      <selection pane="bottomRight" activeCell="E369" activeCellId="0" sqref="E369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13.89"/>
    <col collapsed="false" customWidth="true" hidden="false" outlineLevel="0" max="2" min="2" style="1" width="44.67"/>
    <col collapsed="false" customWidth="true" hidden="false" outlineLevel="0" max="3" min="3" style="1" width="15.45"/>
    <col collapsed="false" customWidth="true" hidden="false" outlineLevel="0" max="4" min="4" style="1" width="12.33"/>
    <col collapsed="false" customWidth="true" hidden="false" outlineLevel="0" max="5" min="5" style="1" width="4.33"/>
    <col collapsed="false" customWidth="true" hidden="false" outlineLevel="0" max="6" min="6" style="1" width="20.67"/>
    <col collapsed="false" customWidth="true" hidden="false" outlineLevel="0" max="7" min="7" style="1" width="12.89"/>
    <col collapsed="false" customWidth="true" hidden="false" outlineLevel="0" max="8" min="8" style="1" width="12"/>
    <col collapsed="false" customWidth="true" hidden="false" outlineLevel="0" max="9" min="9" style="1" width="11.89"/>
    <col collapsed="false" customWidth="true" hidden="false" outlineLevel="0" max="10" min="10" style="1" width="12"/>
    <col collapsed="false" customWidth="true" hidden="false" outlineLevel="0" max="11" min="11" style="1" width="5.89"/>
    <col collapsed="false" customWidth="true" hidden="false" outlineLevel="0" max="12" min="12" style="1" width="6.67"/>
    <col collapsed="false" customWidth="true" hidden="false" outlineLevel="0" max="13" min="13" style="1" width="30.11"/>
    <col collapsed="false" customWidth="true" hidden="false" outlineLevel="0" max="14" min="14" style="1" width="24.55"/>
    <col collapsed="false" customWidth="true" hidden="false" outlineLevel="0" max="15" min="15" style="1" width="12.11"/>
    <col collapsed="false" customWidth="true" hidden="false" outlineLevel="0" max="16" min="16" style="1" width="31.89"/>
  </cols>
  <sheetData>
    <row r="1" customFormat="false" ht="14.25" hidden="false" customHeight="true" outlineLevel="0" collapsed="false">
      <c r="A1" s="117" t="s">
        <v>16</v>
      </c>
      <c r="B1" s="117" t="s">
        <v>88</v>
      </c>
      <c r="C1" s="117" t="s">
        <v>89</v>
      </c>
      <c r="D1" s="117" t="s">
        <v>90</v>
      </c>
      <c r="E1" s="117" t="s">
        <v>19</v>
      </c>
      <c r="F1" s="117" t="s">
        <v>17</v>
      </c>
      <c r="G1" s="117" t="s">
        <v>14</v>
      </c>
      <c r="H1" s="117" t="s">
        <v>18</v>
      </c>
      <c r="I1" s="117" t="s">
        <v>91</v>
      </c>
      <c r="J1" s="117" t="s">
        <v>20</v>
      </c>
      <c r="K1" s="117" t="s">
        <v>92</v>
      </c>
      <c r="L1" s="117" t="s">
        <v>93</v>
      </c>
      <c r="M1" s="117" t="s">
        <v>94</v>
      </c>
      <c r="N1" s="117" t="s">
        <v>95</v>
      </c>
      <c r="O1" s="117" t="s">
        <v>96</v>
      </c>
      <c r="P1" s="117" t="s">
        <v>97</v>
      </c>
    </row>
    <row r="2" customFormat="false" ht="14.25" hidden="true" customHeight="true" outlineLevel="0" collapsed="false">
      <c r="A2" s="1" t="s">
        <v>98</v>
      </c>
      <c r="B2" s="1" t="s">
        <v>88</v>
      </c>
      <c r="C2" s="1" t="s">
        <v>89</v>
      </c>
      <c r="D2" s="1" t="s">
        <v>90</v>
      </c>
      <c r="E2" s="1" t="s">
        <v>19</v>
      </c>
      <c r="F2" s="1" t="s">
        <v>17</v>
      </c>
      <c r="G2" s="1" t="s">
        <v>14</v>
      </c>
      <c r="H2" s="1" t="s">
        <v>18</v>
      </c>
      <c r="I2" s="1" t="s">
        <v>91</v>
      </c>
      <c r="J2" s="1" t="s">
        <v>20</v>
      </c>
      <c r="K2" s="1" t="s">
        <v>92</v>
      </c>
      <c r="L2" s="1" t="s">
        <v>93</v>
      </c>
      <c r="M2" s="1" t="s">
        <v>94</v>
      </c>
      <c r="N2" s="1" t="s">
        <v>95</v>
      </c>
    </row>
    <row r="3" customFormat="false" ht="14.25" hidden="true" customHeight="true" outlineLevel="0" collapsed="false">
      <c r="A3" s="1" t="s">
        <v>98</v>
      </c>
      <c r="B3" s="1" t="s">
        <v>99</v>
      </c>
      <c r="C3" s="1" t="s">
        <v>100</v>
      </c>
      <c r="D3" s="1" t="n">
        <v>17</v>
      </c>
      <c r="E3" s="1" t="n">
        <v>43</v>
      </c>
      <c r="F3" s="1" t="s">
        <v>101</v>
      </c>
      <c r="G3" s="1" t="n">
        <v>0.9</v>
      </c>
      <c r="H3" s="1" t="n">
        <v>0.9</v>
      </c>
      <c r="I3" s="1" t="n">
        <v>3.3</v>
      </c>
      <c r="J3" s="1" t="n">
        <v>15.0093888888889</v>
      </c>
      <c r="K3" s="1" t="n">
        <v>3</v>
      </c>
      <c r="L3" s="1" t="s">
        <v>102</v>
      </c>
    </row>
    <row r="4" customFormat="false" ht="14.25" hidden="true" customHeight="true" outlineLevel="0" collapsed="false">
      <c r="A4" s="1" t="s">
        <v>98</v>
      </c>
      <c r="B4" s="1" t="s">
        <v>103</v>
      </c>
      <c r="C4" s="1" t="s">
        <v>104</v>
      </c>
      <c r="D4" s="1" t="n">
        <v>1</v>
      </c>
      <c r="E4" s="1" t="n">
        <v>40</v>
      </c>
      <c r="F4" s="1" t="s">
        <v>101</v>
      </c>
      <c r="G4" s="1" t="n">
        <v>1.25</v>
      </c>
      <c r="H4" s="1" t="n">
        <v>1.25</v>
      </c>
      <c r="I4" s="1" t="n">
        <v>11</v>
      </c>
      <c r="J4" s="1" t="n">
        <v>10</v>
      </c>
      <c r="K4" s="1" t="n">
        <v>3</v>
      </c>
      <c r="L4" s="1" t="s">
        <v>102</v>
      </c>
      <c r="M4" s="1" t="s">
        <v>105</v>
      </c>
    </row>
    <row r="5" customFormat="false" ht="14.25" hidden="true" customHeight="true" outlineLevel="0" collapsed="false">
      <c r="A5" s="1" t="s">
        <v>98</v>
      </c>
      <c r="C5" s="1" t="s">
        <v>106</v>
      </c>
      <c r="D5" s="1" t="n">
        <v>2</v>
      </c>
      <c r="E5" s="1" t="n">
        <v>42</v>
      </c>
      <c r="F5" s="1" t="s">
        <v>101</v>
      </c>
      <c r="G5" s="1" t="n">
        <v>1.7</v>
      </c>
      <c r="H5" s="1" t="n">
        <v>1.7</v>
      </c>
      <c r="I5" s="1" t="n">
        <v>8</v>
      </c>
      <c r="J5" s="1" t="n">
        <v>8</v>
      </c>
      <c r="K5" s="1" t="n">
        <v>3</v>
      </c>
      <c r="L5" s="1" t="s">
        <v>102</v>
      </c>
      <c r="M5" s="1" t="s">
        <v>107</v>
      </c>
    </row>
    <row r="6" customFormat="false" ht="14.25" hidden="true" customHeight="true" outlineLevel="0" collapsed="false">
      <c r="A6" s="1" t="s">
        <v>98</v>
      </c>
      <c r="C6" s="1" t="s">
        <v>108</v>
      </c>
      <c r="D6" s="1" t="n">
        <v>3</v>
      </c>
      <c r="E6" s="1" t="n">
        <v>57</v>
      </c>
      <c r="F6" s="1" t="s">
        <v>101</v>
      </c>
      <c r="G6" s="1" t="n">
        <v>3</v>
      </c>
      <c r="H6" s="1" t="n">
        <v>3</v>
      </c>
      <c r="I6" s="1" t="n">
        <v>11</v>
      </c>
      <c r="J6" s="1" t="n">
        <v>6</v>
      </c>
      <c r="K6" s="1" t="n">
        <v>3</v>
      </c>
      <c r="L6" s="1" t="s">
        <v>102</v>
      </c>
      <c r="M6" s="1" t="s">
        <v>109</v>
      </c>
    </row>
    <row r="7" customFormat="false" ht="14.25" hidden="true" customHeight="true" outlineLevel="0" collapsed="false">
      <c r="A7" s="1" t="s">
        <v>98</v>
      </c>
      <c r="C7" s="1" t="s">
        <v>106</v>
      </c>
      <c r="D7" s="1" t="n">
        <v>4</v>
      </c>
      <c r="E7" s="1" t="n">
        <v>57</v>
      </c>
      <c r="F7" s="1" t="s">
        <v>101</v>
      </c>
      <c r="G7" s="1" t="n">
        <v>3</v>
      </c>
      <c r="H7" s="1" t="n">
        <v>3</v>
      </c>
      <c r="I7" s="1" t="n">
        <v>10.5</v>
      </c>
      <c r="J7" s="1" t="n">
        <v>6</v>
      </c>
      <c r="K7" s="1" t="n">
        <v>3</v>
      </c>
      <c r="L7" s="1" t="s">
        <v>102</v>
      </c>
      <c r="M7" s="1" t="s">
        <v>109</v>
      </c>
    </row>
    <row r="8" customFormat="false" ht="14.25" hidden="true" customHeight="true" outlineLevel="0" collapsed="false">
      <c r="A8" s="1" t="s">
        <v>98</v>
      </c>
      <c r="C8" s="1" t="s">
        <v>106</v>
      </c>
      <c r="D8" s="1" t="n">
        <v>5</v>
      </c>
      <c r="E8" s="1" t="n">
        <v>52</v>
      </c>
      <c r="F8" s="1" t="s">
        <v>101</v>
      </c>
      <c r="G8" s="1" t="n">
        <v>4</v>
      </c>
      <c r="H8" s="1" t="n">
        <v>4</v>
      </c>
      <c r="I8" s="1" t="n">
        <v>11</v>
      </c>
      <c r="J8" s="1" t="n">
        <v>4</v>
      </c>
      <c r="K8" s="1" t="n">
        <v>3</v>
      </c>
      <c r="L8" s="1" t="s">
        <v>102</v>
      </c>
    </row>
    <row r="9" customFormat="false" ht="14.25" hidden="true" customHeight="true" outlineLevel="0" collapsed="false">
      <c r="A9" s="1" t="s">
        <v>98</v>
      </c>
      <c r="C9" s="1" t="s">
        <v>106</v>
      </c>
      <c r="D9" s="1" t="n">
        <v>6</v>
      </c>
      <c r="E9" s="1" t="n">
        <v>42</v>
      </c>
      <c r="F9" s="1" t="s">
        <v>101</v>
      </c>
      <c r="G9" s="1" t="n">
        <v>4.4</v>
      </c>
      <c r="H9" s="1" t="n">
        <v>4.4</v>
      </c>
      <c r="I9" s="1" t="n">
        <v>11</v>
      </c>
      <c r="J9" s="1" t="n">
        <v>3</v>
      </c>
      <c r="K9" s="1" t="n">
        <v>3</v>
      </c>
      <c r="L9" s="1" t="s">
        <v>102</v>
      </c>
    </row>
    <row r="10" customFormat="false" ht="14.25" hidden="true" customHeight="true" outlineLevel="0" collapsed="false">
      <c r="A10" s="1" t="s">
        <v>98</v>
      </c>
      <c r="C10" s="1" t="s">
        <v>106</v>
      </c>
      <c r="D10" s="1" t="n">
        <v>7</v>
      </c>
      <c r="E10" s="1" t="n">
        <v>48</v>
      </c>
      <c r="F10" s="1" t="s">
        <v>101</v>
      </c>
      <c r="G10" s="1" t="n">
        <v>5</v>
      </c>
      <c r="H10" s="1" t="n">
        <v>5</v>
      </c>
      <c r="I10" s="1" t="n">
        <v>11</v>
      </c>
      <c r="J10" s="1" t="n">
        <v>3</v>
      </c>
      <c r="K10" s="1" t="n">
        <v>3</v>
      </c>
      <c r="L10" s="1" t="s">
        <v>102</v>
      </c>
      <c r="N10" s="1" t="s">
        <v>110</v>
      </c>
    </row>
    <row r="11" customFormat="false" ht="14.25" hidden="true" customHeight="true" outlineLevel="0" collapsed="false">
      <c r="A11" s="1" t="s">
        <v>98</v>
      </c>
      <c r="C11" s="1" t="s">
        <v>111</v>
      </c>
      <c r="D11" s="1" t="n">
        <v>16</v>
      </c>
      <c r="E11" s="1" t="n">
        <v>48</v>
      </c>
      <c r="F11" s="1" t="s">
        <v>101</v>
      </c>
      <c r="G11" s="1" t="n">
        <v>5</v>
      </c>
      <c r="H11" s="1" t="n">
        <v>5</v>
      </c>
      <c r="I11" s="1" t="n">
        <v>13</v>
      </c>
      <c r="J11" s="1" t="n">
        <v>3.01584</v>
      </c>
      <c r="K11" s="1" t="n">
        <v>3</v>
      </c>
      <c r="L11" s="1" t="s">
        <v>102</v>
      </c>
    </row>
    <row r="12" customFormat="false" ht="14.25" hidden="true" customHeight="true" outlineLevel="0" collapsed="false">
      <c r="A12" s="1" t="s">
        <v>98</v>
      </c>
      <c r="C12" s="1" t="s">
        <v>106</v>
      </c>
      <c r="D12" s="1" t="n">
        <v>8</v>
      </c>
      <c r="E12" s="1" t="n">
        <v>57</v>
      </c>
      <c r="F12" s="1" t="s">
        <v>101</v>
      </c>
      <c r="G12" s="1" t="n">
        <v>6</v>
      </c>
      <c r="H12" s="1" t="n">
        <v>6</v>
      </c>
      <c r="I12" s="1" t="n">
        <v>11</v>
      </c>
      <c r="J12" s="1" t="n">
        <v>3</v>
      </c>
      <c r="K12" s="1" t="n">
        <v>3</v>
      </c>
      <c r="L12" s="1" t="s">
        <v>102</v>
      </c>
    </row>
    <row r="13" customFormat="false" ht="14.25" hidden="true" customHeight="true" outlineLevel="0" collapsed="false">
      <c r="A13" s="1" t="s">
        <v>98</v>
      </c>
      <c r="C13" s="1" t="s">
        <v>106</v>
      </c>
      <c r="D13" s="1" t="n">
        <v>9</v>
      </c>
      <c r="E13" s="1" t="n">
        <v>57</v>
      </c>
      <c r="F13" s="1" t="s">
        <v>101</v>
      </c>
      <c r="G13" s="1" t="n">
        <v>6</v>
      </c>
      <c r="H13" s="1" t="n">
        <v>6</v>
      </c>
      <c r="I13" s="1" t="n">
        <v>11</v>
      </c>
      <c r="J13" s="1" t="n">
        <v>3</v>
      </c>
      <c r="K13" s="1" t="n">
        <v>3</v>
      </c>
      <c r="L13" s="1" t="s">
        <v>102</v>
      </c>
      <c r="N13" s="1" t="s">
        <v>112</v>
      </c>
    </row>
    <row r="14" customFormat="false" ht="14.25" hidden="true" customHeight="true" outlineLevel="0" collapsed="false">
      <c r="A14" s="1" t="s">
        <v>98</v>
      </c>
      <c r="C14" s="1" t="s">
        <v>106</v>
      </c>
      <c r="D14" s="1" t="n">
        <v>10</v>
      </c>
      <c r="E14" s="1" t="n">
        <v>70</v>
      </c>
      <c r="F14" s="1" t="s">
        <v>101</v>
      </c>
      <c r="G14" s="1" t="n">
        <v>7.4</v>
      </c>
      <c r="H14" s="1" t="n">
        <v>7.4</v>
      </c>
      <c r="I14" s="1" t="n">
        <v>10.5</v>
      </c>
      <c r="J14" s="1" t="n">
        <v>3</v>
      </c>
      <c r="K14" s="1" t="n">
        <v>3</v>
      </c>
      <c r="L14" s="1" t="s">
        <v>102</v>
      </c>
      <c r="N14" s="1" t="s">
        <v>110</v>
      </c>
    </row>
    <row r="15" customFormat="false" ht="14.25" hidden="true" customHeight="true" outlineLevel="0" collapsed="false">
      <c r="A15" s="1" t="s">
        <v>98</v>
      </c>
      <c r="C15" s="1" t="s">
        <v>106</v>
      </c>
      <c r="D15" s="1" t="n">
        <v>15</v>
      </c>
      <c r="E15" s="1" t="n">
        <v>70</v>
      </c>
      <c r="F15" s="1" t="s">
        <v>101</v>
      </c>
      <c r="G15" s="1" t="n">
        <v>7.4</v>
      </c>
      <c r="H15" s="1" t="n">
        <v>7.4</v>
      </c>
      <c r="I15" s="1" t="n">
        <v>12</v>
      </c>
      <c r="J15" s="1" t="n">
        <v>2.97168918918919</v>
      </c>
      <c r="K15" s="1" t="n">
        <v>3</v>
      </c>
      <c r="L15" s="1" t="s">
        <v>102</v>
      </c>
    </row>
    <row r="16" customFormat="false" ht="14.25" hidden="true" customHeight="true" outlineLevel="0" collapsed="false">
      <c r="A16" s="1" t="s">
        <v>98</v>
      </c>
      <c r="C16" s="1" t="s">
        <v>106</v>
      </c>
      <c r="D16" s="1" t="n">
        <v>11</v>
      </c>
      <c r="E16" s="1" t="n">
        <v>52</v>
      </c>
      <c r="F16" s="1" t="s">
        <v>101</v>
      </c>
      <c r="G16" s="1" t="n">
        <v>8</v>
      </c>
      <c r="H16" s="1" t="n">
        <v>8</v>
      </c>
      <c r="I16" s="1" t="n">
        <v>11</v>
      </c>
      <c r="J16" s="1" t="n">
        <v>2</v>
      </c>
      <c r="K16" s="1" t="n">
        <v>3</v>
      </c>
      <c r="L16" s="1" t="s">
        <v>102</v>
      </c>
    </row>
    <row r="17" customFormat="false" ht="14.25" hidden="true" customHeight="true" outlineLevel="0" collapsed="false">
      <c r="A17" s="1" t="s">
        <v>98</v>
      </c>
      <c r="C17" s="1" t="s">
        <v>106</v>
      </c>
      <c r="D17" s="1" t="n">
        <v>12</v>
      </c>
      <c r="E17" s="1" t="n">
        <v>67</v>
      </c>
      <c r="F17" s="1" t="s">
        <v>101</v>
      </c>
      <c r="G17" s="1" t="n">
        <v>10.5</v>
      </c>
      <c r="H17" s="1" t="n">
        <v>10.5</v>
      </c>
      <c r="I17" s="1" t="n">
        <v>11</v>
      </c>
      <c r="J17" s="1" t="n">
        <v>2</v>
      </c>
      <c r="K17" s="1" t="n">
        <v>3</v>
      </c>
      <c r="L17" s="1" t="s">
        <v>102</v>
      </c>
      <c r="M17" s="1" t="s">
        <v>113</v>
      </c>
    </row>
    <row r="18" customFormat="false" ht="14.25" hidden="true" customHeight="true" outlineLevel="0" collapsed="false">
      <c r="A18" s="1" t="s">
        <v>98</v>
      </c>
      <c r="C18" s="1" t="s">
        <v>106</v>
      </c>
      <c r="D18" s="1" t="n">
        <v>13</v>
      </c>
      <c r="E18" s="1" t="n">
        <v>48</v>
      </c>
      <c r="F18" s="1" t="s">
        <v>101</v>
      </c>
      <c r="G18" s="1" t="n">
        <v>15</v>
      </c>
      <c r="H18" s="1" t="n">
        <v>15</v>
      </c>
      <c r="I18" s="1" t="n">
        <v>11</v>
      </c>
      <c r="J18" s="1" t="n">
        <v>1</v>
      </c>
      <c r="K18" s="1" t="n">
        <v>3</v>
      </c>
      <c r="L18" s="1" t="s">
        <v>102</v>
      </c>
      <c r="M18" s="1" t="s">
        <v>114</v>
      </c>
    </row>
    <row r="19" customFormat="false" ht="14.25" hidden="true" customHeight="true" outlineLevel="0" collapsed="false">
      <c r="A19" s="1" t="s">
        <v>98</v>
      </c>
      <c r="C19" s="1" t="s">
        <v>106</v>
      </c>
      <c r="D19" s="1" t="n">
        <v>14</v>
      </c>
      <c r="E19" s="1" t="n">
        <v>64</v>
      </c>
      <c r="F19" s="1" t="s">
        <v>101</v>
      </c>
      <c r="G19" s="1" t="n">
        <v>20.1</v>
      </c>
      <c r="H19" s="1" t="n">
        <v>20.1</v>
      </c>
      <c r="I19" s="1" t="n">
        <v>11</v>
      </c>
      <c r="J19" s="1" t="n">
        <v>1</v>
      </c>
      <c r="K19" s="1" t="n">
        <v>3</v>
      </c>
      <c r="L19" s="1" t="s">
        <v>102</v>
      </c>
      <c r="M19" s="1" t="s">
        <v>115</v>
      </c>
    </row>
    <row r="20" customFormat="false" ht="14.25" hidden="true" customHeight="true" outlineLevel="0" collapsed="false">
      <c r="A20" s="1" t="s">
        <v>98</v>
      </c>
    </row>
    <row r="21" customFormat="false" ht="14.25" hidden="true" customHeight="true" outlineLevel="0" collapsed="false">
      <c r="A21" s="1" t="s">
        <v>98</v>
      </c>
      <c r="C21" s="1" t="s">
        <v>104</v>
      </c>
      <c r="D21" s="1" t="n">
        <v>18</v>
      </c>
      <c r="E21" s="1" t="n">
        <v>40</v>
      </c>
      <c r="F21" s="1" t="s">
        <v>116</v>
      </c>
      <c r="G21" s="1" t="s">
        <v>117</v>
      </c>
      <c r="H21" s="1" t="n">
        <v>1.2</v>
      </c>
      <c r="I21" s="1" t="n">
        <v>5</v>
      </c>
      <c r="J21" s="1" t="n">
        <v>11</v>
      </c>
      <c r="K21" s="1" t="n">
        <v>3</v>
      </c>
      <c r="L21" s="1" t="n">
        <v>5</v>
      </c>
    </row>
    <row r="22" customFormat="false" ht="14.25" hidden="true" customHeight="true" outlineLevel="0" collapsed="false">
      <c r="A22" s="1" t="s">
        <v>98</v>
      </c>
      <c r="C22" s="1" t="s">
        <v>104</v>
      </c>
      <c r="D22" s="1" t="n">
        <v>25</v>
      </c>
      <c r="E22" s="1" t="n">
        <v>43</v>
      </c>
      <c r="F22" s="1" t="s">
        <v>116</v>
      </c>
      <c r="G22" s="1" t="s">
        <v>118</v>
      </c>
      <c r="H22" s="1" t="n">
        <v>2.3</v>
      </c>
      <c r="I22" s="1" t="n">
        <v>10</v>
      </c>
      <c r="J22" s="1" t="n">
        <v>6</v>
      </c>
      <c r="K22" s="1" t="n">
        <v>3</v>
      </c>
      <c r="L22" s="1" t="n">
        <v>4</v>
      </c>
      <c r="M22" s="1" t="s">
        <v>119</v>
      </c>
    </row>
    <row r="23" customFormat="false" ht="14.25" hidden="true" customHeight="true" outlineLevel="0" collapsed="false">
      <c r="A23" s="1" t="s">
        <v>98</v>
      </c>
      <c r="B23" s="1" t="s">
        <v>120</v>
      </c>
      <c r="C23" s="1" t="s">
        <v>108</v>
      </c>
      <c r="D23" s="1" t="n">
        <v>19</v>
      </c>
      <c r="E23" s="1" t="n">
        <v>57</v>
      </c>
      <c r="F23" s="1" t="s">
        <v>116</v>
      </c>
      <c r="G23" s="1" t="s">
        <v>121</v>
      </c>
      <c r="H23" s="1" t="n">
        <v>3.5</v>
      </c>
      <c r="I23" s="1" t="n">
        <v>4</v>
      </c>
      <c r="J23" s="1" t="n">
        <v>5</v>
      </c>
      <c r="K23" s="1" t="n">
        <v>3</v>
      </c>
      <c r="L23" s="1" t="n">
        <v>1</v>
      </c>
    </row>
    <row r="24" customFormat="false" ht="14.25" hidden="true" customHeight="true" outlineLevel="0" collapsed="false">
      <c r="A24" s="1" t="s">
        <v>98</v>
      </c>
      <c r="C24" s="1" t="s">
        <v>104</v>
      </c>
      <c r="D24" s="1" t="n">
        <v>20</v>
      </c>
      <c r="E24" s="1" t="n">
        <v>42</v>
      </c>
      <c r="F24" s="1" t="s">
        <v>116</v>
      </c>
      <c r="G24" s="1" t="s">
        <v>122</v>
      </c>
      <c r="H24" s="1" t="n">
        <v>4.5</v>
      </c>
      <c r="I24" s="1" t="n">
        <v>4.7</v>
      </c>
      <c r="J24" s="1" t="n">
        <v>3</v>
      </c>
      <c r="K24" s="1" t="n">
        <v>3</v>
      </c>
      <c r="L24" s="1" t="n">
        <v>1</v>
      </c>
      <c r="M24" s="1" t="s">
        <v>123</v>
      </c>
    </row>
    <row r="25" customFormat="false" ht="14.25" hidden="true" customHeight="true" outlineLevel="0" collapsed="false">
      <c r="A25" s="1" t="s">
        <v>98</v>
      </c>
      <c r="C25" s="1" t="s">
        <v>104</v>
      </c>
      <c r="D25" s="1" t="n">
        <v>21</v>
      </c>
      <c r="E25" s="1" t="n">
        <v>45</v>
      </c>
      <c r="F25" s="1" t="s">
        <v>116</v>
      </c>
      <c r="G25" s="1" t="s">
        <v>124</v>
      </c>
      <c r="H25" s="1" t="n">
        <v>4.8</v>
      </c>
      <c r="I25" s="1" t="n">
        <v>5</v>
      </c>
      <c r="J25" s="1" t="n">
        <v>3</v>
      </c>
      <c r="K25" s="1" t="n">
        <v>3</v>
      </c>
      <c r="L25" s="1" t="n">
        <v>1</v>
      </c>
      <c r="M25" s="1" t="s">
        <v>123</v>
      </c>
    </row>
    <row r="26" customFormat="false" ht="14.25" hidden="true" customHeight="true" outlineLevel="0" collapsed="false">
      <c r="A26" s="1" t="s">
        <v>98</v>
      </c>
      <c r="C26" s="1" t="s">
        <v>104</v>
      </c>
      <c r="D26" s="1" t="n">
        <v>22</v>
      </c>
      <c r="E26" s="1" t="n">
        <v>50</v>
      </c>
      <c r="F26" s="1" t="s">
        <v>116</v>
      </c>
      <c r="G26" s="1" t="s">
        <v>125</v>
      </c>
      <c r="H26" s="1" t="n">
        <v>5.3</v>
      </c>
      <c r="I26" s="1" t="n">
        <v>5.5</v>
      </c>
      <c r="J26" s="1" t="n">
        <v>3</v>
      </c>
      <c r="K26" s="1" t="n">
        <v>3</v>
      </c>
      <c r="L26" s="1" t="n">
        <v>1</v>
      </c>
      <c r="M26" s="1" t="s">
        <v>126</v>
      </c>
    </row>
    <row r="27" customFormat="false" ht="14.25" hidden="true" customHeight="true" outlineLevel="0" collapsed="false">
      <c r="A27" s="1" t="s">
        <v>98</v>
      </c>
      <c r="C27" s="1" t="s">
        <v>104</v>
      </c>
      <c r="D27" s="1" t="n">
        <v>23</v>
      </c>
      <c r="E27" s="1" t="n">
        <v>40</v>
      </c>
      <c r="F27" s="1" t="s">
        <v>116</v>
      </c>
      <c r="G27" s="1" t="s">
        <v>127</v>
      </c>
      <c r="H27" s="1" t="n">
        <v>6.3</v>
      </c>
      <c r="I27" s="1" t="n">
        <v>6.5</v>
      </c>
      <c r="J27" s="1" t="n">
        <v>3</v>
      </c>
      <c r="K27" s="1" t="n">
        <v>3</v>
      </c>
      <c r="L27" s="1" t="n">
        <v>1</v>
      </c>
      <c r="M27" s="1" t="s">
        <v>128</v>
      </c>
    </row>
    <row r="28" customFormat="false" ht="14.25" hidden="true" customHeight="true" outlineLevel="0" collapsed="false">
      <c r="A28" s="1" t="s">
        <v>98</v>
      </c>
      <c r="C28" s="1" t="s">
        <v>104</v>
      </c>
      <c r="D28" s="1" t="n">
        <v>24</v>
      </c>
      <c r="E28" s="1" t="n">
        <v>57</v>
      </c>
      <c r="F28" s="1" t="s">
        <v>116</v>
      </c>
      <c r="G28" s="1" t="s">
        <v>129</v>
      </c>
      <c r="H28" s="1" t="n">
        <v>9.3</v>
      </c>
      <c r="I28" s="1" t="n">
        <v>9.5</v>
      </c>
      <c r="J28" s="1" t="n">
        <v>11</v>
      </c>
      <c r="K28" s="1" t="n">
        <v>3</v>
      </c>
      <c r="L28" s="1" t="n">
        <v>1</v>
      </c>
      <c r="M28" s="1" t="s">
        <v>123</v>
      </c>
    </row>
    <row r="29" customFormat="false" ht="14.25" hidden="true" customHeight="true" outlineLevel="0" collapsed="false">
      <c r="A29" s="1" t="s">
        <v>98</v>
      </c>
    </row>
    <row r="30" customFormat="false" ht="14.25" hidden="true" customHeight="true" outlineLevel="0" collapsed="false">
      <c r="A30" s="1" t="s">
        <v>98</v>
      </c>
      <c r="B30" s="1" t="s">
        <v>130</v>
      </c>
      <c r="C30" s="1" t="s">
        <v>104</v>
      </c>
      <c r="D30" s="1" t="n">
        <v>26</v>
      </c>
      <c r="E30" s="1" t="n">
        <v>42</v>
      </c>
      <c r="F30" s="1" t="s">
        <v>131</v>
      </c>
      <c r="G30" s="1" t="s">
        <v>132</v>
      </c>
      <c r="H30" s="1" t="n">
        <v>2.63886</v>
      </c>
      <c r="I30" s="1" t="n">
        <v>3.5</v>
      </c>
      <c r="J30" s="1" t="n">
        <v>5</v>
      </c>
      <c r="K30" s="1" t="n">
        <v>3</v>
      </c>
      <c r="L30" s="1" t="n">
        <v>2</v>
      </c>
      <c r="M30" s="1" t="s">
        <v>133</v>
      </c>
    </row>
    <row r="31" customFormat="false" ht="14.25" hidden="true" customHeight="true" outlineLevel="0" collapsed="false">
      <c r="A31" s="1" t="s">
        <v>98</v>
      </c>
      <c r="B31" s="1" t="s">
        <v>134</v>
      </c>
      <c r="C31" s="1" t="s">
        <v>106</v>
      </c>
      <c r="D31" s="1" t="n">
        <v>29</v>
      </c>
      <c r="E31" s="1" t="n">
        <v>57</v>
      </c>
      <c r="F31" s="1" t="s">
        <v>131</v>
      </c>
      <c r="G31" s="1" t="s">
        <v>135</v>
      </c>
      <c r="H31" s="1" t="n">
        <v>2.984425</v>
      </c>
      <c r="I31" s="1" t="n">
        <v>5</v>
      </c>
      <c r="J31" s="1" t="n">
        <v>6</v>
      </c>
      <c r="K31" s="1" t="n">
        <v>3</v>
      </c>
      <c r="L31" s="1" t="n">
        <v>1</v>
      </c>
      <c r="M31" s="1" t="s">
        <v>136</v>
      </c>
    </row>
    <row r="32" customFormat="false" ht="14.25" hidden="true" customHeight="true" outlineLevel="0" collapsed="false">
      <c r="A32" s="1" t="s">
        <v>98</v>
      </c>
      <c r="B32" s="1" t="s">
        <v>137</v>
      </c>
      <c r="C32" s="1" t="s">
        <v>106</v>
      </c>
      <c r="D32" s="1" t="n">
        <v>26</v>
      </c>
      <c r="E32" s="1" t="n">
        <v>42</v>
      </c>
      <c r="F32" s="1" t="s">
        <v>131</v>
      </c>
      <c r="G32" s="1" t="s">
        <v>138</v>
      </c>
      <c r="H32" s="1" t="n">
        <v>3.298575</v>
      </c>
      <c r="I32" s="1" t="n">
        <v>2.5</v>
      </c>
      <c r="J32" s="1" t="n">
        <v>4</v>
      </c>
      <c r="K32" s="1" t="n">
        <v>3</v>
      </c>
      <c r="L32" s="1" t="n">
        <v>1</v>
      </c>
    </row>
    <row r="33" customFormat="false" ht="14.25" hidden="true" customHeight="true" outlineLevel="0" collapsed="false">
      <c r="A33" s="1" t="s">
        <v>98</v>
      </c>
      <c r="B33" s="1" t="s">
        <v>139</v>
      </c>
      <c r="C33" s="1" t="s">
        <v>106</v>
      </c>
      <c r="D33" s="1" t="n">
        <v>26</v>
      </c>
      <c r="E33" s="1" t="n">
        <v>42</v>
      </c>
      <c r="F33" s="1" t="s">
        <v>131</v>
      </c>
      <c r="G33" s="1" t="s">
        <v>140</v>
      </c>
      <c r="H33" s="1" t="n">
        <v>4.3981</v>
      </c>
      <c r="I33" s="1" t="n">
        <v>2.7</v>
      </c>
      <c r="J33" s="1" t="n">
        <v>3</v>
      </c>
      <c r="K33" s="1" t="n">
        <v>3</v>
      </c>
      <c r="L33" s="1" t="n">
        <v>1</v>
      </c>
    </row>
    <row r="34" customFormat="false" ht="14.25" hidden="true" customHeight="true" outlineLevel="0" collapsed="false">
      <c r="A34" s="1" t="s">
        <v>98</v>
      </c>
      <c r="B34" s="1" t="s">
        <v>141</v>
      </c>
      <c r="C34" s="1" t="s">
        <v>106</v>
      </c>
      <c r="D34" s="1" t="n">
        <v>27</v>
      </c>
      <c r="E34" s="1" t="n">
        <v>56</v>
      </c>
      <c r="F34" s="1" t="s">
        <v>131</v>
      </c>
      <c r="G34" s="1" t="s">
        <v>142</v>
      </c>
      <c r="H34" s="1" t="n">
        <v>4.3981</v>
      </c>
      <c r="I34" s="1" t="n">
        <v>3</v>
      </c>
      <c r="J34" s="1" t="n">
        <v>4</v>
      </c>
      <c r="K34" s="1" t="n">
        <v>3</v>
      </c>
      <c r="L34" s="1" t="n">
        <v>1</v>
      </c>
    </row>
    <row r="35" customFormat="false" ht="14.25" hidden="true" customHeight="true" outlineLevel="0" collapsed="false">
      <c r="A35" s="1" t="s">
        <v>98</v>
      </c>
      <c r="B35" s="1" t="s">
        <v>143</v>
      </c>
      <c r="C35" s="1" t="s">
        <v>106</v>
      </c>
      <c r="D35" s="1" t="n">
        <v>28</v>
      </c>
      <c r="E35" s="1" t="n">
        <v>57</v>
      </c>
      <c r="F35" s="1" t="s">
        <v>131</v>
      </c>
      <c r="G35" s="1" t="s">
        <v>144</v>
      </c>
      <c r="H35" s="1" t="n">
        <v>4.4766375</v>
      </c>
      <c r="I35" s="1" t="n">
        <v>4</v>
      </c>
      <c r="J35" s="1" t="n">
        <v>4</v>
      </c>
      <c r="K35" s="1" t="n">
        <v>3</v>
      </c>
      <c r="L35" s="1" t="n">
        <v>1</v>
      </c>
      <c r="M35" s="1" t="s">
        <v>145</v>
      </c>
    </row>
    <row r="36" customFormat="false" ht="14.25" hidden="true" customHeight="true" outlineLevel="0" collapsed="false">
      <c r="A36" s="1" t="s">
        <v>98</v>
      </c>
      <c r="C36" s="1" t="s">
        <v>106</v>
      </c>
      <c r="D36" s="1" t="n">
        <v>30</v>
      </c>
      <c r="E36" s="1" t="n">
        <v>48</v>
      </c>
      <c r="F36" s="1" t="s">
        <v>131</v>
      </c>
      <c r="G36" s="1" t="s">
        <v>146</v>
      </c>
      <c r="H36" s="1" t="n">
        <v>5.0264</v>
      </c>
      <c r="I36" s="1" t="n">
        <v>7.5</v>
      </c>
      <c r="J36" s="1" t="n">
        <v>3</v>
      </c>
      <c r="K36" s="1" t="n">
        <v>3</v>
      </c>
      <c r="L36" s="1" t="n">
        <v>1</v>
      </c>
      <c r="M36" s="1" t="s">
        <v>147</v>
      </c>
    </row>
    <row r="37" customFormat="false" ht="14.25" hidden="true" customHeight="true" outlineLevel="0" collapsed="false">
      <c r="A37" s="1" t="s">
        <v>98</v>
      </c>
      <c r="B37" s="1" t="s">
        <v>148</v>
      </c>
      <c r="C37" s="1" t="s">
        <v>106</v>
      </c>
      <c r="D37" s="1" t="n">
        <v>28</v>
      </c>
      <c r="E37" s="1" t="n">
        <v>57</v>
      </c>
      <c r="F37" s="1" t="s">
        <v>131</v>
      </c>
      <c r="G37" s="1" t="s">
        <v>149</v>
      </c>
      <c r="H37" s="1" t="n">
        <v>5.96885</v>
      </c>
      <c r="I37" s="1" t="n">
        <v>4.5</v>
      </c>
      <c r="J37" s="1" t="n">
        <v>3</v>
      </c>
      <c r="K37" s="1" t="n">
        <v>3</v>
      </c>
      <c r="L37" s="1" t="n">
        <v>1</v>
      </c>
      <c r="M37" s="1" t="s">
        <v>150</v>
      </c>
    </row>
    <row r="38" customFormat="false" ht="14.25" hidden="true" customHeight="true" outlineLevel="0" collapsed="false">
      <c r="A38" s="1" t="s">
        <v>98</v>
      </c>
      <c r="B38" s="1" t="s">
        <v>151</v>
      </c>
      <c r="C38" s="1" t="s">
        <v>106</v>
      </c>
      <c r="D38" s="1" t="n">
        <v>31</v>
      </c>
      <c r="E38" s="1" t="n">
        <v>42</v>
      </c>
      <c r="F38" s="1" t="s">
        <v>131</v>
      </c>
      <c r="G38" s="1" t="s">
        <v>152</v>
      </c>
      <c r="H38" s="1" t="n">
        <v>6.59715</v>
      </c>
      <c r="I38" s="1" t="n">
        <v>4</v>
      </c>
      <c r="J38" s="1" t="n">
        <v>2</v>
      </c>
      <c r="K38" s="1" t="n">
        <v>3</v>
      </c>
      <c r="L38" s="1" t="n">
        <v>1</v>
      </c>
      <c r="M38" s="1" t="s">
        <v>153</v>
      </c>
    </row>
    <row r="39" customFormat="false" ht="14.25" hidden="true" customHeight="true" outlineLevel="0" collapsed="false">
      <c r="A39" s="1" t="s">
        <v>98</v>
      </c>
      <c r="C39" s="1" t="s">
        <v>106</v>
      </c>
      <c r="D39" s="1" t="n">
        <v>32</v>
      </c>
      <c r="E39" s="1" t="n">
        <v>42</v>
      </c>
      <c r="F39" s="1" t="s">
        <v>131</v>
      </c>
      <c r="G39" s="1" t="s">
        <v>154</v>
      </c>
      <c r="H39" s="1" t="n">
        <v>6.59715</v>
      </c>
      <c r="I39" s="1" t="n">
        <v>10</v>
      </c>
      <c r="J39" s="1" t="n">
        <v>2</v>
      </c>
      <c r="K39" s="1" t="n">
        <v>3</v>
      </c>
      <c r="L39" s="1" t="n">
        <v>1</v>
      </c>
      <c r="M39" s="1" t="s">
        <v>155</v>
      </c>
    </row>
    <row r="40" customFormat="false" ht="14.25" hidden="true" customHeight="true" outlineLevel="0" collapsed="false">
      <c r="A40" s="1" t="s">
        <v>98</v>
      </c>
    </row>
    <row r="41" customFormat="false" ht="14.25" hidden="true" customHeight="true" outlineLevel="0" collapsed="false">
      <c r="A41" s="1" t="s">
        <v>98</v>
      </c>
      <c r="C41" s="1" t="s">
        <v>156</v>
      </c>
      <c r="D41" s="1" t="n">
        <v>81</v>
      </c>
      <c r="E41" s="1" t="n">
        <v>49</v>
      </c>
      <c r="F41" s="1" t="s">
        <v>157</v>
      </c>
      <c r="G41" s="1" t="s">
        <v>158</v>
      </c>
      <c r="H41" s="1" t="n">
        <v>1.71037222222222</v>
      </c>
      <c r="I41" s="1" t="n">
        <v>7.5</v>
      </c>
      <c r="J41" s="1" t="n">
        <v>9</v>
      </c>
      <c r="K41" s="1" t="n">
        <v>2</v>
      </c>
      <c r="L41" s="1" t="n">
        <v>3</v>
      </c>
      <c r="M41" s="1" t="s">
        <v>159</v>
      </c>
    </row>
    <row r="42" customFormat="false" ht="14.25" hidden="true" customHeight="true" outlineLevel="0" collapsed="false">
      <c r="A42" s="1" t="s">
        <v>98</v>
      </c>
      <c r="C42" s="1" t="s">
        <v>106</v>
      </c>
      <c r="D42" s="1" t="n">
        <v>39</v>
      </c>
      <c r="E42" s="1" t="n">
        <v>43</v>
      </c>
      <c r="F42" s="1" t="s">
        <v>160</v>
      </c>
      <c r="G42" s="1" t="s">
        <v>161</v>
      </c>
      <c r="H42" s="1" t="n">
        <v>2.70169</v>
      </c>
      <c r="I42" s="1" t="n">
        <v>10.5</v>
      </c>
      <c r="J42" s="1" t="n">
        <v>5</v>
      </c>
      <c r="K42" s="1" t="n">
        <v>3</v>
      </c>
      <c r="L42" s="1" t="n">
        <v>1</v>
      </c>
      <c r="M42" s="1" t="s">
        <v>162</v>
      </c>
    </row>
    <row r="43" customFormat="false" ht="14.25" hidden="true" customHeight="true" outlineLevel="0" collapsed="false">
      <c r="A43" s="1" t="s">
        <v>98</v>
      </c>
      <c r="C43" s="1" t="s">
        <v>104</v>
      </c>
      <c r="D43" s="1" t="n">
        <v>84</v>
      </c>
      <c r="E43" s="1" t="n">
        <v>44</v>
      </c>
      <c r="F43" s="1" t="s">
        <v>157</v>
      </c>
      <c r="G43" s="1" t="s">
        <v>163</v>
      </c>
      <c r="H43" s="1" t="n">
        <v>2.30376666666667</v>
      </c>
      <c r="I43" s="1" t="n">
        <v>10</v>
      </c>
      <c r="J43" s="1" t="n">
        <v>6</v>
      </c>
      <c r="K43" s="1" t="n">
        <v>0</v>
      </c>
      <c r="L43" s="1" t="n">
        <v>3</v>
      </c>
      <c r="M43" s="1" t="s">
        <v>164</v>
      </c>
    </row>
    <row r="44" customFormat="false" ht="14.25" hidden="true" customHeight="true" outlineLevel="0" collapsed="false">
      <c r="A44" s="1" t="s">
        <v>98</v>
      </c>
      <c r="C44" s="1" t="s">
        <v>165</v>
      </c>
      <c r="D44" s="1" t="n">
        <v>55</v>
      </c>
      <c r="E44" s="1" t="n">
        <v>45</v>
      </c>
      <c r="F44" s="1" t="s">
        <v>160</v>
      </c>
      <c r="G44" s="1" t="s">
        <v>166</v>
      </c>
      <c r="H44" s="1" t="n">
        <v>2.82735</v>
      </c>
      <c r="I44" s="1" t="n">
        <v>10.5</v>
      </c>
      <c r="J44" s="1" t="n">
        <v>5</v>
      </c>
      <c r="K44" s="1" t="n">
        <v>3</v>
      </c>
      <c r="L44" s="1" t="n">
        <v>3</v>
      </c>
      <c r="M44" s="1" t="s">
        <v>167</v>
      </c>
    </row>
    <row r="45" customFormat="false" ht="14.25" hidden="true" customHeight="true" outlineLevel="0" collapsed="false">
      <c r="A45" s="1" t="s">
        <v>98</v>
      </c>
      <c r="C45" s="1" t="s">
        <v>165</v>
      </c>
      <c r="D45" s="1" t="n">
        <v>82</v>
      </c>
      <c r="E45" s="1" t="n">
        <v>45</v>
      </c>
      <c r="F45" s="1" t="s">
        <v>157</v>
      </c>
      <c r="G45" s="1" t="s">
        <v>166</v>
      </c>
      <c r="H45" s="1" t="n">
        <v>2.82735</v>
      </c>
      <c r="I45" s="1" t="n">
        <v>10.5</v>
      </c>
      <c r="J45" s="1" t="n">
        <v>5</v>
      </c>
      <c r="K45" s="1" t="n">
        <v>3</v>
      </c>
      <c r="L45" s="1" t="n">
        <v>3</v>
      </c>
      <c r="M45" s="1" t="s">
        <v>167</v>
      </c>
    </row>
    <row r="46" customFormat="false" ht="14.25" hidden="true" customHeight="true" outlineLevel="0" collapsed="false">
      <c r="A46" s="1" t="s">
        <v>98</v>
      </c>
      <c r="C46" s="1" t="s">
        <v>106</v>
      </c>
      <c r="D46" s="1" t="n">
        <v>35</v>
      </c>
      <c r="E46" s="1" t="n">
        <v>40</v>
      </c>
      <c r="F46" s="1" t="s">
        <v>160</v>
      </c>
      <c r="G46" s="1" t="s">
        <v>168</v>
      </c>
      <c r="H46" s="1" t="n">
        <v>2.09433333333333</v>
      </c>
      <c r="I46" s="1" t="n">
        <v>10.5</v>
      </c>
      <c r="J46" s="1" t="n">
        <v>6</v>
      </c>
      <c r="K46" s="1" t="n">
        <v>3</v>
      </c>
      <c r="L46" s="1" t="n">
        <v>3</v>
      </c>
      <c r="M46" s="1" t="s">
        <v>169</v>
      </c>
    </row>
    <row r="47" customFormat="false" ht="14.25" hidden="true" customHeight="true" outlineLevel="0" collapsed="false">
      <c r="A47" s="1" t="s">
        <v>98</v>
      </c>
      <c r="C47" s="1" t="s">
        <v>106</v>
      </c>
      <c r="D47" s="1" t="n">
        <v>36</v>
      </c>
      <c r="E47" s="1" t="n">
        <v>40</v>
      </c>
      <c r="F47" s="1" t="s">
        <v>160</v>
      </c>
      <c r="G47" s="1" t="s">
        <v>168</v>
      </c>
      <c r="H47" s="1" t="n">
        <v>2.09433333333333</v>
      </c>
      <c r="I47" s="1" t="n">
        <v>10.5</v>
      </c>
      <c r="J47" s="1" t="n">
        <v>6</v>
      </c>
      <c r="K47" s="1" t="n">
        <v>3</v>
      </c>
      <c r="L47" s="1" t="n">
        <v>3</v>
      </c>
      <c r="M47" s="1" t="s">
        <v>169</v>
      </c>
    </row>
    <row r="48" customFormat="false" ht="14.25" hidden="true" customHeight="true" outlineLevel="0" collapsed="false">
      <c r="A48" s="1" t="s">
        <v>98</v>
      </c>
      <c r="C48" s="1" t="s">
        <v>156</v>
      </c>
      <c r="D48" s="1" t="n">
        <v>36</v>
      </c>
      <c r="E48" s="1" t="n">
        <v>40</v>
      </c>
      <c r="F48" s="1" t="s">
        <v>160</v>
      </c>
      <c r="G48" s="1" t="s">
        <v>168</v>
      </c>
      <c r="H48" s="1" t="n">
        <v>2.09433333333333</v>
      </c>
      <c r="I48" s="1" t="n">
        <v>10.5</v>
      </c>
      <c r="J48" s="1" t="n">
        <v>6</v>
      </c>
      <c r="K48" s="1" t="n">
        <v>3</v>
      </c>
      <c r="L48" s="1" t="n">
        <v>3</v>
      </c>
    </row>
    <row r="49" customFormat="false" ht="14.25" hidden="true" customHeight="true" outlineLevel="0" collapsed="false">
      <c r="A49" s="1" t="s">
        <v>98</v>
      </c>
      <c r="C49" s="1" t="s">
        <v>156</v>
      </c>
      <c r="D49" s="1" t="n">
        <v>75</v>
      </c>
      <c r="E49" s="1" t="n">
        <v>47</v>
      </c>
      <c r="F49" s="1" t="s">
        <v>160</v>
      </c>
      <c r="G49" s="1" t="s">
        <v>170</v>
      </c>
      <c r="H49" s="1" t="n">
        <v>1.476505</v>
      </c>
      <c r="I49" s="1" t="n">
        <v>10.5</v>
      </c>
      <c r="J49" s="1" t="n">
        <v>10</v>
      </c>
      <c r="K49" s="1" t="n">
        <v>0</v>
      </c>
      <c r="L49" s="1" t="n">
        <v>1</v>
      </c>
    </row>
    <row r="50" customFormat="false" ht="14.25" hidden="true" customHeight="true" outlineLevel="0" collapsed="false">
      <c r="A50" s="1" t="s">
        <v>98</v>
      </c>
      <c r="C50" s="1" t="s">
        <v>156</v>
      </c>
      <c r="D50" s="1" t="n">
        <v>76</v>
      </c>
      <c r="E50" s="1" t="n">
        <v>48</v>
      </c>
      <c r="F50" s="1" t="s">
        <v>160</v>
      </c>
      <c r="G50" s="1" t="s">
        <v>171</v>
      </c>
      <c r="H50" s="1" t="n">
        <v>2.5132</v>
      </c>
      <c r="I50" s="1" t="n">
        <v>10.5</v>
      </c>
      <c r="J50" s="1" t="n">
        <v>6</v>
      </c>
      <c r="K50" s="1" t="n">
        <v>3</v>
      </c>
      <c r="L50" s="1" t="n">
        <v>3</v>
      </c>
      <c r="M50" s="1" t="s">
        <v>172</v>
      </c>
    </row>
    <row r="51" customFormat="false" ht="14.25" hidden="true" customHeight="true" outlineLevel="0" collapsed="false">
      <c r="A51" s="1" t="s">
        <v>98</v>
      </c>
      <c r="B51" s="1" t="s">
        <v>22</v>
      </c>
      <c r="C51" s="1" t="s">
        <v>106</v>
      </c>
      <c r="D51" s="1" t="n">
        <v>37</v>
      </c>
      <c r="E51" s="1" t="n">
        <v>54</v>
      </c>
      <c r="F51" s="1" t="s">
        <v>160</v>
      </c>
      <c r="G51" s="1" t="s">
        <v>173</v>
      </c>
      <c r="H51" s="1" t="n">
        <v>4.241025</v>
      </c>
      <c r="I51" s="1" t="n">
        <v>10.5</v>
      </c>
      <c r="J51" s="1" t="n">
        <v>4</v>
      </c>
      <c r="K51" s="1" t="s">
        <v>102</v>
      </c>
      <c r="L51" s="1" t="n">
        <v>5</v>
      </c>
      <c r="M51" s="1" t="s">
        <v>174</v>
      </c>
    </row>
    <row r="52" customFormat="false" ht="14.25" hidden="true" customHeight="true" outlineLevel="0" collapsed="false">
      <c r="A52" s="1" t="s">
        <v>98</v>
      </c>
      <c r="B52" s="1" t="s">
        <v>175</v>
      </c>
      <c r="C52" s="1" t="s">
        <v>106</v>
      </c>
      <c r="D52" s="1" t="n">
        <v>38</v>
      </c>
      <c r="E52" s="1" t="n">
        <v>41</v>
      </c>
      <c r="F52" s="1" t="s">
        <v>160</v>
      </c>
      <c r="G52" s="1" t="s">
        <v>176</v>
      </c>
      <c r="H52" s="1" t="n">
        <v>4.29338333333333</v>
      </c>
      <c r="I52" s="1" t="n">
        <v>4.5</v>
      </c>
      <c r="J52" s="1" t="n">
        <v>3</v>
      </c>
      <c r="K52" s="1" t="n">
        <v>3</v>
      </c>
      <c r="L52" s="1" t="n">
        <v>1</v>
      </c>
      <c r="M52" s="1" t="s">
        <v>177</v>
      </c>
    </row>
    <row r="53" customFormat="false" ht="14.25" hidden="true" customHeight="true" outlineLevel="0" collapsed="false">
      <c r="A53" s="1" t="s">
        <v>98</v>
      </c>
      <c r="C53" s="1" t="s">
        <v>104</v>
      </c>
      <c r="D53" s="1" t="n">
        <v>73</v>
      </c>
      <c r="E53" s="1" t="n">
        <v>41</v>
      </c>
      <c r="F53" s="1" t="s">
        <v>157</v>
      </c>
      <c r="G53" s="1" t="s">
        <v>176</v>
      </c>
      <c r="H53" s="1" t="n">
        <v>4.29338333333333</v>
      </c>
      <c r="I53" s="1" t="n">
        <v>900</v>
      </c>
      <c r="J53" s="1" t="n">
        <v>3</v>
      </c>
      <c r="K53" s="1" t="n">
        <v>3</v>
      </c>
      <c r="L53" s="1" t="n">
        <v>2</v>
      </c>
      <c r="M53" s="1" t="s">
        <v>178</v>
      </c>
    </row>
    <row r="54" customFormat="false" ht="14.25" hidden="true" customHeight="true" outlineLevel="0" collapsed="false">
      <c r="A54" s="1" t="s">
        <v>98</v>
      </c>
      <c r="C54" s="1" t="s">
        <v>106</v>
      </c>
      <c r="D54" s="1" t="n">
        <v>41</v>
      </c>
      <c r="E54" s="1" t="n">
        <v>42</v>
      </c>
      <c r="F54" s="1" t="s">
        <v>160</v>
      </c>
      <c r="G54" s="1" t="s">
        <v>179</v>
      </c>
      <c r="H54" s="1" t="n">
        <v>3.298575</v>
      </c>
      <c r="I54" s="1" t="n">
        <v>10.5</v>
      </c>
      <c r="J54" s="1" t="n">
        <v>4</v>
      </c>
      <c r="K54" s="1" t="n">
        <v>3</v>
      </c>
      <c r="L54" s="1" t="n">
        <v>2</v>
      </c>
      <c r="M54" s="1" t="s">
        <v>180</v>
      </c>
    </row>
    <row r="55" customFormat="false" ht="14.25" hidden="true" customHeight="true" outlineLevel="0" collapsed="false">
      <c r="A55" s="1" t="s">
        <v>98</v>
      </c>
      <c r="C55" s="1" t="s">
        <v>106</v>
      </c>
      <c r="D55" s="1" t="n">
        <v>42</v>
      </c>
      <c r="E55" s="1" t="n">
        <v>53</v>
      </c>
      <c r="F55" s="1" t="s">
        <v>160</v>
      </c>
      <c r="G55" s="1" t="s">
        <v>181</v>
      </c>
      <c r="H55" s="1" t="n">
        <v>5.54998333333333</v>
      </c>
      <c r="I55" s="1" t="n">
        <v>10.5</v>
      </c>
      <c r="J55" s="1" t="n">
        <v>3</v>
      </c>
      <c r="K55" s="1" t="n">
        <v>3</v>
      </c>
      <c r="L55" s="1" t="n">
        <v>3</v>
      </c>
      <c r="M55" s="1" t="s">
        <v>182</v>
      </c>
    </row>
    <row r="56" customFormat="false" ht="14.25" hidden="true" customHeight="true" outlineLevel="0" collapsed="false">
      <c r="A56" s="1" t="s">
        <v>98</v>
      </c>
      <c r="C56" s="1" t="s">
        <v>156</v>
      </c>
      <c r="D56" s="1" t="n">
        <v>34</v>
      </c>
      <c r="E56" s="1" t="n">
        <v>45</v>
      </c>
      <c r="F56" s="1" t="s">
        <v>160</v>
      </c>
      <c r="G56" s="1" t="s">
        <v>183</v>
      </c>
      <c r="H56" s="1" t="n">
        <v>1.76709375</v>
      </c>
      <c r="I56" s="1" t="n">
        <v>6.5</v>
      </c>
      <c r="J56" s="1" t="n">
        <v>8</v>
      </c>
      <c r="K56" s="1" t="n">
        <v>3</v>
      </c>
      <c r="L56" s="1" t="n">
        <v>1</v>
      </c>
      <c r="M56" s="1" t="s">
        <v>184</v>
      </c>
    </row>
    <row r="57" customFormat="false" ht="14.25" hidden="true" customHeight="true" outlineLevel="0" collapsed="false">
      <c r="A57" s="1" t="s">
        <v>98</v>
      </c>
      <c r="B57" s="1" t="s">
        <v>185</v>
      </c>
      <c r="C57" s="1" t="s">
        <v>106</v>
      </c>
      <c r="D57" s="1" t="n">
        <v>31</v>
      </c>
      <c r="E57" s="1" t="n">
        <v>42</v>
      </c>
      <c r="F57" s="1" t="s">
        <v>160</v>
      </c>
      <c r="G57" s="1" t="s">
        <v>186</v>
      </c>
      <c r="H57" s="1" t="n">
        <v>3.298575</v>
      </c>
      <c r="I57" s="1" t="n">
        <v>6.5</v>
      </c>
      <c r="J57" s="1" t="n">
        <v>4</v>
      </c>
      <c r="K57" s="1" t="n">
        <v>3</v>
      </c>
      <c r="L57" s="1" t="n">
        <v>1</v>
      </c>
      <c r="M57" s="1" t="s">
        <v>177</v>
      </c>
    </row>
    <row r="58" customFormat="false" ht="14.25" hidden="true" customHeight="true" outlineLevel="0" collapsed="false">
      <c r="A58" s="1" t="s">
        <v>98</v>
      </c>
      <c r="C58" s="1" t="s">
        <v>106</v>
      </c>
      <c r="D58" s="1" t="n">
        <v>43</v>
      </c>
      <c r="E58" s="1" t="n">
        <v>40</v>
      </c>
      <c r="F58" s="1" t="s">
        <v>160</v>
      </c>
      <c r="G58" s="1" t="s">
        <v>187</v>
      </c>
      <c r="H58" s="1" t="n">
        <v>6.283</v>
      </c>
      <c r="I58" s="1" t="n">
        <v>10.5</v>
      </c>
      <c r="J58" s="1" t="n">
        <v>2</v>
      </c>
      <c r="K58" s="1" t="n">
        <v>3</v>
      </c>
      <c r="L58" s="1" t="n">
        <v>3</v>
      </c>
      <c r="M58" s="1" t="s">
        <v>188</v>
      </c>
    </row>
    <row r="59" customFormat="false" ht="14.25" hidden="true" customHeight="true" outlineLevel="0" collapsed="false">
      <c r="A59" s="1" t="s">
        <v>98</v>
      </c>
      <c r="B59" s="1" t="s">
        <v>189</v>
      </c>
      <c r="C59" s="1" t="s">
        <v>106</v>
      </c>
      <c r="D59" s="1" t="n">
        <v>38</v>
      </c>
      <c r="E59" s="1" t="n">
        <v>41</v>
      </c>
      <c r="F59" s="1" t="s">
        <v>160</v>
      </c>
      <c r="G59" s="1" t="s">
        <v>190</v>
      </c>
      <c r="H59" s="1" t="n">
        <v>4.29338333333333</v>
      </c>
      <c r="I59" s="1" t="n">
        <v>6.5</v>
      </c>
      <c r="J59" s="1" t="n">
        <v>3</v>
      </c>
      <c r="K59" s="1" t="n">
        <v>3</v>
      </c>
      <c r="L59" s="1" t="n">
        <v>1</v>
      </c>
      <c r="M59" s="1" t="s">
        <v>177</v>
      </c>
    </row>
    <row r="60" customFormat="false" ht="14.25" hidden="true" customHeight="true" outlineLevel="0" collapsed="false">
      <c r="A60" s="1" t="s">
        <v>98</v>
      </c>
      <c r="B60" s="1" t="s">
        <v>191</v>
      </c>
      <c r="C60" s="1" t="s">
        <v>156</v>
      </c>
      <c r="D60" s="1" t="n">
        <v>17</v>
      </c>
      <c r="E60" s="1" t="n">
        <v>43</v>
      </c>
      <c r="F60" s="1" t="s">
        <v>160</v>
      </c>
      <c r="G60" s="1" t="s">
        <v>192</v>
      </c>
      <c r="H60" s="1" t="n">
        <v>0.900563333333333</v>
      </c>
      <c r="I60" s="1" t="n">
        <v>7</v>
      </c>
      <c r="J60" s="1" t="n">
        <v>15</v>
      </c>
      <c r="K60" s="1" t="n">
        <v>3</v>
      </c>
      <c r="L60" s="1" t="n">
        <v>1</v>
      </c>
      <c r="M60" s="1" t="s">
        <v>193</v>
      </c>
    </row>
    <row r="61" customFormat="false" ht="14.25" hidden="true" customHeight="true" outlineLevel="0" collapsed="false">
      <c r="A61" s="1" t="s">
        <v>98</v>
      </c>
      <c r="B61" s="1" t="s">
        <v>22</v>
      </c>
      <c r="C61" s="1" t="s">
        <v>106</v>
      </c>
      <c r="D61" s="1" t="n">
        <v>44</v>
      </c>
      <c r="E61" s="1" t="n">
        <v>49</v>
      </c>
      <c r="F61" s="1" t="s">
        <v>160</v>
      </c>
      <c r="G61" s="1" t="s">
        <v>194</v>
      </c>
      <c r="H61" s="1" t="n">
        <v>3.8483375</v>
      </c>
      <c r="I61" s="1" t="n">
        <v>7</v>
      </c>
      <c r="J61" s="1" t="n">
        <v>4</v>
      </c>
      <c r="K61" s="1" t="n">
        <v>2</v>
      </c>
      <c r="L61" s="1" t="n">
        <v>1</v>
      </c>
    </row>
    <row r="62" customFormat="false" ht="14.25" hidden="true" customHeight="true" outlineLevel="0" collapsed="false">
      <c r="A62" s="1" t="s">
        <v>98</v>
      </c>
      <c r="B62" s="1" t="s">
        <v>195</v>
      </c>
      <c r="C62" s="1" t="s">
        <v>106</v>
      </c>
      <c r="D62" s="1" t="n">
        <v>45</v>
      </c>
      <c r="E62" s="1" t="n">
        <v>48</v>
      </c>
      <c r="F62" s="1" t="s">
        <v>160</v>
      </c>
      <c r="G62" s="1" t="s">
        <v>196</v>
      </c>
      <c r="H62" s="1" t="n">
        <v>5.0264</v>
      </c>
      <c r="I62" s="1" t="n">
        <v>7.3</v>
      </c>
      <c r="J62" s="1" t="n">
        <v>3</v>
      </c>
      <c r="K62" s="1" t="n">
        <v>3</v>
      </c>
      <c r="L62" s="1" t="n">
        <v>1</v>
      </c>
      <c r="M62" s="1" t="s">
        <v>197</v>
      </c>
    </row>
    <row r="63" customFormat="false" ht="14.25" hidden="true" customHeight="true" outlineLevel="0" collapsed="false">
      <c r="A63" s="1" t="s">
        <v>98</v>
      </c>
      <c r="C63" s="1" t="s">
        <v>156</v>
      </c>
      <c r="D63" s="1" t="n">
        <v>54</v>
      </c>
      <c r="E63" s="1" t="n">
        <v>45</v>
      </c>
      <c r="F63" s="1" t="s">
        <v>160</v>
      </c>
      <c r="G63" s="1" t="s">
        <v>198</v>
      </c>
      <c r="H63" s="1" t="n">
        <v>1.76709375</v>
      </c>
      <c r="I63" s="1" t="n">
        <v>6.7</v>
      </c>
      <c r="J63" s="1" t="n">
        <v>8</v>
      </c>
      <c r="K63" s="1" t="n">
        <v>3</v>
      </c>
      <c r="L63" s="1" t="n">
        <v>1</v>
      </c>
      <c r="M63" s="1" t="s">
        <v>164</v>
      </c>
    </row>
    <row r="64" customFormat="false" ht="14.25" hidden="true" customHeight="true" outlineLevel="0" collapsed="false">
      <c r="A64" s="1" t="s">
        <v>98</v>
      </c>
      <c r="C64" s="1" t="s">
        <v>106</v>
      </c>
      <c r="D64" s="1" t="n">
        <v>33</v>
      </c>
      <c r="E64" s="1" t="n">
        <v>42</v>
      </c>
      <c r="F64" s="1" t="s">
        <v>160</v>
      </c>
      <c r="G64" s="1" t="s">
        <v>199</v>
      </c>
      <c r="H64" s="1" t="n">
        <v>1.6492875</v>
      </c>
      <c r="I64" s="1" t="n">
        <v>7.5</v>
      </c>
      <c r="J64" s="1" t="n">
        <v>8</v>
      </c>
      <c r="K64" s="1" t="n">
        <v>3</v>
      </c>
      <c r="L64" s="1" t="n">
        <v>1</v>
      </c>
      <c r="M64" s="1" t="s">
        <v>200</v>
      </c>
    </row>
    <row r="65" customFormat="false" ht="14.25" hidden="true" customHeight="true" outlineLevel="0" collapsed="false">
      <c r="A65" s="1" t="s">
        <v>98</v>
      </c>
      <c r="C65" s="1" t="s">
        <v>108</v>
      </c>
      <c r="D65" s="1" t="n">
        <v>51</v>
      </c>
      <c r="E65" s="1" t="n">
        <v>48</v>
      </c>
      <c r="F65" s="1" t="s">
        <v>160</v>
      </c>
      <c r="G65" s="1" t="s">
        <v>201</v>
      </c>
      <c r="H65" s="1" t="n">
        <v>3.7698</v>
      </c>
      <c r="I65" s="1" t="n">
        <v>7.5</v>
      </c>
      <c r="J65" s="1" t="n">
        <v>4</v>
      </c>
      <c r="K65" s="1" t="n">
        <v>3</v>
      </c>
      <c r="L65" s="1" t="n">
        <v>1</v>
      </c>
      <c r="M65" s="1" t="s">
        <v>202</v>
      </c>
    </row>
    <row r="66" customFormat="false" ht="14.25" hidden="true" customHeight="true" outlineLevel="0" collapsed="false">
      <c r="A66" s="1" t="s">
        <v>98</v>
      </c>
      <c r="C66" s="1" t="s">
        <v>106</v>
      </c>
      <c r="D66" s="1" t="n">
        <v>52</v>
      </c>
      <c r="E66" s="1" t="n">
        <v>49</v>
      </c>
      <c r="F66" s="1" t="s">
        <v>160</v>
      </c>
      <c r="G66" s="1" t="s">
        <v>203</v>
      </c>
      <c r="H66" s="1" t="n">
        <v>1.39939545454545</v>
      </c>
      <c r="I66" s="1" t="n">
        <v>7.7</v>
      </c>
      <c r="J66" s="1" t="n">
        <v>11</v>
      </c>
      <c r="K66" s="1" t="n">
        <v>2</v>
      </c>
      <c r="L66" s="1" t="n">
        <v>1</v>
      </c>
      <c r="M66" s="1" t="s">
        <v>193</v>
      </c>
    </row>
    <row r="67" customFormat="false" ht="14.25" hidden="true" customHeight="true" outlineLevel="0" collapsed="false">
      <c r="A67" s="1" t="s">
        <v>98</v>
      </c>
      <c r="B67" s="1" t="s">
        <v>204</v>
      </c>
      <c r="C67" s="1" t="s">
        <v>106</v>
      </c>
      <c r="D67" s="1" t="n">
        <v>93</v>
      </c>
      <c r="E67" s="1" t="n">
        <v>52</v>
      </c>
      <c r="F67" s="1" t="s">
        <v>160</v>
      </c>
      <c r="G67" s="1" t="s">
        <v>205</v>
      </c>
      <c r="H67" s="1" t="n">
        <v>5.5</v>
      </c>
      <c r="I67" s="1" t="n">
        <v>7.8</v>
      </c>
      <c r="J67" s="1" t="n">
        <v>3</v>
      </c>
      <c r="K67" s="1" t="n">
        <v>3</v>
      </c>
      <c r="L67" s="1" t="n">
        <v>1</v>
      </c>
    </row>
    <row r="68" customFormat="false" ht="14.25" hidden="true" customHeight="true" outlineLevel="0" collapsed="false">
      <c r="A68" s="1" t="s">
        <v>98</v>
      </c>
      <c r="C68" s="1" t="s">
        <v>156</v>
      </c>
      <c r="D68" s="1" t="n">
        <v>70</v>
      </c>
      <c r="E68" s="1" t="n">
        <v>48</v>
      </c>
      <c r="F68" s="1" t="s">
        <v>160</v>
      </c>
      <c r="G68" s="1" t="s">
        <v>206</v>
      </c>
      <c r="H68" s="1" t="n">
        <v>3.7698</v>
      </c>
      <c r="I68" s="1" t="n">
        <v>8</v>
      </c>
      <c r="J68" s="1" t="n">
        <v>4</v>
      </c>
      <c r="K68" s="1" t="n">
        <v>3</v>
      </c>
      <c r="L68" s="1" t="n">
        <v>1</v>
      </c>
      <c r="M68" s="1" t="s">
        <v>119</v>
      </c>
    </row>
    <row r="69" customFormat="false" ht="14.25" hidden="true" customHeight="true" outlineLevel="0" collapsed="false">
      <c r="A69" s="1" t="s">
        <v>98</v>
      </c>
      <c r="B69" s="1" t="s">
        <v>195</v>
      </c>
      <c r="C69" s="1" t="s">
        <v>106</v>
      </c>
      <c r="D69" s="1" t="n">
        <v>46</v>
      </c>
      <c r="E69" s="1" t="n">
        <v>50</v>
      </c>
      <c r="F69" s="1" t="s">
        <v>160</v>
      </c>
      <c r="G69" s="1" t="s">
        <v>207</v>
      </c>
      <c r="H69" s="1" t="n">
        <v>7.85375</v>
      </c>
      <c r="I69" s="1" t="n">
        <v>8.5</v>
      </c>
      <c r="J69" s="1" t="n">
        <v>2</v>
      </c>
      <c r="K69" s="1" t="n">
        <v>3</v>
      </c>
      <c r="L69" s="1" t="n">
        <v>1</v>
      </c>
      <c r="M69" s="1" t="s">
        <v>208</v>
      </c>
    </row>
    <row r="70" customFormat="false" ht="14.25" hidden="true" customHeight="true" outlineLevel="0" collapsed="false">
      <c r="A70" s="1" t="s">
        <v>98</v>
      </c>
      <c r="C70" s="1" t="s">
        <v>106</v>
      </c>
      <c r="D70" s="1" t="n">
        <v>71</v>
      </c>
      <c r="E70" s="1" t="n">
        <v>43</v>
      </c>
      <c r="F70" s="1" t="s">
        <v>160</v>
      </c>
      <c r="G70" s="1" t="s">
        <v>209</v>
      </c>
      <c r="H70" s="1" t="n">
        <v>2.25140833333333</v>
      </c>
      <c r="I70" s="1" t="n">
        <v>9</v>
      </c>
      <c r="J70" s="1" t="n">
        <v>6</v>
      </c>
      <c r="K70" s="1" t="n">
        <v>3</v>
      </c>
      <c r="L70" s="1" t="n">
        <v>1</v>
      </c>
      <c r="M70" s="1" t="s">
        <v>119</v>
      </c>
    </row>
    <row r="71" customFormat="false" ht="14.25" hidden="true" customHeight="true" outlineLevel="0" collapsed="false">
      <c r="A71" s="1" t="s">
        <v>98</v>
      </c>
      <c r="C71" s="1" t="s">
        <v>106</v>
      </c>
      <c r="D71" s="1" t="n">
        <v>47</v>
      </c>
      <c r="E71" s="1" t="n">
        <v>43</v>
      </c>
      <c r="F71" s="1" t="s">
        <v>160</v>
      </c>
      <c r="G71" s="1" t="s">
        <v>210</v>
      </c>
      <c r="H71" s="1" t="n">
        <v>4.50281666666667</v>
      </c>
      <c r="I71" s="1" t="n">
        <v>9</v>
      </c>
      <c r="J71" s="1" t="n">
        <v>3</v>
      </c>
      <c r="K71" s="1" t="n">
        <v>3</v>
      </c>
      <c r="L71" s="1" t="n">
        <v>1</v>
      </c>
      <c r="M71" s="1" t="s">
        <v>211</v>
      </c>
    </row>
    <row r="72" customFormat="false" ht="14.25" hidden="true" customHeight="true" outlineLevel="0" collapsed="false">
      <c r="A72" s="1" t="s">
        <v>98</v>
      </c>
      <c r="C72" s="1" t="s">
        <v>106</v>
      </c>
      <c r="D72" s="1" t="n">
        <v>92</v>
      </c>
      <c r="E72" s="1" t="n">
        <v>56</v>
      </c>
      <c r="F72" s="1" t="s">
        <v>160</v>
      </c>
      <c r="G72" s="1" t="s">
        <v>212</v>
      </c>
      <c r="H72" s="1" t="n">
        <v>5.86413333333333</v>
      </c>
      <c r="I72" s="1" t="n">
        <v>9</v>
      </c>
      <c r="J72" s="1" t="n">
        <v>3</v>
      </c>
      <c r="K72" s="1" t="n">
        <v>3</v>
      </c>
      <c r="L72" s="1" t="n">
        <v>1</v>
      </c>
      <c r="M72" s="1" t="s">
        <v>200</v>
      </c>
    </row>
    <row r="73" customFormat="false" ht="14.25" hidden="true" customHeight="true" outlineLevel="0" collapsed="false">
      <c r="A73" s="1" t="s">
        <v>98</v>
      </c>
      <c r="C73" s="1" t="s">
        <v>108</v>
      </c>
      <c r="D73" s="1" t="n">
        <v>72</v>
      </c>
      <c r="E73" s="1" t="n">
        <v>56</v>
      </c>
      <c r="F73" s="1" t="s">
        <v>160</v>
      </c>
      <c r="G73" s="1" t="s">
        <v>213</v>
      </c>
      <c r="H73" s="1" t="n">
        <v>5.86413333333333</v>
      </c>
      <c r="I73" s="1" t="n">
        <v>9</v>
      </c>
      <c r="J73" s="1" t="n">
        <v>3</v>
      </c>
      <c r="K73" s="1" t="n">
        <v>3</v>
      </c>
      <c r="L73" s="1" t="n">
        <v>1</v>
      </c>
      <c r="M73" s="1" t="s">
        <v>119</v>
      </c>
    </row>
    <row r="74" customFormat="false" ht="14.25" hidden="true" customHeight="true" outlineLevel="0" collapsed="false">
      <c r="A74" s="1" t="s">
        <v>98</v>
      </c>
      <c r="C74" s="1" t="s">
        <v>156</v>
      </c>
      <c r="D74" s="1" t="n">
        <v>74</v>
      </c>
      <c r="E74" s="1" t="n">
        <v>47</v>
      </c>
      <c r="F74" s="1" t="s">
        <v>160</v>
      </c>
      <c r="G74" s="1" t="s">
        <v>214</v>
      </c>
      <c r="H74" s="1" t="n">
        <v>1.476505</v>
      </c>
      <c r="I74" s="1" t="n">
        <v>9.5</v>
      </c>
      <c r="J74" s="1" t="n">
        <v>10</v>
      </c>
      <c r="K74" s="1" t="n">
        <v>0</v>
      </c>
      <c r="L74" s="1" t="n">
        <v>1</v>
      </c>
      <c r="M74" s="1" t="s">
        <v>215</v>
      </c>
    </row>
    <row r="75" customFormat="false" ht="14.25" hidden="true" customHeight="true" outlineLevel="0" collapsed="false">
      <c r="A75" s="1" t="s">
        <v>98</v>
      </c>
      <c r="C75" s="1" t="s">
        <v>156</v>
      </c>
      <c r="D75" s="1" t="n">
        <v>68</v>
      </c>
      <c r="E75" s="1" t="n">
        <v>43</v>
      </c>
      <c r="F75" s="1" t="s">
        <v>160</v>
      </c>
      <c r="G75" s="1" t="s">
        <v>216</v>
      </c>
      <c r="H75" s="1" t="n">
        <v>2.25140833333333</v>
      </c>
      <c r="I75" s="1" t="n">
        <v>9.5</v>
      </c>
      <c r="J75" s="1" t="n">
        <v>6</v>
      </c>
      <c r="K75" s="1" t="n">
        <v>3</v>
      </c>
      <c r="L75" s="1" t="n">
        <v>1</v>
      </c>
      <c r="M75" s="1" t="s">
        <v>119</v>
      </c>
    </row>
    <row r="76" customFormat="false" ht="14.25" hidden="true" customHeight="true" outlineLevel="0" collapsed="false">
      <c r="A76" s="1" t="s">
        <v>98</v>
      </c>
      <c r="C76" s="1" t="s">
        <v>111</v>
      </c>
      <c r="D76" s="1" t="n">
        <v>53</v>
      </c>
      <c r="E76" s="1" t="n">
        <v>46</v>
      </c>
      <c r="F76" s="1" t="s">
        <v>160</v>
      </c>
      <c r="G76" s="1" t="s">
        <v>217</v>
      </c>
      <c r="H76" s="1" t="n">
        <v>4.81696666666667</v>
      </c>
      <c r="I76" s="1" t="n">
        <v>10.5</v>
      </c>
      <c r="J76" s="1" t="n">
        <v>3</v>
      </c>
      <c r="K76" s="1" t="s">
        <v>102</v>
      </c>
      <c r="L76" s="1" t="n">
        <v>1</v>
      </c>
      <c r="M76" s="1" t="s">
        <v>218</v>
      </c>
    </row>
    <row r="77" customFormat="false" ht="14.25" hidden="true" customHeight="true" outlineLevel="0" collapsed="false">
      <c r="A77" s="1" t="s">
        <v>98</v>
      </c>
      <c r="B77" s="1" t="s">
        <v>219</v>
      </c>
      <c r="C77" s="1" t="s">
        <v>220</v>
      </c>
      <c r="D77" s="1" t="n">
        <v>48</v>
      </c>
      <c r="E77" s="1" t="n">
        <v>50</v>
      </c>
      <c r="F77" s="1" t="s">
        <v>160</v>
      </c>
      <c r="G77" s="1" t="s">
        <v>221</v>
      </c>
      <c r="H77" s="1" t="n">
        <v>5.23583333333333</v>
      </c>
      <c r="I77" s="1" t="n">
        <v>10.5</v>
      </c>
      <c r="J77" s="1" t="n">
        <v>3</v>
      </c>
      <c r="K77" s="1" t="n">
        <v>3</v>
      </c>
      <c r="L77" s="1" t="n">
        <v>1</v>
      </c>
      <c r="M77" s="1" t="s">
        <v>222</v>
      </c>
    </row>
    <row r="78" customFormat="false" ht="14.25" hidden="true" customHeight="true" outlineLevel="0" collapsed="false">
      <c r="A78" s="1" t="s">
        <v>98</v>
      </c>
      <c r="C78" s="1" t="s">
        <v>220</v>
      </c>
      <c r="D78" s="1" t="n">
        <v>49</v>
      </c>
      <c r="E78" s="1" t="n">
        <v>55</v>
      </c>
      <c r="F78" s="1" t="s">
        <v>160</v>
      </c>
      <c r="G78" s="1" t="s">
        <v>223</v>
      </c>
      <c r="H78" s="1" t="n">
        <v>5.75941666666667</v>
      </c>
      <c r="I78" s="1" t="n">
        <v>10.5</v>
      </c>
      <c r="J78" s="1" t="n">
        <v>3</v>
      </c>
      <c r="K78" s="1" t="s">
        <v>102</v>
      </c>
      <c r="L78" s="1" t="n">
        <v>1</v>
      </c>
      <c r="M78" s="1" t="s">
        <v>188</v>
      </c>
    </row>
    <row r="79" customFormat="false" ht="14.25" hidden="true" customHeight="true" outlineLevel="0" collapsed="false">
      <c r="A79" s="1" t="s">
        <v>98</v>
      </c>
      <c r="C79" s="1" t="s">
        <v>106</v>
      </c>
      <c r="D79" s="1" t="n">
        <v>50</v>
      </c>
      <c r="E79" s="1" t="n">
        <v>66</v>
      </c>
      <c r="F79" s="1" t="s">
        <v>160</v>
      </c>
      <c r="G79" s="1" t="s">
        <v>224</v>
      </c>
      <c r="H79" s="1" t="n">
        <v>10.36695</v>
      </c>
      <c r="I79" s="1" t="n">
        <v>6</v>
      </c>
      <c r="J79" s="1" t="n">
        <v>2</v>
      </c>
      <c r="K79" s="1" t="n">
        <v>3</v>
      </c>
      <c r="L79" s="1" t="n">
        <v>1</v>
      </c>
      <c r="M79" s="1" t="s">
        <v>225</v>
      </c>
    </row>
    <row r="80" customFormat="false" ht="14.25" hidden="true" customHeight="true" outlineLevel="0" collapsed="false">
      <c r="A80" s="1" t="s">
        <v>98</v>
      </c>
      <c r="B80" s="1" t="s">
        <v>226</v>
      </c>
      <c r="C80" s="1" t="s">
        <v>106</v>
      </c>
      <c r="D80" s="1" t="n">
        <v>56</v>
      </c>
      <c r="E80" s="1" t="n">
        <v>40</v>
      </c>
      <c r="F80" s="1" t="s">
        <v>160</v>
      </c>
      <c r="G80" s="1" t="s">
        <v>227</v>
      </c>
      <c r="H80" s="1" t="n">
        <v>6.283</v>
      </c>
      <c r="I80" s="1" t="n">
        <v>10.5</v>
      </c>
      <c r="J80" s="1" t="n">
        <v>2</v>
      </c>
      <c r="K80" s="1" t="n">
        <v>3</v>
      </c>
      <c r="L80" s="1" t="n">
        <v>1</v>
      </c>
      <c r="M80" s="1" t="s">
        <v>228</v>
      </c>
    </row>
    <row r="81" customFormat="false" ht="14.25" hidden="true" customHeight="true" outlineLevel="0" collapsed="false">
      <c r="A81" s="1" t="s">
        <v>98</v>
      </c>
      <c r="C81" s="1" t="s">
        <v>111</v>
      </c>
      <c r="D81" s="1" t="n">
        <v>94</v>
      </c>
      <c r="E81" s="1" t="n">
        <v>50</v>
      </c>
      <c r="F81" s="1" t="s">
        <v>160</v>
      </c>
      <c r="G81" s="1" t="s">
        <v>229</v>
      </c>
      <c r="H81" s="1" t="n">
        <v>7.85375</v>
      </c>
      <c r="I81" s="1" t="n">
        <v>11</v>
      </c>
      <c r="J81" s="1" t="n">
        <v>2</v>
      </c>
      <c r="K81" s="1" t="n">
        <v>2</v>
      </c>
      <c r="L81" s="1" t="n">
        <v>1</v>
      </c>
      <c r="M81" s="1" t="s">
        <v>230</v>
      </c>
    </row>
    <row r="82" customFormat="false" ht="14.25" hidden="true" customHeight="true" outlineLevel="0" collapsed="false">
      <c r="A82" s="1" t="s">
        <v>98</v>
      </c>
      <c r="C82" s="1" t="s">
        <v>106</v>
      </c>
      <c r="D82" s="1" t="n">
        <v>57</v>
      </c>
      <c r="E82" s="1" t="n">
        <v>52</v>
      </c>
      <c r="F82" s="1" t="s">
        <v>160</v>
      </c>
      <c r="G82" s="1" t="s">
        <v>231</v>
      </c>
      <c r="H82" s="1" t="n">
        <v>8.1679</v>
      </c>
      <c r="I82" s="1" t="n">
        <v>10.5</v>
      </c>
      <c r="J82" s="1" t="n">
        <v>2</v>
      </c>
      <c r="K82" s="1" t="n">
        <v>3</v>
      </c>
      <c r="L82" s="1" t="n">
        <v>1</v>
      </c>
      <c r="M82" s="1" t="s">
        <v>232</v>
      </c>
    </row>
    <row r="83" customFormat="false" ht="14.25" hidden="true" customHeight="true" outlineLevel="0" collapsed="false">
      <c r="A83" s="1" t="s">
        <v>98</v>
      </c>
      <c r="C83" s="1" t="s">
        <v>106</v>
      </c>
      <c r="D83" s="1" t="n">
        <v>58</v>
      </c>
      <c r="E83" s="1" t="n">
        <v>70</v>
      </c>
      <c r="F83" s="1" t="s">
        <v>160</v>
      </c>
      <c r="G83" s="1" t="s">
        <v>233</v>
      </c>
      <c r="H83" s="1" t="n">
        <v>7.33016666666667</v>
      </c>
      <c r="I83" s="1" t="n">
        <v>11</v>
      </c>
      <c r="J83" s="1" t="n">
        <v>3</v>
      </c>
      <c r="K83" s="1" t="n">
        <v>3</v>
      </c>
      <c r="L83" s="1" t="n">
        <v>1</v>
      </c>
      <c r="M83" s="1" t="s">
        <v>234</v>
      </c>
    </row>
    <row r="84" customFormat="false" ht="14.25" hidden="true" customHeight="true" outlineLevel="0" collapsed="false">
      <c r="A84" s="1" t="s">
        <v>98</v>
      </c>
      <c r="C84" s="1" t="s">
        <v>156</v>
      </c>
      <c r="D84" s="1" t="n">
        <v>69</v>
      </c>
      <c r="E84" s="1" t="n">
        <v>43</v>
      </c>
      <c r="F84" s="1" t="s">
        <v>160</v>
      </c>
      <c r="G84" s="1" t="s">
        <v>235</v>
      </c>
      <c r="H84" s="1" t="n">
        <v>2.25140833333333</v>
      </c>
      <c r="I84" s="1" t="n">
        <v>11</v>
      </c>
      <c r="J84" s="1" t="n">
        <v>6</v>
      </c>
      <c r="K84" s="1" t="n">
        <v>3</v>
      </c>
      <c r="L84" s="1" t="n">
        <v>1</v>
      </c>
      <c r="M84" s="1" t="s">
        <v>119</v>
      </c>
    </row>
    <row r="85" customFormat="false" ht="14.25" hidden="true" customHeight="true" outlineLevel="0" collapsed="false">
      <c r="A85" s="1" t="s">
        <v>98</v>
      </c>
      <c r="C85" s="1" t="s">
        <v>111</v>
      </c>
      <c r="D85" s="1" t="n">
        <v>77</v>
      </c>
      <c r="E85" s="1" t="n">
        <v>72</v>
      </c>
      <c r="F85" s="1" t="s">
        <v>160</v>
      </c>
      <c r="G85" s="1" t="s">
        <v>236</v>
      </c>
      <c r="H85" s="1" t="n">
        <v>11.3094</v>
      </c>
      <c r="I85" s="1" t="n">
        <v>9.5</v>
      </c>
      <c r="J85" s="1" t="n">
        <v>2</v>
      </c>
      <c r="K85" s="1" t="n">
        <v>0</v>
      </c>
      <c r="L85" s="1" t="n">
        <v>1</v>
      </c>
      <c r="M85" s="1" t="s">
        <v>237</v>
      </c>
    </row>
    <row r="86" customFormat="false" ht="14.25" hidden="true" customHeight="true" outlineLevel="0" collapsed="false">
      <c r="A86" s="1" t="s">
        <v>98</v>
      </c>
      <c r="C86" s="1" t="s">
        <v>106</v>
      </c>
      <c r="D86" s="1" t="n">
        <v>59</v>
      </c>
      <c r="E86" s="1" t="n">
        <v>75</v>
      </c>
      <c r="F86" s="1" t="s">
        <v>160</v>
      </c>
      <c r="G86" s="1" t="s">
        <v>238</v>
      </c>
      <c r="H86" s="1" t="n">
        <v>11.780625</v>
      </c>
      <c r="I86" s="1" t="n">
        <v>10.5</v>
      </c>
      <c r="J86" s="1" t="n">
        <v>2</v>
      </c>
      <c r="K86" s="1" t="n">
        <v>3</v>
      </c>
      <c r="L86" s="1" t="n">
        <v>1</v>
      </c>
      <c r="M86" s="1" t="s">
        <v>239</v>
      </c>
    </row>
    <row r="87" customFormat="false" ht="14.25" hidden="true" customHeight="true" outlineLevel="0" collapsed="false">
      <c r="A87" s="1" t="s">
        <v>98</v>
      </c>
      <c r="D87" s="1" t="n">
        <v>83</v>
      </c>
      <c r="E87" s="1" t="n">
        <v>42</v>
      </c>
      <c r="F87" s="1" t="s">
        <v>157</v>
      </c>
      <c r="G87" s="1" t="s">
        <v>240</v>
      </c>
      <c r="H87" s="1" t="n">
        <v>13.1943</v>
      </c>
      <c r="I87" s="1" t="n">
        <v>5.5</v>
      </c>
      <c r="J87" s="1" t="n">
        <v>1</v>
      </c>
      <c r="K87" s="1" t="n">
        <v>3</v>
      </c>
      <c r="L87" s="1" t="n">
        <v>1</v>
      </c>
    </row>
    <row r="88" customFormat="false" ht="14.25" hidden="true" customHeight="true" outlineLevel="0" collapsed="false">
      <c r="A88" s="1" t="s">
        <v>98</v>
      </c>
      <c r="C88" s="1" t="s">
        <v>106</v>
      </c>
      <c r="D88" s="1" t="n">
        <v>60</v>
      </c>
      <c r="E88" s="1" t="n">
        <v>41</v>
      </c>
      <c r="F88" s="1" t="s">
        <v>160</v>
      </c>
      <c r="G88" s="1" t="s">
        <v>241</v>
      </c>
      <c r="H88" s="1" t="n">
        <v>12.88015</v>
      </c>
      <c r="I88" s="1" t="n">
        <v>8.5</v>
      </c>
      <c r="J88" s="1" t="n">
        <v>1</v>
      </c>
      <c r="K88" s="1" t="n">
        <v>3</v>
      </c>
      <c r="L88" s="1" t="n">
        <v>1</v>
      </c>
      <c r="M88" s="1" t="s">
        <v>242</v>
      </c>
    </row>
    <row r="89" customFormat="false" ht="14.25" hidden="true" customHeight="true" outlineLevel="0" collapsed="false">
      <c r="A89" s="1" t="s">
        <v>98</v>
      </c>
      <c r="C89" s="1" t="s">
        <v>106</v>
      </c>
      <c r="D89" s="1" t="n">
        <v>61</v>
      </c>
      <c r="E89" s="1" t="n">
        <v>42</v>
      </c>
      <c r="F89" s="1" t="s">
        <v>160</v>
      </c>
      <c r="G89" s="1" t="s">
        <v>243</v>
      </c>
      <c r="H89" s="1" t="n">
        <v>13.1943</v>
      </c>
      <c r="I89" s="1" t="n">
        <v>7.5</v>
      </c>
      <c r="J89" s="1" t="n">
        <v>1</v>
      </c>
      <c r="K89" s="1" t="n">
        <v>3</v>
      </c>
      <c r="L89" s="1" t="n">
        <v>1</v>
      </c>
      <c r="M89" s="1" t="s">
        <v>244</v>
      </c>
    </row>
    <row r="90" customFormat="false" ht="14.25" hidden="true" customHeight="true" outlineLevel="0" collapsed="false">
      <c r="A90" s="1" t="s">
        <v>98</v>
      </c>
      <c r="C90" s="1" t="s">
        <v>106</v>
      </c>
      <c r="D90" s="1" t="n">
        <v>62</v>
      </c>
      <c r="E90" s="1" t="n">
        <v>49</v>
      </c>
      <c r="F90" s="1" t="s">
        <v>160</v>
      </c>
      <c r="G90" s="1" t="s">
        <v>245</v>
      </c>
      <c r="H90" s="1" t="n">
        <v>15.39335</v>
      </c>
      <c r="I90" s="1" t="n">
        <v>10</v>
      </c>
      <c r="J90" s="1" t="n">
        <v>1</v>
      </c>
      <c r="K90" s="1" t="n">
        <v>2</v>
      </c>
      <c r="L90" s="1" t="n">
        <v>3</v>
      </c>
      <c r="M90" s="1" t="s">
        <v>246</v>
      </c>
    </row>
    <row r="91" customFormat="false" ht="14.25" hidden="true" customHeight="true" outlineLevel="0" collapsed="false">
      <c r="A91" s="1" t="s">
        <v>98</v>
      </c>
      <c r="C91" s="1" t="s">
        <v>106</v>
      </c>
      <c r="D91" s="1" t="n">
        <v>63</v>
      </c>
      <c r="E91" s="1" t="n">
        <v>52</v>
      </c>
      <c r="F91" s="1" t="s">
        <v>160</v>
      </c>
      <c r="G91" s="1" t="s">
        <v>247</v>
      </c>
      <c r="H91" s="1" t="n">
        <v>16.3358</v>
      </c>
      <c r="I91" s="1" t="n">
        <v>7.5</v>
      </c>
      <c r="J91" s="1" t="n">
        <v>1</v>
      </c>
      <c r="K91" s="1" t="n">
        <v>3</v>
      </c>
      <c r="L91" s="1" t="n">
        <v>1</v>
      </c>
      <c r="M91" s="1" t="s">
        <v>248</v>
      </c>
    </row>
    <row r="92" customFormat="false" ht="14.25" hidden="true" customHeight="true" outlineLevel="0" collapsed="false">
      <c r="A92" s="1" t="s">
        <v>98</v>
      </c>
      <c r="C92" s="1" t="s">
        <v>106</v>
      </c>
      <c r="D92" s="1" t="n">
        <v>67</v>
      </c>
      <c r="E92" s="1" t="n">
        <v>62</v>
      </c>
      <c r="F92" s="1" t="s">
        <v>160</v>
      </c>
      <c r="G92" s="1" t="s">
        <v>249</v>
      </c>
      <c r="H92" s="1" t="n">
        <v>19.4773</v>
      </c>
      <c r="I92" s="1" t="n">
        <v>10.5</v>
      </c>
      <c r="J92" s="1" t="n">
        <v>1</v>
      </c>
      <c r="K92" s="1" t="n">
        <v>3</v>
      </c>
      <c r="L92" s="1" t="n">
        <v>2</v>
      </c>
      <c r="M92" s="1" t="s">
        <v>250</v>
      </c>
    </row>
    <row r="93" customFormat="false" ht="14.25" hidden="true" customHeight="true" outlineLevel="0" collapsed="false">
      <c r="A93" s="1" t="s">
        <v>98</v>
      </c>
      <c r="B93" s="1" t="s">
        <v>23</v>
      </c>
      <c r="C93" s="1" t="s">
        <v>108</v>
      </c>
      <c r="D93" s="1" t="n">
        <v>64</v>
      </c>
      <c r="E93" s="1" t="n">
        <v>64</v>
      </c>
      <c r="F93" s="1" t="s">
        <v>160</v>
      </c>
      <c r="G93" s="1" t="s">
        <v>251</v>
      </c>
      <c r="H93" s="1" t="n">
        <v>20.1056</v>
      </c>
      <c r="I93" s="1" t="n">
        <v>10.5</v>
      </c>
      <c r="J93" s="1" t="n">
        <v>1</v>
      </c>
      <c r="K93" s="1" t="n">
        <v>3</v>
      </c>
      <c r="L93" s="1" t="n">
        <v>1</v>
      </c>
      <c r="M93" s="1" t="s">
        <v>252</v>
      </c>
    </row>
    <row r="94" customFormat="false" ht="14.25" hidden="true" customHeight="true" outlineLevel="0" collapsed="false">
      <c r="A94" s="1" t="s">
        <v>98</v>
      </c>
      <c r="C94" s="1" t="s">
        <v>106</v>
      </c>
      <c r="D94" s="1" t="n">
        <v>66</v>
      </c>
      <c r="E94" s="1" t="n">
        <v>73</v>
      </c>
      <c r="F94" s="1" t="s">
        <v>160</v>
      </c>
      <c r="G94" s="1" t="s">
        <v>253</v>
      </c>
      <c r="H94" s="1" t="n">
        <v>22.93295</v>
      </c>
      <c r="I94" s="1" t="n">
        <v>11</v>
      </c>
      <c r="J94" s="1" t="n">
        <v>1</v>
      </c>
      <c r="K94" s="1" t="n">
        <v>1</v>
      </c>
      <c r="L94" s="1" t="n">
        <v>1</v>
      </c>
      <c r="M94" s="1" t="s">
        <v>250</v>
      </c>
    </row>
    <row r="95" customFormat="false" ht="14.25" hidden="true" customHeight="true" outlineLevel="0" collapsed="false">
      <c r="A95" s="1" t="s">
        <v>98</v>
      </c>
    </row>
    <row r="96" customFormat="false" ht="14.25" hidden="true" customHeight="true" outlineLevel="0" collapsed="false">
      <c r="A96" s="1" t="s">
        <v>98</v>
      </c>
    </row>
    <row r="97" customFormat="false" ht="14.25" hidden="true" customHeight="true" outlineLevel="0" collapsed="false">
      <c r="A97" s="1" t="s">
        <v>98</v>
      </c>
      <c r="B97" s="1" t="s">
        <v>254</v>
      </c>
      <c r="C97" s="1" t="s">
        <v>106</v>
      </c>
      <c r="D97" s="1" t="n">
        <v>78</v>
      </c>
      <c r="E97" s="1" t="n">
        <v>48</v>
      </c>
      <c r="F97" s="1" t="s">
        <v>255</v>
      </c>
      <c r="G97" s="1" t="s">
        <v>256</v>
      </c>
      <c r="H97" s="1" t="n">
        <v>3.7698</v>
      </c>
      <c r="I97" s="1" t="n">
        <v>5</v>
      </c>
      <c r="J97" s="1" t="n">
        <v>4</v>
      </c>
      <c r="K97" s="1" t="n">
        <v>3</v>
      </c>
      <c r="L97" s="1" t="n">
        <v>3</v>
      </c>
      <c r="M97" s="1" t="s">
        <v>257</v>
      </c>
    </row>
    <row r="98" customFormat="false" ht="14.25" hidden="true" customHeight="true" outlineLevel="0" collapsed="false">
      <c r="A98" s="1" t="s">
        <v>98</v>
      </c>
      <c r="B98" s="1" t="s">
        <v>258</v>
      </c>
      <c r="C98" s="1" t="s">
        <v>106</v>
      </c>
      <c r="D98" s="1" t="n">
        <v>78</v>
      </c>
      <c r="E98" s="1" t="n">
        <v>48</v>
      </c>
      <c r="F98" s="1" t="s">
        <v>255</v>
      </c>
      <c r="G98" s="1" t="s">
        <v>259</v>
      </c>
      <c r="H98" s="1" t="n">
        <v>5.0264</v>
      </c>
      <c r="I98" s="1" t="n">
        <v>4.5</v>
      </c>
      <c r="J98" s="1" t="n">
        <v>3</v>
      </c>
      <c r="K98" s="1" t="n">
        <v>3</v>
      </c>
      <c r="L98" s="1" t="n">
        <v>1</v>
      </c>
      <c r="M98" s="1" t="s">
        <v>260</v>
      </c>
    </row>
    <row r="99" customFormat="false" ht="14.25" hidden="true" customHeight="true" outlineLevel="0" collapsed="false">
      <c r="A99" s="1" t="s">
        <v>98</v>
      </c>
      <c r="C99" s="1" t="s">
        <v>106</v>
      </c>
      <c r="D99" s="1" t="n">
        <v>27</v>
      </c>
      <c r="E99" s="1" t="n">
        <v>56</v>
      </c>
      <c r="F99" s="1" t="s">
        <v>255</v>
      </c>
      <c r="G99" s="1" t="s">
        <v>261</v>
      </c>
      <c r="H99" s="1" t="n">
        <v>5.86413333333333</v>
      </c>
      <c r="I99" s="1" t="n">
        <v>4</v>
      </c>
      <c r="J99" s="1" t="n">
        <v>3</v>
      </c>
      <c r="K99" s="1" t="n">
        <v>3</v>
      </c>
      <c r="L99" s="1" t="n">
        <v>1</v>
      </c>
      <c r="M99" s="1" t="s">
        <v>262</v>
      </c>
    </row>
    <row r="100" customFormat="false" ht="14.25" hidden="true" customHeight="true" outlineLevel="0" collapsed="false">
      <c r="A100" s="1" t="s">
        <v>98</v>
      </c>
      <c r="C100" s="1" t="s">
        <v>106</v>
      </c>
      <c r="D100" s="1" t="n">
        <v>29</v>
      </c>
      <c r="E100" s="1" t="n">
        <v>57</v>
      </c>
      <c r="F100" s="1" t="s">
        <v>255</v>
      </c>
      <c r="G100" s="1" t="s">
        <v>263</v>
      </c>
      <c r="H100" s="1" t="n">
        <v>5.96885</v>
      </c>
      <c r="I100" s="1" t="n">
        <v>3.5</v>
      </c>
      <c r="J100" s="1" t="n">
        <v>3</v>
      </c>
      <c r="K100" s="1" t="n">
        <v>3</v>
      </c>
      <c r="L100" s="1" t="n">
        <v>1</v>
      </c>
      <c r="M100" s="1" t="s">
        <v>264</v>
      </c>
    </row>
    <row r="101" customFormat="false" ht="14.25" hidden="true" customHeight="true" outlineLevel="0" collapsed="false">
      <c r="A101" s="1" t="s">
        <v>98</v>
      </c>
      <c r="B101" s="1" t="s">
        <v>265</v>
      </c>
      <c r="C101" s="1" t="s">
        <v>106</v>
      </c>
      <c r="D101" s="1" t="n">
        <v>1</v>
      </c>
      <c r="E101" s="1" t="n">
        <v>40</v>
      </c>
      <c r="F101" s="1" t="s">
        <v>255</v>
      </c>
      <c r="G101" s="1" t="s">
        <v>266</v>
      </c>
      <c r="H101" s="1" t="n">
        <v>3.1415</v>
      </c>
      <c r="I101" s="1" t="n">
        <v>7.5</v>
      </c>
      <c r="J101" s="1" t="n">
        <v>4</v>
      </c>
      <c r="K101" s="1" t="n">
        <v>3</v>
      </c>
      <c r="L101" s="1" t="n">
        <v>1</v>
      </c>
      <c r="M101" s="1" t="s">
        <v>267</v>
      </c>
    </row>
    <row r="102" customFormat="false" ht="14.25" hidden="true" customHeight="true" outlineLevel="0" collapsed="false">
      <c r="A102" s="1" t="s">
        <v>98</v>
      </c>
      <c r="C102" s="1" t="s">
        <v>106</v>
      </c>
      <c r="D102" s="1" t="n">
        <v>79</v>
      </c>
      <c r="E102" s="1" t="n">
        <v>57</v>
      </c>
      <c r="F102" s="1" t="s">
        <v>255</v>
      </c>
      <c r="G102" s="1" t="s">
        <v>268</v>
      </c>
      <c r="H102" s="1" t="n">
        <v>8.953275</v>
      </c>
      <c r="I102" s="1" t="n">
        <v>8</v>
      </c>
      <c r="J102" s="1" t="n">
        <v>2</v>
      </c>
      <c r="K102" s="1" t="n">
        <v>3</v>
      </c>
      <c r="L102" s="1" t="n">
        <v>1</v>
      </c>
      <c r="M102" s="1" t="s">
        <v>260</v>
      </c>
    </row>
    <row r="103" customFormat="false" ht="14.25" hidden="true" customHeight="true" outlineLevel="0" collapsed="false">
      <c r="A103" s="1" t="s">
        <v>98</v>
      </c>
      <c r="C103" s="1" t="s">
        <v>106</v>
      </c>
      <c r="D103" s="1" t="n">
        <v>80</v>
      </c>
      <c r="E103" s="1" t="n">
        <v>64</v>
      </c>
      <c r="F103" s="1" t="s">
        <v>255</v>
      </c>
      <c r="G103" s="1" t="s">
        <v>269</v>
      </c>
      <c r="H103" s="1" t="n">
        <v>10.0528</v>
      </c>
      <c r="I103" s="1" t="n">
        <v>7</v>
      </c>
      <c r="J103" s="1" t="n">
        <v>2</v>
      </c>
      <c r="K103" s="1" t="n">
        <v>3</v>
      </c>
      <c r="L103" s="1" t="n">
        <v>1</v>
      </c>
      <c r="M103" s="1" t="s">
        <v>270</v>
      </c>
    </row>
    <row r="104" customFormat="false" ht="14.25" hidden="true" customHeight="true" outlineLevel="0" collapsed="false">
      <c r="A104" s="1" t="s">
        <v>98</v>
      </c>
      <c r="C104" s="1" t="s">
        <v>108</v>
      </c>
      <c r="D104" s="1" t="n">
        <v>19</v>
      </c>
      <c r="E104" s="1" t="n">
        <v>57</v>
      </c>
      <c r="F104" s="1" t="s">
        <v>255</v>
      </c>
      <c r="G104" s="1" t="s">
        <v>271</v>
      </c>
      <c r="H104" s="1" t="n">
        <v>17.90655</v>
      </c>
      <c r="I104" s="1" t="n">
        <v>4</v>
      </c>
      <c r="J104" s="1" t="n">
        <v>1</v>
      </c>
      <c r="K104" s="1" t="n">
        <v>3</v>
      </c>
      <c r="L104" s="1" t="n">
        <v>1</v>
      </c>
      <c r="M104" s="1" t="s">
        <v>272</v>
      </c>
    </row>
    <row r="105" customFormat="false" ht="14.25" hidden="true" customHeight="true" outlineLevel="0" collapsed="false">
      <c r="A105" s="1" t="s">
        <v>98</v>
      </c>
    </row>
    <row r="106" customFormat="false" ht="14.25" hidden="true" customHeight="true" outlineLevel="0" collapsed="false">
      <c r="A106" s="1" t="s">
        <v>98</v>
      </c>
      <c r="C106" s="1" t="s">
        <v>111</v>
      </c>
      <c r="D106" s="1" t="n">
        <v>85</v>
      </c>
      <c r="E106" s="1" t="n">
        <v>51</v>
      </c>
      <c r="F106" s="1" t="s">
        <v>273</v>
      </c>
      <c r="G106" s="1" t="s">
        <v>274</v>
      </c>
      <c r="H106" s="1" t="n">
        <v>16.2</v>
      </c>
      <c r="I106" s="1" t="n">
        <v>11</v>
      </c>
      <c r="J106" s="1" t="n">
        <v>1</v>
      </c>
      <c r="K106" s="1" t="n">
        <v>1</v>
      </c>
      <c r="L106" s="1" t="n">
        <v>2</v>
      </c>
      <c r="M106" s="1" t="s">
        <v>275</v>
      </c>
    </row>
    <row r="107" customFormat="false" ht="14.25" hidden="true" customHeight="true" outlineLevel="0" collapsed="false">
      <c r="A107" s="1" t="s">
        <v>98</v>
      </c>
    </row>
    <row r="108" customFormat="false" ht="14.25" hidden="true" customHeight="true" outlineLevel="0" collapsed="false">
      <c r="A108" s="1" t="s">
        <v>98</v>
      </c>
      <c r="D108" s="1" t="n">
        <v>86</v>
      </c>
      <c r="E108" s="1" t="n">
        <v>44</v>
      </c>
      <c r="F108" s="1" t="s">
        <v>23</v>
      </c>
      <c r="G108" s="1" t="s">
        <v>163</v>
      </c>
      <c r="M108" s="1" t="s">
        <v>164</v>
      </c>
    </row>
    <row r="109" customFormat="false" ht="14.25" hidden="true" customHeight="true" outlineLevel="0" collapsed="false">
      <c r="A109" s="1" t="s">
        <v>98</v>
      </c>
      <c r="B109" s="1" t="s">
        <v>23</v>
      </c>
      <c r="C109" s="1" t="s">
        <v>111</v>
      </c>
      <c r="D109" s="1" t="n">
        <v>65</v>
      </c>
      <c r="E109" s="1" t="n">
        <v>46</v>
      </c>
      <c r="F109" s="1" t="s">
        <v>23</v>
      </c>
      <c r="G109" s="1" t="s">
        <v>276</v>
      </c>
      <c r="H109" s="1" t="n">
        <v>4.8</v>
      </c>
      <c r="I109" s="1" t="n">
        <v>10.5</v>
      </c>
      <c r="J109" s="1" t="n">
        <v>3</v>
      </c>
      <c r="K109" s="1" t="n">
        <v>3</v>
      </c>
      <c r="L109" s="1" t="n">
        <v>1</v>
      </c>
      <c r="M109" s="1" t="s">
        <v>218</v>
      </c>
    </row>
    <row r="110" customFormat="false" ht="14.25" hidden="true" customHeight="true" outlineLevel="0" collapsed="false">
      <c r="A110" s="1" t="s">
        <v>98</v>
      </c>
      <c r="D110" s="1" t="n">
        <v>87</v>
      </c>
      <c r="E110" s="1" t="n">
        <v>50</v>
      </c>
      <c r="F110" s="1" t="s">
        <v>23</v>
      </c>
      <c r="G110" s="1" t="s">
        <v>277</v>
      </c>
      <c r="H110" s="1" t="n">
        <v>5.2</v>
      </c>
      <c r="I110" s="1" t="n">
        <v>10.5</v>
      </c>
      <c r="J110" s="1" t="n">
        <v>3</v>
      </c>
      <c r="K110" s="1" t="n">
        <v>3</v>
      </c>
      <c r="L110" s="1" t="n">
        <v>1</v>
      </c>
      <c r="M110" s="1" t="s">
        <v>278</v>
      </c>
    </row>
    <row r="111" customFormat="false" ht="14.25" hidden="true" customHeight="true" outlineLevel="0" collapsed="false">
      <c r="A111" s="1" t="s">
        <v>98</v>
      </c>
      <c r="C111" s="1" t="s">
        <v>111</v>
      </c>
      <c r="D111" s="1" t="n">
        <v>95</v>
      </c>
      <c r="E111" s="1" t="n">
        <v>50</v>
      </c>
      <c r="F111" s="1" t="s">
        <v>23</v>
      </c>
      <c r="G111" s="1" t="s">
        <v>279</v>
      </c>
      <c r="H111" s="1" t="n">
        <v>7.8</v>
      </c>
      <c r="I111" s="1" t="n">
        <v>10.5</v>
      </c>
      <c r="J111" s="1" t="n">
        <v>2</v>
      </c>
      <c r="K111" s="1" t="n">
        <v>2</v>
      </c>
      <c r="L111" s="1" t="n">
        <v>1</v>
      </c>
      <c r="M111" s="1" t="s">
        <v>280</v>
      </c>
    </row>
    <row r="112" customFormat="false" ht="14.25" hidden="true" customHeight="true" outlineLevel="0" collapsed="false">
      <c r="A112" s="1" t="s">
        <v>98</v>
      </c>
      <c r="D112" s="1" t="n">
        <v>88</v>
      </c>
      <c r="E112" s="1" t="n">
        <v>64</v>
      </c>
      <c r="F112" s="1" t="s">
        <v>191</v>
      </c>
      <c r="M112" s="1" t="s">
        <v>252</v>
      </c>
    </row>
    <row r="113" customFormat="false" ht="14.25" hidden="true" customHeight="true" outlineLevel="0" collapsed="false">
      <c r="A113" s="1" t="s">
        <v>98</v>
      </c>
      <c r="D113" s="1" t="n">
        <v>89</v>
      </c>
      <c r="E113" s="1" t="n">
        <v>60</v>
      </c>
      <c r="F113" s="1" t="s">
        <v>281</v>
      </c>
    </row>
    <row r="114" customFormat="false" ht="14.25" hidden="true" customHeight="true" outlineLevel="0" collapsed="false">
      <c r="A114" s="1" t="s">
        <v>98</v>
      </c>
      <c r="D114" s="1" t="n">
        <v>90</v>
      </c>
      <c r="E114" s="1" t="n">
        <v>38</v>
      </c>
      <c r="F114" s="1" t="s">
        <v>281</v>
      </c>
      <c r="G114" s="1" t="n">
        <v>10</v>
      </c>
    </row>
    <row r="115" customFormat="false" ht="14.25" hidden="true" customHeight="true" outlineLevel="0" collapsed="false">
      <c r="A115" s="1" t="s">
        <v>98</v>
      </c>
      <c r="D115" s="1" t="n">
        <v>91</v>
      </c>
      <c r="E115" s="1" t="n">
        <v>66</v>
      </c>
      <c r="F115" s="1" t="s">
        <v>282</v>
      </c>
      <c r="M115" s="1" t="s">
        <v>283</v>
      </c>
    </row>
    <row r="116" customFormat="false" ht="14.25" hidden="true" customHeight="true" outlineLevel="0" collapsed="false">
      <c r="A116" s="1" t="s">
        <v>284</v>
      </c>
      <c r="B116" s="1" t="s">
        <v>285</v>
      </c>
      <c r="C116" s="1" t="s">
        <v>104</v>
      </c>
      <c r="D116" s="1" t="n">
        <v>1</v>
      </c>
      <c r="E116" s="1" t="n">
        <v>63</v>
      </c>
      <c r="F116" s="1" t="s">
        <v>101</v>
      </c>
      <c r="G116" s="1" t="n">
        <v>4</v>
      </c>
      <c r="H116" s="1" t="n">
        <v>4</v>
      </c>
      <c r="I116" s="1" t="n">
        <v>12.5</v>
      </c>
      <c r="J116" s="1" t="n">
        <v>5</v>
      </c>
      <c r="K116" s="1" t="n">
        <v>5</v>
      </c>
      <c r="L116" s="1" t="s">
        <v>102</v>
      </c>
      <c r="P116" s="1" t="s">
        <v>88</v>
      </c>
    </row>
    <row r="117" customFormat="false" ht="14.25" hidden="true" customHeight="true" outlineLevel="0" collapsed="false">
      <c r="A117" s="1" t="s">
        <v>284</v>
      </c>
      <c r="C117" s="1" t="s">
        <v>104</v>
      </c>
      <c r="D117" s="1" t="n">
        <v>2</v>
      </c>
      <c r="E117" s="1" t="n">
        <v>47</v>
      </c>
      <c r="F117" s="1" t="s">
        <v>101</v>
      </c>
      <c r="G117" s="1" t="n">
        <v>5</v>
      </c>
      <c r="H117" s="1" t="n">
        <v>5</v>
      </c>
      <c r="I117" s="1" t="n">
        <v>25</v>
      </c>
      <c r="J117" s="1" t="n">
        <v>3</v>
      </c>
      <c r="K117" s="1" t="n">
        <v>5</v>
      </c>
      <c r="L117" s="1" t="s">
        <v>102</v>
      </c>
      <c r="N117" s="1" t="s">
        <v>286</v>
      </c>
      <c r="P117" s="1" t="s">
        <v>285</v>
      </c>
    </row>
    <row r="118" customFormat="false" ht="14.25" hidden="true" customHeight="true" outlineLevel="0" collapsed="false">
      <c r="A118" s="1" t="s">
        <v>284</v>
      </c>
      <c r="B118" s="1" t="s">
        <v>287</v>
      </c>
      <c r="C118" s="1" t="s">
        <v>104</v>
      </c>
      <c r="D118" s="1" t="n">
        <v>3</v>
      </c>
      <c r="E118" s="1" t="n">
        <v>63</v>
      </c>
      <c r="F118" s="1" t="s">
        <v>101</v>
      </c>
      <c r="G118" s="1" t="n">
        <v>6.6</v>
      </c>
      <c r="H118" s="1" t="n">
        <v>6.6</v>
      </c>
      <c r="I118" s="1" t="n">
        <v>13</v>
      </c>
      <c r="J118" s="1" t="n">
        <v>3</v>
      </c>
      <c r="K118" s="1" t="n">
        <v>5</v>
      </c>
      <c r="L118" s="1" t="s">
        <v>102</v>
      </c>
    </row>
    <row r="119" customFormat="false" ht="14.25" hidden="true" customHeight="true" outlineLevel="0" collapsed="false">
      <c r="A119" s="1" t="s">
        <v>284</v>
      </c>
      <c r="C119" s="1" t="s">
        <v>104</v>
      </c>
      <c r="D119" s="1" t="n">
        <v>4</v>
      </c>
      <c r="E119" s="1" t="n">
        <v>47</v>
      </c>
      <c r="F119" s="1" t="s">
        <v>101</v>
      </c>
      <c r="G119" s="1" t="n">
        <v>7.5</v>
      </c>
      <c r="H119" s="1" t="n">
        <v>7.5</v>
      </c>
      <c r="I119" s="1" t="n">
        <v>25</v>
      </c>
      <c r="J119" s="1" t="n">
        <v>2</v>
      </c>
      <c r="K119" s="1" t="n">
        <v>5</v>
      </c>
      <c r="L119" s="1" t="s">
        <v>102</v>
      </c>
      <c r="N119" s="1" t="s">
        <v>286</v>
      </c>
      <c r="P119" s="1" t="s">
        <v>287</v>
      </c>
    </row>
    <row r="120" customFormat="false" ht="14.25" hidden="true" customHeight="true" outlineLevel="0" collapsed="false">
      <c r="A120" s="1" t="s">
        <v>284</v>
      </c>
      <c r="B120" s="1" t="s">
        <v>288</v>
      </c>
      <c r="C120" s="1" t="s">
        <v>104</v>
      </c>
      <c r="D120" s="1" t="n">
        <v>5</v>
      </c>
      <c r="E120" s="1" t="n">
        <v>51</v>
      </c>
      <c r="F120" s="1" t="s">
        <v>101</v>
      </c>
      <c r="G120" s="1" t="n">
        <v>8.1</v>
      </c>
      <c r="H120" s="1" t="n">
        <v>8.1</v>
      </c>
      <c r="I120" s="1" t="n">
        <v>13</v>
      </c>
      <c r="J120" s="1" t="n">
        <v>2</v>
      </c>
      <c r="K120" s="1" t="n">
        <v>4</v>
      </c>
      <c r="L120" s="1" t="s">
        <v>102</v>
      </c>
    </row>
    <row r="121" customFormat="false" ht="14.25" hidden="true" customHeight="true" outlineLevel="0" collapsed="false">
      <c r="A121" s="1" t="s">
        <v>284</v>
      </c>
      <c r="B121" s="1" t="s">
        <v>289</v>
      </c>
      <c r="C121" s="1" t="s">
        <v>104</v>
      </c>
      <c r="D121" s="1" t="n">
        <v>6</v>
      </c>
      <c r="E121" s="1" t="n">
        <v>63</v>
      </c>
      <c r="F121" s="1" t="s">
        <v>290</v>
      </c>
      <c r="G121" s="1" t="n">
        <v>10</v>
      </c>
      <c r="H121" s="1" t="n">
        <v>10</v>
      </c>
      <c r="I121" s="1" t="n">
        <v>17</v>
      </c>
      <c r="J121" s="1" t="n">
        <v>2</v>
      </c>
      <c r="K121" s="1" t="n">
        <v>5</v>
      </c>
      <c r="L121" s="1" t="s">
        <v>102</v>
      </c>
      <c r="M121" s="1" t="s">
        <v>291</v>
      </c>
      <c r="N121" s="1" t="s">
        <v>292</v>
      </c>
      <c r="P121" s="1" t="s">
        <v>288</v>
      </c>
    </row>
    <row r="122" customFormat="false" ht="14.25" hidden="true" customHeight="true" outlineLevel="0" collapsed="false">
      <c r="A122" s="1" t="s">
        <v>284</v>
      </c>
      <c r="C122" s="1" t="s">
        <v>104</v>
      </c>
      <c r="D122" s="1" t="n">
        <v>7</v>
      </c>
      <c r="E122" s="1" t="n">
        <v>49</v>
      </c>
      <c r="F122" s="1" t="s">
        <v>101</v>
      </c>
      <c r="G122" s="1" t="n">
        <v>15.5</v>
      </c>
      <c r="H122" s="1" t="n">
        <v>15.5</v>
      </c>
      <c r="I122" s="1" t="n">
        <v>10.4</v>
      </c>
      <c r="J122" s="1" t="n">
        <v>2</v>
      </c>
      <c r="K122" s="1" t="n">
        <v>4</v>
      </c>
      <c r="L122" s="1" t="s">
        <v>102</v>
      </c>
      <c r="M122" s="1" t="s">
        <v>293</v>
      </c>
      <c r="P122" s="1" t="s">
        <v>289</v>
      </c>
    </row>
    <row r="123" customFormat="false" ht="14.25" hidden="true" customHeight="true" outlineLevel="0" collapsed="false">
      <c r="A123" s="1" t="s">
        <v>284</v>
      </c>
    </row>
    <row r="124" customFormat="false" ht="14.25" hidden="true" customHeight="true" outlineLevel="0" collapsed="false">
      <c r="A124" s="1" t="s">
        <v>284</v>
      </c>
      <c r="C124" s="1" t="s">
        <v>104</v>
      </c>
      <c r="D124" s="1" t="n">
        <v>8</v>
      </c>
      <c r="E124" s="1" t="n">
        <v>59</v>
      </c>
      <c r="F124" s="1" t="s">
        <v>116</v>
      </c>
      <c r="G124" s="1" t="n">
        <v>6</v>
      </c>
      <c r="H124" s="1" t="n">
        <v>6.3</v>
      </c>
      <c r="I124" s="1" t="n">
        <v>19</v>
      </c>
      <c r="J124" s="1" t="n">
        <v>3</v>
      </c>
      <c r="K124" s="1" t="n">
        <v>4</v>
      </c>
      <c r="L124" s="1" t="n">
        <v>3</v>
      </c>
      <c r="M124" s="1" t="s">
        <v>294</v>
      </c>
    </row>
    <row r="125" customFormat="false" ht="14.25" hidden="true" customHeight="true" outlineLevel="0" collapsed="false">
      <c r="A125" s="1" t="s">
        <v>284</v>
      </c>
      <c r="B125" s="1" t="s">
        <v>295</v>
      </c>
      <c r="C125" s="1" t="s">
        <v>104</v>
      </c>
      <c r="D125" s="1" t="n">
        <v>9</v>
      </c>
      <c r="E125" s="1" t="n">
        <v>68</v>
      </c>
      <c r="F125" s="1" t="s">
        <v>116</v>
      </c>
      <c r="G125" s="1" t="n">
        <v>6.9</v>
      </c>
      <c r="H125" s="1" t="n">
        <v>7.2</v>
      </c>
      <c r="I125" s="1" t="n">
        <v>7.5</v>
      </c>
      <c r="J125" s="1" t="n">
        <v>3</v>
      </c>
      <c r="K125" s="1" t="n">
        <v>4</v>
      </c>
      <c r="L125" s="1" t="n">
        <v>1</v>
      </c>
      <c r="M125" s="1" t="s">
        <v>296</v>
      </c>
    </row>
    <row r="126" customFormat="false" ht="14.25" hidden="true" customHeight="true" outlineLevel="0" collapsed="false">
      <c r="A126" s="1" t="s">
        <v>284</v>
      </c>
      <c r="B126" s="1" t="s">
        <v>297</v>
      </c>
      <c r="C126" s="1" t="s">
        <v>104</v>
      </c>
      <c r="D126" s="1" t="n">
        <v>9</v>
      </c>
      <c r="E126" s="1" t="n">
        <v>68</v>
      </c>
      <c r="F126" s="1" t="s">
        <v>116</v>
      </c>
      <c r="G126" s="1" t="n">
        <v>10.5</v>
      </c>
      <c r="H126" s="1" t="n">
        <v>10.8</v>
      </c>
      <c r="I126" s="1" t="n">
        <v>11</v>
      </c>
      <c r="J126" s="1" t="n">
        <v>2</v>
      </c>
      <c r="K126" s="1" t="n">
        <v>4</v>
      </c>
      <c r="L126" s="1" t="n">
        <v>1</v>
      </c>
      <c r="M126" s="1" t="s">
        <v>298</v>
      </c>
      <c r="P126" s="1" t="s">
        <v>295</v>
      </c>
    </row>
    <row r="127" customFormat="false" ht="14.25" hidden="true" customHeight="true" outlineLevel="0" collapsed="false">
      <c r="A127" s="1" t="s">
        <v>284</v>
      </c>
      <c r="B127" s="1" t="s">
        <v>299</v>
      </c>
      <c r="C127" s="1" t="s">
        <v>104</v>
      </c>
      <c r="D127" s="1" t="n">
        <v>10</v>
      </c>
      <c r="E127" s="1" t="n">
        <v>59</v>
      </c>
      <c r="F127" s="1" t="s">
        <v>116</v>
      </c>
      <c r="G127" s="1" t="n">
        <v>9.1</v>
      </c>
      <c r="H127" s="1" t="n">
        <v>9.4</v>
      </c>
      <c r="I127" s="1" t="n">
        <v>9.5</v>
      </c>
      <c r="J127" s="1" t="n">
        <v>2</v>
      </c>
      <c r="K127" s="1" t="n">
        <v>4</v>
      </c>
      <c r="L127" s="1" t="n">
        <v>1</v>
      </c>
      <c r="M127" s="1" t="s">
        <v>300</v>
      </c>
      <c r="P127" s="1" t="s">
        <v>297</v>
      </c>
    </row>
    <row r="128" customFormat="false" ht="14.25" hidden="true" customHeight="true" outlineLevel="0" collapsed="false">
      <c r="A128" s="1" t="s">
        <v>284</v>
      </c>
      <c r="P128" s="1" t="s">
        <v>299</v>
      </c>
    </row>
    <row r="129" customFormat="false" ht="14.25" hidden="true" customHeight="true" outlineLevel="0" collapsed="false">
      <c r="A129" s="1" t="s">
        <v>284</v>
      </c>
      <c r="B129" s="1" t="s">
        <v>301</v>
      </c>
      <c r="C129" s="1" t="s">
        <v>104</v>
      </c>
      <c r="D129" s="1" t="n">
        <v>10</v>
      </c>
      <c r="E129" s="1" t="n">
        <v>59</v>
      </c>
      <c r="F129" s="1" t="s">
        <v>131</v>
      </c>
      <c r="G129" s="1" t="s">
        <v>302</v>
      </c>
      <c r="H129" s="1" t="n">
        <v>4.683125</v>
      </c>
      <c r="I129" s="1" t="n">
        <v>2.5</v>
      </c>
      <c r="J129" s="1" t="n">
        <v>4</v>
      </c>
      <c r="K129" s="1" t="n">
        <v>4</v>
      </c>
      <c r="L129" s="1" t="n">
        <v>1</v>
      </c>
    </row>
    <row r="130" customFormat="false" ht="14.25" hidden="true" customHeight="true" outlineLevel="0" collapsed="false">
      <c r="A130" s="1" t="s">
        <v>284</v>
      </c>
      <c r="B130" s="1" t="s">
        <v>303</v>
      </c>
      <c r="C130" s="1" t="s">
        <v>104</v>
      </c>
      <c r="D130" s="1" t="n">
        <v>11</v>
      </c>
      <c r="E130" s="1" t="n">
        <v>47</v>
      </c>
      <c r="F130" s="1" t="s">
        <v>131</v>
      </c>
      <c r="G130" s="1" t="s">
        <v>304</v>
      </c>
      <c r="H130" s="1" t="n">
        <v>4.97416666666667</v>
      </c>
      <c r="I130" s="1" t="n">
        <v>6.5</v>
      </c>
      <c r="J130" s="1" t="n">
        <v>3</v>
      </c>
      <c r="K130" s="1" t="n">
        <v>5</v>
      </c>
      <c r="L130" s="1" t="n">
        <v>1</v>
      </c>
      <c r="M130" s="1" t="s">
        <v>305</v>
      </c>
      <c r="P130" s="1" t="s">
        <v>301</v>
      </c>
    </row>
    <row r="131" customFormat="false" ht="14.25" hidden="true" customHeight="true" outlineLevel="0" collapsed="false">
      <c r="A131" s="1" t="s">
        <v>284</v>
      </c>
      <c r="B131" s="1" t="s">
        <v>306</v>
      </c>
      <c r="C131" s="1" t="s">
        <v>104</v>
      </c>
      <c r="D131" s="1" t="n">
        <v>9</v>
      </c>
      <c r="E131" s="1" t="n">
        <v>68</v>
      </c>
      <c r="F131" s="1" t="s">
        <v>131</v>
      </c>
      <c r="G131" s="1" t="s">
        <v>307</v>
      </c>
      <c r="H131" s="1" t="n">
        <v>10.795</v>
      </c>
      <c r="I131" s="1" t="n">
        <v>6.5</v>
      </c>
      <c r="J131" s="1" t="n">
        <v>2</v>
      </c>
      <c r="K131" s="1" t="n">
        <v>4</v>
      </c>
      <c r="L131" s="1" t="n">
        <v>1</v>
      </c>
      <c r="M131" s="1" t="s">
        <v>308</v>
      </c>
      <c r="P131" s="1" t="s">
        <v>303</v>
      </c>
    </row>
    <row r="132" customFormat="false" ht="14.25" hidden="true" customHeight="true" outlineLevel="0" collapsed="false">
      <c r="A132" s="1" t="s">
        <v>284</v>
      </c>
      <c r="P132" s="1" t="s">
        <v>306</v>
      </c>
    </row>
    <row r="133" customFormat="false" ht="14.25" hidden="true" customHeight="true" outlineLevel="0" collapsed="false">
      <c r="A133" s="1" t="s">
        <v>284</v>
      </c>
      <c r="B133" s="1" t="s">
        <v>309</v>
      </c>
      <c r="C133" s="1" t="s">
        <v>104</v>
      </c>
      <c r="D133" s="1" t="n">
        <v>12</v>
      </c>
      <c r="E133" s="1" t="n">
        <v>47</v>
      </c>
      <c r="F133" s="1" t="s">
        <v>160</v>
      </c>
      <c r="G133" s="1" t="s">
        <v>170</v>
      </c>
      <c r="H133" s="1" t="n">
        <v>1.49225</v>
      </c>
      <c r="I133" s="1" t="n">
        <v>10.5</v>
      </c>
      <c r="J133" s="1" t="n">
        <v>10</v>
      </c>
      <c r="K133" s="1" t="n">
        <v>5</v>
      </c>
      <c r="L133" s="1" t="n">
        <v>3</v>
      </c>
      <c r="M133" s="1" t="s">
        <v>310</v>
      </c>
    </row>
    <row r="134" customFormat="false" ht="14.25" hidden="true" customHeight="true" outlineLevel="0" collapsed="false">
      <c r="A134" s="1" t="s">
        <v>284</v>
      </c>
      <c r="C134" s="1" t="s">
        <v>111</v>
      </c>
      <c r="D134" s="1" t="n">
        <v>13</v>
      </c>
      <c r="E134" s="1" t="n">
        <v>53</v>
      </c>
      <c r="F134" s="1" t="s">
        <v>160</v>
      </c>
      <c r="G134" s="1" t="s">
        <v>168</v>
      </c>
      <c r="H134" s="1" t="n">
        <v>2.1034375</v>
      </c>
      <c r="I134" s="1" t="n">
        <v>21</v>
      </c>
      <c r="J134" s="1" t="n">
        <v>8</v>
      </c>
      <c r="K134" s="1" t="n">
        <v>5</v>
      </c>
      <c r="L134" s="1" t="n">
        <v>6</v>
      </c>
      <c r="M134" s="1" t="s">
        <v>311</v>
      </c>
      <c r="P134" s="1" t="s">
        <v>309</v>
      </c>
    </row>
    <row r="135" customFormat="false" ht="14.25" hidden="true" customHeight="true" outlineLevel="0" collapsed="false">
      <c r="A135" s="1" t="s">
        <v>284</v>
      </c>
      <c r="C135" s="1" t="s">
        <v>111</v>
      </c>
      <c r="D135" s="1" t="n">
        <v>13</v>
      </c>
      <c r="E135" s="1" t="n">
        <v>53</v>
      </c>
      <c r="F135" s="1" t="s">
        <v>160</v>
      </c>
      <c r="G135" s="1" t="s">
        <v>168</v>
      </c>
      <c r="H135" s="1" t="n">
        <v>2.1034375</v>
      </c>
      <c r="I135" s="1" t="n">
        <v>21</v>
      </c>
      <c r="J135" s="1" t="n">
        <v>8</v>
      </c>
      <c r="K135" s="1" t="n">
        <v>5</v>
      </c>
      <c r="L135" s="1" t="n">
        <v>6</v>
      </c>
      <c r="M135" s="1" t="s">
        <v>311</v>
      </c>
    </row>
    <row r="136" customFormat="false" ht="14.25" hidden="true" customHeight="true" outlineLevel="0" collapsed="false">
      <c r="A136" s="1" t="s">
        <v>284</v>
      </c>
      <c r="B136" s="1" t="s">
        <v>312</v>
      </c>
      <c r="C136" s="1" t="s">
        <v>104</v>
      </c>
      <c r="D136" s="1" t="n">
        <v>18</v>
      </c>
      <c r="E136" s="1" t="n">
        <v>49</v>
      </c>
      <c r="F136" s="1" t="s">
        <v>160</v>
      </c>
      <c r="G136" s="1" t="s">
        <v>313</v>
      </c>
      <c r="H136" s="1" t="n">
        <v>2.59291666666667</v>
      </c>
      <c r="I136" s="1" t="n">
        <v>21</v>
      </c>
      <c r="J136" s="1" t="n">
        <v>6</v>
      </c>
      <c r="K136" s="1" t="n">
        <v>4</v>
      </c>
      <c r="L136" s="1" t="n">
        <v>6</v>
      </c>
      <c r="M136" s="1" t="s">
        <v>314</v>
      </c>
    </row>
    <row r="137" customFormat="false" ht="14.25" hidden="true" customHeight="true" outlineLevel="0" collapsed="false">
      <c r="A137" s="1" t="s">
        <v>284</v>
      </c>
      <c r="B137" s="1" t="s">
        <v>312</v>
      </c>
      <c r="C137" s="1" t="s">
        <v>104</v>
      </c>
      <c r="D137" s="1" t="n">
        <v>18</v>
      </c>
      <c r="E137" s="1" t="n">
        <v>49</v>
      </c>
      <c r="F137" s="1" t="s">
        <v>160</v>
      </c>
      <c r="G137" s="1" t="s">
        <v>313</v>
      </c>
      <c r="H137" s="1" t="n">
        <v>2.59291666666667</v>
      </c>
      <c r="I137" s="1" t="n">
        <v>21</v>
      </c>
      <c r="J137" s="1" t="n">
        <v>6</v>
      </c>
      <c r="K137" s="1" t="n">
        <v>4</v>
      </c>
      <c r="L137" s="1" t="n">
        <v>6</v>
      </c>
      <c r="M137" s="1" t="s">
        <v>314</v>
      </c>
      <c r="P137" s="1" t="s">
        <v>315</v>
      </c>
    </row>
    <row r="138" customFormat="false" ht="14.25" hidden="true" customHeight="true" outlineLevel="0" collapsed="false">
      <c r="A138" s="1" t="s">
        <v>284</v>
      </c>
      <c r="B138" s="1" t="s">
        <v>316</v>
      </c>
      <c r="C138" s="1" t="s">
        <v>104</v>
      </c>
      <c r="D138" s="1" t="n">
        <v>1</v>
      </c>
      <c r="E138" s="1" t="n">
        <v>63</v>
      </c>
      <c r="F138" s="1" t="s">
        <v>160</v>
      </c>
      <c r="G138" s="1" t="s">
        <v>317</v>
      </c>
      <c r="H138" s="1" t="n">
        <v>4.0005</v>
      </c>
      <c r="I138" s="1" t="n">
        <v>12</v>
      </c>
      <c r="J138" s="1" t="n">
        <v>5</v>
      </c>
      <c r="K138" s="1" t="n">
        <v>5</v>
      </c>
      <c r="L138" s="1" t="n">
        <v>2</v>
      </c>
      <c r="M138" s="1" t="s">
        <v>318</v>
      </c>
      <c r="P138" s="1" t="s">
        <v>319</v>
      </c>
    </row>
    <row r="139" customFormat="false" ht="14.25" hidden="true" customHeight="true" outlineLevel="0" collapsed="false">
      <c r="A139" s="1" t="s">
        <v>284</v>
      </c>
      <c r="B139" s="1" t="s">
        <v>320</v>
      </c>
      <c r="C139" s="1" t="s">
        <v>104</v>
      </c>
      <c r="D139" s="1" t="n">
        <v>16</v>
      </c>
      <c r="E139" s="1" t="n">
        <v>54</v>
      </c>
      <c r="F139" s="1" t="s">
        <v>160</v>
      </c>
      <c r="G139" s="1" t="s">
        <v>321</v>
      </c>
      <c r="H139" s="1" t="n">
        <v>4.28625</v>
      </c>
      <c r="I139" s="1" t="n">
        <v>25</v>
      </c>
      <c r="J139" s="1" t="n">
        <v>4</v>
      </c>
      <c r="K139" s="1" t="n">
        <v>3</v>
      </c>
      <c r="L139" s="1" t="n">
        <v>6</v>
      </c>
      <c r="M139" s="1" t="s">
        <v>322</v>
      </c>
      <c r="P139" s="1" t="s">
        <v>319</v>
      </c>
    </row>
    <row r="140" customFormat="false" ht="14.25" hidden="true" customHeight="true" outlineLevel="0" collapsed="false">
      <c r="A140" s="1" t="s">
        <v>284</v>
      </c>
      <c r="B140" s="1" t="s">
        <v>320</v>
      </c>
      <c r="C140" s="1" t="s">
        <v>104</v>
      </c>
      <c r="D140" s="1" t="n">
        <v>16</v>
      </c>
      <c r="E140" s="1" t="n">
        <v>54</v>
      </c>
      <c r="F140" s="1" t="s">
        <v>160</v>
      </c>
      <c r="G140" s="1" t="s">
        <v>321</v>
      </c>
      <c r="H140" s="1" t="n">
        <v>4.28625</v>
      </c>
      <c r="I140" s="1" t="n">
        <v>25</v>
      </c>
      <c r="J140" s="1" t="n">
        <v>4</v>
      </c>
      <c r="K140" s="1" t="n">
        <v>3</v>
      </c>
      <c r="L140" s="1" t="n">
        <v>6</v>
      </c>
      <c r="M140" s="1" t="s">
        <v>322</v>
      </c>
      <c r="P140" s="1" t="s">
        <v>320</v>
      </c>
    </row>
    <row r="141" customFormat="false" ht="14.25" hidden="true" customHeight="true" outlineLevel="0" collapsed="false">
      <c r="A141" s="1" t="s">
        <v>284</v>
      </c>
      <c r="C141" s="1" t="s">
        <v>104</v>
      </c>
      <c r="D141" s="1" t="n">
        <v>56</v>
      </c>
      <c r="E141" s="1" t="n">
        <v>60</v>
      </c>
      <c r="F141" s="1" t="s">
        <v>160</v>
      </c>
      <c r="G141" s="1" t="s">
        <v>323</v>
      </c>
      <c r="H141" s="1" t="n">
        <v>6.35</v>
      </c>
      <c r="I141" s="1" t="n">
        <v>25</v>
      </c>
      <c r="J141" s="1" t="n">
        <v>3</v>
      </c>
      <c r="K141" s="1" t="n">
        <v>5</v>
      </c>
      <c r="L141" s="1" t="n">
        <v>6</v>
      </c>
      <c r="M141" s="1" t="s">
        <v>322</v>
      </c>
      <c r="P141" s="1" t="s">
        <v>320</v>
      </c>
    </row>
    <row r="142" customFormat="false" ht="14.25" hidden="true" customHeight="true" outlineLevel="0" collapsed="false">
      <c r="A142" s="1" t="s">
        <v>284</v>
      </c>
      <c r="B142" s="1" t="s">
        <v>315</v>
      </c>
      <c r="C142" s="1" t="s">
        <v>104</v>
      </c>
      <c r="D142" s="1" t="n">
        <v>14</v>
      </c>
      <c r="E142" s="1" t="n">
        <v>63</v>
      </c>
      <c r="F142" s="1" t="s">
        <v>160</v>
      </c>
      <c r="G142" s="1" t="s">
        <v>179</v>
      </c>
      <c r="H142" s="1" t="n">
        <v>3.33375</v>
      </c>
      <c r="I142" s="1" t="n">
        <v>5.5</v>
      </c>
      <c r="J142" s="1" t="n">
        <v>6</v>
      </c>
      <c r="K142" s="1" t="n">
        <v>5</v>
      </c>
      <c r="L142" s="1" t="n">
        <v>1</v>
      </c>
      <c r="M142" s="1" t="s">
        <v>324</v>
      </c>
      <c r="P142" s="1" t="s">
        <v>319</v>
      </c>
    </row>
    <row r="143" customFormat="false" ht="14.25" hidden="true" customHeight="true" outlineLevel="0" collapsed="false">
      <c r="A143" s="1" t="s">
        <v>284</v>
      </c>
      <c r="B143" s="1" t="s">
        <v>319</v>
      </c>
      <c r="C143" s="1" t="s">
        <v>104</v>
      </c>
      <c r="D143" s="1" t="n">
        <v>15</v>
      </c>
      <c r="E143" s="1" t="n">
        <v>63</v>
      </c>
      <c r="F143" s="1" t="s">
        <v>160</v>
      </c>
      <c r="G143" s="1" t="s">
        <v>179</v>
      </c>
      <c r="H143" s="1" t="n">
        <v>3.33375</v>
      </c>
      <c r="I143" s="1" t="n">
        <v>21</v>
      </c>
      <c r="J143" s="1" t="n">
        <v>6</v>
      </c>
      <c r="K143" s="1" t="n">
        <v>5</v>
      </c>
      <c r="L143" s="1" t="n">
        <v>4</v>
      </c>
      <c r="M143" s="1" t="s">
        <v>325</v>
      </c>
      <c r="P143" s="1" t="s">
        <v>312</v>
      </c>
    </row>
    <row r="144" customFormat="false" ht="14.25" hidden="true" customHeight="true" outlineLevel="0" collapsed="false">
      <c r="A144" s="1" t="s">
        <v>284</v>
      </c>
      <c r="B144" s="1" t="s">
        <v>319</v>
      </c>
      <c r="C144" s="1" t="s">
        <v>108</v>
      </c>
      <c r="D144" s="1" t="n">
        <v>15</v>
      </c>
      <c r="E144" s="1" t="n">
        <v>63</v>
      </c>
      <c r="F144" s="1" t="s">
        <v>160</v>
      </c>
      <c r="G144" s="1" t="s">
        <v>179</v>
      </c>
      <c r="H144" s="1" t="n">
        <v>3.33375</v>
      </c>
      <c r="I144" s="1" t="n">
        <v>21</v>
      </c>
      <c r="J144" s="1" t="n">
        <v>6</v>
      </c>
      <c r="K144" s="1" t="n">
        <v>5</v>
      </c>
      <c r="L144" s="1" t="n">
        <v>4</v>
      </c>
      <c r="P144" s="1" t="s">
        <v>312</v>
      </c>
    </row>
    <row r="145" customFormat="false" ht="14.25" hidden="true" customHeight="true" outlineLevel="0" collapsed="false">
      <c r="A145" s="1" t="s">
        <v>284</v>
      </c>
      <c r="B145" s="1" t="s">
        <v>326</v>
      </c>
      <c r="C145" s="1" t="s">
        <v>104</v>
      </c>
      <c r="D145" s="1" t="n">
        <v>19</v>
      </c>
      <c r="E145" s="1" t="n">
        <v>54</v>
      </c>
      <c r="F145" s="1" t="s">
        <v>160</v>
      </c>
      <c r="G145" s="1" t="s">
        <v>327</v>
      </c>
      <c r="H145" s="1" t="n">
        <v>4.28625</v>
      </c>
      <c r="I145" s="1" t="n">
        <v>21</v>
      </c>
      <c r="J145" s="1" t="n">
        <v>4</v>
      </c>
      <c r="K145" s="1" t="n">
        <v>3</v>
      </c>
      <c r="L145" s="1" t="n">
        <v>4</v>
      </c>
      <c r="M145" s="1" t="s">
        <v>328</v>
      </c>
      <c r="P145" s="1" t="s">
        <v>316</v>
      </c>
    </row>
    <row r="146" customFormat="false" ht="14.25" hidden="true" customHeight="true" outlineLevel="0" collapsed="false">
      <c r="A146" s="1" t="s">
        <v>284</v>
      </c>
      <c r="B146" s="1" t="s">
        <v>326</v>
      </c>
      <c r="C146" s="1" t="s">
        <v>104</v>
      </c>
      <c r="D146" s="1" t="n">
        <v>20</v>
      </c>
      <c r="E146" s="1" t="n">
        <v>54</v>
      </c>
      <c r="F146" s="1" t="s">
        <v>160</v>
      </c>
      <c r="G146" s="1" t="s">
        <v>327</v>
      </c>
      <c r="H146" s="1" t="n">
        <v>4.28625</v>
      </c>
      <c r="I146" s="1" t="n">
        <v>21</v>
      </c>
      <c r="J146" s="1" t="n">
        <v>4</v>
      </c>
      <c r="K146" s="1" t="n">
        <v>3</v>
      </c>
      <c r="L146" s="1" t="n">
        <v>4</v>
      </c>
      <c r="M146" s="1" t="s">
        <v>328</v>
      </c>
      <c r="P146" s="1" t="s">
        <v>326</v>
      </c>
    </row>
    <row r="147" customFormat="false" ht="14.25" hidden="true" customHeight="true" outlineLevel="0" collapsed="false">
      <c r="A147" s="1" t="s">
        <v>284</v>
      </c>
      <c r="C147" s="1" t="s">
        <v>104</v>
      </c>
      <c r="D147" s="1" t="n">
        <v>43</v>
      </c>
      <c r="E147" s="1" t="n">
        <v>65</v>
      </c>
      <c r="F147" s="1" t="s">
        <v>160</v>
      </c>
      <c r="G147" s="1" t="s">
        <v>329</v>
      </c>
      <c r="H147" s="1" t="n">
        <v>10.31875</v>
      </c>
      <c r="I147" s="1" t="n">
        <v>21</v>
      </c>
      <c r="J147" s="1" t="n">
        <v>2</v>
      </c>
      <c r="K147" s="1" t="n">
        <v>4</v>
      </c>
      <c r="L147" s="1" t="n">
        <v>4</v>
      </c>
      <c r="M147" s="1" t="s">
        <v>330</v>
      </c>
      <c r="P147" s="1" t="s">
        <v>326</v>
      </c>
    </row>
    <row r="148" customFormat="false" ht="14.25" hidden="true" customHeight="true" outlineLevel="0" collapsed="false">
      <c r="A148" s="1" t="s">
        <v>284</v>
      </c>
      <c r="C148" s="1" t="s">
        <v>156</v>
      </c>
      <c r="D148" s="1" t="n">
        <v>42</v>
      </c>
      <c r="E148" s="1" t="n">
        <v>51</v>
      </c>
      <c r="F148" s="1" t="s">
        <v>160</v>
      </c>
      <c r="G148" s="1" t="s">
        <v>331</v>
      </c>
      <c r="H148" s="1" t="n">
        <v>16.1925</v>
      </c>
      <c r="I148" s="1" t="n">
        <v>21</v>
      </c>
      <c r="J148" s="1" t="n">
        <v>1</v>
      </c>
      <c r="K148" s="1" t="n">
        <v>4</v>
      </c>
      <c r="L148" s="1" t="n">
        <v>4</v>
      </c>
      <c r="M148" s="1" t="s">
        <v>275</v>
      </c>
    </row>
    <row r="149" customFormat="false" ht="14.25" hidden="true" customHeight="true" outlineLevel="0" collapsed="false">
      <c r="A149" s="1" t="s">
        <v>284</v>
      </c>
      <c r="B149" s="1" t="s">
        <v>319</v>
      </c>
      <c r="C149" s="1" t="s">
        <v>104</v>
      </c>
      <c r="D149" s="1" t="n">
        <v>17</v>
      </c>
      <c r="E149" s="1" t="n">
        <v>63</v>
      </c>
      <c r="F149" s="1" t="s">
        <v>160</v>
      </c>
      <c r="G149" s="1" t="s">
        <v>186</v>
      </c>
      <c r="H149" s="1" t="n">
        <v>3.33375</v>
      </c>
      <c r="I149" s="1" t="n">
        <v>18.7</v>
      </c>
      <c r="J149" s="1" t="n">
        <v>6</v>
      </c>
      <c r="K149" s="1" t="n">
        <v>5</v>
      </c>
      <c r="L149" s="1" t="n">
        <v>3</v>
      </c>
      <c r="M149" s="1" t="s">
        <v>322</v>
      </c>
    </row>
    <row r="150" customFormat="false" ht="14.25" hidden="true" customHeight="true" outlineLevel="0" collapsed="false">
      <c r="A150" s="1" t="s">
        <v>284</v>
      </c>
      <c r="C150" s="1" t="s">
        <v>332</v>
      </c>
      <c r="D150" s="1" t="n">
        <v>21</v>
      </c>
      <c r="E150" s="1" t="n">
        <v>63</v>
      </c>
      <c r="F150" s="1" t="s">
        <v>157</v>
      </c>
      <c r="G150" s="1" t="s">
        <v>333</v>
      </c>
      <c r="H150" s="1" t="n">
        <v>3.33375</v>
      </c>
      <c r="I150" s="1" t="n">
        <v>25</v>
      </c>
      <c r="J150" s="1" t="n">
        <v>6</v>
      </c>
      <c r="K150" s="1" t="n">
        <v>5</v>
      </c>
      <c r="L150" s="1" t="n">
        <v>4</v>
      </c>
      <c r="M150" s="1" t="s">
        <v>334</v>
      </c>
    </row>
    <row r="151" customFormat="false" ht="14.25" hidden="true" customHeight="true" outlineLevel="0" collapsed="false">
      <c r="A151" s="1" t="s">
        <v>284</v>
      </c>
      <c r="C151" s="1" t="s">
        <v>104</v>
      </c>
      <c r="D151" s="1" t="n">
        <v>57</v>
      </c>
      <c r="E151" s="1" t="n">
        <v>63</v>
      </c>
      <c r="F151" s="1" t="s">
        <v>157</v>
      </c>
      <c r="G151" s="1" t="s">
        <v>333</v>
      </c>
      <c r="H151" s="1" t="n">
        <v>3.33375</v>
      </c>
      <c r="I151" s="1" t="n">
        <v>25</v>
      </c>
      <c r="J151" s="1" t="n">
        <v>6</v>
      </c>
      <c r="K151" s="1" t="n">
        <v>5</v>
      </c>
      <c r="L151" s="1" t="n">
        <v>4</v>
      </c>
      <c r="M151" s="1" t="s">
        <v>177</v>
      </c>
    </row>
    <row r="152" customFormat="false" ht="14.25" hidden="true" customHeight="true" outlineLevel="0" collapsed="false">
      <c r="A152" s="1" t="s">
        <v>284</v>
      </c>
      <c r="C152" s="1" t="s">
        <v>104</v>
      </c>
      <c r="D152" s="1" t="n">
        <v>23</v>
      </c>
      <c r="E152" s="1" t="n">
        <v>60</v>
      </c>
      <c r="F152" s="1" t="s">
        <v>160</v>
      </c>
      <c r="G152" s="1" t="s">
        <v>187</v>
      </c>
      <c r="H152" s="1" t="n">
        <v>6.35</v>
      </c>
      <c r="I152" s="1" t="n">
        <v>21</v>
      </c>
      <c r="J152" s="1" t="n">
        <v>3</v>
      </c>
      <c r="K152" s="1" t="n">
        <v>1</v>
      </c>
      <c r="L152" s="1" t="n">
        <v>6</v>
      </c>
      <c r="M152" s="1" t="s">
        <v>188</v>
      </c>
    </row>
    <row r="153" customFormat="false" ht="14.25" hidden="true" customHeight="true" outlineLevel="0" collapsed="false">
      <c r="A153" s="1" t="s">
        <v>284</v>
      </c>
      <c r="C153" s="1" t="s">
        <v>108</v>
      </c>
      <c r="D153" s="1" t="n">
        <v>22</v>
      </c>
      <c r="E153" s="1" t="n">
        <v>54</v>
      </c>
      <c r="F153" s="1" t="s">
        <v>160</v>
      </c>
      <c r="G153" s="1" t="s">
        <v>190</v>
      </c>
      <c r="H153" s="1" t="n">
        <v>4.28625</v>
      </c>
      <c r="I153" s="1" t="n">
        <v>25</v>
      </c>
      <c r="J153" s="1" t="n">
        <v>4</v>
      </c>
      <c r="K153" s="1" t="n">
        <v>3</v>
      </c>
      <c r="L153" s="1" t="n">
        <v>4</v>
      </c>
      <c r="M153" s="1" t="s">
        <v>322</v>
      </c>
    </row>
    <row r="154" customFormat="false" ht="14.25" hidden="true" customHeight="true" outlineLevel="0" collapsed="false">
      <c r="A154" s="1" t="s">
        <v>284</v>
      </c>
      <c r="C154" s="1" t="s">
        <v>104</v>
      </c>
      <c r="D154" s="1" t="n">
        <v>22</v>
      </c>
      <c r="E154" s="1" t="n">
        <v>54</v>
      </c>
      <c r="F154" s="1" t="s">
        <v>160</v>
      </c>
      <c r="G154" s="1" t="s">
        <v>190</v>
      </c>
      <c r="H154" s="1" t="n">
        <v>4.28625</v>
      </c>
      <c r="I154" s="1" t="n">
        <v>25</v>
      </c>
      <c r="J154" s="1" t="n">
        <v>4</v>
      </c>
      <c r="K154" s="1" t="n">
        <v>3</v>
      </c>
      <c r="L154" s="1" t="n">
        <v>4</v>
      </c>
      <c r="M154" s="1" t="s">
        <v>322</v>
      </c>
    </row>
    <row r="155" customFormat="false" ht="14.25" hidden="true" customHeight="true" outlineLevel="0" collapsed="false">
      <c r="A155" s="1" t="s">
        <v>284</v>
      </c>
      <c r="C155" s="1" t="s">
        <v>104</v>
      </c>
      <c r="D155" s="1" t="n">
        <v>22</v>
      </c>
      <c r="E155" s="1" t="n">
        <v>54</v>
      </c>
      <c r="F155" s="1" t="s">
        <v>160</v>
      </c>
      <c r="G155" s="1" t="s">
        <v>190</v>
      </c>
      <c r="H155" s="1" t="n">
        <v>4.28625</v>
      </c>
      <c r="I155" s="1" t="n">
        <v>25</v>
      </c>
      <c r="J155" s="1" t="n">
        <v>4</v>
      </c>
      <c r="K155" s="1" t="n">
        <v>3</v>
      </c>
      <c r="L155" s="1" t="n">
        <v>4</v>
      </c>
      <c r="M155" s="1" t="s">
        <v>322</v>
      </c>
    </row>
    <row r="156" customFormat="false" ht="14.25" hidden="true" customHeight="true" outlineLevel="0" collapsed="false">
      <c r="A156" s="1" t="s">
        <v>284</v>
      </c>
      <c r="C156" s="1" t="s">
        <v>104</v>
      </c>
      <c r="D156" s="1" t="n">
        <v>24</v>
      </c>
      <c r="E156" s="1" t="n">
        <v>46</v>
      </c>
      <c r="F156" s="1" t="s">
        <v>160</v>
      </c>
      <c r="G156" s="1" t="s">
        <v>335</v>
      </c>
      <c r="H156" s="1" t="n">
        <v>7.3025</v>
      </c>
      <c r="I156" s="1" t="n">
        <v>25</v>
      </c>
      <c r="J156" s="1" t="n">
        <v>2</v>
      </c>
      <c r="K156" s="1" t="n">
        <v>2</v>
      </c>
      <c r="L156" s="1" t="n">
        <v>4</v>
      </c>
      <c r="M156" s="1" t="s">
        <v>322</v>
      </c>
      <c r="P156" s="1" t="s">
        <v>336</v>
      </c>
    </row>
    <row r="157" customFormat="false" ht="14.25" hidden="true" customHeight="true" outlineLevel="0" collapsed="false">
      <c r="A157" s="1" t="s">
        <v>284</v>
      </c>
      <c r="B157" s="1" t="s">
        <v>336</v>
      </c>
      <c r="C157" s="1" t="s">
        <v>104</v>
      </c>
      <c r="D157" s="1" t="n">
        <v>6</v>
      </c>
      <c r="E157" s="1" t="n">
        <v>63</v>
      </c>
      <c r="F157" s="1" t="s">
        <v>160</v>
      </c>
      <c r="G157" s="1" t="s">
        <v>337</v>
      </c>
      <c r="H157" s="1" t="n">
        <v>10.00125</v>
      </c>
      <c r="I157" s="1" t="n">
        <v>6.5</v>
      </c>
      <c r="J157" s="1" t="n">
        <v>2</v>
      </c>
      <c r="K157" s="1" t="n">
        <v>5</v>
      </c>
      <c r="L157" s="1" t="n">
        <v>1</v>
      </c>
      <c r="M157" s="1" t="s">
        <v>338</v>
      </c>
      <c r="P157" s="1" t="s">
        <v>339</v>
      </c>
    </row>
    <row r="158" customFormat="false" ht="14.25" hidden="true" customHeight="true" outlineLevel="0" collapsed="false">
      <c r="A158" s="1" t="s">
        <v>284</v>
      </c>
      <c r="B158" s="1" t="s">
        <v>339</v>
      </c>
      <c r="C158" s="1" t="s">
        <v>108</v>
      </c>
      <c r="D158" s="1" t="n">
        <v>54</v>
      </c>
      <c r="E158" s="1" t="n">
        <v>74</v>
      </c>
      <c r="F158" s="1" t="s">
        <v>160</v>
      </c>
      <c r="G158" s="1" t="s">
        <v>340</v>
      </c>
      <c r="H158" s="1" t="n">
        <v>11.7475</v>
      </c>
      <c r="I158" s="1" t="n">
        <v>25</v>
      </c>
      <c r="J158" s="1" t="n">
        <v>2</v>
      </c>
      <c r="K158" s="1" t="n">
        <v>2</v>
      </c>
      <c r="L158" s="1" t="n">
        <v>4</v>
      </c>
      <c r="M158" s="1" t="s">
        <v>341</v>
      </c>
      <c r="P158" s="1" t="s">
        <v>342</v>
      </c>
    </row>
    <row r="159" customFormat="false" ht="14.25" hidden="true" customHeight="true" outlineLevel="0" collapsed="false">
      <c r="A159" s="1" t="s">
        <v>284</v>
      </c>
      <c r="B159" s="1" t="s">
        <v>342</v>
      </c>
      <c r="C159" s="1" t="s">
        <v>108</v>
      </c>
      <c r="D159" s="1" t="n">
        <v>54</v>
      </c>
      <c r="E159" s="1" t="n">
        <v>74</v>
      </c>
      <c r="F159" s="1" t="s">
        <v>160</v>
      </c>
      <c r="G159" s="1" t="s">
        <v>340</v>
      </c>
      <c r="H159" s="1" t="n">
        <v>11.7475</v>
      </c>
      <c r="I159" s="1" t="n">
        <v>25</v>
      </c>
      <c r="J159" s="1" t="n">
        <v>2</v>
      </c>
      <c r="K159" s="1" t="n">
        <v>2</v>
      </c>
      <c r="L159" s="1" t="n">
        <v>4</v>
      </c>
      <c r="M159" s="1" t="s">
        <v>341</v>
      </c>
    </row>
    <row r="160" customFormat="false" ht="14.25" hidden="true" customHeight="true" outlineLevel="0" collapsed="false">
      <c r="A160" s="1" t="s">
        <v>284</v>
      </c>
      <c r="C160" s="1" t="s">
        <v>104</v>
      </c>
      <c r="D160" s="1" t="n">
        <v>58</v>
      </c>
      <c r="E160" s="1" t="n">
        <v>53</v>
      </c>
      <c r="F160" s="1" t="s">
        <v>160</v>
      </c>
      <c r="G160" s="1" t="s">
        <v>343</v>
      </c>
      <c r="H160" s="1" t="n">
        <v>2.80458333333333</v>
      </c>
      <c r="I160" s="1" t="n">
        <v>24</v>
      </c>
      <c r="J160" s="1" t="n">
        <v>6</v>
      </c>
      <c r="K160" s="1" t="n">
        <v>6</v>
      </c>
      <c r="L160" s="1" t="n">
        <v>3</v>
      </c>
      <c r="M160" s="1" t="s">
        <v>344</v>
      </c>
      <c r="P160" s="1" t="s">
        <v>345</v>
      </c>
    </row>
    <row r="161" customFormat="false" ht="14.25" hidden="true" customHeight="true" outlineLevel="0" collapsed="false">
      <c r="A161" s="1" t="s">
        <v>284</v>
      </c>
      <c r="C161" s="1" t="s">
        <v>104</v>
      </c>
      <c r="D161" s="1" t="n">
        <v>25</v>
      </c>
      <c r="E161" s="1" t="n">
        <v>74</v>
      </c>
      <c r="F161" s="1" t="s">
        <v>160</v>
      </c>
      <c r="G161" s="1" t="s">
        <v>346</v>
      </c>
      <c r="H161" s="1" t="n">
        <v>7.83166666666667</v>
      </c>
      <c r="I161" s="1" t="n">
        <v>24</v>
      </c>
      <c r="J161" s="1" t="n">
        <v>3</v>
      </c>
      <c r="K161" s="1" t="n">
        <v>1</v>
      </c>
      <c r="L161" s="1" t="n">
        <v>3</v>
      </c>
      <c r="M161" s="1" t="s">
        <v>208</v>
      </c>
    </row>
    <row r="162" customFormat="false" ht="14.25" hidden="true" customHeight="true" outlineLevel="0" collapsed="false">
      <c r="A162" s="1" t="s">
        <v>284</v>
      </c>
      <c r="B162" s="1" t="s">
        <v>345</v>
      </c>
      <c r="C162" s="1" t="s">
        <v>104</v>
      </c>
      <c r="D162" s="1" t="n">
        <v>26</v>
      </c>
      <c r="E162" s="1" t="n">
        <v>68</v>
      </c>
      <c r="F162" s="1" t="s">
        <v>160</v>
      </c>
      <c r="G162" s="1" t="s">
        <v>347</v>
      </c>
      <c r="H162" s="1" t="n">
        <v>3.59833333333333</v>
      </c>
      <c r="I162" s="1" t="n">
        <v>10</v>
      </c>
      <c r="J162" s="1" t="n">
        <v>6</v>
      </c>
      <c r="K162" s="1" t="n">
        <v>4</v>
      </c>
      <c r="L162" s="1" t="n">
        <v>1</v>
      </c>
      <c r="M162" s="1" t="s">
        <v>348</v>
      </c>
      <c r="P162" s="1" t="s">
        <v>349</v>
      </c>
    </row>
    <row r="163" customFormat="false" ht="14.25" hidden="true" customHeight="true" outlineLevel="0" collapsed="false">
      <c r="A163" s="1" t="s">
        <v>284</v>
      </c>
      <c r="C163" s="1" t="s">
        <v>100</v>
      </c>
      <c r="D163" s="1" t="n">
        <v>27</v>
      </c>
      <c r="E163" s="1" t="n">
        <v>60</v>
      </c>
      <c r="F163" s="1" t="s">
        <v>157</v>
      </c>
      <c r="G163" s="1" t="s">
        <v>350</v>
      </c>
      <c r="H163" s="1" t="n">
        <v>6.35</v>
      </c>
      <c r="I163" s="1" t="n">
        <v>20</v>
      </c>
      <c r="J163" s="1" t="n">
        <v>3</v>
      </c>
      <c r="L163" s="1" t="n">
        <v>2</v>
      </c>
      <c r="M163" s="1" t="s">
        <v>351</v>
      </c>
    </row>
    <row r="164" customFormat="false" ht="14.25" hidden="true" customHeight="true" outlineLevel="0" collapsed="false">
      <c r="A164" s="1" t="s">
        <v>284</v>
      </c>
      <c r="B164" s="1" t="s">
        <v>349</v>
      </c>
      <c r="C164" s="1" t="s">
        <v>104</v>
      </c>
      <c r="D164" s="1" t="n">
        <v>36</v>
      </c>
      <c r="E164" s="1" t="n">
        <v>61</v>
      </c>
      <c r="F164" s="1" t="s">
        <v>160</v>
      </c>
      <c r="G164" s="1" t="s">
        <v>352</v>
      </c>
      <c r="H164" s="1" t="n">
        <v>9.68375</v>
      </c>
      <c r="I164" s="1" t="n">
        <v>25</v>
      </c>
      <c r="J164" s="1" t="n">
        <v>2</v>
      </c>
      <c r="K164" s="1" t="n">
        <v>4</v>
      </c>
      <c r="L164" s="1" t="n">
        <v>2</v>
      </c>
      <c r="M164" s="1" t="s">
        <v>353</v>
      </c>
    </row>
    <row r="165" customFormat="false" ht="14.25" hidden="true" customHeight="true" outlineLevel="0" collapsed="false">
      <c r="A165" s="1" t="s">
        <v>284</v>
      </c>
      <c r="C165" s="1" t="s">
        <v>156</v>
      </c>
      <c r="D165" s="1" t="n">
        <v>28</v>
      </c>
      <c r="E165" s="1" t="n">
        <v>52</v>
      </c>
      <c r="F165" s="1" t="s">
        <v>160</v>
      </c>
      <c r="G165" s="1" t="s">
        <v>354</v>
      </c>
      <c r="H165" s="1" t="n">
        <v>3.302</v>
      </c>
      <c r="I165" s="1" t="n">
        <v>21</v>
      </c>
      <c r="J165" s="1" t="n">
        <v>5</v>
      </c>
      <c r="K165" s="1" t="s">
        <v>355</v>
      </c>
      <c r="L165" s="1" t="n">
        <v>2</v>
      </c>
      <c r="M165" s="1" t="s">
        <v>232</v>
      </c>
      <c r="P165" s="1" t="s">
        <v>356</v>
      </c>
    </row>
    <row r="166" customFormat="false" ht="14.25" hidden="true" customHeight="true" outlineLevel="0" collapsed="false">
      <c r="A166" s="1" t="s">
        <v>284</v>
      </c>
      <c r="C166" s="1" t="s">
        <v>165</v>
      </c>
      <c r="D166" s="1" t="n">
        <v>41</v>
      </c>
      <c r="E166" s="1" t="n">
        <v>72</v>
      </c>
      <c r="F166" s="1" t="s">
        <v>160</v>
      </c>
      <c r="G166" s="1" t="s">
        <v>357</v>
      </c>
      <c r="H166" s="1" t="n">
        <v>3.81</v>
      </c>
      <c r="I166" s="1" t="n">
        <v>21</v>
      </c>
      <c r="J166" s="1" t="n">
        <v>6</v>
      </c>
      <c r="K166" s="1" t="n">
        <v>5</v>
      </c>
      <c r="L166" s="1" t="n">
        <v>2</v>
      </c>
      <c r="M166" s="1" t="s">
        <v>358</v>
      </c>
    </row>
    <row r="167" customFormat="false" ht="14.25" hidden="true" customHeight="true" outlineLevel="0" collapsed="false">
      <c r="A167" s="1" t="s">
        <v>284</v>
      </c>
      <c r="B167" s="1" t="s">
        <v>356</v>
      </c>
      <c r="C167" s="1" t="s">
        <v>104</v>
      </c>
      <c r="D167" s="1" t="n">
        <v>26</v>
      </c>
      <c r="E167" s="1" t="n">
        <v>54</v>
      </c>
      <c r="F167" s="1" t="s">
        <v>157</v>
      </c>
      <c r="G167" s="1" t="s">
        <v>359</v>
      </c>
      <c r="H167" s="1" t="n">
        <v>4.28625</v>
      </c>
      <c r="I167" s="1" t="n">
        <v>21</v>
      </c>
      <c r="J167" s="1" t="n">
        <v>4</v>
      </c>
      <c r="L167" s="1" t="n">
        <v>1</v>
      </c>
    </row>
    <row r="168" customFormat="false" ht="14.25" hidden="true" customHeight="true" outlineLevel="0" collapsed="false">
      <c r="A168" s="1" t="s">
        <v>284</v>
      </c>
      <c r="C168" s="1" t="s">
        <v>104</v>
      </c>
      <c r="D168" s="1" t="n">
        <v>31</v>
      </c>
      <c r="E168" s="1" t="n">
        <v>54</v>
      </c>
      <c r="F168" s="1" t="s">
        <v>157</v>
      </c>
      <c r="G168" s="1" t="s">
        <v>359</v>
      </c>
      <c r="H168" s="1" t="n">
        <v>4.28625</v>
      </c>
      <c r="I168" s="1" t="n">
        <v>21</v>
      </c>
      <c r="J168" s="1" t="n">
        <v>4</v>
      </c>
      <c r="L168" s="1" t="n">
        <v>2</v>
      </c>
    </row>
    <row r="169" customFormat="false" ht="14.25" hidden="true" customHeight="true" outlineLevel="0" collapsed="false">
      <c r="A169" s="1" t="s">
        <v>284</v>
      </c>
      <c r="C169" s="1" t="s">
        <v>104</v>
      </c>
      <c r="D169" s="1" t="n">
        <v>30</v>
      </c>
      <c r="E169" s="1" t="n">
        <v>49</v>
      </c>
      <c r="F169" s="1" t="s">
        <v>160</v>
      </c>
      <c r="G169" s="1" t="s">
        <v>360</v>
      </c>
      <c r="H169" s="1" t="n">
        <v>5.18583333333333</v>
      </c>
      <c r="I169" s="1" t="n">
        <v>21</v>
      </c>
      <c r="J169" s="1" t="n">
        <v>3</v>
      </c>
      <c r="K169" s="1" t="n">
        <v>4</v>
      </c>
      <c r="L169" s="1" t="n">
        <v>2</v>
      </c>
      <c r="M169" s="1" t="s">
        <v>361</v>
      </c>
    </row>
    <row r="170" customFormat="false" ht="14.25" hidden="true" customHeight="true" outlineLevel="0" collapsed="false">
      <c r="A170" s="1" t="s">
        <v>284</v>
      </c>
      <c r="C170" s="1" t="s">
        <v>104</v>
      </c>
      <c r="D170" s="1" t="n">
        <v>32</v>
      </c>
      <c r="E170" s="1" t="n">
        <v>49</v>
      </c>
      <c r="F170" s="1" t="s">
        <v>160</v>
      </c>
      <c r="G170" s="1" t="s">
        <v>362</v>
      </c>
      <c r="H170" s="1" t="n">
        <v>5.18583333333333</v>
      </c>
      <c r="I170" s="1" t="n">
        <v>10.5</v>
      </c>
      <c r="J170" s="1" t="n">
        <v>3</v>
      </c>
      <c r="K170" s="1" t="n">
        <v>2</v>
      </c>
      <c r="L170" s="1" t="n">
        <v>2</v>
      </c>
      <c r="M170" s="1" t="s">
        <v>363</v>
      </c>
      <c r="P170" s="1" t="s">
        <v>364</v>
      </c>
    </row>
    <row r="171" customFormat="false" ht="14.25" hidden="true" customHeight="true" outlineLevel="0" collapsed="false">
      <c r="A171" s="1" t="s">
        <v>284</v>
      </c>
      <c r="C171" s="1" t="s">
        <v>104</v>
      </c>
      <c r="D171" s="1" t="n">
        <v>37</v>
      </c>
      <c r="E171" s="1" t="n">
        <v>60</v>
      </c>
      <c r="F171" s="1" t="s">
        <v>160</v>
      </c>
      <c r="G171" s="1" t="s">
        <v>227</v>
      </c>
      <c r="H171" s="1" t="n">
        <v>6.35</v>
      </c>
      <c r="I171" s="1" t="n">
        <v>11</v>
      </c>
      <c r="J171" s="1" t="n">
        <v>3</v>
      </c>
      <c r="K171" s="1" t="n">
        <v>4</v>
      </c>
      <c r="L171" s="1" t="n">
        <v>2</v>
      </c>
      <c r="M171" s="1" t="s">
        <v>169</v>
      </c>
    </row>
    <row r="172" customFormat="false" ht="14.25" hidden="true" customHeight="true" outlineLevel="0" collapsed="false">
      <c r="A172" s="1" t="s">
        <v>284</v>
      </c>
      <c r="B172" s="1" t="s">
        <v>364</v>
      </c>
      <c r="C172" s="1" t="s">
        <v>104</v>
      </c>
      <c r="D172" s="1" t="n">
        <v>44</v>
      </c>
      <c r="E172" s="1" t="n">
        <v>46</v>
      </c>
      <c r="F172" s="1" t="s">
        <v>160</v>
      </c>
      <c r="G172" s="1" t="s">
        <v>365</v>
      </c>
      <c r="H172" s="1" t="n">
        <v>7.3025</v>
      </c>
      <c r="I172" s="1" t="n">
        <v>21.5</v>
      </c>
      <c r="J172" s="1" t="n">
        <v>2</v>
      </c>
      <c r="K172" s="1" t="n">
        <v>2</v>
      </c>
      <c r="L172" s="1" t="n">
        <v>2</v>
      </c>
      <c r="M172" s="1" t="s">
        <v>366</v>
      </c>
    </row>
    <row r="173" customFormat="false" ht="14.25" hidden="true" customHeight="true" outlineLevel="0" collapsed="false">
      <c r="A173" s="1" t="s">
        <v>284</v>
      </c>
      <c r="C173" s="1" t="s">
        <v>104</v>
      </c>
      <c r="D173" s="1" t="n">
        <v>29</v>
      </c>
      <c r="E173" s="1" t="n">
        <v>52</v>
      </c>
      <c r="F173" s="1" t="s">
        <v>157</v>
      </c>
      <c r="G173" s="1" t="s">
        <v>367</v>
      </c>
      <c r="H173" s="1" t="n">
        <v>8.255</v>
      </c>
      <c r="I173" s="1" t="n">
        <v>21</v>
      </c>
      <c r="J173" s="1" t="n">
        <v>2</v>
      </c>
      <c r="L173" s="1" t="n">
        <v>2</v>
      </c>
      <c r="M173" s="1" t="s">
        <v>232</v>
      </c>
    </row>
    <row r="174" customFormat="false" ht="14.25" hidden="true" customHeight="true" outlineLevel="0" collapsed="false">
      <c r="A174" s="1" t="s">
        <v>284</v>
      </c>
      <c r="C174" s="1" t="s">
        <v>104</v>
      </c>
      <c r="D174" s="1" t="n">
        <v>33</v>
      </c>
      <c r="E174" s="1" t="n">
        <v>52</v>
      </c>
      <c r="F174" s="1" t="s">
        <v>157</v>
      </c>
      <c r="G174" s="1" t="s">
        <v>367</v>
      </c>
      <c r="H174" s="1" t="n">
        <v>8.255</v>
      </c>
      <c r="I174" s="1" t="n">
        <v>21</v>
      </c>
      <c r="J174" s="1" t="n">
        <v>2</v>
      </c>
      <c r="L174" s="1" t="n">
        <v>2</v>
      </c>
      <c r="M174" s="1" t="s">
        <v>232</v>
      </c>
    </row>
    <row r="175" customFormat="false" ht="14.25" hidden="true" customHeight="true" outlineLevel="0" collapsed="false">
      <c r="A175" s="1" t="s">
        <v>284</v>
      </c>
      <c r="C175" s="1" t="s">
        <v>220</v>
      </c>
      <c r="D175" s="1" t="n">
        <v>34</v>
      </c>
      <c r="E175" s="1" t="n">
        <v>65</v>
      </c>
      <c r="F175" s="1" t="s">
        <v>160</v>
      </c>
      <c r="G175" s="1" t="s">
        <v>368</v>
      </c>
      <c r="H175" s="1" t="n">
        <v>10.31875</v>
      </c>
      <c r="I175" s="1" t="n">
        <v>21</v>
      </c>
      <c r="J175" s="1" t="n">
        <v>2</v>
      </c>
      <c r="K175" s="1" t="s">
        <v>369</v>
      </c>
      <c r="L175" s="1" t="n">
        <v>2</v>
      </c>
      <c r="M175" s="1" t="s">
        <v>370</v>
      </c>
    </row>
    <row r="176" customFormat="false" ht="14.25" hidden="true" customHeight="true" outlineLevel="0" collapsed="false">
      <c r="A176" s="1" t="s">
        <v>284</v>
      </c>
      <c r="C176" s="1" t="s">
        <v>156</v>
      </c>
      <c r="D176" s="1" t="n">
        <v>35</v>
      </c>
      <c r="E176" s="1" t="n">
        <v>51</v>
      </c>
      <c r="F176" s="1" t="s">
        <v>160</v>
      </c>
      <c r="G176" s="1" t="s">
        <v>371</v>
      </c>
      <c r="H176" s="1" t="n">
        <v>4.048125</v>
      </c>
      <c r="I176" s="1" t="n">
        <v>11</v>
      </c>
      <c r="J176" s="1" t="n">
        <v>4</v>
      </c>
      <c r="K176" s="1" t="n">
        <v>4</v>
      </c>
      <c r="L176" s="1" t="n">
        <v>2</v>
      </c>
      <c r="M176" s="1" t="s">
        <v>169</v>
      </c>
    </row>
    <row r="177" customFormat="false" ht="14.25" hidden="true" customHeight="true" outlineLevel="0" collapsed="false">
      <c r="A177" s="1" t="s">
        <v>284</v>
      </c>
      <c r="C177" s="1" t="s">
        <v>104</v>
      </c>
      <c r="D177" s="1" t="n">
        <v>38</v>
      </c>
      <c r="E177" s="1" t="n">
        <v>60</v>
      </c>
      <c r="F177" s="1" t="s">
        <v>160</v>
      </c>
      <c r="G177" s="1" t="s">
        <v>372</v>
      </c>
      <c r="H177" s="1" t="n">
        <v>6.35</v>
      </c>
      <c r="I177" s="1" t="n">
        <v>22</v>
      </c>
      <c r="J177" s="1" t="n">
        <v>3</v>
      </c>
      <c r="K177" s="1" t="n">
        <v>1</v>
      </c>
      <c r="L177" s="1" t="n">
        <v>2</v>
      </c>
      <c r="M177" s="1" t="s">
        <v>373</v>
      </c>
    </row>
    <row r="178" customFormat="false" ht="14.25" hidden="true" customHeight="true" outlineLevel="0" collapsed="false">
      <c r="A178" s="1" t="s">
        <v>284</v>
      </c>
      <c r="C178" s="1" t="s">
        <v>156</v>
      </c>
      <c r="D178" s="1" t="n">
        <v>39</v>
      </c>
      <c r="E178" s="1" t="n">
        <v>48</v>
      </c>
      <c r="F178" s="1" t="s">
        <v>160</v>
      </c>
      <c r="G178" s="1" t="s">
        <v>374</v>
      </c>
      <c r="H178" s="1" t="n">
        <v>15.24</v>
      </c>
      <c r="I178" s="1" t="n">
        <v>21</v>
      </c>
      <c r="J178" s="1" t="n">
        <v>1</v>
      </c>
      <c r="K178" s="1" t="n">
        <v>4</v>
      </c>
      <c r="L178" s="1" t="n">
        <v>2</v>
      </c>
      <c r="M178" s="1" t="s">
        <v>373</v>
      </c>
    </row>
    <row r="179" customFormat="false" ht="14.25" hidden="true" customHeight="true" outlineLevel="0" collapsed="false">
      <c r="A179" s="1" t="s">
        <v>284</v>
      </c>
      <c r="C179" s="1" t="s">
        <v>104</v>
      </c>
      <c r="D179" s="1" t="n">
        <v>55</v>
      </c>
      <c r="E179" s="1" t="n">
        <v>48</v>
      </c>
      <c r="F179" s="1" t="s">
        <v>160</v>
      </c>
      <c r="G179" s="1" t="s">
        <v>374</v>
      </c>
      <c r="H179" s="1" t="n">
        <v>15.24</v>
      </c>
      <c r="I179" s="1" t="n">
        <v>21</v>
      </c>
      <c r="J179" s="1" t="n">
        <v>1</v>
      </c>
      <c r="K179" s="1" t="n">
        <v>4</v>
      </c>
      <c r="L179" s="1" t="n">
        <v>2</v>
      </c>
      <c r="M179" s="1" t="s">
        <v>375</v>
      </c>
    </row>
    <row r="180" customFormat="false" ht="14.25" hidden="true" customHeight="true" outlineLevel="0" collapsed="false">
      <c r="A180" s="1" t="s">
        <v>284</v>
      </c>
      <c r="C180" s="1" t="s">
        <v>104</v>
      </c>
      <c r="D180" s="1" t="n">
        <v>40</v>
      </c>
      <c r="E180" s="1" t="n">
        <v>61</v>
      </c>
      <c r="F180" s="1" t="s">
        <v>160</v>
      </c>
      <c r="G180" s="1" t="s">
        <v>376</v>
      </c>
      <c r="H180" s="1" t="n">
        <v>19.3675</v>
      </c>
      <c r="I180" s="1" t="n">
        <v>15.5</v>
      </c>
      <c r="J180" s="1" t="n">
        <v>1</v>
      </c>
      <c r="K180" s="1" t="n">
        <v>4</v>
      </c>
      <c r="L180" s="1" t="n">
        <v>1</v>
      </c>
      <c r="M180" s="1" t="s">
        <v>377</v>
      </c>
      <c r="P180" s="1" t="s">
        <v>378</v>
      </c>
    </row>
    <row r="181" customFormat="false" ht="14.25" hidden="true" customHeight="true" outlineLevel="0" collapsed="false">
      <c r="A181" s="1" t="s">
        <v>284</v>
      </c>
      <c r="P181" s="1" t="s">
        <v>379</v>
      </c>
    </row>
    <row r="182" customFormat="false" ht="14.25" hidden="true" customHeight="true" outlineLevel="0" collapsed="false">
      <c r="A182" s="1" t="s">
        <v>284</v>
      </c>
      <c r="B182" s="1" t="s">
        <v>378</v>
      </c>
      <c r="C182" s="1" t="s">
        <v>104</v>
      </c>
      <c r="D182" s="1" t="n">
        <v>11</v>
      </c>
      <c r="E182" s="1" t="n">
        <v>47</v>
      </c>
      <c r="F182" s="1" t="s">
        <v>255</v>
      </c>
      <c r="G182" s="1" t="s">
        <v>380</v>
      </c>
      <c r="H182" s="1" t="n">
        <v>4.97416666666667</v>
      </c>
      <c r="I182" s="1" t="n">
        <v>4.5</v>
      </c>
      <c r="J182" s="1" t="n">
        <v>3</v>
      </c>
      <c r="K182" s="1" t="n">
        <v>5</v>
      </c>
      <c r="L182" s="1" t="n">
        <v>1</v>
      </c>
      <c r="M182" s="1" t="s">
        <v>381</v>
      </c>
      <c r="P182" s="1" t="s">
        <v>382</v>
      </c>
    </row>
    <row r="183" customFormat="false" ht="14.25" hidden="true" customHeight="true" outlineLevel="0" collapsed="false">
      <c r="A183" s="1" t="s">
        <v>284</v>
      </c>
      <c r="B183" s="1" t="s">
        <v>379</v>
      </c>
      <c r="C183" s="1" t="s">
        <v>104</v>
      </c>
      <c r="D183" s="1" t="n">
        <v>11</v>
      </c>
      <c r="E183" s="1" t="n">
        <v>47</v>
      </c>
      <c r="F183" s="1" t="s">
        <v>255</v>
      </c>
      <c r="G183" s="1" t="s">
        <v>383</v>
      </c>
      <c r="H183" s="1" t="n">
        <v>4.97416666666667</v>
      </c>
      <c r="I183" s="1" t="n">
        <v>8</v>
      </c>
      <c r="J183" s="1" t="n">
        <v>3</v>
      </c>
      <c r="K183" s="1" t="n">
        <v>5</v>
      </c>
      <c r="L183" s="1" t="n">
        <v>1</v>
      </c>
      <c r="M183" s="1" t="s">
        <v>384</v>
      </c>
      <c r="P183" s="1" t="s">
        <v>385</v>
      </c>
    </row>
    <row r="184" customFormat="false" ht="14.25" hidden="true" customHeight="true" outlineLevel="0" collapsed="false">
      <c r="A184" s="1" t="s">
        <v>284</v>
      </c>
      <c r="B184" s="1" t="s">
        <v>382</v>
      </c>
      <c r="C184" s="1" t="s">
        <v>104</v>
      </c>
      <c r="D184" s="1" t="n">
        <v>14</v>
      </c>
      <c r="E184" s="1" t="n">
        <v>63</v>
      </c>
      <c r="F184" s="1" t="s">
        <v>255</v>
      </c>
      <c r="G184" s="1" t="s">
        <v>386</v>
      </c>
      <c r="H184" s="1" t="n">
        <v>6.6675</v>
      </c>
      <c r="I184" s="1" t="n">
        <v>9</v>
      </c>
      <c r="J184" s="1" t="n">
        <v>3</v>
      </c>
      <c r="K184" s="1" t="n">
        <v>5</v>
      </c>
      <c r="L184" s="1" t="n">
        <v>1</v>
      </c>
      <c r="M184" s="1" t="s">
        <v>387</v>
      </c>
      <c r="P184" s="1" t="s">
        <v>388</v>
      </c>
    </row>
    <row r="185" customFormat="false" ht="14.25" hidden="true" customHeight="true" outlineLevel="0" collapsed="false">
      <c r="A185" s="1" t="s">
        <v>284</v>
      </c>
      <c r="B185" s="1" t="s">
        <v>385</v>
      </c>
      <c r="C185" s="1" t="s">
        <v>104</v>
      </c>
      <c r="D185" s="1" t="n">
        <v>5</v>
      </c>
      <c r="E185" s="1" t="n">
        <v>51</v>
      </c>
      <c r="F185" s="1" t="s">
        <v>255</v>
      </c>
      <c r="G185" s="1" t="s">
        <v>389</v>
      </c>
      <c r="H185" s="1" t="n">
        <v>8.09625</v>
      </c>
      <c r="I185" s="1" t="n">
        <v>11</v>
      </c>
      <c r="J185" s="1" t="n">
        <v>2</v>
      </c>
      <c r="K185" s="1" t="n">
        <v>4</v>
      </c>
      <c r="L185" s="1" t="n">
        <v>2</v>
      </c>
      <c r="M185" s="1" t="s">
        <v>390</v>
      </c>
      <c r="P185" s="1" t="s">
        <v>391</v>
      </c>
    </row>
    <row r="186" customFormat="false" ht="14.25" hidden="true" customHeight="true" outlineLevel="0" collapsed="false">
      <c r="A186" s="1" t="s">
        <v>284</v>
      </c>
      <c r="B186" s="1" t="s">
        <v>388</v>
      </c>
      <c r="C186" s="1" t="s">
        <v>104</v>
      </c>
      <c r="D186" s="1" t="n">
        <v>12</v>
      </c>
      <c r="E186" s="1" t="n">
        <v>47</v>
      </c>
      <c r="F186" s="1" t="s">
        <v>255</v>
      </c>
      <c r="G186" s="1" t="s">
        <v>392</v>
      </c>
      <c r="H186" s="1" t="n">
        <v>1.49225</v>
      </c>
      <c r="I186" s="1" t="n">
        <v>9.5</v>
      </c>
      <c r="J186" s="1" t="n">
        <v>10</v>
      </c>
      <c r="K186" s="1" t="n">
        <v>5</v>
      </c>
      <c r="L186" s="1" t="n">
        <v>1</v>
      </c>
      <c r="M186" s="1" t="s">
        <v>393</v>
      </c>
      <c r="P186" s="1" t="s">
        <v>394</v>
      </c>
    </row>
    <row r="187" customFormat="false" ht="14.25" hidden="true" customHeight="true" outlineLevel="0" collapsed="false">
      <c r="A187" s="1" t="s">
        <v>284</v>
      </c>
      <c r="B187" s="1" t="s">
        <v>391</v>
      </c>
      <c r="C187" s="1" t="s">
        <v>104</v>
      </c>
      <c r="D187" s="1" t="n">
        <v>10</v>
      </c>
      <c r="E187" s="1" t="n">
        <v>59</v>
      </c>
      <c r="F187" s="1" t="s">
        <v>255</v>
      </c>
      <c r="G187" s="1" t="s">
        <v>395</v>
      </c>
      <c r="H187" s="1" t="n">
        <v>9.36625</v>
      </c>
      <c r="I187" s="1" t="n">
        <v>6.5</v>
      </c>
      <c r="J187" s="1" t="n">
        <v>2</v>
      </c>
      <c r="K187" s="1" t="n">
        <v>4</v>
      </c>
      <c r="L187" s="1" t="n">
        <v>1</v>
      </c>
      <c r="M187" s="1" t="s">
        <v>390</v>
      </c>
      <c r="P187" s="1" t="s">
        <v>396</v>
      </c>
    </row>
    <row r="188" customFormat="false" ht="14.25" hidden="true" customHeight="true" outlineLevel="0" collapsed="false">
      <c r="A188" s="1" t="s">
        <v>284</v>
      </c>
      <c r="B188" s="1" t="s">
        <v>394</v>
      </c>
      <c r="C188" s="1" t="s">
        <v>104</v>
      </c>
      <c r="D188" s="1" t="n">
        <v>6</v>
      </c>
      <c r="E188" s="1" t="n">
        <v>63</v>
      </c>
      <c r="F188" s="1" t="s">
        <v>255</v>
      </c>
      <c r="G188" s="1" t="s">
        <v>397</v>
      </c>
      <c r="H188" s="1" t="n">
        <v>10.00125</v>
      </c>
      <c r="I188" s="1" t="n">
        <v>6.5</v>
      </c>
      <c r="J188" s="1" t="n">
        <v>2</v>
      </c>
      <c r="K188" s="1" t="n">
        <v>5</v>
      </c>
      <c r="L188" s="1" t="n">
        <v>1</v>
      </c>
      <c r="M188" s="1" t="s">
        <v>384</v>
      </c>
      <c r="P188" s="1" t="s">
        <v>398</v>
      </c>
    </row>
    <row r="189" customFormat="false" ht="14.25" hidden="true" customHeight="true" outlineLevel="0" collapsed="false">
      <c r="A189" s="1" t="s">
        <v>284</v>
      </c>
      <c r="B189" s="1" t="s">
        <v>396</v>
      </c>
      <c r="C189" s="1" t="s">
        <v>104</v>
      </c>
      <c r="D189" s="1" t="n">
        <v>10</v>
      </c>
      <c r="E189" s="1" t="n">
        <v>59</v>
      </c>
      <c r="F189" s="1" t="s">
        <v>255</v>
      </c>
      <c r="G189" s="1" t="s">
        <v>399</v>
      </c>
      <c r="H189" s="1" t="n">
        <v>18.7325</v>
      </c>
      <c r="I189" s="1" t="n">
        <v>5.5</v>
      </c>
      <c r="J189" s="1" t="n">
        <v>1</v>
      </c>
      <c r="K189" s="1" t="n">
        <v>4</v>
      </c>
      <c r="L189" s="1" t="n">
        <v>1</v>
      </c>
      <c r="M189" s="1" t="s">
        <v>400</v>
      </c>
    </row>
    <row r="190" customFormat="false" ht="14.25" hidden="true" customHeight="true" outlineLevel="0" collapsed="false">
      <c r="A190" s="1" t="s">
        <v>284</v>
      </c>
      <c r="B190" s="1" t="s">
        <v>398</v>
      </c>
      <c r="C190" s="1" t="s">
        <v>104</v>
      </c>
      <c r="D190" s="1" t="n">
        <v>3</v>
      </c>
      <c r="E190" s="1" t="n">
        <v>63</v>
      </c>
      <c r="F190" s="1" t="s">
        <v>255</v>
      </c>
      <c r="G190" s="1" t="s">
        <v>401</v>
      </c>
      <c r="H190" s="1" t="n">
        <v>6.6675</v>
      </c>
      <c r="I190" s="1" t="n">
        <v>10.5</v>
      </c>
      <c r="J190" s="1" t="n">
        <v>3</v>
      </c>
      <c r="K190" s="1" t="n">
        <v>5</v>
      </c>
      <c r="L190" s="1" t="n">
        <v>1</v>
      </c>
      <c r="M190" s="1" t="s">
        <v>390</v>
      </c>
    </row>
    <row r="191" customFormat="false" ht="14.25" hidden="true" customHeight="true" outlineLevel="0" collapsed="false">
      <c r="A191" s="1" t="s">
        <v>284</v>
      </c>
    </row>
    <row r="192" customFormat="false" ht="14.25" hidden="true" customHeight="true" outlineLevel="0" collapsed="false">
      <c r="A192" s="1" t="s">
        <v>284</v>
      </c>
      <c r="C192" s="1" t="s">
        <v>156</v>
      </c>
      <c r="D192" s="1" t="n">
        <v>45</v>
      </c>
      <c r="E192" s="1" t="n">
        <v>50</v>
      </c>
      <c r="F192" s="1" t="s">
        <v>273</v>
      </c>
      <c r="G192" s="1" t="s">
        <v>402</v>
      </c>
      <c r="H192" s="1" t="n">
        <v>4</v>
      </c>
      <c r="I192" s="1" t="n">
        <v>22</v>
      </c>
      <c r="J192" s="1" t="n">
        <v>4</v>
      </c>
      <c r="K192" s="1" t="n">
        <v>5</v>
      </c>
      <c r="L192" s="1" t="n">
        <v>2</v>
      </c>
      <c r="M192" s="1" t="s">
        <v>172</v>
      </c>
    </row>
    <row r="193" customFormat="false" ht="14.25" hidden="true" customHeight="true" outlineLevel="0" collapsed="false">
      <c r="A193" s="1" t="s">
        <v>284</v>
      </c>
      <c r="C193" s="1" t="s">
        <v>156</v>
      </c>
      <c r="D193" s="1" t="n">
        <v>46</v>
      </c>
      <c r="E193" s="1" t="n">
        <v>66</v>
      </c>
      <c r="F193" s="1" t="s">
        <v>273</v>
      </c>
      <c r="G193" s="1" t="s">
        <v>403</v>
      </c>
      <c r="H193" s="1" t="n">
        <v>7</v>
      </c>
      <c r="I193" s="1" t="n">
        <v>22</v>
      </c>
      <c r="J193" s="1" t="n">
        <v>3</v>
      </c>
      <c r="K193" s="1" t="n">
        <v>3</v>
      </c>
      <c r="L193" s="1" t="n">
        <v>2</v>
      </c>
      <c r="M193" s="1" t="s">
        <v>172</v>
      </c>
    </row>
    <row r="194" customFormat="false" ht="14.25" hidden="true" customHeight="true" outlineLevel="0" collapsed="false">
      <c r="A194" s="1" t="s">
        <v>284</v>
      </c>
      <c r="C194" s="1" t="s">
        <v>156</v>
      </c>
      <c r="D194" s="1" t="n">
        <v>47</v>
      </c>
      <c r="E194" s="1" t="n">
        <v>47</v>
      </c>
      <c r="F194" s="1" t="s">
        <v>273</v>
      </c>
      <c r="G194" s="1" t="s">
        <v>404</v>
      </c>
      <c r="H194" s="1" t="n">
        <v>3</v>
      </c>
      <c r="I194" s="1" t="n">
        <v>16</v>
      </c>
      <c r="J194" s="1" t="n">
        <v>6</v>
      </c>
      <c r="K194" s="1" t="n">
        <v>0</v>
      </c>
      <c r="L194" s="1" t="n">
        <v>2</v>
      </c>
      <c r="M194" s="1" t="s">
        <v>172</v>
      </c>
    </row>
    <row r="195" customFormat="false" ht="14.25" hidden="true" customHeight="true" outlineLevel="0" collapsed="false">
      <c r="A195" s="1" t="s">
        <v>284</v>
      </c>
      <c r="C195" s="1" t="s">
        <v>156</v>
      </c>
      <c r="D195" s="1" t="n">
        <v>53</v>
      </c>
      <c r="E195" s="1" t="n">
        <v>47</v>
      </c>
      <c r="F195" s="1" t="s">
        <v>273</v>
      </c>
      <c r="G195" s="1" t="s">
        <v>405</v>
      </c>
      <c r="H195" s="1" t="n">
        <v>3</v>
      </c>
      <c r="I195" s="1" t="n">
        <v>20</v>
      </c>
      <c r="J195" s="1" t="n">
        <v>7</v>
      </c>
      <c r="K195" s="1" t="n">
        <v>0</v>
      </c>
      <c r="L195" s="1" t="n">
        <v>2</v>
      </c>
      <c r="M195" s="1" t="s">
        <v>172</v>
      </c>
    </row>
    <row r="196" customFormat="false" ht="14.25" hidden="true" customHeight="true" outlineLevel="0" collapsed="false">
      <c r="A196" s="1" t="s">
        <v>284</v>
      </c>
      <c r="P196" s="1" t="s">
        <v>349</v>
      </c>
    </row>
    <row r="197" customFormat="false" ht="14.25" hidden="true" customHeight="true" outlineLevel="0" collapsed="false">
      <c r="A197" s="1" t="s">
        <v>284</v>
      </c>
      <c r="P197" s="1" t="s">
        <v>406</v>
      </c>
    </row>
    <row r="198" customFormat="false" ht="14.25" hidden="true" customHeight="true" outlineLevel="0" collapsed="false">
      <c r="A198" s="1" t="s">
        <v>284</v>
      </c>
      <c r="B198" s="1" t="s">
        <v>349</v>
      </c>
      <c r="C198" s="1" t="s">
        <v>332</v>
      </c>
      <c r="D198" s="1" t="n">
        <v>48</v>
      </c>
      <c r="E198" s="1" t="n">
        <v>49</v>
      </c>
      <c r="F198" s="1" t="s">
        <v>349</v>
      </c>
      <c r="G198" s="1" t="s">
        <v>407</v>
      </c>
      <c r="H198" s="1" t="n">
        <v>5.18583333333333</v>
      </c>
      <c r="I198" s="1" t="n">
        <v>21</v>
      </c>
      <c r="J198" s="1" t="n">
        <v>3</v>
      </c>
      <c r="L198" s="1" t="n">
        <v>2</v>
      </c>
      <c r="M198" s="1" t="s">
        <v>408</v>
      </c>
    </row>
    <row r="199" customFormat="false" ht="14.25" hidden="true" customHeight="true" outlineLevel="0" collapsed="false">
      <c r="A199" s="1" t="s">
        <v>284</v>
      </c>
      <c r="B199" s="1" t="s">
        <v>406</v>
      </c>
      <c r="C199" s="1" t="s">
        <v>111</v>
      </c>
      <c r="D199" s="1" t="n">
        <v>51</v>
      </c>
      <c r="E199" s="1" t="n">
        <v>54</v>
      </c>
      <c r="F199" s="1" t="s">
        <v>349</v>
      </c>
      <c r="G199" s="1" t="n">
        <v>22</v>
      </c>
      <c r="I199" s="1" t="n">
        <v>22</v>
      </c>
      <c r="J199" s="1" t="n">
        <v>4</v>
      </c>
      <c r="L199" s="1" t="n">
        <v>1</v>
      </c>
      <c r="M199" s="1" t="s">
        <v>409</v>
      </c>
    </row>
    <row r="200" customFormat="false" ht="14.25" hidden="true" customHeight="true" outlineLevel="0" collapsed="false">
      <c r="A200" s="1" t="s">
        <v>284</v>
      </c>
      <c r="D200" s="1" t="n">
        <v>52</v>
      </c>
      <c r="E200" s="1" t="n">
        <v>59</v>
      </c>
      <c r="F200" s="1" t="s">
        <v>410</v>
      </c>
      <c r="G200" s="1" t="s">
        <v>411</v>
      </c>
      <c r="J200" s="1" t="s">
        <v>369</v>
      </c>
      <c r="K200" s="1" t="s">
        <v>369</v>
      </c>
      <c r="L200" s="1" t="s">
        <v>369</v>
      </c>
    </row>
    <row r="201" customFormat="false" ht="14.25" hidden="true" customHeight="true" outlineLevel="0" collapsed="false">
      <c r="A201" s="1" t="s">
        <v>284</v>
      </c>
      <c r="C201" s="1" t="s">
        <v>220</v>
      </c>
      <c r="D201" s="1" t="n">
        <v>50</v>
      </c>
      <c r="E201" s="1" t="n">
        <v>65</v>
      </c>
      <c r="F201" s="1" t="s">
        <v>349</v>
      </c>
      <c r="G201" s="1" t="s">
        <v>368</v>
      </c>
      <c r="M201" s="1" t="s">
        <v>370</v>
      </c>
      <c r="P201" s="1" t="s">
        <v>412</v>
      </c>
    </row>
    <row r="202" customFormat="false" ht="14.25" hidden="true" customHeight="true" outlineLevel="0" collapsed="false">
      <c r="A202" s="1" t="s">
        <v>22</v>
      </c>
      <c r="B202" s="1" t="s">
        <v>413</v>
      </c>
      <c r="C202" s="1" t="s">
        <v>104</v>
      </c>
      <c r="D202" s="1" t="n">
        <v>1</v>
      </c>
      <c r="E202" s="1" t="n">
        <v>43</v>
      </c>
      <c r="F202" s="1" t="s">
        <v>101</v>
      </c>
      <c r="G202" s="1" t="n">
        <v>0.97</v>
      </c>
      <c r="H202" s="1" t="n">
        <v>0.97</v>
      </c>
      <c r="I202" s="1" t="n">
        <v>7.5</v>
      </c>
      <c r="J202" s="1" t="n">
        <v>14</v>
      </c>
      <c r="K202" s="1" t="n">
        <v>4</v>
      </c>
      <c r="L202" s="1" t="s">
        <v>355</v>
      </c>
    </row>
    <row r="203" customFormat="false" ht="14.25" hidden="true" customHeight="true" outlineLevel="0" collapsed="false">
      <c r="A203" s="1" t="s">
        <v>22</v>
      </c>
      <c r="B203" s="1" t="s">
        <v>414</v>
      </c>
      <c r="D203" s="1" t="n">
        <v>3</v>
      </c>
      <c r="E203" s="1" t="n">
        <v>51</v>
      </c>
      <c r="F203" s="1" t="s">
        <v>101</v>
      </c>
      <c r="G203" s="1" t="n">
        <v>2</v>
      </c>
      <c r="H203" s="1" t="n">
        <v>2</v>
      </c>
      <c r="I203" s="1" t="n">
        <v>6.6</v>
      </c>
      <c r="J203" s="1" t="n">
        <v>8</v>
      </c>
      <c r="K203" s="1" t="n">
        <v>5</v>
      </c>
      <c r="L203" s="1" t="n">
        <v>1</v>
      </c>
    </row>
    <row r="204" customFormat="false" ht="14.25" hidden="true" customHeight="true" outlineLevel="0" collapsed="false">
      <c r="A204" s="1" t="s">
        <v>22</v>
      </c>
      <c r="B204" s="1" t="s">
        <v>415</v>
      </c>
      <c r="C204" s="1" t="s">
        <v>104</v>
      </c>
      <c r="D204" s="1" t="n">
        <v>4</v>
      </c>
      <c r="E204" s="1" t="n">
        <v>43</v>
      </c>
      <c r="F204" s="1" t="s">
        <v>101</v>
      </c>
      <c r="G204" s="1" t="n">
        <v>3.4</v>
      </c>
      <c r="H204" s="1" t="n">
        <v>3.4</v>
      </c>
      <c r="I204" s="1" t="n">
        <v>9.5</v>
      </c>
      <c r="J204" s="1" t="n">
        <v>4.01101470588235</v>
      </c>
      <c r="K204" s="1" t="n">
        <v>4</v>
      </c>
      <c r="L204" s="1" t="s">
        <v>355</v>
      </c>
    </row>
    <row r="205" customFormat="false" ht="14.25" hidden="true" customHeight="true" outlineLevel="0" collapsed="false">
      <c r="A205" s="1" t="s">
        <v>22</v>
      </c>
      <c r="C205" s="1" t="s">
        <v>104</v>
      </c>
      <c r="D205" s="1" t="n">
        <v>5</v>
      </c>
      <c r="E205" s="1" t="n">
        <v>57</v>
      </c>
      <c r="F205" s="1" t="s">
        <v>101</v>
      </c>
      <c r="G205" s="1" t="n">
        <v>4.5</v>
      </c>
      <c r="H205" s="1" t="n">
        <v>4.5</v>
      </c>
      <c r="I205" s="1" t="n">
        <v>16</v>
      </c>
      <c r="J205" s="1" t="n">
        <v>4.01723333333333</v>
      </c>
      <c r="K205" s="1" t="n">
        <v>5</v>
      </c>
      <c r="L205" s="1" t="s">
        <v>355</v>
      </c>
      <c r="N205" s="1" t="s">
        <v>416</v>
      </c>
    </row>
    <row r="206" customFormat="false" ht="14.25" hidden="true" customHeight="true" outlineLevel="0" collapsed="false">
      <c r="A206" s="1" t="s">
        <v>22</v>
      </c>
      <c r="C206" s="1" t="s">
        <v>104</v>
      </c>
      <c r="D206" s="1" t="n">
        <v>6</v>
      </c>
      <c r="E206" s="1" t="n">
        <v>47</v>
      </c>
      <c r="F206" s="1" t="s">
        <v>101</v>
      </c>
      <c r="G206" s="1" t="n">
        <v>5</v>
      </c>
      <c r="H206" s="1" t="n">
        <v>5</v>
      </c>
      <c r="I206" s="1" t="n">
        <v>16</v>
      </c>
      <c r="J206" s="1" t="n">
        <v>2.98121</v>
      </c>
      <c r="K206" s="1" t="n">
        <v>5</v>
      </c>
      <c r="L206" s="1" t="s">
        <v>355</v>
      </c>
      <c r="N206" s="1" t="s">
        <v>416</v>
      </c>
    </row>
    <row r="207" customFormat="false" ht="14.25" hidden="true" customHeight="true" outlineLevel="0" collapsed="false">
      <c r="A207" s="1" t="s">
        <v>22</v>
      </c>
      <c r="C207" s="1" t="s">
        <v>156</v>
      </c>
      <c r="D207" s="1" t="n">
        <v>7</v>
      </c>
      <c r="E207" s="1" t="n">
        <v>47</v>
      </c>
      <c r="F207" s="1" t="s">
        <v>101</v>
      </c>
      <c r="G207" s="1" t="n">
        <v>5</v>
      </c>
      <c r="H207" s="1" t="n">
        <v>5</v>
      </c>
      <c r="I207" s="1" t="n">
        <v>16</v>
      </c>
      <c r="J207" s="1" t="n">
        <v>2.98121</v>
      </c>
      <c r="K207" s="1" t="n">
        <v>5</v>
      </c>
      <c r="L207" s="1" t="s">
        <v>355</v>
      </c>
    </row>
    <row r="208" customFormat="false" ht="14.25" hidden="true" customHeight="true" outlineLevel="0" collapsed="false">
      <c r="A208" s="1" t="s">
        <v>22</v>
      </c>
      <c r="C208" s="1" t="s">
        <v>104</v>
      </c>
      <c r="D208" s="1" t="n">
        <v>8</v>
      </c>
      <c r="E208" s="1" t="n">
        <v>57</v>
      </c>
      <c r="F208" s="1" t="s">
        <v>101</v>
      </c>
      <c r="G208" s="1" t="n">
        <v>6</v>
      </c>
      <c r="H208" s="1" t="n">
        <v>6</v>
      </c>
      <c r="I208" s="1" t="n">
        <v>16</v>
      </c>
      <c r="J208" s="1" t="n">
        <v>3.012925</v>
      </c>
      <c r="K208" s="1" t="n">
        <v>5</v>
      </c>
      <c r="L208" s="1" t="s">
        <v>355</v>
      </c>
    </row>
    <row r="209" customFormat="false" ht="14.25" hidden="true" customHeight="true" outlineLevel="0" collapsed="false">
      <c r="A209" s="1" t="s">
        <v>22</v>
      </c>
      <c r="C209" s="1" t="s">
        <v>104</v>
      </c>
      <c r="D209" s="1" t="n">
        <v>9</v>
      </c>
      <c r="E209" s="1" t="n">
        <v>57</v>
      </c>
      <c r="F209" s="1" t="s">
        <v>101</v>
      </c>
      <c r="G209" s="1" t="n">
        <v>6</v>
      </c>
      <c r="H209" s="1" t="n">
        <v>6</v>
      </c>
      <c r="I209" s="1" t="n">
        <v>16</v>
      </c>
      <c r="J209" s="1" t="n">
        <v>3.012925</v>
      </c>
      <c r="K209" s="1" t="n">
        <v>5</v>
      </c>
      <c r="L209" s="1" t="s">
        <v>355</v>
      </c>
      <c r="N209" s="1" t="s">
        <v>417</v>
      </c>
    </row>
    <row r="210" customFormat="false" ht="14.25" hidden="true" customHeight="true" outlineLevel="0" collapsed="false">
      <c r="A210" s="1" t="s">
        <v>22</v>
      </c>
      <c r="B210" s="1" t="s">
        <v>418</v>
      </c>
      <c r="C210" s="1" t="s">
        <v>104</v>
      </c>
      <c r="D210" s="1" t="n">
        <v>10</v>
      </c>
      <c r="E210" s="1" t="n">
        <v>43</v>
      </c>
      <c r="F210" s="1" t="s">
        <v>101</v>
      </c>
      <c r="G210" s="1" t="n">
        <v>6.8</v>
      </c>
      <c r="H210" s="1" t="n">
        <v>6.8</v>
      </c>
      <c r="I210" s="1" t="n">
        <v>8.5</v>
      </c>
      <c r="J210" s="1" t="n">
        <v>2.00550735294118</v>
      </c>
      <c r="K210" s="1" t="n">
        <v>4</v>
      </c>
      <c r="L210" s="1" t="s">
        <v>355</v>
      </c>
      <c r="M210" s="1" t="s">
        <v>419</v>
      </c>
    </row>
    <row r="211" customFormat="false" ht="14.25" hidden="true" customHeight="true" outlineLevel="0" collapsed="false">
      <c r="A211" s="1" t="s">
        <v>22</v>
      </c>
      <c r="C211" s="1" t="s">
        <v>104</v>
      </c>
      <c r="D211" s="1" t="n">
        <v>11</v>
      </c>
      <c r="E211" s="1" t="n">
        <v>47</v>
      </c>
      <c r="F211" s="1" t="s">
        <v>101</v>
      </c>
      <c r="G211" s="1" t="n">
        <v>7.5</v>
      </c>
      <c r="H211" s="1" t="n">
        <v>7.5</v>
      </c>
      <c r="I211" s="1" t="n">
        <v>16</v>
      </c>
      <c r="J211" s="1" t="n">
        <v>1.98747333333333</v>
      </c>
      <c r="K211" s="1" t="n">
        <v>5</v>
      </c>
      <c r="L211" s="1" t="s">
        <v>355</v>
      </c>
      <c r="N211" s="1" t="s">
        <v>416</v>
      </c>
    </row>
    <row r="212" customFormat="false" ht="14.25" hidden="true" customHeight="true" outlineLevel="0" collapsed="false">
      <c r="A212" s="1" t="s">
        <v>22</v>
      </c>
      <c r="C212" s="1" t="s">
        <v>220</v>
      </c>
      <c r="D212" s="1" t="n">
        <v>12</v>
      </c>
      <c r="E212" s="1" t="n">
        <v>47</v>
      </c>
      <c r="F212" s="1" t="s">
        <v>101</v>
      </c>
      <c r="G212" s="1" t="n">
        <v>7.5</v>
      </c>
      <c r="H212" s="1" t="n">
        <v>7.5</v>
      </c>
      <c r="I212" s="1" t="n">
        <v>15.8</v>
      </c>
      <c r="J212" s="1" t="n">
        <v>1.98747333333333</v>
      </c>
      <c r="K212" s="1" t="n">
        <v>5</v>
      </c>
      <c r="L212" s="1" t="s">
        <v>355</v>
      </c>
      <c r="M212" s="1" t="s">
        <v>420</v>
      </c>
    </row>
    <row r="213" customFormat="false" ht="14.25" hidden="true" customHeight="true" outlineLevel="0" collapsed="false">
      <c r="A213" s="1" t="s">
        <v>22</v>
      </c>
      <c r="B213" s="1" t="s">
        <v>421</v>
      </c>
      <c r="C213" s="1" t="s">
        <v>104</v>
      </c>
      <c r="D213" s="1" t="n">
        <v>13</v>
      </c>
      <c r="E213" s="1" t="n">
        <v>63</v>
      </c>
      <c r="F213" s="1" t="s">
        <v>101</v>
      </c>
      <c r="G213" s="1" t="n">
        <v>10</v>
      </c>
      <c r="H213" s="1" t="n">
        <v>10</v>
      </c>
      <c r="I213" s="1" t="n">
        <v>8.3</v>
      </c>
      <c r="J213" s="1" t="n">
        <v>1.998045</v>
      </c>
      <c r="K213" s="1" t="n">
        <v>5</v>
      </c>
      <c r="L213" s="1" t="s">
        <v>355</v>
      </c>
    </row>
    <row r="214" customFormat="false" ht="14.25" hidden="true" customHeight="true" outlineLevel="0" collapsed="false">
      <c r="A214" s="1" t="s">
        <v>22</v>
      </c>
      <c r="B214" s="1" t="s">
        <v>422</v>
      </c>
      <c r="C214" s="1" t="s">
        <v>220</v>
      </c>
      <c r="D214" s="1" t="n">
        <v>14</v>
      </c>
      <c r="E214" s="1" t="n">
        <v>43</v>
      </c>
      <c r="F214" s="1" t="s">
        <v>101</v>
      </c>
      <c r="G214" s="1" t="n">
        <v>13.5</v>
      </c>
      <c r="H214" s="1" t="n">
        <v>13.5</v>
      </c>
      <c r="I214" s="1" t="n">
        <v>6.5</v>
      </c>
      <c r="J214" s="1" t="n">
        <v>1.01018148148148</v>
      </c>
      <c r="K214" s="1" t="n">
        <v>4</v>
      </c>
      <c r="L214" s="1" t="s">
        <v>355</v>
      </c>
    </row>
    <row r="215" customFormat="false" ht="14.25" hidden="true" customHeight="true" outlineLevel="0" collapsed="false">
      <c r="A215" s="1" t="s">
        <v>22</v>
      </c>
      <c r="B215" s="1" t="s">
        <v>423</v>
      </c>
      <c r="C215" s="1" t="s">
        <v>104</v>
      </c>
      <c r="D215" s="1" t="n">
        <v>113</v>
      </c>
      <c r="E215" s="1" t="n">
        <v>43</v>
      </c>
      <c r="F215" s="1" t="s">
        <v>101</v>
      </c>
      <c r="G215" s="1" t="n">
        <v>13.6</v>
      </c>
      <c r="H215" s="1" t="n">
        <v>13.6</v>
      </c>
      <c r="I215" s="1" t="n">
        <v>8.8</v>
      </c>
      <c r="J215" s="1" t="n">
        <v>1.00275367647059</v>
      </c>
      <c r="K215" s="1" t="n">
        <v>4</v>
      </c>
      <c r="L215" s="1" t="s">
        <v>424</v>
      </c>
    </row>
    <row r="216" customFormat="false" ht="14.25" hidden="true" customHeight="true" outlineLevel="0" collapsed="false">
      <c r="A216" s="1" t="s">
        <v>22</v>
      </c>
      <c r="B216" s="1" t="s">
        <v>425</v>
      </c>
      <c r="C216" s="1" t="s">
        <v>104</v>
      </c>
      <c r="D216" s="1" t="n">
        <v>15</v>
      </c>
      <c r="E216" s="1" t="n">
        <v>47</v>
      </c>
      <c r="F216" s="1" t="s">
        <v>101</v>
      </c>
      <c r="G216" s="1" t="n">
        <v>14.9</v>
      </c>
      <c r="H216" s="1" t="n">
        <v>14.9</v>
      </c>
      <c r="I216" s="1" t="n">
        <v>5.3</v>
      </c>
      <c r="J216" s="1" t="n">
        <v>1</v>
      </c>
      <c r="K216" s="1" t="n">
        <v>5</v>
      </c>
      <c r="L216" s="1" t="s">
        <v>355</v>
      </c>
    </row>
    <row r="217" customFormat="false" ht="14.25" hidden="true" customHeight="true" outlineLevel="0" collapsed="false">
      <c r="A217" s="1" t="s">
        <v>22</v>
      </c>
      <c r="B217" s="1" t="s">
        <v>426</v>
      </c>
      <c r="C217" s="1" t="s">
        <v>104</v>
      </c>
      <c r="D217" s="1" t="n">
        <v>16</v>
      </c>
      <c r="E217" s="1" t="n">
        <v>63</v>
      </c>
      <c r="F217" s="1" t="s">
        <v>101</v>
      </c>
      <c r="G217" s="1" t="n">
        <v>20</v>
      </c>
      <c r="H217" s="1" t="n">
        <v>20</v>
      </c>
      <c r="I217" s="1" t="n">
        <v>9.5</v>
      </c>
      <c r="J217" s="1" t="n">
        <v>1</v>
      </c>
      <c r="K217" s="1" t="n">
        <v>5</v>
      </c>
      <c r="L217" s="1" t="s">
        <v>355</v>
      </c>
      <c r="M217" s="1" t="s">
        <v>427</v>
      </c>
    </row>
    <row r="218" customFormat="false" ht="14.25" hidden="true" customHeight="true" outlineLevel="0" collapsed="false">
      <c r="A218" s="1" t="s">
        <v>22</v>
      </c>
    </row>
    <row r="219" customFormat="false" ht="14.25" hidden="true" customHeight="true" outlineLevel="0" collapsed="false">
      <c r="A219" s="1" t="s">
        <v>22</v>
      </c>
      <c r="B219" s="1" t="s">
        <v>428</v>
      </c>
      <c r="C219" s="1" t="s">
        <v>106</v>
      </c>
      <c r="D219" s="1" t="n">
        <v>26</v>
      </c>
      <c r="E219" s="1" t="n">
        <v>57</v>
      </c>
      <c r="F219" s="1" t="s">
        <v>116</v>
      </c>
      <c r="G219" s="1" t="n">
        <v>1.2</v>
      </c>
      <c r="H219" s="1" t="n">
        <v>1.5</v>
      </c>
      <c r="I219" s="1" t="n">
        <v>3.5</v>
      </c>
      <c r="J219" s="1" t="n">
        <v>15.064625</v>
      </c>
      <c r="K219" s="1" t="n">
        <v>5</v>
      </c>
      <c r="L219" s="1" t="n">
        <v>2</v>
      </c>
    </row>
    <row r="220" customFormat="false" ht="14.25" hidden="true" customHeight="true" outlineLevel="0" collapsed="false">
      <c r="A220" s="1" t="s">
        <v>22</v>
      </c>
      <c r="B220" s="1" t="s">
        <v>429</v>
      </c>
      <c r="C220" s="1" t="s">
        <v>220</v>
      </c>
      <c r="D220" s="1" t="n">
        <v>17</v>
      </c>
      <c r="E220" s="1" t="n">
        <v>43</v>
      </c>
      <c r="F220" s="1" t="s">
        <v>116</v>
      </c>
      <c r="G220" s="1" t="n">
        <v>2</v>
      </c>
      <c r="H220" s="1" t="n">
        <v>2.3</v>
      </c>
      <c r="I220" s="1" t="n">
        <v>2.5</v>
      </c>
      <c r="J220" s="1" t="n">
        <v>6</v>
      </c>
      <c r="K220" s="1" t="n">
        <v>4</v>
      </c>
      <c r="L220" s="1" t="n">
        <v>1</v>
      </c>
    </row>
    <row r="221" customFormat="false" ht="14.25" hidden="true" customHeight="true" outlineLevel="0" collapsed="false">
      <c r="A221" s="1" t="s">
        <v>22</v>
      </c>
      <c r="C221" s="1" t="s">
        <v>220</v>
      </c>
      <c r="D221" s="1" t="n">
        <v>18</v>
      </c>
      <c r="E221" s="1" t="n">
        <v>43</v>
      </c>
      <c r="F221" s="1" t="s">
        <v>116</v>
      </c>
      <c r="G221" s="1" t="n">
        <v>2.5</v>
      </c>
      <c r="H221" s="1" t="n">
        <v>2.8</v>
      </c>
      <c r="I221" s="1" t="n">
        <v>3</v>
      </c>
      <c r="J221" s="1" t="n">
        <v>5.45498</v>
      </c>
      <c r="K221" s="1" t="n">
        <v>4</v>
      </c>
      <c r="L221" s="1" t="n">
        <v>1</v>
      </c>
      <c r="M221" s="1" t="s">
        <v>211</v>
      </c>
    </row>
    <row r="222" customFormat="false" ht="14.25" hidden="true" customHeight="true" outlineLevel="0" collapsed="false">
      <c r="A222" s="1" t="s">
        <v>22</v>
      </c>
      <c r="B222" s="1" t="s">
        <v>430</v>
      </c>
      <c r="C222" s="1" t="s">
        <v>106</v>
      </c>
      <c r="D222" s="1" t="n">
        <v>17</v>
      </c>
      <c r="E222" s="1" t="n">
        <v>43</v>
      </c>
      <c r="F222" s="1" t="s">
        <v>116</v>
      </c>
      <c r="G222" s="1" t="n">
        <v>3.1</v>
      </c>
      <c r="H222" s="1" t="n">
        <v>3.4</v>
      </c>
      <c r="I222" s="1" t="n">
        <v>3.5</v>
      </c>
      <c r="J222" s="1" t="n">
        <v>4.39917741935484</v>
      </c>
      <c r="K222" s="1" t="n">
        <v>4</v>
      </c>
      <c r="L222" s="1" t="n">
        <v>1</v>
      </c>
    </row>
    <row r="223" customFormat="false" ht="14.25" hidden="true" customHeight="true" outlineLevel="0" collapsed="false">
      <c r="A223" s="1" t="s">
        <v>22</v>
      </c>
      <c r="B223" s="1" t="s">
        <v>431</v>
      </c>
      <c r="C223" s="1" t="s">
        <v>106</v>
      </c>
      <c r="D223" s="1" t="n">
        <v>58</v>
      </c>
      <c r="E223" s="1" t="n">
        <v>43</v>
      </c>
      <c r="F223" s="1" t="s">
        <v>116</v>
      </c>
      <c r="G223" s="1" t="n">
        <v>3.1</v>
      </c>
      <c r="H223" s="1" t="n">
        <v>3.4</v>
      </c>
      <c r="I223" s="1" t="n">
        <v>3.5</v>
      </c>
      <c r="J223" s="1" t="n">
        <v>4.39917741935484</v>
      </c>
      <c r="K223" s="1" t="n">
        <v>4</v>
      </c>
      <c r="L223" s="1" t="n">
        <v>1</v>
      </c>
    </row>
    <row r="224" customFormat="false" ht="14.25" hidden="true" customHeight="true" outlineLevel="0" collapsed="false">
      <c r="A224" s="1" t="s">
        <v>22</v>
      </c>
      <c r="B224" s="1" t="s">
        <v>432</v>
      </c>
      <c r="C224" s="1" t="s">
        <v>106</v>
      </c>
      <c r="D224" s="1" t="n">
        <v>20</v>
      </c>
      <c r="E224" s="1" t="n">
        <v>51</v>
      </c>
      <c r="F224" s="1" t="s">
        <v>116</v>
      </c>
      <c r="G224" s="1" t="n">
        <v>3.7</v>
      </c>
      <c r="H224" s="1" t="n">
        <v>4</v>
      </c>
      <c r="I224" s="1" t="n">
        <v>4.2</v>
      </c>
      <c r="J224" s="1" t="n">
        <v>4.37152702702703</v>
      </c>
      <c r="K224" s="1" t="n">
        <v>5</v>
      </c>
      <c r="L224" s="1" t="n">
        <v>1</v>
      </c>
      <c r="M224" s="1" t="s">
        <v>433</v>
      </c>
    </row>
    <row r="225" customFormat="false" ht="14.25" hidden="true" customHeight="true" outlineLevel="0" collapsed="false">
      <c r="A225" s="1" t="s">
        <v>22</v>
      </c>
      <c r="B225" s="1" t="s">
        <v>434</v>
      </c>
      <c r="C225" s="1" t="s">
        <v>106</v>
      </c>
      <c r="D225" s="1" t="n">
        <v>21</v>
      </c>
      <c r="E225" s="1" t="n">
        <v>43</v>
      </c>
      <c r="F225" s="1" t="s">
        <v>116</v>
      </c>
      <c r="G225" s="1" t="n">
        <v>4.3</v>
      </c>
      <c r="H225" s="1" t="n">
        <v>4.6</v>
      </c>
      <c r="I225" s="1" t="n">
        <v>4.8</v>
      </c>
      <c r="J225" s="1" t="n">
        <v>3.1715</v>
      </c>
      <c r="K225" s="1" t="n">
        <v>4</v>
      </c>
      <c r="L225" s="1" t="n">
        <v>1</v>
      </c>
      <c r="M225" s="1" t="s">
        <v>435</v>
      </c>
    </row>
    <row r="226" customFormat="false" ht="14.25" hidden="true" customHeight="true" outlineLevel="0" collapsed="false">
      <c r="A226" s="1" t="s">
        <v>22</v>
      </c>
      <c r="B226" s="1" t="s">
        <v>436</v>
      </c>
      <c r="C226" s="1" t="s">
        <v>156</v>
      </c>
      <c r="D226" s="1" t="n">
        <v>1</v>
      </c>
      <c r="E226" s="1" t="n">
        <v>43</v>
      </c>
      <c r="F226" s="1" t="s">
        <v>116</v>
      </c>
      <c r="G226" s="1" t="n">
        <v>4.3</v>
      </c>
      <c r="H226" s="1" t="n">
        <v>4.6</v>
      </c>
      <c r="I226" s="1" t="n">
        <v>5</v>
      </c>
      <c r="J226" s="1" t="n">
        <v>3.1715</v>
      </c>
      <c r="M226" s="1" t="s">
        <v>437</v>
      </c>
    </row>
    <row r="227" customFormat="false" ht="14.25" hidden="true" customHeight="true" outlineLevel="0" collapsed="false">
      <c r="A227" s="1" t="s">
        <v>22</v>
      </c>
      <c r="B227" s="1" t="s">
        <v>438</v>
      </c>
      <c r="C227" s="1" t="s">
        <v>106</v>
      </c>
      <c r="D227" s="1" t="n">
        <v>23</v>
      </c>
      <c r="E227" s="1" t="n">
        <v>47</v>
      </c>
      <c r="F227" s="1" t="s">
        <v>116</v>
      </c>
      <c r="G227" s="1" t="n">
        <v>4.8</v>
      </c>
      <c r="H227" s="1" t="n">
        <v>5.1</v>
      </c>
      <c r="I227" s="1" t="n">
        <v>5.5</v>
      </c>
      <c r="J227" s="1" t="n">
        <v>3.10542708333333</v>
      </c>
      <c r="K227" s="1" t="n">
        <v>5</v>
      </c>
      <c r="L227" s="1" t="n">
        <v>1</v>
      </c>
    </row>
    <row r="228" customFormat="false" ht="14.25" hidden="true" customHeight="true" outlineLevel="0" collapsed="false">
      <c r="A228" s="1" t="s">
        <v>22</v>
      </c>
      <c r="C228" s="1" t="s">
        <v>106</v>
      </c>
      <c r="D228" s="1" t="n">
        <v>24</v>
      </c>
      <c r="E228" s="1" t="n">
        <v>63</v>
      </c>
      <c r="F228" s="1" t="s">
        <v>116</v>
      </c>
      <c r="G228" s="1" t="n">
        <v>6.45</v>
      </c>
      <c r="H228" s="1" t="n">
        <v>6.75</v>
      </c>
      <c r="I228" s="1" t="n">
        <v>14</v>
      </c>
      <c r="J228" s="1" t="n">
        <v>3.09774418604651</v>
      </c>
      <c r="K228" s="1" t="n">
        <v>5</v>
      </c>
      <c r="L228" s="1" t="n">
        <v>2</v>
      </c>
      <c r="M228" s="1" t="s">
        <v>439</v>
      </c>
    </row>
    <row r="229" customFormat="false" ht="14.25" hidden="true" customHeight="true" outlineLevel="0" collapsed="false">
      <c r="A229" s="1" t="s">
        <v>22</v>
      </c>
      <c r="C229" s="1" t="s">
        <v>156</v>
      </c>
      <c r="D229" s="1" t="n">
        <v>25</v>
      </c>
      <c r="E229" s="1" t="n">
        <v>51</v>
      </c>
      <c r="F229" s="1" t="s">
        <v>116</v>
      </c>
      <c r="G229" s="1" t="n">
        <v>7.8</v>
      </c>
      <c r="H229" s="1" t="n">
        <v>8.1</v>
      </c>
      <c r="I229" s="1" t="n">
        <v>17</v>
      </c>
      <c r="J229" s="1" t="n">
        <v>2.07367307692308</v>
      </c>
      <c r="K229" s="1" t="n">
        <v>5</v>
      </c>
      <c r="L229" s="1" t="n">
        <v>2</v>
      </c>
      <c r="M229" s="1" t="s">
        <v>440</v>
      </c>
    </row>
    <row r="230" customFormat="false" ht="14.25" hidden="true" customHeight="true" outlineLevel="0" collapsed="false">
      <c r="A230" s="1" t="s">
        <v>22</v>
      </c>
      <c r="B230" s="1" t="s">
        <v>441</v>
      </c>
      <c r="C230" s="1" t="s">
        <v>106</v>
      </c>
      <c r="D230" s="1" t="n">
        <v>3</v>
      </c>
      <c r="E230" s="1" t="n">
        <v>51</v>
      </c>
      <c r="F230" s="1" t="s">
        <v>116</v>
      </c>
      <c r="G230" s="1" t="n">
        <v>7.8</v>
      </c>
      <c r="H230" s="1" t="n">
        <v>8.1</v>
      </c>
      <c r="I230" s="1" t="n">
        <v>17</v>
      </c>
      <c r="J230" s="1" t="n">
        <v>2.07367307692308</v>
      </c>
      <c r="K230" s="1" t="n">
        <v>5</v>
      </c>
      <c r="L230" s="1" t="n">
        <v>1</v>
      </c>
    </row>
    <row r="231" customFormat="false" ht="14.25" hidden="true" customHeight="true" outlineLevel="0" collapsed="false">
      <c r="A231" s="1" t="s">
        <v>22</v>
      </c>
      <c r="C231" s="1" t="s">
        <v>106</v>
      </c>
      <c r="D231" s="1" t="n">
        <v>125</v>
      </c>
      <c r="E231" s="1" t="n">
        <v>51</v>
      </c>
      <c r="F231" s="1" t="s">
        <v>116</v>
      </c>
      <c r="G231" s="1" t="n">
        <v>7.8</v>
      </c>
      <c r="H231" s="1" t="n">
        <v>8.1</v>
      </c>
      <c r="I231" s="1" t="n">
        <v>17</v>
      </c>
      <c r="J231" s="1" t="n">
        <v>2.07367307692308</v>
      </c>
      <c r="K231" s="1" t="n">
        <v>5</v>
      </c>
      <c r="L231" s="1" t="n">
        <v>1</v>
      </c>
      <c r="M231" s="1" t="s">
        <v>442</v>
      </c>
    </row>
    <row r="232" customFormat="false" ht="14.25" hidden="true" customHeight="true" outlineLevel="0" collapsed="false">
      <c r="A232" s="1" t="s">
        <v>22</v>
      </c>
      <c r="B232" s="1" t="s">
        <v>443</v>
      </c>
      <c r="C232" s="1" t="s">
        <v>106</v>
      </c>
      <c r="D232" s="1" t="n">
        <v>27</v>
      </c>
      <c r="E232" s="1" t="n">
        <v>60</v>
      </c>
      <c r="F232" s="1" t="s">
        <v>116</v>
      </c>
      <c r="G232" s="1" t="n">
        <v>9.2</v>
      </c>
      <c r="H232" s="1" t="n">
        <v>9.5</v>
      </c>
      <c r="I232" s="1" t="n">
        <v>9.8</v>
      </c>
      <c r="J232" s="1" t="n">
        <v>2.06836956521739</v>
      </c>
      <c r="K232" s="1" t="n">
        <v>4</v>
      </c>
      <c r="L232" s="1" t="n">
        <v>1</v>
      </c>
      <c r="M232" s="1" t="s">
        <v>427</v>
      </c>
    </row>
    <row r="233" customFormat="false" ht="14.25" hidden="true" customHeight="true" outlineLevel="0" collapsed="false">
      <c r="A233" s="1" t="s">
        <v>22</v>
      </c>
      <c r="B233" s="1" t="s">
        <v>444</v>
      </c>
      <c r="C233" s="1" t="s">
        <v>106</v>
      </c>
      <c r="D233" s="1" t="n">
        <v>28</v>
      </c>
      <c r="E233" s="1" t="n">
        <v>63</v>
      </c>
      <c r="F233" s="1" t="s">
        <v>116</v>
      </c>
      <c r="G233" s="1" t="n">
        <v>9.7</v>
      </c>
      <c r="H233" s="1" t="n">
        <v>10</v>
      </c>
      <c r="I233" s="1" t="n">
        <v>10.5</v>
      </c>
      <c r="J233" s="1" t="n">
        <v>2.05984020618557</v>
      </c>
      <c r="K233" s="1" t="n">
        <v>5</v>
      </c>
      <c r="L233" s="1" t="n">
        <v>1</v>
      </c>
      <c r="M233" s="1" t="s">
        <v>445</v>
      </c>
    </row>
    <row r="234" customFormat="false" ht="14.25" hidden="true" customHeight="true" outlineLevel="0" collapsed="false">
      <c r="A234" s="1" t="s">
        <v>22</v>
      </c>
      <c r="C234" s="1" t="s">
        <v>220</v>
      </c>
      <c r="D234" s="1" t="n">
        <v>29</v>
      </c>
      <c r="E234" s="1" t="n">
        <v>43</v>
      </c>
      <c r="F234" s="1" t="s">
        <v>116</v>
      </c>
      <c r="G234" s="1" t="n">
        <v>13.3</v>
      </c>
      <c r="H234" s="1" t="n">
        <v>13.6</v>
      </c>
      <c r="I234" s="1" t="n">
        <v>14</v>
      </c>
      <c r="J234" s="1" t="n">
        <v>1.02537218045113</v>
      </c>
      <c r="K234" s="1" t="n">
        <v>4</v>
      </c>
      <c r="L234" s="1" t="n">
        <v>1</v>
      </c>
      <c r="M234" s="1" t="s">
        <v>446</v>
      </c>
    </row>
    <row r="235" customFormat="false" ht="14.25" hidden="true" customHeight="true" outlineLevel="0" collapsed="false">
      <c r="A235" s="1" t="s">
        <v>22</v>
      </c>
      <c r="B235" s="1" t="s">
        <v>447</v>
      </c>
      <c r="C235" s="1" t="s">
        <v>108</v>
      </c>
      <c r="D235" s="1" t="n">
        <v>30</v>
      </c>
      <c r="E235" s="1" t="n">
        <v>43</v>
      </c>
      <c r="F235" s="1" t="s">
        <v>116</v>
      </c>
      <c r="G235" s="1" t="n">
        <v>12.5</v>
      </c>
      <c r="H235" s="1" t="n">
        <v>13.6</v>
      </c>
      <c r="I235" s="1" t="n">
        <v>13</v>
      </c>
      <c r="J235" s="1" t="n">
        <v>1.090996</v>
      </c>
      <c r="K235" s="1" t="n">
        <v>4</v>
      </c>
      <c r="L235" s="1" t="n">
        <v>1</v>
      </c>
      <c r="M235" s="1" t="s">
        <v>445</v>
      </c>
    </row>
    <row r="236" customFormat="false" ht="14.25" hidden="true" customHeight="true" outlineLevel="0" collapsed="false">
      <c r="A236" s="1" t="s">
        <v>22</v>
      </c>
    </row>
    <row r="237" customFormat="false" ht="14.25" hidden="true" customHeight="true" outlineLevel="0" collapsed="false">
      <c r="A237" s="1" t="s">
        <v>22</v>
      </c>
      <c r="B237" s="1" t="s">
        <v>448</v>
      </c>
      <c r="C237" s="1" t="s">
        <v>106</v>
      </c>
      <c r="D237" s="1" t="n">
        <v>4</v>
      </c>
      <c r="E237" s="1" t="n">
        <v>43</v>
      </c>
      <c r="F237" s="1" t="s">
        <v>131</v>
      </c>
      <c r="G237" s="1" t="s">
        <v>449</v>
      </c>
      <c r="H237" s="1" t="n">
        <v>2.72749</v>
      </c>
      <c r="I237" s="1" t="n">
        <v>5.5</v>
      </c>
      <c r="J237" s="1" t="n">
        <v>5</v>
      </c>
      <c r="K237" s="1" t="n">
        <v>4</v>
      </c>
      <c r="L237" s="1" t="n">
        <v>3</v>
      </c>
      <c r="M237" s="1" t="s">
        <v>450</v>
      </c>
    </row>
    <row r="238" customFormat="false" ht="14.25" hidden="true" customHeight="true" outlineLevel="0" collapsed="false">
      <c r="A238" s="1" t="s">
        <v>22</v>
      </c>
      <c r="B238" s="1" t="s">
        <v>451</v>
      </c>
      <c r="C238" s="1" t="s">
        <v>106</v>
      </c>
      <c r="D238" s="1" t="n">
        <v>32</v>
      </c>
      <c r="E238" s="1" t="n">
        <v>47</v>
      </c>
      <c r="F238" s="1" t="s">
        <v>131</v>
      </c>
      <c r="G238" s="1" t="s">
        <v>452</v>
      </c>
      <c r="H238" s="1" t="n">
        <v>2.48434166666667</v>
      </c>
      <c r="I238" s="1" t="n">
        <v>7.5</v>
      </c>
      <c r="J238" s="1" t="n">
        <v>6</v>
      </c>
      <c r="K238" s="1" t="n">
        <v>5</v>
      </c>
      <c r="L238" s="1" t="n">
        <v>2</v>
      </c>
      <c r="M238" s="1" t="s">
        <v>453</v>
      </c>
    </row>
    <row r="239" customFormat="false" ht="14.25" hidden="true" customHeight="true" outlineLevel="0" collapsed="false">
      <c r="A239" s="1" t="s">
        <v>22</v>
      </c>
      <c r="B239" s="1" t="s">
        <v>454</v>
      </c>
      <c r="C239" s="1" t="s">
        <v>455</v>
      </c>
      <c r="D239" s="1" t="n">
        <v>33</v>
      </c>
      <c r="E239" s="1" t="n">
        <v>43</v>
      </c>
      <c r="F239" s="1" t="s">
        <v>131</v>
      </c>
      <c r="G239" s="1" t="s">
        <v>456</v>
      </c>
      <c r="H239" s="1" t="n">
        <v>4.54581666666667</v>
      </c>
      <c r="I239" s="1" t="n">
        <v>3.5</v>
      </c>
      <c r="J239" s="1" t="n">
        <v>3</v>
      </c>
      <c r="K239" s="1" t="n">
        <v>4</v>
      </c>
      <c r="L239" s="1" t="n">
        <v>1</v>
      </c>
    </row>
    <row r="240" customFormat="false" ht="14.25" hidden="true" customHeight="true" outlineLevel="0" collapsed="false">
      <c r="A240" s="1" t="s">
        <v>22</v>
      </c>
      <c r="B240" s="1" t="s">
        <v>457</v>
      </c>
      <c r="C240" s="1" t="s">
        <v>106</v>
      </c>
      <c r="D240" s="1" t="n">
        <v>34</v>
      </c>
      <c r="E240" s="1" t="n">
        <v>47</v>
      </c>
      <c r="F240" s="1" t="s">
        <v>131</v>
      </c>
      <c r="G240" s="1" t="s">
        <v>458</v>
      </c>
      <c r="H240" s="1" t="n">
        <v>4.96868333333333</v>
      </c>
      <c r="I240" s="1" t="n">
        <v>3.5</v>
      </c>
      <c r="J240" s="1" t="n">
        <v>3</v>
      </c>
      <c r="K240" s="1" t="n">
        <v>5</v>
      </c>
      <c r="L240" s="1" t="n">
        <v>1</v>
      </c>
      <c r="M240" s="1" t="s">
        <v>459</v>
      </c>
    </row>
    <row r="241" customFormat="false" ht="14.25" hidden="true" customHeight="true" outlineLevel="0" collapsed="false">
      <c r="A241" s="1" t="s">
        <v>22</v>
      </c>
      <c r="B241" s="1" t="s">
        <v>460</v>
      </c>
      <c r="C241" s="1" t="s">
        <v>108</v>
      </c>
      <c r="D241" s="1" t="n">
        <v>35</v>
      </c>
      <c r="E241" s="1" t="n">
        <v>43</v>
      </c>
      <c r="F241" s="1" t="s">
        <v>131</v>
      </c>
      <c r="G241" s="1" t="s">
        <v>461</v>
      </c>
      <c r="H241" s="1" t="n">
        <v>6.818725</v>
      </c>
      <c r="I241" s="1" t="n">
        <v>3.5</v>
      </c>
      <c r="J241" s="1" t="n">
        <v>2</v>
      </c>
      <c r="K241" s="1" t="n">
        <v>4</v>
      </c>
      <c r="L241" s="1" t="n">
        <v>1</v>
      </c>
    </row>
    <row r="242" customFormat="false" ht="14.25" hidden="true" customHeight="true" outlineLevel="0" collapsed="false">
      <c r="A242" s="1" t="s">
        <v>22</v>
      </c>
      <c r="B242" s="1" t="s">
        <v>462</v>
      </c>
      <c r="C242" s="1" t="s">
        <v>108</v>
      </c>
      <c r="D242" s="1" t="n">
        <v>36</v>
      </c>
      <c r="E242" s="1" t="n">
        <v>47</v>
      </c>
      <c r="F242" s="1" t="s">
        <v>131</v>
      </c>
      <c r="G242" s="1" t="s">
        <v>463</v>
      </c>
      <c r="H242" s="1" t="n">
        <v>7.453025</v>
      </c>
      <c r="I242" s="1" t="n">
        <v>5.5</v>
      </c>
      <c r="J242" s="1" t="n">
        <v>2</v>
      </c>
      <c r="K242" s="1" t="n">
        <v>5</v>
      </c>
      <c r="L242" s="1" t="n">
        <v>1</v>
      </c>
      <c r="M242" s="1" t="s">
        <v>464</v>
      </c>
    </row>
    <row r="243" customFormat="false" ht="14.25" hidden="true" customHeight="true" outlineLevel="0" collapsed="false">
      <c r="A243" s="1" t="s">
        <v>22</v>
      </c>
      <c r="B243" s="1" t="s">
        <v>465</v>
      </c>
      <c r="C243" s="1" t="s">
        <v>106</v>
      </c>
      <c r="D243" s="1" t="n">
        <v>37</v>
      </c>
      <c r="E243" s="1" t="n">
        <v>63</v>
      </c>
      <c r="F243" s="1" t="s">
        <v>131</v>
      </c>
      <c r="G243" s="1" t="s">
        <v>466</v>
      </c>
      <c r="H243" s="1" t="n">
        <v>4.9951125</v>
      </c>
      <c r="I243" s="1" t="n">
        <v>8</v>
      </c>
      <c r="J243" s="1" t="n">
        <v>4</v>
      </c>
      <c r="K243" s="1" t="n">
        <v>5</v>
      </c>
      <c r="L243" s="1" t="n">
        <v>1</v>
      </c>
      <c r="M243" s="1" t="s">
        <v>147</v>
      </c>
    </row>
    <row r="244" customFormat="false" ht="14.25" hidden="true" customHeight="true" outlineLevel="0" collapsed="false">
      <c r="A244" s="1" t="s">
        <v>22</v>
      </c>
      <c r="B244" s="1" t="s">
        <v>467</v>
      </c>
      <c r="C244" s="1" t="s">
        <v>455</v>
      </c>
      <c r="D244" s="1" t="n">
        <v>35</v>
      </c>
      <c r="E244" s="1" t="n">
        <v>43</v>
      </c>
      <c r="F244" s="1" t="s">
        <v>131</v>
      </c>
      <c r="G244" s="1" t="s">
        <v>468</v>
      </c>
      <c r="H244" s="1" t="n">
        <v>6.818725</v>
      </c>
      <c r="I244" s="1" t="n">
        <v>10</v>
      </c>
      <c r="J244" s="1" t="n">
        <v>2</v>
      </c>
      <c r="K244" s="1" t="n">
        <v>4</v>
      </c>
      <c r="L244" s="1" t="n">
        <v>1</v>
      </c>
      <c r="M244" s="1" t="s">
        <v>469</v>
      </c>
    </row>
    <row r="245" customFormat="false" ht="14.25" hidden="true" customHeight="true" outlineLevel="0" collapsed="false">
      <c r="A245" s="1" t="s">
        <v>22</v>
      </c>
      <c r="B245" s="1" t="s">
        <v>467</v>
      </c>
      <c r="C245" s="1" t="s">
        <v>455</v>
      </c>
      <c r="D245" s="1" t="n">
        <v>122</v>
      </c>
      <c r="E245" s="1" t="n">
        <v>43</v>
      </c>
      <c r="F245" s="1" t="s">
        <v>131</v>
      </c>
      <c r="G245" s="1" t="s">
        <v>468</v>
      </c>
      <c r="H245" s="1" t="n">
        <v>6.818725</v>
      </c>
      <c r="I245" s="1" t="n">
        <v>10</v>
      </c>
      <c r="J245" s="1" t="n">
        <v>2</v>
      </c>
      <c r="K245" s="1" t="n">
        <v>4</v>
      </c>
      <c r="L245" s="1" t="n">
        <v>1</v>
      </c>
      <c r="M245" s="1" t="s">
        <v>470</v>
      </c>
    </row>
    <row r="246" customFormat="false" ht="14.25" hidden="true" customHeight="true" outlineLevel="0" collapsed="false">
      <c r="A246" s="1" t="s">
        <v>22</v>
      </c>
      <c r="C246" s="1" t="s">
        <v>455</v>
      </c>
      <c r="D246" s="1" t="n">
        <v>40</v>
      </c>
      <c r="E246" s="1" t="n">
        <v>57</v>
      </c>
      <c r="F246" s="1" t="s">
        <v>131</v>
      </c>
      <c r="G246" s="1" t="s">
        <v>471</v>
      </c>
      <c r="H246" s="1" t="n">
        <v>9.038775</v>
      </c>
      <c r="I246" s="1" t="n">
        <v>13</v>
      </c>
      <c r="J246" s="1" t="n">
        <v>2</v>
      </c>
      <c r="K246" s="1" t="n">
        <v>5</v>
      </c>
      <c r="L246" s="1" t="n">
        <v>1</v>
      </c>
      <c r="M246" s="1" t="s">
        <v>472</v>
      </c>
    </row>
    <row r="247" customFormat="false" ht="14.25" hidden="true" customHeight="true" outlineLevel="0" collapsed="false">
      <c r="A247" s="1" t="s">
        <v>22</v>
      </c>
      <c r="C247" s="1" t="s">
        <v>106</v>
      </c>
      <c r="D247" s="1" t="n">
        <v>41</v>
      </c>
      <c r="E247" s="1" t="n">
        <v>60</v>
      </c>
      <c r="F247" s="1" t="s">
        <v>131</v>
      </c>
      <c r="G247" s="1" t="s">
        <v>473</v>
      </c>
      <c r="H247" s="1" t="n">
        <v>9.5145</v>
      </c>
      <c r="I247" s="1" t="n">
        <v>14.5</v>
      </c>
      <c r="J247" s="1" t="n">
        <v>2</v>
      </c>
      <c r="K247" s="1" t="n">
        <v>4</v>
      </c>
      <c r="L247" s="1" t="n">
        <v>1</v>
      </c>
      <c r="M247" s="1" t="s">
        <v>474</v>
      </c>
    </row>
    <row r="248" customFormat="false" ht="14.25" hidden="true" customHeight="true" outlineLevel="0" collapsed="false">
      <c r="A248" s="1" t="s">
        <v>22</v>
      </c>
    </row>
    <row r="249" customFormat="false" ht="14.25" hidden="true" customHeight="true" outlineLevel="0" collapsed="false">
      <c r="A249" s="1" t="s">
        <v>22</v>
      </c>
      <c r="B249" s="1" t="s">
        <v>475</v>
      </c>
      <c r="C249" s="1" t="s">
        <v>106</v>
      </c>
      <c r="D249" s="1" t="n">
        <v>72</v>
      </c>
      <c r="E249" s="1" t="n">
        <v>78</v>
      </c>
      <c r="F249" s="1" t="s">
        <v>160</v>
      </c>
      <c r="G249" s="1" t="s">
        <v>476</v>
      </c>
      <c r="H249" s="1" t="n">
        <v>24.7377</v>
      </c>
      <c r="I249" s="1" t="n">
        <v>3.8</v>
      </c>
      <c r="J249" s="1" t="n">
        <v>1</v>
      </c>
      <c r="K249" s="1" t="n">
        <v>5</v>
      </c>
      <c r="L249" s="1" t="n">
        <v>2</v>
      </c>
      <c r="M249" s="1" t="s">
        <v>477</v>
      </c>
    </row>
    <row r="250" customFormat="false" ht="14.25" hidden="true" customHeight="true" outlineLevel="0" collapsed="false">
      <c r="A250" s="1" t="s">
        <v>22</v>
      </c>
      <c r="B250" s="1" t="s">
        <v>478</v>
      </c>
      <c r="C250" s="1" t="s">
        <v>106</v>
      </c>
      <c r="D250" s="1" t="n">
        <v>42</v>
      </c>
      <c r="E250" s="1" t="n">
        <v>47</v>
      </c>
      <c r="F250" s="1" t="s">
        <v>160</v>
      </c>
      <c r="G250" s="1" t="s">
        <v>479</v>
      </c>
      <c r="H250" s="1" t="n">
        <v>1.86325625</v>
      </c>
      <c r="I250" s="1" t="n">
        <v>10.5</v>
      </c>
      <c r="J250" s="1" t="n">
        <v>8</v>
      </c>
      <c r="K250" s="1" t="n">
        <v>5</v>
      </c>
      <c r="L250" s="1" t="n">
        <v>3</v>
      </c>
      <c r="M250" s="1" t="s">
        <v>480</v>
      </c>
    </row>
    <row r="251" customFormat="false" ht="14.25" hidden="true" customHeight="true" outlineLevel="0" collapsed="false">
      <c r="A251" s="1" t="s">
        <v>22</v>
      </c>
      <c r="B251" s="1" t="s">
        <v>481</v>
      </c>
      <c r="C251" s="1" t="s">
        <v>100</v>
      </c>
      <c r="D251" s="1" t="n">
        <v>43</v>
      </c>
      <c r="E251" s="1" t="n">
        <v>68</v>
      </c>
      <c r="F251" s="1" t="s">
        <v>160</v>
      </c>
      <c r="G251" s="1" t="s">
        <v>482</v>
      </c>
      <c r="H251" s="1" t="n">
        <v>3.08088571428571</v>
      </c>
      <c r="I251" s="1" t="n">
        <v>8.5</v>
      </c>
      <c r="J251" s="1" t="n">
        <v>7</v>
      </c>
      <c r="K251" s="1" t="n">
        <v>5</v>
      </c>
      <c r="L251" s="1" t="n">
        <v>2</v>
      </c>
      <c r="M251" s="1" t="s">
        <v>483</v>
      </c>
    </row>
    <row r="252" customFormat="false" ht="14.25" hidden="true" customHeight="true" outlineLevel="0" collapsed="false">
      <c r="A252" s="1" t="s">
        <v>22</v>
      </c>
      <c r="C252" s="1" t="s">
        <v>106</v>
      </c>
      <c r="D252" s="1" t="n">
        <v>44</v>
      </c>
      <c r="E252" s="1" t="n">
        <v>68</v>
      </c>
      <c r="F252" s="1" t="s">
        <v>160</v>
      </c>
      <c r="G252" s="1" t="s">
        <v>176</v>
      </c>
      <c r="H252" s="1" t="n">
        <v>4.31324</v>
      </c>
      <c r="I252" s="1" t="n">
        <v>13.5</v>
      </c>
      <c r="J252" s="1" t="n">
        <v>5</v>
      </c>
      <c r="K252" s="1" t="n">
        <v>5</v>
      </c>
      <c r="L252" s="1" t="n">
        <v>3</v>
      </c>
      <c r="M252" s="1" t="s">
        <v>484</v>
      </c>
      <c r="N252" s="1" t="s">
        <v>485</v>
      </c>
    </row>
    <row r="253" customFormat="false" ht="14.25" hidden="true" customHeight="true" outlineLevel="0" collapsed="false">
      <c r="A253" s="1" t="s">
        <v>22</v>
      </c>
      <c r="B253" s="1" t="s">
        <v>486</v>
      </c>
      <c r="C253" s="1" t="s">
        <v>106</v>
      </c>
      <c r="D253" s="1" t="n">
        <v>28</v>
      </c>
      <c r="E253" s="1" t="n">
        <v>63</v>
      </c>
      <c r="F253" s="1" t="s">
        <v>160</v>
      </c>
      <c r="G253" s="1" t="s">
        <v>487</v>
      </c>
      <c r="H253" s="1" t="n">
        <v>2.22005</v>
      </c>
      <c r="I253" s="1" t="n">
        <v>4.5</v>
      </c>
      <c r="J253" s="1" t="n">
        <v>9</v>
      </c>
      <c r="K253" s="1" t="n">
        <v>5</v>
      </c>
      <c r="L253" s="1" t="n">
        <v>1</v>
      </c>
    </row>
    <row r="254" customFormat="false" ht="14.25" hidden="true" customHeight="true" outlineLevel="0" collapsed="false">
      <c r="A254" s="1" t="s">
        <v>22</v>
      </c>
      <c r="B254" s="1" t="s">
        <v>488</v>
      </c>
      <c r="C254" s="1" t="s">
        <v>106</v>
      </c>
      <c r="D254" s="1" t="n">
        <v>46</v>
      </c>
      <c r="E254" s="1" t="n">
        <v>43</v>
      </c>
      <c r="F254" s="1" t="s">
        <v>160</v>
      </c>
      <c r="G254" s="1" t="s">
        <v>489</v>
      </c>
      <c r="H254" s="1" t="n">
        <v>2.27290833333333</v>
      </c>
      <c r="I254" s="1" t="n">
        <v>5.5</v>
      </c>
      <c r="J254" s="1" t="n">
        <v>6</v>
      </c>
      <c r="K254" s="1" t="n">
        <v>4</v>
      </c>
      <c r="L254" s="1" t="n">
        <v>1</v>
      </c>
      <c r="M254" s="1" t="s">
        <v>182</v>
      </c>
    </row>
    <row r="255" customFormat="false" ht="14.25" hidden="true" customHeight="true" outlineLevel="0" collapsed="false">
      <c r="A255" s="1" t="s">
        <v>22</v>
      </c>
      <c r="B255" s="1" t="s">
        <v>490</v>
      </c>
      <c r="C255" s="1" t="s">
        <v>455</v>
      </c>
      <c r="D255" s="1" t="n">
        <v>33</v>
      </c>
      <c r="E255" s="1" t="n">
        <v>43</v>
      </c>
      <c r="F255" s="1" t="s">
        <v>160</v>
      </c>
      <c r="G255" s="1" t="s">
        <v>491</v>
      </c>
      <c r="H255" s="1" t="n">
        <v>2.72749</v>
      </c>
      <c r="I255" s="1" t="n">
        <v>10.5</v>
      </c>
      <c r="J255" s="1" t="n">
        <v>5</v>
      </c>
      <c r="K255" s="1" t="n">
        <v>4</v>
      </c>
      <c r="L255" s="1" t="n">
        <v>2</v>
      </c>
      <c r="M255" s="1" t="s">
        <v>310</v>
      </c>
      <c r="N255" s="1" t="s">
        <v>492</v>
      </c>
    </row>
    <row r="256" customFormat="false" ht="14.25" hidden="true" customHeight="true" outlineLevel="0" collapsed="false">
      <c r="A256" s="1" t="s">
        <v>22</v>
      </c>
      <c r="B256" s="1" t="s">
        <v>493</v>
      </c>
      <c r="C256" s="1" t="s">
        <v>100</v>
      </c>
      <c r="D256" s="1" t="n">
        <v>43</v>
      </c>
      <c r="E256" s="1" t="n">
        <v>68</v>
      </c>
      <c r="F256" s="1" t="s">
        <v>160</v>
      </c>
      <c r="G256" s="1" t="s">
        <v>494</v>
      </c>
      <c r="H256" s="1" t="n">
        <v>3.59436666666667</v>
      </c>
      <c r="I256" s="1" t="n">
        <v>5.5</v>
      </c>
      <c r="J256" s="1" t="n">
        <v>6</v>
      </c>
      <c r="K256" s="1" t="n">
        <v>5</v>
      </c>
      <c r="L256" s="1" t="n">
        <v>1</v>
      </c>
      <c r="M256" s="1" t="s">
        <v>483</v>
      </c>
    </row>
    <row r="257" customFormat="false" ht="14.25" hidden="true" customHeight="true" outlineLevel="0" collapsed="false">
      <c r="A257" s="1" t="s">
        <v>22</v>
      </c>
      <c r="B257" s="1" t="s">
        <v>495</v>
      </c>
      <c r="C257" s="1" t="s">
        <v>106</v>
      </c>
      <c r="D257" s="1" t="n">
        <v>49</v>
      </c>
      <c r="E257" s="1" t="n">
        <v>60</v>
      </c>
      <c r="F257" s="1" t="s">
        <v>160</v>
      </c>
      <c r="G257" s="1" t="s">
        <v>190</v>
      </c>
      <c r="H257" s="1" t="n">
        <v>6.343</v>
      </c>
      <c r="I257" s="1" t="n">
        <v>9</v>
      </c>
      <c r="J257" s="1" t="n">
        <v>3</v>
      </c>
      <c r="K257" s="1" t="n">
        <v>4</v>
      </c>
      <c r="L257" s="1" t="n">
        <v>2</v>
      </c>
      <c r="M257" s="1" t="s">
        <v>496</v>
      </c>
    </row>
    <row r="258" customFormat="false" ht="14.25" hidden="true" customHeight="true" outlineLevel="0" collapsed="false">
      <c r="A258" s="1" t="s">
        <v>22</v>
      </c>
      <c r="C258" s="1" t="s">
        <v>106</v>
      </c>
      <c r="D258" s="1" t="n">
        <v>50</v>
      </c>
      <c r="E258" s="1" t="n">
        <v>60</v>
      </c>
      <c r="F258" s="1" t="s">
        <v>160</v>
      </c>
      <c r="G258" s="1" t="s">
        <v>497</v>
      </c>
      <c r="H258" s="1" t="n">
        <v>6.343</v>
      </c>
      <c r="I258" s="1" t="n">
        <v>10.5</v>
      </c>
      <c r="J258" s="1" t="n">
        <v>3</v>
      </c>
      <c r="K258" s="1" t="n">
        <v>4</v>
      </c>
      <c r="L258" s="1" t="n">
        <v>3</v>
      </c>
      <c r="M258" s="1" t="s">
        <v>498</v>
      </c>
      <c r="N258" s="1" t="s">
        <v>319</v>
      </c>
    </row>
    <row r="259" customFormat="false" ht="14.25" hidden="true" customHeight="true" outlineLevel="0" collapsed="false">
      <c r="A259" s="1" t="s">
        <v>22</v>
      </c>
      <c r="C259" s="1" t="s">
        <v>106</v>
      </c>
      <c r="D259" s="1" t="n">
        <v>51</v>
      </c>
      <c r="E259" s="1" t="n">
        <v>68</v>
      </c>
      <c r="F259" s="1" t="s">
        <v>160</v>
      </c>
      <c r="G259" s="1" t="s">
        <v>190</v>
      </c>
      <c r="H259" s="1" t="n">
        <v>4.31324</v>
      </c>
      <c r="I259" s="1" t="n">
        <v>13</v>
      </c>
      <c r="J259" s="1" t="n">
        <v>5</v>
      </c>
      <c r="K259" s="1" t="n">
        <v>5</v>
      </c>
      <c r="L259" s="1" t="n">
        <v>2</v>
      </c>
      <c r="M259" s="1" t="s">
        <v>499</v>
      </c>
      <c r="N259" s="1" t="s">
        <v>319</v>
      </c>
    </row>
    <row r="260" customFormat="false" ht="14.25" hidden="true" customHeight="true" outlineLevel="0" collapsed="false">
      <c r="A260" s="1" t="s">
        <v>22</v>
      </c>
      <c r="C260" s="1" t="s">
        <v>106</v>
      </c>
      <c r="D260" s="1" t="n">
        <v>53</v>
      </c>
      <c r="E260" s="1" t="n">
        <v>47</v>
      </c>
      <c r="F260" s="1" t="s">
        <v>160</v>
      </c>
      <c r="G260" s="1" t="s">
        <v>500</v>
      </c>
      <c r="H260" s="1" t="n">
        <v>4.96868333333333</v>
      </c>
      <c r="I260" s="1" t="n">
        <v>15</v>
      </c>
      <c r="J260" s="1" t="n">
        <v>3</v>
      </c>
      <c r="K260" s="1" t="n">
        <v>5</v>
      </c>
      <c r="L260" s="1" t="n">
        <v>2</v>
      </c>
      <c r="N260" s="1" t="s">
        <v>319</v>
      </c>
    </row>
    <row r="261" customFormat="false" ht="14.25" hidden="true" customHeight="true" outlineLevel="0" collapsed="false">
      <c r="A261" s="1" t="s">
        <v>22</v>
      </c>
      <c r="B261" s="1" t="s">
        <v>501</v>
      </c>
      <c r="C261" s="1" t="s">
        <v>332</v>
      </c>
      <c r="D261" s="1" t="n">
        <v>54</v>
      </c>
      <c r="E261" s="1" t="n">
        <v>47</v>
      </c>
      <c r="F261" s="1" t="s">
        <v>160</v>
      </c>
      <c r="G261" s="1" t="s">
        <v>500</v>
      </c>
      <c r="H261" s="1" t="n">
        <v>4.96868333333333</v>
      </c>
      <c r="I261" s="1" t="n">
        <v>11</v>
      </c>
      <c r="J261" s="1" t="n">
        <v>3</v>
      </c>
      <c r="K261" s="1" t="n">
        <v>5</v>
      </c>
      <c r="L261" s="1" t="n">
        <v>2</v>
      </c>
      <c r="M261" s="1" t="s">
        <v>502</v>
      </c>
      <c r="N261" s="1" t="s">
        <v>319</v>
      </c>
    </row>
    <row r="262" customFormat="false" ht="14.25" hidden="true" customHeight="true" outlineLevel="0" collapsed="false">
      <c r="A262" s="1" t="s">
        <v>22</v>
      </c>
      <c r="C262" s="1" t="s">
        <v>104</v>
      </c>
      <c r="D262" s="1" t="n">
        <v>129</v>
      </c>
      <c r="E262" s="1" t="n">
        <v>54</v>
      </c>
      <c r="F262" s="1" t="s">
        <v>157</v>
      </c>
      <c r="G262" s="1" t="s">
        <v>503</v>
      </c>
      <c r="H262" s="1" t="n">
        <v>4.281525</v>
      </c>
      <c r="I262" s="1" t="n">
        <v>15</v>
      </c>
      <c r="J262" s="1" t="n">
        <v>4</v>
      </c>
      <c r="K262" s="1" t="n">
        <v>0</v>
      </c>
      <c r="L262" s="1" t="n">
        <v>2</v>
      </c>
      <c r="M262" s="1" t="s">
        <v>504</v>
      </c>
    </row>
    <row r="263" customFormat="false" ht="14.25" hidden="true" customHeight="true" outlineLevel="0" collapsed="false">
      <c r="A263" s="1" t="s">
        <v>22</v>
      </c>
      <c r="C263" s="1" t="s">
        <v>106</v>
      </c>
      <c r="D263" s="1" t="n">
        <v>55</v>
      </c>
      <c r="E263" s="1" t="n">
        <v>47</v>
      </c>
      <c r="F263" s="1" t="s">
        <v>160</v>
      </c>
      <c r="G263" s="1" t="s">
        <v>505</v>
      </c>
      <c r="H263" s="1" t="n">
        <v>7.453025</v>
      </c>
      <c r="I263" s="1" t="n">
        <v>11</v>
      </c>
      <c r="J263" s="1" t="n">
        <v>2</v>
      </c>
      <c r="K263" s="1" t="n">
        <v>5</v>
      </c>
      <c r="L263" s="1" t="n">
        <v>2</v>
      </c>
      <c r="M263" s="1" t="s">
        <v>208</v>
      </c>
    </row>
    <row r="264" customFormat="false" ht="14.25" hidden="true" customHeight="true" outlineLevel="0" collapsed="false">
      <c r="A264" s="1" t="s">
        <v>22</v>
      </c>
      <c r="C264" s="1" t="s">
        <v>332</v>
      </c>
      <c r="D264" s="1" t="n">
        <v>76</v>
      </c>
      <c r="E264" s="1" t="n">
        <v>43</v>
      </c>
      <c r="F264" s="1" t="s">
        <v>160</v>
      </c>
      <c r="G264" s="1" t="s">
        <v>506</v>
      </c>
      <c r="H264" s="1" t="n">
        <v>3.4093625</v>
      </c>
      <c r="I264" s="1" t="n">
        <v>8.5</v>
      </c>
      <c r="J264" s="1" t="n">
        <v>4</v>
      </c>
      <c r="K264" s="1" t="n">
        <v>4</v>
      </c>
      <c r="L264" s="1" t="n">
        <v>1</v>
      </c>
      <c r="M264" s="1" t="s">
        <v>496</v>
      </c>
    </row>
    <row r="265" customFormat="false" ht="14.25" hidden="true" customHeight="true" outlineLevel="0" collapsed="false">
      <c r="A265" s="1" t="s">
        <v>22</v>
      </c>
      <c r="C265" s="1" t="s">
        <v>106</v>
      </c>
      <c r="D265" s="1" t="n">
        <v>56</v>
      </c>
      <c r="E265" s="1" t="n">
        <v>43</v>
      </c>
      <c r="F265" s="1" t="s">
        <v>160</v>
      </c>
      <c r="G265" s="1" t="s">
        <v>507</v>
      </c>
      <c r="H265" s="1" t="n">
        <v>2.72749</v>
      </c>
      <c r="I265" s="1" t="n">
        <v>9.5</v>
      </c>
      <c r="J265" s="1" t="n">
        <v>5</v>
      </c>
      <c r="K265" s="1" t="n">
        <v>4</v>
      </c>
      <c r="L265" s="1" t="n">
        <v>1</v>
      </c>
      <c r="M265" s="1" t="s">
        <v>508</v>
      </c>
    </row>
    <row r="266" customFormat="false" ht="14.25" hidden="true" customHeight="true" outlineLevel="0" collapsed="false">
      <c r="A266" s="1" t="s">
        <v>22</v>
      </c>
      <c r="C266" s="1" t="s">
        <v>455</v>
      </c>
      <c r="D266" s="1" t="n">
        <v>57</v>
      </c>
      <c r="E266" s="1" t="n">
        <v>60</v>
      </c>
      <c r="F266" s="1" t="s">
        <v>160</v>
      </c>
      <c r="G266" s="1" t="s">
        <v>509</v>
      </c>
      <c r="H266" s="1" t="n">
        <v>3.8058</v>
      </c>
      <c r="I266" s="1" t="n">
        <v>10</v>
      </c>
      <c r="J266" s="1" t="n">
        <v>5</v>
      </c>
      <c r="K266" s="1" t="n">
        <v>4</v>
      </c>
      <c r="L266" s="1" t="n">
        <v>1</v>
      </c>
      <c r="M266" s="1" t="s">
        <v>508</v>
      </c>
      <c r="N266" s="1" t="s">
        <v>510</v>
      </c>
    </row>
    <row r="267" customFormat="false" ht="14.25" hidden="true" customHeight="true" outlineLevel="0" collapsed="false">
      <c r="A267" s="1" t="s">
        <v>22</v>
      </c>
      <c r="B267" s="1" t="s">
        <v>511</v>
      </c>
      <c r="C267" s="1" t="s">
        <v>455</v>
      </c>
      <c r="D267" s="1" t="n">
        <v>75</v>
      </c>
      <c r="E267" s="1" t="n">
        <v>60</v>
      </c>
      <c r="F267" s="1" t="s">
        <v>160</v>
      </c>
      <c r="G267" s="1" t="s">
        <v>512</v>
      </c>
      <c r="H267" s="1" t="n">
        <v>9.5145</v>
      </c>
      <c r="I267" s="1" t="n">
        <v>3.5</v>
      </c>
      <c r="J267" s="1" t="n">
        <v>2</v>
      </c>
      <c r="K267" s="1" t="n">
        <v>4</v>
      </c>
      <c r="L267" s="1" t="n">
        <v>1</v>
      </c>
    </row>
    <row r="268" customFormat="false" ht="14.25" hidden="true" customHeight="true" outlineLevel="0" collapsed="false">
      <c r="A268" s="1" t="s">
        <v>22</v>
      </c>
      <c r="C268" s="1" t="s">
        <v>513</v>
      </c>
      <c r="D268" s="1" t="n">
        <v>77</v>
      </c>
      <c r="E268" s="1" t="n">
        <v>51</v>
      </c>
      <c r="F268" s="1" t="s">
        <v>160</v>
      </c>
      <c r="G268" s="1" t="s">
        <v>514</v>
      </c>
      <c r="H268" s="1" t="n">
        <v>5.39155</v>
      </c>
      <c r="I268" s="1" t="n">
        <v>11</v>
      </c>
      <c r="J268" s="1" t="n">
        <v>3</v>
      </c>
      <c r="K268" s="1" t="n">
        <v>5</v>
      </c>
      <c r="L268" s="1" t="n">
        <v>1</v>
      </c>
      <c r="M268" s="1" t="s">
        <v>496</v>
      </c>
    </row>
    <row r="269" customFormat="false" ht="14.25" hidden="true" customHeight="true" outlineLevel="0" collapsed="false">
      <c r="A269" s="1" t="s">
        <v>22</v>
      </c>
      <c r="B269" s="1" t="s">
        <v>515</v>
      </c>
      <c r="C269" s="1" t="s">
        <v>106</v>
      </c>
      <c r="D269" s="1" t="n">
        <v>22</v>
      </c>
      <c r="E269" s="1" t="n">
        <v>60</v>
      </c>
      <c r="F269" s="1" t="s">
        <v>160</v>
      </c>
      <c r="G269" s="1" t="s">
        <v>516</v>
      </c>
      <c r="H269" s="1" t="n">
        <v>6.343</v>
      </c>
      <c r="I269" s="1" t="n">
        <v>11</v>
      </c>
      <c r="J269" s="1" t="n">
        <v>3</v>
      </c>
      <c r="K269" s="1" t="n">
        <v>4</v>
      </c>
      <c r="L269" s="1" t="n">
        <v>1</v>
      </c>
      <c r="M269" s="1" t="s">
        <v>496</v>
      </c>
    </row>
    <row r="270" customFormat="false" ht="14.25" hidden="true" customHeight="true" outlineLevel="0" collapsed="false">
      <c r="A270" s="1" t="s">
        <v>22</v>
      </c>
      <c r="C270" s="1" t="s">
        <v>455</v>
      </c>
      <c r="D270" s="1" t="n">
        <v>59</v>
      </c>
      <c r="E270" s="1" t="n">
        <v>47</v>
      </c>
      <c r="F270" s="1" t="s">
        <v>160</v>
      </c>
      <c r="G270" s="1" t="s">
        <v>517</v>
      </c>
      <c r="H270" s="1" t="n">
        <v>7.453025</v>
      </c>
      <c r="I270" s="1" t="n">
        <v>15</v>
      </c>
      <c r="J270" s="1" t="n">
        <v>2</v>
      </c>
      <c r="K270" s="1" t="n">
        <v>5</v>
      </c>
      <c r="L270" s="1" t="n">
        <v>2</v>
      </c>
      <c r="M270" s="1" t="s">
        <v>518</v>
      </c>
    </row>
    <row r="271" customFormat="false" ht="14.25" hidden="true" customHeight="true" outlineLevel="0" collapsed="false">
      <c r="A271" s="1" t="s">
        <v>22</v>
      </c>
      <c r="C271" s="1" t="s">
        <v>455</v>
      </c>
      <c r="D271" s="1" t="n">
        <v>61</v>
      </c>
      <c r="E271" s="1" t="n">
        <v>47</v>
      </c>
      <c r="F271" s="1" t="s">
        <v>160</v>
      </c>
      <c r="G271" s="1" t="s">
        <v>519</v>
      </c>
      <c r="H271" s="1" t="n">
        <v>3.7265125</v>
      </c>
      <c r="I271" s="1" t="n">
        <v>11.5</v>
      </c>
      <c r="J271" s="1" t="n">
        <v>4</v>
      </c>
      <c r="K271" s="1" t="n">
        <v>5</v>
      </c>
      <c r="L271" s="1" t="n">
        <v>1</v>
      </c>
      <c r="M271" s="1" t="s">
        <v>520</v>
      </c>
    </row>
    <row r="272" customFormat="false" ht="14.25" hidden="true" customHeight="true" outlineLevel="0" collapsed="false">
      <c r="A272" s="1" t="s">
        <v>22</v>
      </c>
      <c r="C272" s="1" t="s">
        <v>106</v>
      </c>
      <c r="D272" s="1" t="n">
        <v>124</v>
      </c>
      <c r="E272" s="1" t="n">
        <v>43</v>
      </c>
      <c r="F272" s="1" t="s">
        <v>160</v>
      </c>
      <c r="G272" s="1" t="s">
        <v>521</v>
      </c>
      <c r="H272" s="1" t="n">
        <v>2.27290833333333</v>
      </c>
      <c r="I272" s="1" t="n">
        <v>12</v>
      </c>
      <c r="J272" s="1" t="n">
        <v>6</v>
      </c>
      <c r="K272" s="1" t="n">
        <v>4</v>
      </c>
      <c r="L272" s="1" t="n">
        <v>1</v>
      </c>
      <c r="M272" s="1" t="s">
        <v>119</v>
      </c>
    </row>
    <row r="273" customFormat="false" ht="14.25" hidden="true" customHeight="true" outlineLevel="0" collapsed="false">
      <c r="A273" s="1" t="s">
        <v>22</v>
      </c>
      <c r="C273" s="1" t="s">
        <v>455</v>
      </c>
      <c r="D273" s="1" t="n">
        <v>62</v>
      </c>
      <c r="E273" s="1" t="n">
        <v>78</v>
      </c>
      <c r="F273" s="1" t="s">
        <v>160</v>
      </c>
      <c r="G273" s="1" t="s">
        <v>522</v>
      </c>
      <c r="H273" s="1" t="n">
        <v>12.36885</v>
      </c>
      <c r="I273" s="1" t="n">
        <v>13</v>
      </c>
      <c r="J273" s="1" t="n">
        <v>2</v>
      </c>
      <c r="K273" s="1" t="n">
        <v>5</v>
      </c>
      <c r="L273" s="1" t="n">
        <v>2</v>
      </c>
      <c r="M273" s="1" t="s">
        <v>523</v>
      </c>
    </row>
    <row r="274" customFormat="false" ht="14.25" hidden="true" customHeight="true" outlineLevel="0" collapsed="false">
      <c r="A274" s="1" t="s">
        <v>22</v>
      </c>
      <c r="B274" s="1" t="s">
        <v>524</v>
      </c>
      <c r="C274" s="1" t="s">
        <v>220</v>
      </c>
      <c r="D274" s="1" t="n">
        <v>31</v>
      </c>
      <c r="E274" s="1" t="n">
        <v>39</v>
      </c>
      <c r="F274" s="1" t="s">
        <v>160</v>
      </c>
      <c r="G274" s="1" t="s">
        <v>522</v>
      </c>
      <c r="H274" s="1" t="n">
        <v>12.36885</v>
      </c>
      <c r="I274" s="1" t="n">
        <v>13</v>
      </c>
      <c r="J274" s="1" t="n">
        <v>1</v>
      </c>
      <c r="K274" s="1" t="n">
        <v>5</v>
      </c>
      <c r="L274" s="1" t="n">
        <v>2</v>
      </c>
      <c r="M274" s="1" t="s">
        <v>523</v>
      </c>
    </row>
    <row r="275" customFormat="false" ht="14.25" hidden="true" customHeight="true" outlineLevel="0" collapsed="false">
      <c r="A275" s="1" t="s">
        <v>22</v>
      </c>
      <c r="C275" s="1" t="s">
        <v>455</v>
      </c>
      <c r="D275" s="1" t="n">
        <v>65</v>
      </c>
      <c r="E275" s="1" t="n">
        <v>47</v>
      </c>
      <c r="F275" s="1" t="s">
        <v>160</v>
      </c>
      <c r="G275" s="1" t="s">
        <v>525</v>
      </c>
      <c r="H275" s="1" t="n">
        <v>14.90605</v>
      </c>
      <c r="I275" s="1" t="n">
        <v>12.5</v>
      </c>
      <c r="J275" s="1" t="n">
        <v>1</v>
      </c>
      <c r="K275" s="1" t="n">
        <v>5</v>
      </c>
      <c r="L275" s="1" t="n">
        <v>1</v>
      </c>
      <c r="M275" s="1" t="s">
        <v>252</v>
      </c>
    </row>
    <row r="276" customFormat="false" ht="14.25" hidden="true" customHeight="true" outlineLevel="0" collapsed="false">
      <c r="A276" s="1" t="s">
        <v>22</v>
      </c>
      <c r="C276" s="1" t="s">
        <v>513</v>
      </c>
      <c r="D276" s="1" t="n">
        <v>78</v>
      </c>
      <c r="E276" s="1" t="n">
        <v>47</v>
      </c>
      <c r="F276" s="1" t="s">
        <v>160</v>
      </c>
      <c r="G276" s="1" t="s">
        <v>526</v>
      </c>
      <c r="H276" s="1" t="n">
        <v>7.453025</v>
      </c>
      <c r="I276" s="1" t="n">
        <v>13.5</v>
      </c>
      <c r="J276" s="1" t="n">
        <v>2</v>
      </c>
      <c r="K276" s="1" t="n">
        <v>5</v>
      </c>
      <c r="L276" s="1" t="n">
        <v>1</v>
      </c>
      <c r="M276" s="1" t="s">
        <v>496</v>
      </c>
    </row>
    <row r="277" customFormat="false" ht="14.25" hidden="true" customHeight="true" outlineLevel="0" collapsed="false">
      <c r="A277" s="1" t="s">
        <v>22</v>
      </c>
      <c r="B277" s="1" t="s">
        <v>527</v>
      </c>
      <c r="C277" s="1" t="s">
        <v>455</v>
      </c>
      <c r="D277" s="1" t="n">
        <v>14</v>
      </c>
      <c r="E277" s="1" t="n">
        <v>43</v>
      </c>
      <c r="F277" s="1" t="s">
        <v>160</v>
      </c>
      <c r="G277" s="1" t="s">
        <v>528</v>
      </c>
      <c r="H277" s="1" t="n">
        <v>13.63745</v>
      </c>
      <c r="I277" s="1" t="n">
        <v>8.5</v>
      </c>
      <c r="J277" s="1" t="n">
        <v>1</v>
      </c>
      <c r="K277" s="1" t="n">
        <v>4</v>
      </c>
      <c r="L277" s="1" t="n">
        <v>1</v>
      </c>
      <c r="M277" s="1" t="s">
        <v>483</v>
      </c>
    </row>
    <row r="278" customFormat="false" ht="14.25" hidden="true" customHeight="true" outlineLevel="0" collapsed="false">
      <c r="A278" s="1" t="s">
        <v>22</v>
      </c>
      <c r="C278" s="1" t="s">
        <v>455</v>
      </c>
      <c r="D278" s="1" t="n">
        <v>60</v>
      </c>
      <c r="E278" s="1" t="n">
        <v>43</v>
      </c>
      <c r="F278" s="1" t="s">
        <v>160</v>
      </c>
      <c r="G278" s="1" t="s">
        <v>529</v>
      </c>
      <c r="H278" s="1" t="n">
        <v>13.63745</v>
      </c>
      <c r="I278" s="1" t="n">
        <v>11</v>
      </c>
      <c r="J278" s="1" t="n">
        <v>1</v>
      </c>
      <c r="K278" s="1" t="n">
        <v>4</v>
      </c>
      <c r="L278" s="1" t="n">
        <v>1</v>
      </c>
      <c r="M278" s="1" t="s">
        <v>530</v>
      </c>
    </row>
    <row r="279" customFormat="false" ht="14.25" hidden="true" customHeight="true" outlineLevel="0" collapsed="false">
      <c r="A279" s="1" t="s">
        <v>22</v>
      </c>
      <c r="C279" s="1" t="s">
        <v>455</v>
      </c>
      <c r="D279" s="1" t="n">
        <v>2</v>
      </c>
      <c r="E279" s="1" t="n">
        <v>43</v>
      </c>
      <c r="F279" s="1" t="s">
        <v>160</v>
      </c>
      <c r="G279" s="1" t="s">
        <v>529</v>
      </c>
      <c r="H279" s="1" t="n">
        <v>13.63745</v>
      </c>
      <c r="I279" s="1" t="n">
        <v>11</v>
      </c>
      <c r="J279" s="1" t="n">
        <v>1</v>
      </c>
      <c r="K279" s="1" t="n">
        <v>4</v>
      </c>
      <c r="L279" s="1" t="n">
        <v>1</v>
      </c>
      <c r="M279" s="1" t="s">
        <v>530</v>
      </c>
    </row>
    <row r="280" customFormat="false" ht="14.25" hidden="true" customHeight="true" outlineLevel="0" collapsed="false">
      <c r="A280" s="1" t="s">
        <v>22</v>
      </c>
      <c r="C280" s="1" t="s">
        <v>455</v>
      </c>
      <c r="D280" s="1" t="n">
        <v>64</v>
      </c>
      <c r="E280" s="1" t="n">
        <v>47</v>
      </c>
      <c r="F280" s="1" t="s">
        <v>160</v>
      </c>
      <c r="G280" s="1" t="s">
        <v>531</v>
      </c>
      <c r="H280" s="1" t="n">
        <v>14.90605</v>
      </c>
      <c r="I280" s="1" t="n">
        <v>15.5</v>
      </c>
      <c r="J280" s="1" t="n">
        <v>1</v>
      </c>
      <c r="K280" s="1" t="n">
        <v>5</v>
      </c>
      <c r="L280" s="1" t="n">
        <v>2</v>
      </c>
      <c r="M280" s="1" t="s">
        <v>523</v>
      </c>
    </row>
    <row r="281" customFormat="false" ht="14.25" hidden="true" customHeight="true" outlineLevel="0" collapsed="false">
      <c r="A281" s="1" t="s">
        <v>22</v>
      </c>
      <c r="C281" s="1" t="s">
        <v>100</v>
      </c>
      <c r="D281" s="1" t="n">
        <v>67</v>
      </c>
      <c r="E281" s="1" t="n">
        <v>51</v>
      </c>
      <c r="F281" s="1" t="s">
        <v>160</v>
      </c>
      <c r="G281" s="1" t="s">
        <v>532</v>
      </c>
      <c r="H281" s="1" t="n">
        <v>16.17465</v>
      </c>
      <c r="I281" s="1" t="n">
        <v>11</v>
      </c>
      <c r="J281" s="1" t="n">
        <v>1</v>
      </c>
      <c r="K281" s="1" t="n">
        <v>5</v>
      </c>
      <c r="L281" s="1" t="n">
        <v>1</v>
      </c>
      <c r="M281" s="1" t="s">
        <v>533</v>
      </c>
    </row>
    <row r="282" customFormat="false" ht="14.25" hidden="true" customHeight="true" outlineLevel="0" collapsed="false">
      <c r="A282" s="1" t="s">
        <v>22</v>
      </c>
      <c r="C282" s="1" t="s">
        <v>104</v>
      </c>
      <c r="D282" s="1" t="n">
        <v>112</v>
      </c>
      <c r="E282" s="1" t="n">
        <v>57</v>
      </c>
      <c r="F282" s="1" t="s">
        <v>160</v>
      </c>
      <c r="G282" s="1" t="s">
        <v>534</v>
      </c>
      <c r="H282" s="1" t="n">
        <v>18.07755</v>
      </c>
      <c r="I282" s="1" t="n">
        <v>11</v>
      </c>
      <c r="J282" s="1" t="n">
        <v>1</v>
      </c>
      <c r="K282" s="1" t="n">
        <v>4</v>
      </c>
      <c r="L282" s="1" t="n">
        <v>1</v>
      </c>
      <c r="M282" s="1" t="s">
        <v>530</v>
      </c>
    </row>
    <row r="283" customFormat="false" ht="14.25" hidden="true" customHeight="true" outlineLevel="0" collapsed="false">
      <c r="A283" s="1" t="s">
        <v>22</v>
      </c>
      <c r="C283" s="1" t="s">
        <v>106</v>
      </c>
      <c r="D283" s="1" t="n">
        <v>66</v>
      </c>
      <c r="E283" s="1" t="n">
        <v>47</v>
      </c>
      <c r="F283" s="1" t="s">
        <v>160</v>
      </c>
      <c r="G283" s="1" t="s">
        <v>535</v>
      </c>
      <c r="H283" s="1" t="n">
        <v>7.453025</v>
      </c>
      <c r="I283" s="1" t="n">
        <v>15.7</v>
      </c>
      <c r="J283" s="1" t="n">
        <v>2</v>
      </c>
      <c r="K283" s="1" t="n">
        <v>5</v>
      </c>
      <c r="L283" s="1" t="n">
        <v>1</v>
      </c>
      <c r="M283" s="1" t="s">
        <v>536</v>
      </c>
    </row>
    <row r="284" customFormat="false" ht="14.25" hidden="true" customHeight="true" outlineLevel="0" collapsed="false">
      <c r="A284" s="1" t="s">
        <v>22</v>
      </c>
      <c r="B284" s="1" t="s">
        <v>537</v>
      </c>
      <c r="C284" s="1" t="s">
        <v>106</v>
      </c>
      <c r="D284" s="1" t="n">
        <v>68</v>
      </c>
      <c r="E284" s="1" t="n">
        <v>63</v>
      </c>
      <c r="F284" s="1" t="s">
        <v>160</v>
      </c>
      <c r="G284" s="1" t="s">
        <v>538</v>
      </c>
      <c r="H284" s="1" t="n">
        <v>19.98045</v>
      </c>
      <c r="I284" s="1" t="n">
        <v>13.5</v>
      </c>
      <c r="J284" s="1" t="n">
        <v>1</v>
      </c>
      <c r="K284" s="1" t="n">
        <v>5</v>
      </c>
      <c r="L284" s="1" t="n">
        <v>3</v>
      </c>
      <c r="M284" s="1" t="s">
        <v>539</v>
      </c>
    </row>
    <row r="285" customFormat="false" ht="14.25" hidden="true" customHeight="true" outlineLevel="0" collapsed="false">
      <c r="A285" s="1" t="s">
        <v>22</v>
      </c>
      <c r="B285" s="1" t="s">
        <v>540</v>
      </c>
      <c r="C285" s="1" t="s">
        <v>106</v>
      </c>
      <c r="D285" s="1" t="n">
        <v>69</v>
      </c>
      <c r="E285" s="1" t="n">
        <v>63</v>
      </c>
      <c r="F285" s="1" t="s">
        <v>160</v>
      </c>
      <c r="G285" s="1" t="s">
        <v>541</v>
      </c>
      <c r="H285" s="1" t="n">
        <v>19.98045</v>
      </c>
      <c r="I285" s="1" t="n">
        <v>7.5</v>
      </c>
      <c r="J285" s="1" t="n">
        <v>1</v>
      </c>
      <c r="K285" s="1" t="n">
        <v>5</v>
      </c>
      <c r="L285" s="1" t="n">
        <v>1</v>
      </c>
      <c r="M285" s="1" t="s">
        <v>542</v>
      </c>
    </row>
    <row r="286" customFormat="false" ht="14.25" hidden="true" customHeight="true" outlineLevel="0" collapsed="false">
      <c r="A286" s="1" t="s">
        <v>22</v>
      </c>
      <c r="B286" s="1" t="s">
        <v>543</v>
      </c>
      <c r="C286" s="1" t="s">
        <v>106</v>
      </c>
      <c r="D286" s="1" t="n">
        <v>69</v>
      </c>
      <c r="E286" s="1" t="n">
        <v>63</v>
      </c>
      <c r="F286" s="1" t="s">
        <v>160</v>
      </c>
      <c r="G286" s="1" t="s">
        <v>544</v>
      </c>
      <c r="H286" s="1" t="n">
        <v>19.98045</v>
      </c>
      <c r="I286" s="1" t="n">
        <v>8.5</v>
      </c>
      <c r="J286" s="1" t="n">
        <v>1</v>
      </c>
      <c r="K286" s="1" t="n">
        <v>5</v>
      </c>
      <c r="L286" s="1" t="n">
        <v>1</v>
      </c>
      <c r="M286" s="1" t="s">
        <v>542</v>
      </c>
    </row>
    <row r="287" customFormat="false" ht="14.25" hidden="true" customHeight="true" outlineLevel="0" collapsed="false">
      <c r="A287" s="1" t="s">
        <v>22</v>
      </c>
      <c r="C287" s="1" t="s">
        <v>106</v>
      </c>
      <c r="D287" s="1" t="n">
        <v>71</v>
      </c>
      <c r="E287" s="1" t="n">
        <v>63</v>
      </c>
      <c r="F287" s="1" t="s">
        <v>160</v>
      </c>
      <c r="G287" s="1" t="s">
        <v>545</v>
      </c>
      <c r="H287" s="1" t="n">
        <v>19.98045</v>
      </c>
      <c r="I287" s="1" t="n">
        <v>10.5</v>
      </c>
      <c r="J287" s="1" t="n">
        <v>1</v>
      </c>
      <c r="K287" s="1" t="n">
        <v>5</v>
      </c>
      <c r="L287" s="1" t="n">
        <v>1</v>
      </c>
      <c r="M287" s="1" t="s">
        <v>530</v>
      </c>
    </row>
    <row r="288" customFormat="false" ht="14.25" hidden="true" customHeight="true" outlineLevel="0" collapsed="false">
      <c r="A288" s="1" t="s">
        <v>22</v>
      </c>
      <c r="C288" s="1" t="s">
        <v>546</v>
      </c>
      <c r="D288" s="1" t="n">
        <v>111</v>
      </c>
      <c r="E288" s="1" t="n">
        <v>68</v>
      </c>
      <c r="F288" s="1" t="s">
        <v>160</v>
      </c>
      <c r="G288" s="1" t="s">
        <v>547</v>
      </c>
      <c r="H288" s="1" t="n">
        <v>21.5662</v>
      </c>
      <c r="I288" s="1" t="n">
        <v>15.5</v>
      </c>
      <c r="J288" s="1" t="n">
        <v>1</v>
      </c>
      <c r="K288" s="1" t="n">
        <v>5</v>
      </c>
      <c r="L288" s="1" t="n">
        <v>1</v>
      </c>
      <c r="M288" s="1" t="s">
        <v>548</v>
      </c>
    </row>
    <row r="289" customFormat="false" ht="14.25" hidden="true" customHeight="true" outlineLevel="0" collapsed="false">
      <c r="A289" s="1" t="s">
        <v>22</v>
      </c>
      <c r="C289" s="1" t="s">
        <v>104</v>
      </c>
      <c r="D289" s="1" t="n">
        <v>127</v>
      </c>
      <c r="E289" s="1" t="n">
        <v>68</v>
      </c>
      <c r="F289" s="1" t="s">
        <v>157</v>
      </c>
      <c r="G289" s="1" t="s">
        <v>547</v>
      </c>
      <c r="H289" s="1" t="n">
        <v>21.5662</v>
      </c>
      <c r="I289" s="1" t="n">
        <v>15.5</v>
      </c>
      <c r="J289" s="1" t="n">
        <v>1</v>
      </c>
      <c r="K289" s="1" t="n">
        <v>5</v>
      </c>
      <c r="L289" s="1" t="n">
        <v>1</v>
      </c>
      <c r="M289" s="1" t="s">
        <v>548</v>
      </c>
    </row>
    <row r="290" customFormat="false" ht="14.25" hidden="true" customHeight="true" outlineLevel="0" collapsed="false">
      <c r="A290" s="1" t="s">
        <v>22</v>
      </c>
      <c r="C290" s="1" t="s">
        <v>106</v>
      </c>
      <c r="D290" s="1" t="n">
        <v>73</v>
      </c>
      <c r="E290" s="1" t="n">
        <v>98</v>
      </c>
      <c r="F290" s="1" t="s">
        <v>160</v>
      </c>
      <c r="G290" s="1" t="s">
        <v>549</v>
      </c>
      <c r="H290" s="1" t="n">
        <v>31.0807</v>
      </c>
      <c r="I290" s="1" t="n">
        <v>11</v>
      </c>
      <c r="J290" s="1" t="n">
        <v>1</v>
      </c>
      <c r="K290" s="1" t="n">
        <v>5</v>
      </c>
      <c r="L290" s="1" t="n">
        <v>1</v>
      </c>
      <c r="M290" s="1" t="s">
        <v>550</v>
      </c>
    </row>
    <row r="291" customFormat="false" ht="14.25" hidden="true" customHeight="true" outlineLevel="0" collapsed="false">
      <c r="A291" s="1" t="s">
        <v>22</v>
      </c>
      <c r="B291" s="1" t="s">
        <v>469</v>
      </c>
      <c r="C291" s="1" t="s">
        <v>108</v>
      </c>
      <c r="D291" s="1" t="n">
        <v>74</v>
      </c>
      <c r="E291" s="1" t="n">
        <v>98</v>
      </c>
      <c r="F291" s="1" t="s">
        <v>160</v>
      </c>
      <c r="G291" s="1" t="s">
        <v>549</v>
      </c>
      <c r="H291" s="1" t="n">
        <v>31.0807</v>
      </c>
      <c r="I291" s="1" t="n">
        <v>11</v>
      </c>
      <c r="J291" s="1" t="n">
        <v>1</v>
      </c>
      <c r="K291" s="1" t="n">
        <v>5</v>
      </c>
      <c r="L291" s="1" t="n">
        <v>1</v>
      </c>
      <c r="M291" s="1" t="s">
        <v>551</v>
      </c>
    </row>
    <row r="292" customFormat="false" ht="14.25" hidden="true" customHeight="true" outlineLevel="0" collapsed="false">
      <c r="A292" s="1" t="s">
        <v>22</v>
      </c>
    </row>
    <row r="293" customFormat="false" ht="14.25" hidden="true" customHeight="true" outlineLevel="0" collapsed="false">
      <c r="A293" s="1" t="s">
        <v>22</v>
      </c>
      <c r="B293" s="1" t="s">
        <v>552</v>
      </c>
      <c r="C293" s="1" t="s">
        <v>106</v>
      </c>
      <c r="D293" s="1" t="n">
        <v>79</v>
      </c>
      <c r="E293" s="1" t="n">
        <v>43</v>
      </c>
      <c r="F293" s="1" t="s">
        <v>255</v>
      </c>
      <c r="G293" s="1" t="s">
        <v>553</v>
      </c>
      <c r="H293" s="1" t="n">
        <v>2.72749</v>
      </c>
      <c r="I293" s="1" t="n">
        <v>2</v>
      </c>
      <c r="J293" s="1" t="n">
        <v>5</v>
      </c>
      <c r="K293" s="1" t="n">
        <v>4</v>
      </c>
      <c r="L293" s="1" t="n">
        <v>1</v>
      </c>
    </row>
    <row r="294" customFormat="false" ht="14.25" hidden="true" customHeight="true" outlineLevel="0" collapsed="false">
      <c r="A294" s="1" t="s">
        <v>22</v>
      </c>
      <c r="B294" s="1" t="s">
        <v>554</v>
      </c>
      <c r="C294" s="1" t="s">
        <v>106</v>
      </c>
      <c r="D294" s="1" t="n">
        <v>79</v>
      </c>
      <c r="E294" s="1" t="n">
        <v>43</v>
      </c>
      <c r="F294" s="1" t="s">
        <v>255</v>
      </c>
      <c r="G294" s="1" t="s">
        <v>555</v>
      </c>
      <c r="H294" s="1" t="n">
        <v>3.1</v>
      </c>
      <c r="I294" s="1" t="n">
        <v>7</v>
      </c>
      <c r="J294" s="1" t="n">
        <v>5</v>
      </c>
      <c r="K294" s="1" t="n">
        <v>4</v>
      </c>
      <c r="L294" s="1" t="n">
        <v>2</v>
      </c>
      <c r="M294" s="1" t="s">
        <v>556</v>
      </c>
    </row>
    <row r="295" customFormat="false" ht="14.25" hidden="true" customHeight="true" outlineLevel="0" collapsed="false">
      <c r="A295" s="1" t="s">
        <v>22</v>
      </c>
      <c r="B295" s="1" t="s">
        <v>557</v>
      </c>
      <c r="C295" s="1" t="s">
        <v>106</v>
      </c>
      <c r="D295" s="1" t="n">
        <v>84</v>
      </c>
      <c r="E295" s="1" t="n">
        <v>43</v>
      </c>
      <c r="F295" s="1" t="s">
        <v>255</v>
      </c>
      <c r="G295" s="1" t="s">
        <v>558</v>
      </c>
      <c r="H295" s="1" t="n">
        <v>3.4093625</v>
      </c>
      <c r="I295" s="1" t="n">
        <v>2.5</v>
      </c>
      <c r="J295" s="1" t="n">
        <v>4</v>
      </c>
      <c r="K295" s="1" t="n">
        <v>4</v>
      </c>
      <c r="L295" s="1" t="n">
        <v>1</v>
      </c>
      <c r="M295" s="1" t="s">
        <v>559</v>
      </c>
    </row>
    <row r="296" customFormat="false" ht="14.25" hidden="true" customHeight="true" outlineLevel="0" collapsed="false">
      <c r="A296" s="1" t="s">
        <v>22</v>
      </c>
      <c r="B296" s="1" t="s">
        <v>560</v>
      </c>
      <c r="C296" s="1" t="s">
        <v>106</v>
      </c>
      <c r="D296" s="1" t="n">
        <v>81</v>
      </c>
      <c r="E296" s="1" t="n">
        <v>57</v>
      </c>
      <c r="F296" s="1" t="s">
        <v>255</v>
      </c>
      <c r="G296" s="1" t="s">
        <v>561</v>
      </c>
      <c r="H296" s="1" t="n">
        <v>3.61551</v>
      </c>
      <c r="I296" s="1" t="n">
        <v>3</v>
      </c>
      <c r="J296" s="1" t="n">
        <v>5</v>
      </c>
      <c r="K296" s="1" t="n">
        <v>5</v>
      </c>
      <c r="L296" s="1" t="n">
        <v>1</v>
      </c>
      <c r="M296" s="1" t="s">
        <v>562</v>
      </c>
    </row>
    <row r="297" customFormat="false" ht="14.25" hidden="true" customHeight="true" outlineLevel="0" collapsed="false">
      <c r="A297" s="1" t="s">
        <v>22</v>
      </c>
      <c r="B297" s="1" t="s">
        <v>563</v>
      </c>
      <c r="C297" s="1" t="s">
        <v>106</v>
      </c>
      <c r="D297" s="1" t="n">
        <v>79</v>
      </c>
      <c r="E297" s="1" t="n">
        <v>43</v>
      </c>
      <c r="F297" s="1" t="s">
        <v>255</v>
      </c>
      <c r="G297" s="1" t="s">
        <v>564</v>
      </c>
      <c r="H297" s="1" t="n">
        <v>4.3</v>
      </c>
      <c r="I297" s="1" t="n">
        <v>2.5</v>
      </c>
      <c r="J297" s="1" t="n">
        <v>3</v>
      </c>
      <c r="K297" s="1" t="n">
        <v>4</v>
      </c>
      <c r="L297" s="1" t="n">
        <v>2</v>
      </c>
      <c r="M297" s="1" t="s">
        <v>508</v>
      </c>
    </row>
    <row r="298" customFormat="false" ht="14.25" hidden="true" customHeight="true" outlineLevel="0" collapsed="false">
      <c r="A298" s="1" t="s">
        <v>22</v>
      </c>
      <c r="B298" s="1" t="s">
        <v>565</v>
      </c>
      <c r="C298" s="1" t="s">
        <v>106</v>
      </c>
      <c r="D298" s="1" t="n">
        <v>42</v>
      </c>
      <c r="E298" s="1" t="n">
        <v>47</v>
      </c>
      <c r="F298" s="1" t="s">
        <v>255</v>
      </c>
      <c r="G298" s="1" t="s">
        <v>566</v>
      </c>
      <c r="H298" s="1" t="n">
        <v>1.24217083333333</v>
      </c>
      <c r="I298" s="1" t="n">
        <v>4.5</v>
      </c>
      <c r="J298" s="1" t="n">
        <v>12</v>
      </c>
      <c r="K298" s="1" t="n">
        <v>5</v>
      </c>
      <c r="L298" s="1" t="n">
        <v>1</v>
      </c>
      <c r="M298" s="1" t="s">
        <v>567</v>
      </c>
    </row>
    <row r="299" customFormat="false" ht="14.25" hidden="true" customHeight="true" outlineLevel="0" collapsed="false">
      <c r="A299" s="1" t="s">
        <v>22</v>
      </c>
      <c r="B299" s="1" t="s">
        <v>568</v>
      </c>
      <c r="C299" s="1" t="s">
        <v>106</v>
      </c>
      <c r="D299" s="1" t="n">
        <v>79</v>
      </c>
      <c r="E299" s="1" t="n">
        <v>43</v>
      </c>
      <c r="F299" s="1" t="s">
        <v>255</v>
      </c>
      <c r="G299" s="1" t="s">
        <v>569</v>
      </c>
      <c r="H299" s="1" t="n">
        <v>4.54581666666667</v>
      </c>
      <c r="I299" s="1" t="n">
        <v>2.5</v>
      </c>
      <c r="J299" s="1" t="n">
        <v>3</v>
      </c>
      <c r="K299" s="1" t="n">
        <v>4</v>
      </c>
      <c r="L299" s="1" t="n">
        <v>1</v>
      </c>
      <c r="M299" s="1" t="s">
        <v>570</v>
      </c>
    </row>
    <row r="300" customFormat="false" ht="14.25" hidden="true" customHeight="true" outlineLevel="0" collapsed="false">
      <c r="A300" s="1" t="s">
        <v>22</v>
      </c>
      <c r="B300" s="1" t="s">
        <v>571</v>
      </c>
      <c r="C300" s="1" t="s">
        <v>106</v>
      </c>
      <c r="D300" s="1" t="n">
        <v>19</v>
      </c>
      <c r="E300" s="1" t="n">
        <v>60</v>
      </c>
      <c r="F300" s="1" t="s">
        <v>255</v>
      </c>
      <c r="G300" s="1" t="s">
        <v>572</v>
      </c>
      <c r="H300" s="1" t="n">
        <v>4.75725</v>
      </c>
      <c r="I300" s="1" t="n">
        <v>3.5</v>
      </c>
      <c r="J300" s="1" t="n">
        <v>4</v>
      </c>
      <c r="K300" s="1" t="n">
        <v>4</v>
      </c>
      <c r="L300" s="1" t="n">
        <v>1</v>
      </c>
      <c r="M300" s="1" t="s">
        <v>559</v>
      </c>
    </row>
    <row r="301" customFormat="false" ht="14.25" hidden="true" customHeight="true" outlineLevel="0" collapsed="false">
      <c r="A301" s="1" t="s">
        <v>22</v>
      </c>
      <c r="B301" s="1" t="s">
        <v>573</v>
      </c>
      <c r="C301" s="1" t="s">
        <v>106</v>
      </c>
      <c r="D301" s="1" t="n">
        <v>21</v>
      </c>
      <c r="E301" s="1" t="n">
        <v>43</v>
      </c>
      <c r="F301" s="1" t="s">
        <v>255</v>
      </c>
      <c r="G301" s="1" t="s">
        <v>574</v>
      </c>
      <c r="H301" s="1" t="n">
        <v>2.72749</v>
      </c>
      <c r="I301" s="1" t="n">
        <v>10</v>
      </c>
      <c r="J301" s="1" t="n">
        <v>5</v>
      </c>
      <c r="K301" s="1" t="n">
        <v>4</v>
      </c>
      <c r="L301" s="1" t="n">
        <v>2</v>
      </c>
      <c r="M301" s="1" t="s">
        <v>450</v>
      </c>
    </row>
    <row r="302" customFormat="false" ht="14.25" hidden="true" customHeight="true" outlineLevel="0" collapsed="false">
      <c r="A302" s="1" t="s">
        <v>22</v>
      </c>
      <c r="B302" s="1" t="s">
        <v>575</v>
      </c>
      <c r="C302" s="1" t="s">
        <v>106</v>
      </c>
      <c r="D302" s="1" t="n">
        <v>32</v>
      </c>
      <c r="E302" s="1" t="n">
        <v>47</v>
      </c>
      <c r="F302" s="1" t="s">
        <v>255</v>
      </c>
      <c r="G302" s="1" t="s">
        <v>576</v>
      </c>
      <c r="H302" s="1" t="n">
        <v>4.96868333333333</v>
      </c>
      <c r="I302" s="1" t="n">
        <v>6</v>
      </c>
      <c r="J302" s="1" t="n">
        <v>3</v>
      </c>
      <c r="K302" s="1" t="n">
        <v>5</v>
      </c>
      <c r="L302" s="1" t="n">
        <v>1</v>
      </c>
      <c r="M302" s="1" t="s">
        <v>577</v>
      </c>
    </row>
    <row r="303" customFormat="false" ht="14.25" hidden="true" customHeight="true" outlineLevel="0" collapsed="false">
      <c r="A303" s="1" t="s">
        <v>22</v>
      </c>
      <c r="B303" s="1" t="s">
        <v>578</v>
      </c>
      <c r="C303" s="1" t="s">
        <v>106</v>
      </c>
      <c r="D303" s="1" t="n">
        <v>22</v>
      </c>
      <c r="E303" s="1" t="n">
        <v>60</v>
      </c>
      <c r="F303" s="1" t="s">
        <v>255</v>
      </c>
      <c r="G303" s="1" t="s">
        <v>579</v>
      </c>
      <c r="H303" s="1" t="n">
        <v>5.8</v>
      </c>
      <c r="I303" s="1" t="n">
        <v>4</v>
      </c>
      <c r="J303" s="1" t="n">
        <v>3</v>
      </c>
      <c r="K303" s="1" t="n">
        <v>4</v>
      </c>
      <c r="L303" s="1" t="n">
        <v>1</v>
      </c>
      <c r="M303" s="1" t="s">
        <v>496</v>
      </c>
    </row>
    <row r="304" customFormat="false" ht="14.25" hidden="true" customHeight="true" outlineLevel="0" collapsed="false">
      <c r="A304" s="1" t="s">
        <v>22</v>
      </c>
      <c r="B304" s="1" t="s">
        <v>580</v>
      </c>
      <c r="C304" s="1" t="s">
        <v>106</v>
      </c>
      <c r="D304" s="1" t="n">
        <v>83</v>
      </c>
      <c r="E304" s="1" t="n">
        <v>57</v>
      </c>
      <c r="F304" s="1" t="s">
        <v>255</v>
      </c>
      <c r="G304" s="1" t="s">
        <v>581</v>
      </c>
      <c r="H304" s="1" t="n">
        <v>6.02585</v>
      </c>
      <c r="I304" s="1" t="n">
        <v>3.5</v>
      </c>
      <c r="J304" s="1" t="n">
        <v>3</v>
      </c>
      <c r="K304" s="1" t="n">
        <v>5</v>
      </c>
      <c r="L304" s="1" t="n">
        <v>1</v>
      </c>
      <c r="M304" s="1" t="s">
        <v>582</v>
      </c>
    </row>
    <row r="305" customFormat="false" ht="14.25" hidden="true" customHeight="true" outlineLevel="0" collapsed="false">
      <c r="A305" s="1" t="s">
        <v>22</v>
      </c>
      <c r="B305" s="1" t="s">
        <v>583</v>
      </c>
      <c r="C305" s="1" t="s">
        <v>106</v>
      </c>
      <c r="D305" s="1" t="n">
        <v>49</v>
      </c>
      <c r="E305" s="1" t="n">
        <v>60</v>
      </c>
      <c r="F305" s="1" t="s">
        <v>255</v>
      </c>
      <c r="G305" s="1" t="s">
        <v>190</v>
      </c>
      <c r="H305" s="1" t="n">
        <v>6.343</v>
      </c>
      <c r="I305" s="1" t="n">
        <v>4.5</v>
      </c>
      <c r="J305" s="1" t="n">
        <v>3</v>
      </c>
      <c r="K305" s="1" t="n">
        <v>4</v>
      </c>
      <c r="L305" s="1" t="n">
        <v>1</v>
      </c>
      <c r="M305" s="1" t="s">
        <v>584</v>
      </c>
    </row>
    <row r="306" customFormat="false" ht="14.25" hidden="true" customHeight="true" outlineLevel="0" collapsed="false">
      <c r="A306" s="1" t="s">
        <v>22</v>
      </c>
      <c r="B306" s="1" t="s">
        <v>585</v>
      </c>
      <c r="C306" s="1" t="s">
        <v>106</v>
      </c>
      <c r="D306" s="1" t="n">
        <v>27</v>
      </c>
      <c r="E306" s="1" t="n">
        <v>60</v>
      </c>
      <c r="F306" s="1" t="s">
        <v>255</v>
      </c>
      <c r="G306" s="1" t="s">
        <v>586</v>
      </c>
      <c r="H306" s="1" t="n">
        <v>6.3</v>
      </c>
      <c r="I306" s="1" t="n">
        <v>5</v>
      </c>
      <c r="J306" s="1" t="n">
        <v>3</v>
      </c>
      <c r="K306" s="1" t="n">
        <v>4</v>
      </c>
      <c r="L306" s="1" t="n">
        <v>1</v>
      </c>
      <c r="M306" s="1" t="s">
        <v>427</v>
      </c>
    </row>
    <row r="307" customFormat="false" ht="14.25" hidden="true" customHeight="true" outlineLevel="0" collapsed="false">
      <c r="A307" s="1" t="s">
        <v>22</v>
      </c>
      <c r="C307" s="1" t="s">
        <v>106</v>
      </c>
      <c r="D307" s="1" t="n">
        <v>109</v>
      </c>
      <c r="E307" s="1" t="n">
        <v>60</v>
      </c>
      <c r="F307" s="1" t="s">
        <v>255</v>
      </c>
      <c r="G307" s="1" t="s">
        <v>587</v>
      </c>
      <c r="H307" s="1" t="n">
        <v>6.343</v>
      </c>
      <c r="I307" s="1" t="n">
        <v>16</v>
      </c>
      <c r="J307" s="1" t="n">
        <v>3</v>
      </c>
      <c r="K307" s="1" t="n">
        <v>4</v>
      </c>
      <c r="L307" s="1" t="n">
        <v>3</v>
      </c>
      <c r="M307" s="1" t="s">
        <v>588</v>
      </c>
    </row>
    <row r="308" customFormat="false" ht="14.25" hidden="true" customHeight="true" outlineLevel="0" collapsed="false">
      <c r="A308" s="1" t="s">
        <v>22</v>
      </c>
      <c r="B308" s="1" t="s">
        <v>589</v>
      </c>
      <c r="C308" s="1" t="s">
        <v>106</v>
      </c>
      <c r="D308" s="1" t="n">
        <v>37</v>
      </c>
      <c r="E308" s="1" t="n">
        <v>63</v>
      </c>
      <c r="F308" s="1" t="s">
        <v>255</v>
      </c>
      <c r="G308" s="1" t="s">
        <v>590</v>
      </c>
      <c r="H308" s="1" t="n">
        <v>4.9951125</v>
      </c>
      <c r="I308" s="1" t="n">
        <v>6.5</v>
      </c>
      <c r="J308" s="1" t="n">
        <v>4</v>
      </c>
      <c r="K308" s="1" t="n">
        <v>5</v>
      </c>
      <c r="L308" s="1" t="n">
        <v>1</v>
      </c>
    </row>
    <row r="309" customFormat="false" ht="14.25" hidden="true" customHeight="true" outlineLevel="0" collapsed="false">
      <c r="A309" s="1" t="s">
        <v>22</v>
      </c>
      <c r="B309" s="1" t="s">
        <v>591</v>
      </c>
      <c r="C309" s="1" t="s">
        <v>106</v>
      </c>
      <c r="D309" s="1" t="n">
        <v>10</v>
      </c>
      <c r="E309" s="1" t="n">
        <v>43</v>
      </c>
      <c r="F309" s="1" t="s">
        <v>255</v>
      </c>
      <c r="G309" s="1" t="s">
        <v>592</v>
      </c>
      <c r="H309" s="1" t="n">
        <v>4.54581666666667</v>
      </c>
      <c r="I309" s="1" t="n">
        <v>7</v>
      </c>
      <c r="J309" s="1" t="n">
        <v>3</v>
      </c>
      <c r="K309" s="1" t="n">
        <v>4</v>
      </c>
      <c r="L309" s="1" t="n">
        <v>1</v>
      </c>
      <c r="M309" s="1" t="s">
        <v>419</v>
      </c>
    </row>
    <row r="310" customFormat="false" ht="14.25" hidden="true" customHeight="true" outlineLevel="0" collapsed="false">
      <c r="A310" s="1" t="s">
        <v>22</v>
      </c>
      <c r="B310" s="1" t="s">
        <v>593</v>
      </c>
      <c r="C310" s="1" t="s">
        <v>455</v>
      </c>
      <c r="D310" s="1" t="n">
        <v>17</v>
      </c>
      <c r="E310" s="1" t="n">
        <v>43</v>
      </c>
      <c r="F310" s="1" t="s">
        <v>255</v>
      </c>
      <c r="G310" s="1" t="s">
        <v>594</v>
      </c>
      <c r="H310" s="1" t="n">
        <v>6.818725</v>
      </c>
      <c r="I310" s="1" t="n">
        <v>5.5</v>
      </c>
      <c r="J310" s="1" t="n">
        <v>2</v>
      </c>
      <c r="K310" s="1" t="n">
        <v>4</v>
      </c>
      <c r="L310" s="1" t="n">
        <v>1</v>
      </c>
      <c r="M310" s="1" t="s">
        <v>595</v>
      </c>
    </row>
    <row r="311" customFormat="false" ht="14.25" hidden="true" customHeight="true" outlineLevel="0" collapsed="false">
      <c r="A311" s="1" t="s">
        <v>22</v>
      </c>
      <c r="B311" s="1" t="s">
        <v>596</v>
      </c>
      <c r="C311" s="1" t="s">
        <v>106</v>
      </c>
      <c r="D311" s="1" t="n">
        <v>46</v>
      </c>
      <c r="E311" s="1" t="n">
        <v>43</v>
      </c>
      <c r="F311" s="1" t="s">
        <v>255</v>
      </c>
      <c r="G311" s="1" t="s">
        <v>597</v>
      </c>
      <c r="H311" s="1" t="n">
        <v>6.818725</v>
      </c>
      <c r="I311" s="1" t="n">
        <v>8</v>
      </c>
      <c r="J311" s="1" t="n">
        <v>2</v>
      </c>
      <c r="K311" s="1" t="n">
        <v>4</v>
      </c>
      <c r="L311" s="1" t="n">
        <v>1</v>
      </c>
      <c r="M311" s="1" t="s">
        <v>598</v>
      </c>
    </row>
    <row r="312" customFormat="false" ht="14.25" hidden="true" customHeight="true" outlineLevel="0" collapsed="false">
      <c r="A312" s="1" t="s">
        <v>22</v>
      </c>
      <c r="B312" s="1" t="s">
        <v>599</v>
      </c>
      <c r="C312" s="1" t="s">
        <v>106</v>
      </c>
      <c r="D312" s="1" t="n">
        <v>38</v>
      </c>
      <c r="E312" s="1" t="n">
        <v>57</v>
      </c>
      <c r="F312" s="1" t="s">
        <v>255</v>
      </c>
      <c r="G312" s="1" t="s">
        <v>600</v>
      </c>
      <c r="H312" s="1" t="n">
        <v>9.2</v>
      </c>
      <c r="I312" s="1" t="n">
        <v>6.5</v>
      </c>
      <c r="J312" s="1" t="n">
        <v>2</v>
      </c>
      <c r="K312" s="1" t="n">
        <v>5</v>
      </c>
      <c r="L312" s="1" t="n">
        <v>1</v>
      </c>
      <c r="M312" s="1" t="s">
        <v>601</v>
      </c>
    </row>
    <row r="313" customFormat="false" ht="14.25" hidden="true" customHeight="true" outlineLevel="0" collapsed="false">
      <c r="A313" s="1" t="s">
        <v>22</v>
      </c>
      <c r="B313" s="1" t="s">
        <v>602</v>
      </c>
      <c r="C313" s="1" t="s">
        <v>106</v>
      </c>
      <c r="D313" s="1" t="n">
        <v>38</v>
      </c>
      <c r="E313" s="1" t="n">
        <v>57</v>
      </c>
      <c r="F313" s="1" t="s">
        <v>255</v>
      </c>
      <c r="G313" s="1" t="s">
        <v>600</v>
      </c>
      <c r="H313" s="1" t="n">
        <v>9.2</v>
      </c>
      <c r="I313" s="1" t="n">
        <v>6.5</v>
      </c>
      <c r="J313" s="1" t="n">
        <v>2</v>
      </c>
      <c r="K313" s="1" t="n">
        <v>5</v>
      </c>
      <c r="L313" s="1" t="n">
        <v>1</v>
      </c>
      <c r="M313" s="1" t="s">
        <v>390</v>
      </c>
    </row>
    <row r="314" customFormat="false" ht="14.25" hidden="true" customHeight="true" outlineLevel="0" collapsed="false">
      <c r="A314" s="1" t="s">
        <v>22</v>
      </c>
      <c r="C314" s="1" t="s">
        <v>100</v>
      </c>
      <c r="D314" s="1" t="n">
        <v>39</v>
      </c>
      <c r="E314" s="1" t="n">
        <v>56</v>
      </c>
      <c r="F314" s="1" t="s">
        <v>255</v>
      </c>
      <c r="G314" s="1" t="s">
        <v>603</v>
      </c>
      <c r="H314" s="1" t="n">
        <v>1.6</v>
      </c>
      <c r="I314" s="1" t="n">
        <v>9.5</v>
      </c>
      <c r="J314" s="1" t="n">
        <v>12</v>
      </c>
      <c r="K314" s="1" t="s">
        <v>355</v>
      </c>
      <c r="L314" s="1" t="n">
        <v>1</v>
      </c>
      <c r="M314" s="1" t="s">
        <v>604</v>
      </c>
    </row>
    <row r="315" customFormat="false" ht="14.25" hidden="true" customHeight="true" outlineLevel="0" collapsed="false">
      <c r="A315" s="1" t="s">
        <v>22</v>
      </c>
      <c r="C315" s="1" t="s">
        <v>332</v>
      </c>
      <c r="D315" s="1" t="n">
        <v>45</v>
      </c>
      <c r="E315" s="1" t="n">
        <v>47</v>
      </c>
      <c r="F315" s="1" t="s">
        <v>255</v>
      </c>
      <c r="G315" s="1" t="s">
        <v>605</v>
      </c>
      <c r="H315" s="1" t="n">
        <v>7.453025</v>
      </c>
      <c r="I315" s="1" t="n">
        <v>9.5</v>
      </c>
      <c r="J315" s="1" t="n">
        <v>2</v>
      </c>
      <c r="K315" s="1" t="n">
        <v>5</v>
      </c>
      <c r="L315" s="1" t="n">
        <v>1</v>
      </c>
      <c r="M315" s="1" t="s">
        <v>606</v>
      </c>
    </row>
    <row r="316" customFormat="false" ht="14.25" hidden="true" customHeight="true" outlineLevel="0" collapsed="false">
      <c r="A316" s="1" t="s">
        <v>22</v>
      </c>
      <c r="C316" s="1" t="s">
        <v>106</v>
      </c>
      <c r="D316" s="1" t="n">
        <v>47</v>
      </c>
      <c r="E316" s="1" t="n">
        <v>60</v>
      </c>
      <c r="F316" s="1" t="s">
        <v>255</v>
      </c>
      <c r="G316" s="1" t="s">
        <v>607</v>
      </c>
      <c r="H316" s="1" t="n">
        <v>9.5145</v>
      </c>
      <c r="I316" s="1" t="n">
        <v>8</v>
      </c>
      <c r="J316" s="1" t="n">
        <v>2</v>
      </c>
      <c r="K316" s="1" t="n">
        <v>4</v>
      </c>
      <c r="L316" s="1" t="n">
        <v>2</v>
      </c>
      <c r="M316" s="1" t="s">
        <v>608</v>
      </c>
    </row>
    <row r="317" customFormat="false" ht="14.25" hidden="true" customHeight="true" outlineLevel="0" collapsed="false">
      <c r="A317" s="1" t="s">
        <v>22</v>
      </c>
      <c r="C317" s="1" t="s">
        <v>106</v>
      </c>
      <c r="D317" s="1" t="n">
        <v>48</v>
      </c>
      <c r="E317" s="1" t="n">
        <v>60</v>
      </c>
      <c r="F317" s="1" t="s">
        <v>255</v>
      </c>
      <c r="G317" s="1" t="s">
        <v>609</v>
      </c>
      <c r="H317" s="1" t="n">
        <v>9.5145</v>
      </c>
      <c r="I317" s="1" t="n">
        <v>10</v>
      </c>
      <c r="J317" s="1" t="n">
        <v>2</v>
      </c>
      <c r="K317" s="1" t="n">
        <v>4</v>
      </c>
      <c r="L317" s="1" t="n">
        <v>1</v>
      </c>
      <c r="M317" s="1" t="s">
        <v>610</v>
      </c>
    </row>
    <row r="318" customFormat="false" ht="14.25" hidden="true" customHeight="true" outlineLevel="0" collapsed="false">
      <c r="A318" s="1" t="s">
        <v>22</v>
      </c>
      <c r="B318" s="1" t="s">
        <v>611</v>
      </c>
      <c r="C318" s="1" t="s">
        <v>106</v>
      </c>
      <c r="D318" s="1" t="n">
        <v>83</v>
      </c>
      <c r="E318" s="1" t="n">
        <v>57</v>
      </c>
      <c r="F318" s="1" t="s">
        <v>255</v>
      </c>
      <c r="G318" s="1" t="s">
        <v>612</v>
      </c>
      <c r="H318" s="1" t="n">
        <v>6.02585</v>
      </c>
      <c r="I318" s="1" t="n">
        <v>10</v>
      </c>
      <c r="J318" s="1" t="n">
        <v>3</v>
      </c>
      <c r="K318" s="1" t="n">
        <v>5</v>
      </c>
      <c r="L318" s="1" t="n">
        <v>1</v>
      </c>
      <c r="M318" s="1" t="s">
        <v>613</v>
      </c>
    </row>
    <row r="319" customFormat="false" ht="14.25" hidden="true" customHeight="true" outlineLevel="0" collapsed="false">
      <c r="A319" s="1" t="s">
        <v>22</v>
      </c>
      <c r="C319" s="1" t="s">
        <v>332</v>
      </c>
      <c r="D319" s="1" t="n">
        <v>70</v>
      </c>
      <c r="E319" s="1" t="n">
        <v>51</v>
      </c>
      <c r="F319" s="1" t="s">
        <v>255</v>
      </c>
      <c r="G319" s="1" t="s">
        <v>614</v>
      </c>
      <c r="H319" s="1" t="n">
        <v>8.087325</v>
      </c>
      <c r="I319" s="1" t="n">
        <v>10</v>
      </c>
      <c r="J319" s="1" t="n">
        <v>2</v>
      </c>
      <c r="K319" s="1" t="n">
        <v>5</v>
      </c>
      <c r="L319" s="1" t="n">
        <v>1</v>
      </c>
      <c r="M319" s="1" t="s">
        <v>615</v>
      </c>
    </row>
    <row r="320" customFormat="false" ht="14.25" hidden="true" customHeight="true" outlineLevel="0" collapsed="false">
      <c r="A320" s="1" t="s">
        <v>22</v>
      </c>
      <c r="C320" s="1" t="s">
        <v>108</v>
      </c>
      <c r="D320" s="1" t="n">
        <v>80</v>
      </c>
      <c r="E320" s="1" t="n">
        <v>51</v>
      </c>
      <c r="F320" s="1" t="s">
        <v>255</v>
      </c>
      <c r="G320" s="1" t="s">
        <v>614</v>
      </c>
      <c r="H320" s="1" t="n">
        <v>8.087325</v>
      </c>
      <c r="I320" s="1" t="n">
        <v>10</v>
      </c>
      <c r="J320" s="1" t="n">
        <v>2</v>
      </c>
      <c r="K320" s="1" t="n">
        <v>5</v>
      </c>
      <c r="L320" s="1" t="n">
        <v>1</v>
      </c>
      <c r="M320" s="1" t="s">
        <v>615</v>
      </c>
    </row>
    <row r="321" customFormat="false" ht="14.25" hidden="true" customHeight="true" outlineLevel="0" collapsed="false">
      <c r="A321" s="1" t="s">
        <v>22</v>
      </c>
      <c r="C321" s="1" t="s">
        <v>455</v>
      </c>
      <c r="D321" s="1" t="n">
        <v>63</v>
      </c>
      <c r="E321" s="1" t="n">
        <v>63</v>
      </c>
      <c r="F321" s="1" t="s">
        <v>255</v>
      </c>
      <c r="G321" s="1" t="s">
        <v>616</v>
      </c>
      <c r="H321" s="1" t="n">
        <v>9.990225</v>
      </c>
      <c r="I321" s="1" t="n">
        <v>8</v>
      </c>
      <c r="J321" s="1" t="n">
        <v>2</v>
      </c>
      <c r="K321" s="1" t="n">
        <v>5</v>
      </c>
      <c r="L321" s="1" t="n">
        <v>2</v>
      </c>
      <c r="M321" s="1" t="s">
        <v>523</v>
      </c>
    </row>
    <row r="322" customFormat="false" ht="14.25" hidden="true" customHeight="true" outlineLevel="0" collapsed="false">
      <c r="A322" s="1" t="s">
        <v>22</v>
      </c>
      <c r="C322" s="1" t="s">
        <v>106</v>
      </c>
      <c r="D322" s="1" t="n">
        <v>82</v>
      </c>
      <c r="E322" s="1" t="n">
        <v>63</v>
      </c>
      <c r="F322" s="1" t="s">
        <v>255</v>
      </c>
      <c r="G322" s="1" t="s">
        <v>617</v>
      </c>
      <c r="H322" s="1" t="n">
        <v>6.66015</v>
      </c>
      <c r="I322" s="1" t="n">
        <v>10.5</v>
      </c>
      <c r="J322" s="1" t="n">
        <v>3</v>
      </c>
      <c r="K322" s="1" t="n">
        <v>5</v>
      </c>
      <c r="L322" s="1" t="n">
        <v>1</v>
      </c>
      <c r="M322" s="1" t="s">
        <v>291</v>
      </c>
    </row>
    <row r="323" customFormat="false" ht="14.25" hidden="true" customHeight="true" outlineLevel="0" collapsed="false">
      <c r="A323" s="1" t="s">
        <v>22</v>
      </c>
      <c r="C323" s="1" t="s">
        <v>455</v>
      </c>
      <c r="D323" s="1" t="n">
        <v>85</v>
      </c>
      <c r="E323" s="1" t="n">
        <v>43</v>
      </c>
      <c r="F323" s="1" t="s">
        <v>255</v>
      </c>
      <c r="G323" s="1" t="s">
        <v>618</v>
      </c>
      <c r="H323" s="1" t="n">
        <v>6.818725</v>
      </c>
      <c r="I323" s="1" t="n">
        <v>11</v>
      </c>
      <c r="J323" s="1" t="n">
        <v>2</v>
      </c>
      <c r="K323" s="1" t="n">
        <v>4</v>
      </c>
      <c r="L323" s="1" t="n">
        <v>1</v>
      </c>
      <c r="M323" s="1" t="s">
        <v>496</v>
      </c>
    </row>
    <row r="324" customFormat="false" ht="14.25" hidden="true" customHeight="true" outlineLevel="0" collapsed="false">
      <c r="A324" s="1" t="s">
        <v>22</v>
      </c>
      <c r="B324" s="1" t="s">
        <v>619</v>
      </c>
      <c r="C324" s="1" t="s">
        <v>106</v>
      </c>
      <c r="D324" s="1" t="n">
        <v>20</v>
      </c>
      <c r="E324" s="1" t="n">
        <v>51</v>
      </c>
      <c r="F324" s="1" t="s">
        <v>255</v>
      </c>
      <c r="G324" s="1" t="s">
        <v>514</v>
      </c>
      <c r="H324" s="1" t="n">
        <v>5.39155</v>
      </c>
      <c r="I324" s="1" t="n">
        <v>11</v>
      </c>
      <c r="J324" s="1" t="n">
        <v>3</v>
      </c>
      <c r="K324" s="1" t="n">
        <v>5</v>
      </c>
      <c r="L324" s="1" t="n">
        <v>1</v>
      </c>
      <c r="M324" s="1" t="s">
        <v>584</v>
      </c>
    </row>
    <row r="325" customFormat="false" ht="14.25" hidden="true" customHeight="true" outlineLevel="0" collapsed="false">
      <c r="A325" s="1" t="s">
        <v>22</v>
      </c>
      <c r="B325" s="1" t="s">
        <v>620</v>
      </c>
      <c r="C325" s="1" t="s">
        <v>106</v>
      </c>
      <c r="D325" s="1" t="n">
        <v>81</v>
      </c>
      <c r="E325" s="1" t="n">
        <v>57</v>
      </c>
      <c r="F325" s="1" t="s">
        <v>255</v>
      </c>
      <c r="G325" s="1" t="s">
        <v>621</v>
      </c>
      <c r="H325" s="1" t="n">
        <v>6.02585</v>
      </c>
      <c r="I325" s="1" t="n">
        <v>11</v>
      </c>
      <c r="J325" s="1" t="n">
        <v>3</v>
      </c>
      <c r="K325" s="1" t="n">
        <v>5</v>
      </c>
      <c r="L325" s="1" t="n">
        <v>1</v>
      </c>
      <c r="M325" s="1" t="s">
        <v>622</v>
      </c>
    </row>
    <row r="326" customFormat="false" ht="14.25" hidden="true" customHeight="true" outlineLevel="0" collapsed="false">
      <c r="A326" s="1" t="s">
        <v>22</v>
      </c>
      <c r="C326" s="1" t="s">
        <v>106</v>
      </c>
      <c r="D326" s="1" t="n">
        <v>86</v>
      </c>
      <c r="E326" s="1" t="n">
        <v>57</v>
      </c>
      <c r="F326" s="1" t="s">
        <v>255</v>
      </c>
      <c r="G326" s="1" t="s">
        <v>621</v>
      </c>
      <c r="H326" s="1" t="n">
        <v>6</v>
      </c>
      <c r="I326" s="1" t="n">
        <v>11</v>
      </c>
      <c r="J326" s="1" t="n">
        <v>2</v>
      </c>
      <c r="K326" s="1" t="n">
        <v>5</v>
      </c>
      <c r="L326" s="1" t="n">
        <v>1</v>
      </c>
      <c r="M326" s="1" t="s">
        <v>622</v>
      </c>
    </row>
    <row r="327" customFormat="false" ht="14.25" hidden="true" customHeight="true" outlineLevel="0" collapsed="false">
      <c r="A327" s="1" t="s">
        <v>22</v>
      </c>
      <c r="B327" s="1" t="s">
        <v>623</v>
      </c>
      <c r="C327" s="1" t="s">
        <v>106</v>
      </c>
      <c r="D327" s="1" t="n">
        <v>34</v>
      </c>
      <c r="E327" s="1" t="n">
        <v>47</v>
      </c>
      <c r="F327" s="1" t="s">
        <v>255</v>
      </c>
      <c r="G327" s="1" t="s">
        <v>624</v>
      </c>
      <c r="H327" s="1" t="n">
        <v>8.1</v>
      </c>
      <c r="I327" s="1" t="n">
        <v>11</v>
      </c>
      <c r="J327" s="1" t="n">
        <v>2</v>
      </c>
      <c r="K327" s="1" t="n">
        <v>5</v>
      </c>
      <c r="L327" s="1" t="n">
        <v>1</v>
      </c>
      <c r="M327" s="1" t="s">
        <v>598</v>
      </c>
    </row>
    <row r="328" customFormat="false" ht="14.25" hidden="true" customHeight="true" outlineLevel="0" collapsed="false">
      <c r="A328" s="1" t="s">
        <v>22</v>
      </c>
      <c r="B328" s="1" t="s">
        <v>625</v>
      </c>
      <c r="C328" s="1" t="s">
        <v>455</v>
      </c>
      <c r="D328" s="1" t="n">
        <v>52</v>
      </c>
      <c r="E328" s="1" t="n">
        <v>68</v>
      </c>
      <c r="F328" s="1" t="s">
        <v>255</v>
      </c>
      <c r="G328" s="1" t="s">
        <v>626</v>
      </c>
      <c r="H328" s="1" t="n">
        <v>10.7831</v>
      </c>
      <c r="I328" s="1" t="n">
        <v>7</v>
      </c>
      <c r="J328" s="1" t="n">
        <v>2</v>
      </c>
      <c r="K328" s="1" t="n">
        <v>5</v>
      </c>
      <c r="L328" s="1" t="n">
        <v>1</v>
      </c>
      <c r="M328" s="1" t="s">
        <v>390</v>
      </c>
    </row>
    <row r="329" customFormat="false" ht="14.25" hidden="true" customHeight="true" outlineLevel="0" collapsed="false">
      <c r="A329" s="1" t="s">
        <v>22</v>
      </c>
      <c r="B329" s="1" t="s">
        <v>627</v>
      </c>
      <c r="C329" s="1" t="s">
        <v>455</v>
      </c>
      <c r="D329" s="1" t="n">
        <v>52</v>
      </c>
      <c r="E329" s="1" t="n">
        <v>68</v>
      </c>
      <c r="F329" s="1" t="s">
        <v>255</v>
      </c>
      <c r="G329" s="1" t="s">
        <v>628</v>
      </c>
      <c r="H329" s="1" t="n">
        <v>10.7831</v>
      </c>
      <c r="I329" s="1" t="n">
        <v>7.5</v>
      </c>
      <c r="J329" s="1" t="n">
        <v>2</v>
      </c>
      <c r="K329" s="1" t="n">
        <v>5</v>
      </c>
      <c r="L329" s="1" t="n">
        <v>1</v>
      </c>
      <c r="M329" s="1" t="s">
        <v>629</v>
      </c>
    </row>
    <row r="330" customFormat="false" ht="14.25" hidden="true" customHeight="true" outlineLevel="0" collapsed="false">
      <c r="A330" s="1" t="s">
        <v>22</v>
      </c>
      <c r="B330" s="1" t="s">
        <v>630</v>
      </c>
      <c r="C330" s="1" t="s">
        <v>106</v>
      </c>
      <c r="D330" s="1" t="n">
        <v>23</v>
      </c>
      <c r="E330" s="1" t="n">
        <v>47</v>
      </c>
      <c r="F330" s="1" t="s">
        <v>255</v>
      </c>
      <c r="G330" s="1" t="s">
        <v>517</v>
      </c>
      <c r="H330" s="1" t="n">
        <v>7.5</v>
      </c>
      <c r="I330" s="1" t="n">
        <v>11</v>
      </c>
      <c r="J330" s="1" t="n">
        <v>2</v>
      </c>
      <c r="K330" s="1" t="n">
        <v>5</v>
      </c>
      <c r="L330" s="1" t="n">
        <v>1</v>
      </c>
      <c r="M330" s="1" t="s">
        <v>631</v>
      </c>
    </row>
    <row r="331" customFormat="false" ht="14.25" hidden="true" customHeight="true" outlineLevel="0" collapsed="false">
      <c r="A331" s="1" t="s">
        <v>22</v>
      </c>
      <c r="C331" s="1" t="s">
        <v>100</v>
      </c>
      <c r="D331" s="1" t="n">
        <v>62</v>
      </c>
      <c r="E331" s="1" t="n">
        <v>57</v>
      </c>
      <c r="F331" s="1" t="s">
        <v>255</v>
      </c>
      <c r="G331" s="1" t="s">
        <v>632</v>
      </c>
      <c r="H331" s="1" t="n">
        <v>9.1</v>
      </c>
      <c r="I331" s="1" t="n">
        <v>11</v>
      </c>
      <c r="J331" s="1" t="n">
        <v>2</v>
      </c>
      <c r="K331" s="1" t="n">
        <v>5</v>
      </c>
      <c r="L331" s="1" t="n">
        <v>1</v>
      </c>
      <c r="M331" s="1" t="s">
        <v>633</v>
      </c>
    </row>
    <row r="332" customFormat="false" ht="14.25" hidden="true" customHeight="true" outlineLevel="0" collapsed="false">
      <c r="A332" s="1" t="s">
        <v>22</v>
      </c>
      <c r="C332" s="1" t="s">
        <v>332</v>
      </c>
      <c r="D332" s="1" t="n">
        <v>88</v>
      </c>
      <c r="E332" s="1" t="n">
        <v>60</v>
      </c>
      <c r="F332" s="1" t="s">
        <v>255</v>
      </c>
      <c r="G332" s="1" t="s">
        <v>634</v>
      </c>
      <c r="H332" s="1" t="n">
        <v>9.5145</v>
      </c>
      <c r="I332" s="1" t="n">
        <v>11</v>
      </c>
      <c r="J332" s="1" t="n">
        <v>2</v>
      </c>
      <c r="K332" s="1" t="n">
        <v>4</v>
      </c>
      <c r="L332" s="1" t="n">
        <v>1</v>
      </c>
      <c r="M332" s="1" t="s">
        <v>635</v>
      </c>
    </row>
    <row r="333" customFormat="false" ht="14.25" hidden="true" customHeight="true" outlineLevel="0" collapsed="false">
      <c r="A333" s="1" t="s">
        <v>22</v>
      </c>
      <c r="C333" s="1" t="s">
        <v>108</v>
      </c>
      <c r="D333" s="1" t="n">
        <v>87</v>
      </c>
      <c r="E333" s="1" t="n">
        <v>51</v>
      </c>
      <c r="F333" s="1" t="s">
        <v>255</v>
      </c>
      <c r="G333" s="1" t="s">
        <v>636</v>
      </c>
      <c r="H333" s="1" t="n">
        <v>4.5</v>
      </c>
      <c r="I333" s="1" t="n">
        <v>11</v>
      </c>
      <c r="J333" s="1" t="n">
        <v>5</v>
      </c>
      <c r="K333" s="1" t="n">
        <v>5</v>
      </c>
      <c r="L333" s="1" t="n">
        <v>1</v>
      </c>
      <c r="M333" s="1" t="s">
        <v>637</v>
      </c>
    </row>
    <row r="334" customFormat="false" ht="14.25" hidden="true" customHeight="true" outlineLevel="0" collapsed="false">
      <c r="A334" s="1" t="s">
        <v>22</v>
      </c>
      <c r="B334" s="1" t="s">
        <v>638</v>
      </c>
      <c r="C334" s="1" t="s">
        <v>106</v>
      </c>
      <c r="D334" s="1" t="n">
        <v>26</v>
      </c>
      <c r="E334" s="1" t="n">
        <v>57</v>
      </c>
      <c r="F334" s="1" t="s">
        <v>255</v>
      </c>
      <c r="G334" s="1" t="s">
        <v>639</v>
      </c>
      <c r="H334" s="1" t="n">
        <v>6.02585</v>
      </c>
      <c r="I334" s="1" t="n">
        <v>11</v>
      </c>
      <c r="J334" s="1" t="n">
        <v>3</v>
      </c>
      <c r="K334" s="1" t="n">
        <v>5</v>
      </c>
      <c r="L334" s="1" t="n">
        <v>1</v>
      </c>
      <c r="M334" s="1" t="s">
        <v>622</v>
      </c>
    </row>
    <row r="335" customFormat="false" ht="14.25" hidden="true" customHeight="true" outlineLevel="0" collapsed="false">
      <c r="A335" s="1" t="s">
        <v>22</v>
      </c>
      <c r="C335" s="1" t="s">
        <v>106</v>
      </c>
      <c r="D335" s="1" t="n">
        <v>89</v>
      </c>
      <c r="E335" s="1" t="n">
        <v>43</v>
      </c>
      <c r="F335" s="1" t="s">
        <v>255</v>
      </c>
      <c r="G335" s="1" t="s">
        <v>640</v>
      </c>
      <c r="H335" s="1" t="n">
        <v>13.63745</v>
      </c>
      <c r="I335" s="1" t="n">
        <v>6.8</v>
      </c>
      <c r="J335" s="1" t="n">
        <v>1</v>
      </c>
      <c r="K335" s="1" t="n">
        <v>4</v>
      </c>
      <c r="L335" s="1" t="n">
        <v>2</v>
      </c>
      <c r="M335" s="1" t="s">
        <v>641</v>
      </c>
    </row>
    <row r="336" customFormat="false" ht="14.25" hidden="true" customHeight="true" outlineLevel="0" collapsed="false">
      <c r="A336" s="1" t="s">
        <v>22</v>
      </c>
      <c r="C336" s="1" t="s">
        <v>106</v>
      </c>
      <c r="D336" s="1" t="n">
        <v>110</v>
      </c>
      <c r="E336" s="1" t="n">
        <v>51</v>
      </c>
      <c r="F336" s="1" t="s">
        <v>255</v>
      </c>
      <c r="G336" s="1" t="s">
        <v>642</v>
      </c>
      <c r="H336" s="1" t="n">
        <v>8.087325</v>
      </c>
      <c r="I336" s="1" t="n">
        <v>12.5</v>
      </c>
      <c r="J336" s="1" t="n">
        <v>2</v>
      </c>
      <c r="L336" s="1" t="n">
        <v>1</v>
      </c>
      <c r="M336" s="1" t="s">
        <v>643</v>
      </c>
    </row>
    <row r="337" customFormat="false" ht="14.25" hidden="true" customHeight="true" outlineLevel="0" collapsed="false">
      <c r="A337" s="1" t="s">
        <v>22</v>
      </c>
      <c r="C337" s="1" t="s">
        <v>106</v>
      </c>
      <c r="D337" s="1" t="n">
        <v>90</v>
      </c>
      <c r="E337" s="1" t="n">
        <v>78</v>
      </c>
      <c r="F337" s="1" t="s">
        <v>255</v>
      </c>
      <c r="G337" s="1" t="s">
        <v>644</v>
      </c>
      <c r="H337" s="1" t="n">
        <v>12.36885</v>
      </c>
      <c r="I337" s="1" t="n">
        <v>6</v>
      </c>
      <c r="J337" s="1" t="n">
        <v>2</v>
      </c>
      <c r="K337" s="1" t="n">
        <v>5</v>
      </c>
      <c r="L337" s="1" t="n">
        <v>2</v>
      </c>
      <c r="M337" s="1" t="s">
        <v>390</v>
      </c>
    </row>
    <row r="338" customFormat="false" ht="14.25" hidden="true" customHeight="true" outlineLevel="0" collapsed="false">
      <c r="A338" s="1" t="s">
        <v>22</v>
      </c>
      <c r="C338" s="1" t="s">
        <v>106</v>
      </c>
      <c r="D338" s="1" t="n">
        <v>91</v>
      </c>
      <c r="E338" s="1" t="n">
        <v>78</v>
      </c>
      <c r="F338" s="1" t="s">
        <v>255</v>
      </c>
      <c r="G338" s="1" t="s">
        <v>645</v>
      </c>
      <c r="H338" s="1" t="n">
        <v>12.36885</v>
      </c>
      <c r="I338" s="1" t="n">
        <v>6.85</v>
      </c>
      <c r="J338" s="1" t="n">
        <v>2</v>
      </c>
      <c r="K338" s="1" t="n">
        <v>5</v>
      </c>
      <c r="L338" s="1" t="n">
        <v>2</v>
      </c>
      <c r="M338" s="1" t="s">
        <v>608</v>
      </c>
    </row>
    <row r="339" customFormat="false" ht="14.25" hidden="true" customHeight="true" outlineLevel="0" collapsed="false">
      <c r="A339" s="1" t="s">
        <v>22</v>
      </c>
      <c r="C339" s="1" t="s">
        <v>106</v>
      </c>
      <c r="D339" s="1" t="n">
        <v>123</v>
      </c>
      <c r="E339" s="1" t="n">
        <v>39</v>
      </c>
      <c r="F339" s="1" t="s">
        <v>255</v>
      </c>
      <c r="G339" s="1" t="s">
        <v>645</v>
      </c>
      <c r="H339" s="1" t="n">
        <v>12.36885</v>
      </c>
      <c r="I339" s="1" t="n">
        <v>6.85</v>
      </c>
      <c r="J339" s="1" t="n">
        <v>1</v>
      </c>
      <c r="K339" s="1" t="n">
        <v>5</v>
      </c>
      <c r="L339" s="1" t="n">
        <v>2</v>
      </c>
      <c r="M339" s="1" t="s">
        <v>608</v>
      </c>
    </row>
    <row r="340" customFormat="false" ht="14.25" hidden="true" customHeight="true" outlineLevel="0" collapsed="false">
      <c r="A340" s="1" t="s">
        <v>22</v>
      </c>
      <c r="B340" s="1" t="s">
        <v>646</v>
      </c>
      <c r="C340" s="1" t="s">
        <v>106</v>
      </c>
      <c r="D340" s="1" t="n">
        <v>84</v>
      </c>
      <c r="E340" s="1" t="n">
        <v>43</v>
      </c>
      <c r="F340" s="1" t="s">
        <v>255</v>
      </c>
      <c r="G340" s="1" t="s">
        <v>647</v>
      </c>
      <c r="H340" s="1" t="n">
        <v>13.63745</v>
      </c>
      <c r="I340" s="1" t="n">
        <v>2.3</v>
      </c>
      <c r="J340" s="1" t="n">
        <v>1</v>
      </c>
      <c r="K340" s="1" t="n">
        <v>4</v>
      </c>
      <c r="L340" s="1" t="n">
        <v>4</v>
      </c>
      <c r="M340" s="1" t="s">
        <v>584</v>
      </c>
    </row>
    <row r="341" customFormat="false" ht="14.25" hidden="true" customHeight="true" outlineLevel="0" collapsed="false">
      <c r="A341" s="1" t="s">
        <v>22</v>
      </c>
      <c r="C341" s="1" t="s">
        <v>455</v>
      </c>
      <c r="D341" s="1" t="n">
        <v>92</v>
      </c>
      <c r="E341" s="1" t="n">
        <v>43</v>
      </c>
      <c r="F341" s="1" t="s">
        <v>255</v>
      </c>
      <c r="G341" s="1" t="s">
        <v>648</v>
      </c>
      <c r="H341" s="1" t="n">
        <v>5.3</v>
      </c>
      <c r="I341" s="1" t="n">
        <v>13.8</v>
      </c>
      <c r="J341" s="1" t="n">
        <v>2</v>
      </c>
      <c r="K341" s="1" t="n">
        <v>4</v>
      </c>
      <c r="L341" s="1" t="n">
        <v>1</v>
      </c>
      <c r="M341" s="1" t="s">
        <v>584</v>
      </c>
    </row>
    <row r="342" customFormat="false" ht="14.25" hidden="true" customHeight="true" outlineLevel="0" collapsed="false">
      <c r="A342" s="1" t="s">
        <v>22</v>
      </c>
      <c r="C342" s="1" t="s">
        <v>100</v>
      </c>
      <c r="D342" s="1" t="n">
        <v>93</v>
      </c>
      <c r="E342" s="1" t="n">
        <v>43</v>
      </c>
      <c r="F342" s="1" t="s">
        <v>255</v>
      </c>
      <c r="G342" s="1" t="s">
        <v>649</v>
      </c>
      <c r="H342" s="1" t="n">
        <v>13.6</v>
      </c>
      <c r="I342" s="1" t="n">
        <v>7.5</v>
      </c>
      <c r="J342" s="1" t="n">
        <v>1</v>
      </c>
      <c r="K342" s="1" t="n">
        <v>4</v>
      </c>
      <c r="L342" s="1" t="n">
        <v>1</v>
      </c>
      <c r="M342" s="1" t="s">
        <v>633</v>
      </c>
    </row>
    <row r="343" customFormat="false" ht="14.25" hidden="true" customHeight="true" outlineLevel="0" collapsed="false">
      <c r="A343" s="1" t="s">
        <v>22</v>
      </c>
      <c r="C343" s="1" t="s">
        <v>106</v>
      </c>
      <c r="D343" s="1" t="n">
        <v>94</v>
      </c>
      <c r="E343" s="1" t="n">
        <v>43</v>
      </c>
      <c r="F343" s="1" t="s">
        <v>255</v>
      </c>
      <c r="G343" s="1" t="s">
        <v>650</v>
      </c>
      <c r="H343" s="1" t="n">
        <v>13.63745</v>
      </c>
      <c r="I343" s="1" t="n">
        <v>8.5</v>
      </c>
      <c r="J343" s="1" t="n">
        <v>1</v>
      </c>
      <c r="K343" s="1" t="n">
        <v>4</v>
      </c>
      <c r="L343" s="1" t="n">
        <v>1</v>
      </c>
      <c r="M343" s="1" t="s">
        <v>651</v>
      </c>
    </row>
    <row r="344" customFormat="false" ht="14.25" hidden="true" customHeight="true" outlineLevel="0" collapsed="false">
      <c r="A344" s="1" t="s">
        <v>22</v>
      </c>
      <c r="C344" s="1" t="s">
        <v>332</v>
      </c>
      <c r="D344" s="1" t="n">
        <v>95</v>
      </c>
      <c r="E344" s="1" t="n">
        <v>43</v>
      </c>
      <c r="F344" s="1" t="s">
        <v>255</v>
      </c>
      <c r="G344" s="1" t="s">
        <v>652</v>
      </c>
      <c r="H344" s="1" t="n">
        <v>13.63745</v>
      </c>
      <c r="I344" s="1" t="n">
        <v>9.5</v>
      </c>
      <c r="J344" s="1" t="n">
        <v>1</v>
      </c>
      <c r="K344" s="1" t="n">
        <v>4</v>
      </c>
      <c r="L344" s="1" t="n">
        <v>1</v>
      </c>
      <c r="M344" s="1" t="s">
        <v>653</v>
      </c>
    </row>
    <row r="345" customFormat="false" ht="14.25" hidden="true" customHeight="true" outlineLevel="0" collapsed="false">
      <c r="A345" s="1" t="s">
        <v>22</v>
      </c>
      <c r="C345" s="1" t="s">
        <v>332</v>
      </c>
      <c r="D345" s="1" t="n">
        <v>96</v>
      </c>
      <c r="E345" s="1" t="n">
        <v>43</v>
      </c>
      <c r="F345" s="1" t="s">
        <v>255</v>
      </c>
      <c r="G345" s="1" t="s">
        <v>652</v>
      </c>
      <c r="H345" s="1" t="n">
        <v>13.63745</v>
      </c>
      <c r="I345" s="1" t="n">
        <v>9.5</v>
      </c>
      <c r="J345" s="1" t="n">
        <v>1</v>
      </c>
      <c r="K345" s="1" t="n">
        <v>4</v>
      </c>
      <c r="L345" s="1" t="n">
        <v>1</v>
      </c>
      <c r="M345" s="1" t="s">
        <v>654</v>
      </c>
    </row>
    <row r="346" customFormat="false" ht="14.25" hidden="true" customHeight="true" outlineLevel="0" collapsed="false">
      <c r="A346" s="1" t="s">
        <v>22</v>
      </c>
      <c r="D346" s="1" t="n">
        <v>97</v>
      </c>
      <c r="E346" s="1" t="n">
        <v>43</v>
      </c>
      <c r="F346" s="1" t="s">
        <v>255</v>
      </c>
      <c r="G346" s="1" t="s">
        <v>652</v>
      </c>
      <c r="H346" s="1" t="n">
        <v>13.63745</v>
      </c>
      <c r="I346" s="1" t="n">
        <v>9.5</v>
      </c>
      <c r="J346" s="1" t="n">
        <v>1</v>
      </c>
      <c r="K346" s="1" t="n">
        <v>4</v>
      </c>
      <c r="L346" s="1" t="n">
        <v>1</v>
      </c>
      <c r="M346" s="1" t="s">
        <v>653</v>
      </c>
    </row>
    <row r="347" customFormat="false" ht="14.25" hidden="true" customHeight="true" outlineLevel="0" collapsed="false">
      <c r="A347" s="1" t="s">
        <v>22</v>
      </c>
      <c r="C347" s="1" t="s">
        <v>455</v>
      </c>
      <c r="D347" s="1" t="n">
        <v>98</v>
      </c>
      <c r="E347" s="1" t="n">
        <v>43</v>
      </c>
      <c r="F347" s="1" t="s">
        <v>255</v>
      </c>
      <c r="G347" s="1" t="s">
        <v>655</v>
      </c>
      <c r="H347" s="1" t="n">
        <v>6.818725</v>
      </c>
      <c r="I347" s="1" t="n">
        <v>14.5</v>
      </c>
      <c r="J347" s="1" t="n">
        <v>2</v>
      </c>
      <c r="K347" s="1" t="n">
        <v>4</v>
      </c>
      <c r="L347" s="1" t="n">
        <v>1</v>
      </c>
      <c r="M347" s="1" t="s">
        <v>656</v>
      </c>
    </row>
    <row r="348" customFormat="false" ht="14.25" hidden="true" customHeight="true" outlineLevel="0" collapsed="false">
      <c r="A348" s="1" t="s">
        <v>22</v>
      </c>
      <c r="B348" s="1" t="s">
        <v>657</v>
      </c>
      <c r="C348" s="1" t="s">
        <v>106</v>
      </c>
      <c r="D348" s="1" t="n">
        <v>15</v>
      </c>
      <c r="E348" s="1" t="n">
        <v>47</v>
      </c>
      <c r="F348" s="1" t="s">
        <v>255</v>
      </c>
      <c r="G348" s="1" t="s">
        <v>658</v>
      </c>
      <c r="H348" s="1" t="n">
        <v>14.9</v>
      </c>
      <c r="I348" s="1" t="n">
        <v>10.5</v>
      </c>
      <c r="J348" s="1" t="n">
        <v>1</v>
      </c>
      <c r="K348" s="1" t="n">
        <v>5</v>
      </c>
      <c r="L348" s="1" t="n">
        <v>1</v>
      </c>
      <c r="M348" s="1" t="s">
        <v>659</v>
      </c>
    </row>
    <row r="349" customFormat="false" ht="14.25" hidden="true" customHeight="true" outlineLevel="0" collapsed="false">
      <c r="A349" s="1" t="s">
        <v>22</v>
      </c>
      <c r="C349" s="1" t="s">
        <v>455</v>
      </c>
      <c r="D349" s="1" t="n">
        <v>99</v>
      </c>
      <c r="E349" s="1" t="n">
        <v>47</v>
      </c>
      <c r="F349" s="1" t="s">
        <v>255</v>
      </c>
      <c r="G349" s="1" t="s">
        <v>660</v>
      </c>
      <c r="H349" s="1" t="n">
        <v>14.90605</v>
      </c>
      <c r="I349" s="1" t="n">
        <v>7</v>
      </c>
      <c r="J349" s="1" t="n">
        <v>1</v>
      </c>
      <c r="K349" s="1" t="n">
        <v>5</v>
      </c>
      <c r="L349" s="1" t="n">
        <v>2</v>
      </c>
      <c r="M349" s="1" t="s">
        <v>390</v>
      </c>
    </row>
    <row r="350" customFormat="false" ht="14.25" hidden="true" customHeight="true" outlineLevel="0" collapsed="false">
      <c r="A350" s="1" t="s">
        <v>22</v>
      </c>
      <c r="C350" s="1" t="s">
        <v>106</v>
      </c>
      <c r="D350" s="1" t="n">
        <v>100</v>
      </c>
      <c r="E350" s="1" t="n">
        <v>47</v>
      </c>
      <c r="F350" s="1" t="s">
        <v>255</v>
      </c>
      <c r="G350" s="1" t="s">
        <v>661</v>
      </c>
      <c r="H350" s="1" t="n">
        <v>14.90605</v>
      </c>
      <c r="I350" s="1" t="n">
        <v>5.5</v>
      </c>
      <c r="J350" s="1" t="n">
        <v>1</v>
      </c>
      <c r="K350" s="1" t="n">
        <v>5</v>
      </c>
      <c r="L350" s="1" t="n">
        <v>2</v>
      </c>
      <c r="M350" s="1" t="s">
        <v>390</v>
      </c>
    </row>
    <row r="351" customFormat="false" ht="14.25" hidden="true" customHeight="true" outlineLevel="0" collapsed="false">
      <c r="A351" s="1" t="s">
        <v>22</v>
      </c>
      <c r="B351" s="1" t="s">
        <v>662</v>
      </c>
      <c r="C351" s="1" t="s">
        <v>108</v>
      </c>
      <c r="D351" s="1" t="n">
        <v>36</v>
      </c>
      <c r="E351" s="1" t="n">
        <v>47</v>
      </c>
      <c r="F351" s="1" t="s">
        <v>255</v>
      </c>
      <c r="G351" s="1" t="s">
        <v>663</v>
      </c>
      <c r="H351" s="1" t="n">
        <v>14.90605</v>
      </c>
      <c r="I351" s="1" t="n">
        <v>10</v>
      </c>
      <c r="J351" s="1" t="n">
        <v>1</v>
      </c>
      <c r="K351" s="1" t="n">
        <v>5</v>
      </c>
      <c r="L351" s="1" t="n">
        <v>1</v>
      </c>
      <c r="M351" s="1" t="s">
        <v>518</v>
      </c>
    </row>
    <row r="352" customFormat="false" ht="14.25" hidden="true" customHeight="true" outlineLevel="0" collapsed="false">
      <c r="A352" s="1" t="s">
        <v>22</v>
      </c>
      <c r="C352" s="1" t="s">
        <v>106</v>
      </c>
      <c r="D352" s="1" t="n">
        <v>101</v>
      </c>
      <c r="E352" s="1" t="n">
        <v>98</v>
      </c>
      <c r="F352" s="1" t="s">
        <v>255</v>
      </c>
      <c r="G352" s="1" t="s">
        <v>664</v>
      </c>
      <c r="H352" s="1" t="n">
        <v>5.18011666666667</v>
      </c>
      <c r="I352" s="1" t="n">
        <v>15.5</v>
      </c>
      <c r="J352" s="1" t="n">
        <v>6</v>
      </c>
      <c r="K352" s="1" t="n">
        <v>5</v>
      </c>
      <c r="L352" s="1" t="n">
        <v>1</v>
      </c>
      <c r="M352" s="1" t="s">
        <v>665</v>
      </c>
    </row>
    <row r="353" customFormat="false" ht="14.25" hidden="true" customHeight="true" outlineLevel="0" collapsed="false">
      <c r="A353" s="1" t="s">
        <v>22</v>
      </c>
      <c r="C353" s="1" t="s">
        <v>455</v>
      </c>
      <c r="D353" s="1" t="n">
        <v>102</v>
      </c>
      <c r="E353" s="1" t="n">
        <v>57</v>
      </c>
      <c r="F353" s="1" t="s">
        <v>255</v>
      </c>
      <c r="G353" s="1" t="s">
        <v>666</v>
      </c>
      <c r="H353" s="1" t="n">
        <v>9.038775</v>
      </c>
      <c r="I353" s="1" t="n">
        <v>15.5</v>
      </c>
      <c r="J353" s="1" t="n">
        <v>2</v>
      </c>
      <c r="K353" s="1" t="n">
        <v>5</v>
      </c>
      <c r="L353" s="1" t="n">
        <v>1</v>
      </c>
      <c r="M353" s="1" t="s">
        <v>622</v>
      </c>
    </row>
    <row r="354" customFormat="false" ht="14.25" hidden="true" customHeight="true" outlineLevel="0" collapsed="false">
      <c r="A354" s="1" t="s">
        <v>22</v>
      </c>
      <c r="C354" s="1" t="s">
        <v>455</v>
      </c>
      <c r="D354" s="1" t="n">
        <v>103</v>
      </c>
      <c r="E354" s="1" t="n">
        <v>57</v>
      </c>
      <c r="F354" s="1" t="s">
        <v>255</v>
      </c>
      <c r="G354" s="1" t="s">
        <v>666</v>
      </c>
      <c r="H354" s="1" t="n">
        <v>9.038775</v>
      </c>
      <c r="I354" s="1" t="n">
        <v>15.5</v>
      </c>
      <c r="J354" s="1" t="n">
        <v>2</v>
      </c>
      <c r="K354" s="1" t="n">
        <v>5</v>
      </c>
      <c r="L354" s="1" t="n">
        <v>1</v>
      </c>
      <c r="M354" s="1" t="s">
        <v>667</v>
      </c>
    </row>
    <row r="355" customFormat="false" ht="14.25" hidden="true" customHeight="true" outlineLevel="0" collapsed="false">
      <c r="A355" s="1" t="s">
        <v>22</v>
      </c>
      <c r="C355" s="1" t="s">
        <v>108</v>
      </c>
      <c r="D355" s="1" t="n">
        <v>104</v>
      </c>
      <c r="E355" s="1" t="n">
        <v>51</v>
      </c>
      <c r="F355" s="1" t="s">
        <v>255</v>
      </c>
      <c r="G355" s="1" t="s">
        <v>668</v>
      </c>
      <c r="H355" s="1" t="n">
        <v>5.39155</v>
      </c>
      <c r="I355" s="1" t="n">
        <v>16.3</v>
      </c>
      <c r="J355" s="1" t="n">
        <v>3</v>
      </c>
      <c r="K355" s="1" t="n">
        <v>5</v>
      </c>
      <c r="L355" s="1" t="n">
        <v>1</v>
      </c>
      <c r="M355" s="1" t="s">
        <v>637</v>
      </c>
    </row>
    <row r="356" customFormat="false" ht="14.25" hidden="true" customHeight="true" outlineLevel="0" collapsed="false">
      <c r="A356" s="1" t="s">
        <v>22</v>
      </c>
      <c r="C356" s="1" t="s">
        <v>106</v>
      </c>
      <c r="D356" s="1" t="n">
        <v>105</v>
      </c>
      <c r="E356" s="1" t="n">
        <v>51</v>
      </c>
      <c r="F356" s="1" t="s">
        <v>255</v>
      </c>
      <c r="G356" s="1" t="s">
        <v>669</v>
      </c>
      <c r="H356" s="1" t="n">
        <v>16.17465</v>
      </c>
      <c r="I356" s="1" t="n">
        <v>7.5</v>
      </c>
      <c r="J356" s="1" t="n">
        <v>1</v>
      </c>
      <c r="K356" s="1" t="n">
        <v>5</v>
      </c>
      <c r="L356" s="1" t="n">
        <v>2</v>
      </c>
      <c r="M356" s="1" t="s">
        <v>390</v>
      </c>
    </row>
    <row r="357" customFormat="false" ht="14.25" hidden="true" customHeight="true" outlineLevel="0" collapsed="false">
      <c r="A357" s="1" t="s">
        <v>22</v>
      </c>
      <c r="C357" s="1" t="s">
        <v>106</v>
      </c>
      <c r="D357" s="1" t="n">
        <v>106</v>
      </c>
      <c r="E357" s="1" t="n">
        <v>51</v>
      </c>
      <c r="F357" s="1" t="s">
        <v>255</v>
      </c>
      <c r="G357" s="1" t="s">
        <v>670</v>
      </c>
      <c r="H357" s="1" t="n">
        <v>16.17465</v>
      </c>
      <c r="I357" s="1" t="n">
        <v>11.5</v>
      </c>
      <c r="J357" s="1" t="n">
        <v>1</v>
      </c>
      <c r="K357" s="1" t="n">
        <v>5</v>
      </c>
      <c r="L357" s="1" t="n">
        <v>1</v>
      </c>
      <c r="M357" s="1" t="s">
        <v>651</v>
      </c>
    </row>
    <row r="358" customFormat="false" ht="14.25" hidden="true" customHeight="true" outlineLevel="0" collapsed="false">
      <c r="A358" s="1" t="s">
        <v>22</v>
      </c>
      <c r="C358" s="1" t="s">
        <v>106</v>
      </c>
      <c r="D358" s="1" t="n">
        <v>107</v>
      </c>
      <c r="E358" s="1" t="n">
        <v>57</v>
      </c>
      <c r="F358" s="1" t="s">
        <v>255</v>
      </c>
      <c r="G358" s="1" t="s">
        <v>671</v>
      </c>
      <c r="H358" s="1" t="n">
        <v>18.07755</v>
      </c>
      <c r="I358" s="1" t="n">
        <v>15</v>
      </c>
      <c r="J358" s="1" t="n">
        <v>1</v>
      </c>
      <c r="K358" s="1" t="n">
        <v>4</v>
      </c>
      <c r="L358" s="1" t="n">
        <v>1</v>
      </c>
      <c r="M358" s="1" t="s">
        <v>672</v>
      </c>
    </row>
    <row r="359" customFormat="false" ht="14.25" hidden="true" customHeight="true" outlineLevel="0" collapsed="false">
      <c r="A359" s="1" t="s">
        <v>22</v>
      </c>
      <c r="B359" s="1" t="s">
        <v>673</v>
      </c>
      <c r="C359" s="1" t="s">
        <v>106</v>
      </c>
      <c r="D359" s="1" t="n">
        <v>19</v>
      </c>
      <c r="E359" s="1" t="n">
        <v>60</v>
      </c>
      <c r="F359" s="1" t="s">
        <v>255</v>
      </c>
      <c r="G359" s="1" t="s">
        <v>674</v>
      </c>
      <c r="H359" s="1" t="n">
        <v>19.029</v>
      </c>
      <c r="I359" s="1" t="n">
        <v>5</v>
      </c>
      <c r="J359" s="1" t="n">
        <v>1</v>
      </c>
      <c r="K359" s="1" t="n">
        <v>4</v>
      </c>
      <c r="L359" s="1" t="n">
        <v>2</v>
      </c>
      <c r="M359" s="1" t="s">
        <v>584</v>
      </c>
    </row>
    <row r="360" customFormat="false" ht="14.25" hidden="true" customHeight="true" outlineLevel="0" collapsed="false">
      <c r="A360" s="1" t="s">
        <v>22</v>
      </c>
      <c r="B360" s="1" t="s">
        <v>675</v>
      </c>
      <c r="D360" s="1" t="n">
        <v>16</v>
      </c>
      <c r="E360" s="1" t="n">
        <v>63</v>
      </c>
      <c r="F360" s="1" t="s">
        <v>255</v>
      </c>
      <c r="G360" s="1" t="s">
        <v>676</v>
      </c>
      <c r="H360" s="1" t="n">
        <v>19.98045</v>
      </c>
      <c r="I360" s="1" t="n">
        <v>5.5</v>
      </c>
      <c r="J360" s="1" t="n">
        <v>1</v>
      </c>
      <c r="K360" s="1" t="n">
        <v>5</v>
      </c>
      <c r="L360" s="1" t="n">
        <v>1</v>
      </c>
      <c r="M360" s="1" t="s">
        <v>677</v>
      </c>
    </row>
    <row r="361" customFormat="false" ht="14.25" hidden="true" customHeight="true" outlineLevel="0" collapsed="false">
      <c r="A361" s="1" t="s">
        <v>22</v>
      </c>
      <c r="C361" s="1" t="s">
        <v>106</v>
      </c>
      <c r="D361" s="1" t="n">
        <v>108</v>
      </c>
      <c r="E361" s="1" t="n">
        <v>63</v>
      </c>
      <c r="F361" s="1" t="s">
        <v>255</v>
      </c>
      <c r="G361" s="1" t="s">
        <v>678</v>
      </c>
      <c r="H361" s="1" t="n">
        <v>19.98045</v>
      </c>
      <c r="I361" s="1" t="n">
        <v>11.5</v>
      </c>
      <c r="J361" s="1" t="n">
        <v>1</v>
      </c>
      <c r="K361" s="1" t="n">
        <v>5</v>
      </c>
      <c r="L361" s="1" t="n">
        <v>2</v>
      </c>
      <c r="M361" s="1" t="s">
        <v>641</v>
      </c>
    </row>
    <row r="362" customFormat="false" ht="14.25" hidden="true" customHeight="true" outlineLevel="0" collapsed="false">
      <c r="A362" s="1" t="s">
        <v>22</v>
      </c>
      <c r="B362" s="1" t="s">
        <v>679</v>
      </c>
      <c r="D362" s="1" t="n">
        <v>13</v>
      </c>
      <c r="E362" s="1" t="n">
        <v>63</v>
      </c>
      <c r="F362" s="1" t="s">
        <v>255</v>
      </c>
      <c r="G362" s="1" t="s">
        <v>680</v>
      </c>
      <c r="H362" s="1" t="n">
        <v>19.98045</v>
      </c>
      <c r="I362" s="1" t="n">
        <v>6</v>
      </c>
      <c r="J362" s="1" t="n">
        <v>1</v>
      </c>
      <c r="K362" s="1" t="n">
        <v>5</v>
      </c>
      <c r="L362" s="1" t="n">
        <v>1</v>
      </c>
      <c r="M362" s="1" t="s">
        <v>681</v>
      </c>
    </row>
    <row r="363" customFormat="false" ht="14.25" hidden="true" customHeight="true" outlineLevel="0" collapsed="false">
      <c r="A363" s="1" t="s">
        <v>22</v>
      </c>
      <c r="B363" s="1" t="s">
        <v>682</v>
      </c>
      <c r="C363" s="1" t="s">
        <v>106</v>
      </c>
      <c r="D363" s="1" t="n">
        <v>72</v>
      </c>
      <c r="E363" s="1" t="n">
        <v>78</v>
      </c>
      <c r="F363" s="1" t="s">
        <v>255</v>
      </c>
      <c r="G363" s="1" t="s">
        <v>683</v>
      </c>
      <c r="H363" s="1" t="n">
        <v>24.7377</v>
      </c>
      <c r="I363" s="1" t="n">
        <v>6</v>
      </c>
      <c r="J363" s="1" t="n">
        <v>1</v>
      </c>
      <c r="K363" s="1" t="n">
        <v>5</v>
      </c>
      <c r="L363" s="1" t="n">
        <v>2</v>
      </c>
      <c r="M363" s="1" t="s">
        <v>684</v>
      </c>
    </row>
    <row r="364" customFormat="false" ht="14.25" hidden="true" customHeight="true" outlineLevel="0" collapsed="false">
      <c r="A364" s="1" t="s">
        <v>22</v>
      </c>
    </row>
    <row r="365" customFormat="false" ht="14.25" hidden="true" customHeight="true" outlineLevel="0" collapsed="false">
      <c r="A365" s="1" t="s">
        <v>22</v>
      </c>
      <c r="B365" s="1" t="s">
        <v>685</v>
      </c>
      <c r="C365" s="1" t="s">
        <v>106</v>
      </c>
      <c r="D365" s="1" t="n">
        <v>113</v>
      </c>
      <c r="E365" s="1" t="n">
        <v>43</v>
      </c>
      <c r="F365" s="1" t="s">
        <v>23</v>
      </c>
      <c r="G365" s="1" t="s">
        <v>686</v>
      </c>
      <c r="M365" s="1" t="s">
        <v>687</v>
      </c>
    </row>
    <row r="366" customFormat="false" ht="14.25" hidden="true" customHeight="true" outlineLevel="0" collapsed="false">
      <c r="A366" s="1" t="s">
        <v>22</v>
      </c>
      <c r="B366" s="1" t="s">
        <v>688</v>
      </c>
      <c r="C366" s="1" t="s">
        <v>106</v>
      </c>
      <c r="D366" s="1" t="n">
        <v>58</v>
      </c>
      <c r="E366" s="1" t="n">
        <v>43</v>
      </c>
      <c r="F366" s="1" t="s">
        <v>23</v>
      </c>
      <c r="G366" s="1" t="s">
        <v>491</v>
      </c>
      <c r="M366" s="1" t="s">
        <v>689</v>
      </c>
    </row>
    <row r="367" customFormat="false" ht="14.25" hidden="true" customHeight="true" outlineLevel="0" collapsed="false">
      <c r="A367" s="1" t="s">
        <v>22</v>
      </c>
      <c r="B367" s="1" t="s">
        <v>690</v>
      </c>
      <c r="C367" s="1" t="s">
        <v>104</v>
      </c>
      <c r="D367" s="1" t="n">
        <v>114</v>
      </c>
      <c r="E367" s="1" t="n">
        <v>47</v>
      </c>
      <c r="F367" s="1" t="s">
        <v>23</v>
      </c>
      <c r="G367" s="1" t="s">
        <v>691</v>
      </c>
      <c r="M367" s="1" t="s">
        <v>208</v>
      </c>
    </row>
    <row r="368" customFormat="false" ht="14.25" hidden="true" customHeight="true" outlineLevel="0" collapsed="false">
      <c r="A368" s="1" t="s">
        <v>22</v>
      </c>
      <c r="C368" s="1" t="s">
        <v>106</v>
      </c>
      <c r="D368" s="1" t="n">
        <v>115</v>
      </c>
      <c r="E368" s="1" t="n">
        <v>43</v>
      </c>
      <c r="F368" s="1" t="s">
        <v>406</v>
      </c>
      <c r="G368" s="1" t="s">
        <v>507</v>
      </c>
      <c r="M368" s="1" t="s">
        <v>406</v>
      </c>
    </row>
    <row r="369" customFormat="false" ht="14.25" hidden="false" customHeight="true" outlineLevel="0" collapsed="false">
      <c r="A369" s="1" t="s">
        <v>22</v>
      </c>
      <c r="D369" s="1" t="n">
        <v>121</v>
      </c>
      <c r="E369" s="1" t="n">
        <v>60</v>
      </c>
      <c r="F369" s="1" t="s">
        <v>23</v>
      </c>
      <c r="G369" s="1" t="s">
        <v>15</v>
      </c>
    </row>
    <row r="370" customFormat="false" ht="14.25" hidden="false" customHeight="true" outlineLevel="0" collapsed="false">
      <c r="A370" s="1" t="s">
        <v>22</v>
      </c>
      <c r="C370" s="1" t="s">
        <v>455</v>
      </c>
      <c r="D370" s="1" t="n">
        <v>116</v>
      </c>
      <c r="E370" s="1" t="n">
        <v>60</v>
      </c>
      <c r="F370" s="1" t="s">
        <v>406</v>
      </c>
      <c r="G370" s="1" t="s">
        <v>15</v>
      </c>
      <c r="M370" s="1" t="s">
        <v>406</v>
      </c>
    </row>
    <row r="371" customFormat="false" ht="14.25" hidden="true" customHeight="true" outlineLevel="0" collapsed="false">
      <c r="A371" s="1" t="s">
        <v>22</v>
      </c>
      <c r="C371" s="1" t="s">
        <v>111</v>
      </c>
      <c r="D371" s="1" t="n">
        <v>118</v>
      </c>
      <c r="E371" s="1" t="n">
        <v>92</v>
      </c>
      <c r="F371" s="1" t="s">
        <v>23</v>
      </c>
      <c r="G371" s="1" t="s">
        <v>692</v>
      </c>
      <c r="H371" s="1" t="n">
        <v>29.2</v>
      </c>
      <c r="I371" s="1" t="n">
        <v>12.5</v>
      </c>
      <c r="J371" s="1" t="n">
        <v>1</v>
      </c>
      <c r="K371" s="1" t="n">
        <v>1</v>
      </c>
      <c r="L371" s="1" t="n">
        <v>5</v>
      </c>
      <c r="M371" s="1" t="s">
        <v>693</v>
      </c>
    </row>
    <row r="372" customFormat="false" ht="14.25" hidden="true" customHeight="true" outlineLevel="0" collapsed="false">
      <c r="A372" s="1" t="s">
        <v>22</v>
      </c>
      <c r="C372" s="1" t="s">
        <v>111</v>
      </c>
      <c r="D372" s="1" t="n">
        <v>120</v>
      </c>
      <c r="E372" s="1" t="n">
        <v>92</v>
      </c>
      <c r="F372" s="1" t="s">
        <v>191</v>
      </c>
      <c r="G372" s="1" t="s">
        <v>692</v>
      </c>
      <c r="H372" s="1" t="n">
        <v>29.2</v>
      </c>
      <c r="I372" s="1" t="n">
        <v>12.5</v>
      </c>
      <c r="J372" s="1" t="n">
        <v>1</v>
      </c>
      <c r="K372" s="1" t="n">
        <v>1</v>
      </c>
      <c r="L372" s="1" t="n">
        <v>5</v>
      </c>
      <c r="M372" s="1" t="s">
        <v>693</v>
      </c>
    </row>
    <row r="373" customFormat="false" ht="14.25" hidden="true" customHeight="true" outlineLevel="0" collapsed="false">
      <c r="A373" s="1" t="s">
        <v>22</v>
      </c>
      <c r="B373" s="1" t="s">
        <v>191</v>
      </c>
      <c r="C373" s="1" t="s">
        <v>106</v>
      </c>
      <c r="D373" s="1" t="n">
        <v>117</v>
      </c>
      <c r="E373" s="1" t="n">
        <v>63</v>
      </c>
      <c r="F373" s="1" t="s">
        <v>23</v>
      </c>
      <c r="G373" s="1" t="s">
        <v>694</v>
      </c>
      <c r="M373" s="1" t="s">
        <v>695</v>
      </c>
    </row>
    <row r="374" customFormat="false" ht="14.25" hidden="true" customHeight="true" outlineLevel="0" collapsed="false">
      <c r="A374" s="1" t="s">
        <v>22</v>
      </c>
      <c r="C374" s="1" t="s">
        <v>696</v>
      </c>
      <c r="D374" s="1" t="n">
        <v>119</v>
      </c>
      <c r="E374" s="1" t="n">
        <v>98</v>
      </c>
      <c r="F374" s="1" t="s">
        <v>406</v>
      </c>
      <c r="M374" s="1" t="s">
        <v>406</v>
      </c>
    </row>
    <row r="375" customFormat="false" ht="14.25" hidden="true" customHeight="true" outlineLevel="0" collapsed="false">
      <c r="A375" s="1" t="s">
        <v>22</v>
      </c>
      <c r="D375" s="1" t="n">
        <v>126</v>
      </c>
      <c r="F375" s="1" t="s">
        <v>697</v>
      </c>
      <c r="G375" s="1" t="n">
        <v>10</v>
      </c>
      <c r="M375" s="1" t="s">
        <v>698</v>
      </c>
    </row>
    <row r="376" customFormat="false" ht="14.25" hidden="true" customHeight="true" outlineLevel="0" collapsed="false">
      <c r="A376" s="1" t="s">
        <v>22</v>
      </c>
      <c r="D376" s="1" t="n">
        <v>128</v>
      </c>
      <c r="E376" s="1" t="n">
        <v>64</v>
      </c>
      <c r="F376" s="1" t="s">
        <v>697</v>
      </c>
      <c r="M376" s="1" t="s">
        <v>698</v>
      </c>
    </row>
    <row r="377" customFormat="false" ht="14.25" hidden="true" customHeight="true" outlineLevel="0" collapsed="false">
      <c r="A377" s="1" t="s">
        <v>699</v>
      </c>
      <c r="C377" s="1" t="s">
        <v>111</v>
      </c>
      <c r="D377" s="1" t="n">
        <v>14</v>
      </c>
      <c r="E377" s="1" t="n">
        <v>57</v>
      </c>
      <c r="F377" s="1" t="s">
        <v>101</v>
      </c>
      <c r="G377" s="1" t="n">
        <v>6</v>
      </c>
      <c r="H377" s="1" t="n">
        <v>6.02585</v>
      </c>
      <c r="I377" s="1" t="n">
        <v>25</v>
      </c>
      <c r="J377" s="1" t="n">
        <v>3</v>
      </c>
      <c r="K377" s="1" t="n">
        <v>6</v>
      </c>
      <c r="L377" s="1" t="n">
        <v>1</v>
      </c>
      <c r="M377" s="1" t="s">
        <v>700</v>
      </c>
    </row>
    <row r="378" customFormat="false" ht="14.25" hidden="true" customHeight="true" outlineLevel="0" collapsed="false">
      <c r="A378" s="1" t="s">
        <v>699</v>
      </c>
      <c r="B378" s="1" t="s">
        <v>633</v>
      </c>
      <c r="C378" s="1" t="s">
        <v>111</v>
      </c>
      <c r="D378" s="1" t="n">
        <v>41</v>
      </c>
      <c r="E378" s="1" t="n">
        <v>47</v>
      </c>
      <c r="F378" s="1" t="s">
        <v>101</v>
      </c>
      <c r="G378" s="1" t="n">
        <v>7.5</v>
      </c>
      <c r="H378" s="1" t="n">
        <v>7.453025</v>
      </c>
      <c r="I378" s="1" t="n">
        <v>10.5</v>
      </c>
      <c r="J378" s="1" t="n">
        <v>2</v>
      </c>
      <c r="K378" s="1" t="n">
        <v>6</v>
      </c>
      <c r="L378" s="1" t="n">
        <v>1</v>
      </c>
      <c r="M378" s="1" t="s">
        <v>701</v>
      </c>
    </row>
    <row r="379" customFormat="false" ht="14.25" hidden="true" customHeight="true" outlineLevel="0" collapsed="false">
      <c r="A379" s="1" t="s">
        <v>699</v>
      </c>
      <c r="B379" s="1" t="s">
        <v>702</v>
      </c>
      <c r="C379" s="1" t="s">
        <v>156</v>
      </c>
      <c r="D379" s="1" t="n">
        <v>15</v>
      </c>
      <c r="E379" s="1" t="n">
        <v>57</v>
      </c>
      <c r="F379" s="1" t="s">
        <v>101</v>
      </c>
      <c r="G379" s="1" t="n">
        <v>9.048</v>
      </c>
      <c r="H379" s="1" t="n">
        <v>9.038775</v>
      </c>
      <c r="I379" s="1" t="n">
        <v>60</v>
      </c>
      <c r="J379" s="1" t="n">
        <v>2</v>
      </c>
      <c r="K379" s="1" t="n">
        <v>6</v>
      </c>
      <c r="L379" s="1" t="n">
        <v>1</v>
      </c>
    </row>
    <row r="380" customFormat="false" ht="14.25" hidden="true" customHeight="true" outlineLevel="0" collapsed="false">
      <c r="A380" s="1" t="s">
        <v>699</v>
      </c>
      <c r="B380" s="1" t="s">
        <v>703</v>
      </c>
      <c r="C380" s="1" t="s">
        <v>104</v>
      </c>
      <c r="D380" s="1" t="n">
        <v>31</v>
      </c>
      <c r="E380" s="1" t="n">
        <v>63</v>
      </c>
      <c r="F380" s="1" t="s">
        <v>101</v>
      </c>
      <c r="G380" s="1" t="n">
        <v>10</v>
      </c>
      <c r="H380" s="1" t="n">
        <v>9.990225</v>
      </c>
      <c r="I380" s="1" t="n">
        <v>10</v>
      </c>
      <c r="J380" s="1" t="n">
        <v>2</v>
      </c>
      <c r="L380" s="1" t="n">
        <v>1</v>
      </c>
      <c r="M380" s="1" t="s">
        <v>704</v>
      </c>
    </row>
    <row r="381" customFormat="false" ht="14.25" hidden="true" customHeight="true" outlineLevel="0" collapsed="false">
      <c r="A381" s="1" t="s">
        <v>699</v>
      </c>
      <c r="C381" s="1" t="s">
        <v>111</v>
      </c>
      <c r="D381" s="1" t="n">
        <v>18</v>
      </c>
      <c r="E381" s="1" t="n">
        <v>98</v>
      </c>
      <c r="F381" s="1" t="s">
        <v>101</v>
      </c>
      <c r="G381" s="1" t="n">
        <v>31</v>
      </c>
      <c r="H381" s="1" t="n">
        <v>31.0807</v>
      </c>
      <c r="I381" s="1" t="n">
        <v>25</v>
      </c>
      <c r="J381" s="1" t="n">
        <v>1</v>
      </c>
      <c r="K381" s="1" t="n">
        <v>6</v>
      </c>
      <c r="L381" s="1" t="n">
        <v>1</v>
      </c>
      <c r="M381" s="1" t="s">
        <v>705</v>
      </c>
    </row>
    <row r="382" customFormat="false" ht="14.25" hidden="true" customHeight="true" outlineLevel="0" collapsed="false">
      <c r="A382" s="1" t="s">
        <v>699</v>
      </c>
    </row>
    <row r="383" customFormat="false" ht="14.25" hidden="true" customHeight="true" outlineLevel="0" collapsed="false">
      <c r="A383" s="1" t="s">
        <v>699</v>
      </c>
      <c r="B383" s="1" t="s">
        <v>706</v>
      </c>
      <c r="C383" s="1" t="s">
        <v>104</v>
      </c>
      <c r="D383" s="1" t="n">
        <v>26</v>
      </c>
      <c r="E383" s="1" t="n">
        <v>47</v>
      </c>
      <c r="F383" s="1" t="s">
        <v>116</v>
      </c>
      <c r="G383" s="1" t="n">
        <v>3</v>
      </c>
      <c r="H383" s="1" t="n">
        <v>3.7265125</v>
      </c>
      <c r="I383" s="1" t="n">
        <v>3.5</v>
      </c>
      <c r="J383" s="1" t="n">
        <v>4</v>
      </c>
      <c r="K383" s="1" t="n">
        <v>6</v>
      </c>
      <c r="L383" s="1" t="n">
        <v>1</v>
      </c>
      <c r="M383" s="1" t="s">
        <v>707</v>
      </c>
    </row>
    <row r="384" customFormat="false" ht="14.25" hidden="true" customHeight="true" outlineLevel="0" collapsed="false">
      <c r="A384" s="1" t="s">
        <v>699</v>
      </c>
      <c r="B384" s="1" t="s">
        <v>708</v>
      </c>
      <c r="C384" s="1" t="s">
        <v>104</v>
      </c>
      <c r="D384" s="1" t="n">
        <v>42</v>
      </c>
      <c r="E384" s="1" t="n">
        <v>47</v>
      </c>
      <c r="F384" s="1" t="s">
        <v>116</v>
      </c>
      <c r="G384" s="1" t="n">
        <v>3.4</v>
      </c>
      <c r="H384" s="1" t="n">
        <v>3.7265125</v>
      </c>
      <c r="I384" s="1" t="n">
        <v>4.5</v>
      </c>
      <c r="J384" s="1" t="n">
        <v>4</v>
      </c>
      <c r="K384" s="1" t="n">
        <v>6</v>
      </c>
      <c r="L384" s="1" t="n">
        <v>1</v>
      </c>
    </row>
    <row r="385" customFormat="false" ht="14.25" hidden="true" customHeight="true" outlineLevel="0" collapsed="false">
      <c r="A385" s="1" t="s">
        <v>699</v>
      </c>
      <c r="C385" s="1" t="s">
        <v>111</v>
      </c>
      <c r="D385" s="1" t="n">
        <v>19</v>
      </c>
      <c r="E385" s="1" t="n">
        <v>63</v>
      </c>
      <c r="F385" s="1" t="s">
        <v>116</v>
      </c>
      <c r="G385" s="1" t="n">
        <v>4.8</v>
      </c>
      <c r="H385" s="1" t="n">
        <v>4.9951125</v>
      </c>
      <c r="I385" s="1" t="n">
        <v>21</v>
      </c>
      <c r="J385" s="1" t="n">
        <v>4</v>
      </c>
      <c r="K385" s="1" t="n">
        <v>6</v>
      </c>
      <c r="L385" s="1" t="n">
        <v>4</v>
      </c>
      <c r="M385" s="1" t="s">
        <v>709</v>
      </c>
    </row>
    <row r="386" customFormat="false" ht="14.25" hidden="true" customHeight="true" outlineLevel="0" collapsed="false">
      <c r="A386" s="1" t="s">
        <v>699</v>
      </c>
      <c r="B386" s="1" t="s">
        <v>710</v>
      </c>
      <c r="C386" s="1" t="s">
        <v>111</v>
      </c>
      <c r="D386" s="1" t="n">
        <v>16</v>
      </c>
      <c r="E386" s="1" t="n">
        <v>57</v>
      </c>
      <c r="F386" s="1" t="s">
        <v>116</v>
      </c>
      <c r="G386" s="1" t="n">
        <v>8.8</v>
      </c>
      <c r="H386" s="1" t="n">
        <v>9.038775</v>
      </c>
      <c r="I386" s="1" t="n">
        <v>9.5</v>
      </c>
      <c r="J386" s="1" t="n">
        <v>2</v>
      </c>
      <c r="K386" s="1" t="n">
        <v>6</v>
      </c>
      <c r="L386" s="1" t="n">
        <v>1</v>
      </c>
      <c r="M386" s="1" t="s">
        <v>711</v>
      </c>
    </row>
    <row r="387" customFormat="false" ht="14.25" hidden="true" customHeight="true" outlineLevel="0" collapsed="false">
      <c r="A387" s="1" t="s">
        <v>699</v>
      </c>
    </row>
    <row r="388" customFormat="false" ht="14.25" hidden="true" customHeight="true" outlineLevel="0" collapsed="false">
      <c r="A388" s="1" t="s">
        <v>699</v>
      </c>
      <c r="B388" s="1" t="s">
        <v>712</v>
      </c>
      <c r="C388" s="1" t="s">
        <v>156</v>
      </c>
      <c r="D388" s="1" t="n">
        <v>32</v>
      </c>
      <c r="E388" s="1" t="n">
        <v>63</v>
      </c>
      <c r="F388" s="1" t="s">
        <v>131</v>
      </c>
      <c r="G388" s="1" t="s">
        <v>713</v>
      </c>
      <c r="H388" s="1" t="n">
        <v>9.990225</v>
      </c>
      <c r="I388" s="1" t="n">
        <v>7.5</v>
      </c>
      <c r="J388" s="1" t="n">
        <v>2</v>
      </c>
      <c r="K388" s="1" t="n">
        <v>6</v>
      </c>
      <c r="L388" s="1" t="n">
        <v>2</v>
      </c>
    </row>
    <row r="389" customFormat="false" ht="14.25" hidden="true" customHeight="true" outlineLevel="0" collapsed="false">
      <c r="A389" s="1" t="s">
        <v>699</v>
      </c>
      <c r="B389" s="1" t="s">
        <v>714</v>
      </c>
      <c r="C389" s="1" t="s">
        <v>156</v>
      </c>
      <c r="D389" s="1" t="n">
        <v>4</v>
      </c>
      <c r="E389" s="1" t="n">
        <v>47</v>
      </c>
      <c r="F389" s="1" t="s">
        <v>131</v>
      </c>
      <c r="G389" s="1" t="s">
        <v>715</v>
      </c>
      <c r="H389" s="1" t="n">
        <v>7.453025</v>
      </c>
      <c r="I389" s="1" t="n">
        <v>11</v>
      </c>
      <c r="J389" s="1" t="n">
        <v>2</v>
      </c>
      <c r="K389" s="1" t="n">
        <v>6</v>
      </c>
      <c r="L389" s="1" t="n">
        <v>1</v>
      </c>
      <c r="M389" s="1" t="s">
        <v>131</v>
      </c>
    </row>
    <row r="390" customFormat="false" ht="14.25" hidden="true" customHeight="true" outlineLevel="0" collapsed="false">
      <c r="A390" s="1" t="s">
        <v>699</v>
      </c>
      <c r="B390" s="1" t="s">
        <v>716</v>
      </c>
      <c r="C390" s="1" t="s">
        <v>104</v>
      </c>
      <c r="D390" s="1" t="n">
        <v>31</v>
      </c>
      <c r="E390" s="1" t="n">
        <v>63</v>
      </c>
      <c r="F390" s="1" t="s">
        <v>131</v>
      </c>
      <c r="G390" s="1" t="s">
        <v>717</v>
      </c>
      <c r="H390" s="1" t="n">
        <v>6.66015</v>
      </c>
      <c r="I390" s="1" t="n">
        <v>125</v>
      </c>
      <c r="J390" s="1" t="n">
        <v>3</v>
      </c>
      <c r="K390" s="1" t="n">
        <v>6</v>
      </c>
      <c r="L390" s="1" t="n">
        <v>1</v>
      </c>
      <c r="M390" s="1" t="s">
        <v>718</v>
      </c>
    </row>
    <row r="391" customFormat="false" ht="14.25" hidden="true" customHeight="true" outlineLevel="0" collapsed="false">
      <c r="A391" s="1" t="s">
        <v>699</v>
      </c>
    </row>
    <row r="392" customFormat="false" ht="14.25" hidden="true" customHeight="true" outlineLevel="0" collapsed="false">
      <c r="A392" s="1" t="s">
        <v>699</v>
      </c>
      <c r="C392" s="1" t="s">
        <v>104</v>
      </c>
      <c r="D392" s="1" t="n">
        <v>23</v>
      </c>
      <c r="E392" s="1" t="n">
        <v>69</v>
      </c>
      <c r="F392" s="1" t="s">
        <v>157</v>
      </c>
      <c r="G392" s="1" t="s">
        <v>719</v>
      </c>
      <c r="H392" s="1" t="n">
        <v>7.29445</v>
      </c>
      <c r="I392" s="1" t="n">
        <v>21</v>
      </c>
      <c r="J392" s="1" t="n">
        <v>3</v>
      </c>
      <c r="K392" s="1" t="n">
        <v>6</v>
      </c>
      <c r="L392" s="1" t="n">
        <v>4</v>
      </c>
      <c r="M392" s="1" t="s">
        <v>377</v>
      </c>
    </row>
    <row r="393" customFormat="false" ht="14.25" hidden="true" customHeight="true" outlineLevel="0" collapsed="false">
      <c r="A393" s="1" t="s">
        <v>699</v>
      </c>
      <c r="C393" s="1" t="s">
        <v>111</v>
      </c>
      <c r="D393" s="1" t="n">
        <v>11</v>
      </c>
      <c r="E393" s="1" t="n">
        <v>54</v>
      </c>
      <c r="F393" s="1" t="s">
        <v>157</v>
      </c>
      <c r="G393" s="1" t="s">
        <v>720</v>
      </c>
      <c r="H393" s="1" t="n">
        <v>4.281525</v>
      </c>
      <c r="I393" s="1" t="n">
        <v>25</v>
      </c>
      <c r="J393" s="1" t="n">
        <v>4</v>
      </c>
      <c r="K393" s="1" t="n">
        <v>2</v>
      </c>
      <c r="L393" s="1" t="n">
        <v>4</v>
      </c>
      <c r="M393" s="1" t="s">
        <v>721</v>
      </c>
    </row>
    <row r="394" customFormat="false" ht="14.25" hidden="true" customHeight="true" outlineLevel="0" collapsed="false">
      <c r="A394" s="1" t="s">
        <v>699</v>
      </c>
      <c r="C394" s="1" t="s">
        <v>111</v>
      </c>
      <c r="D394" s="1" t="n">
        <v>5</v>
      </c>
      <c r="E394" s="1" t="n">
        <v>50</v>
      </c>
      <c r="F394" s="1" t="s">
        <v>157</v>
      </c>
      <c r="G394" s="1" t="s">
        <v>722</v>
      </c>
      <c r="H394" s="1" t="n">
        <v>5.28583333333333</v>
      </c>
      <c r="I394" s="1" t="n">
        <v>25</v>
      </c>
      <c r="J394" s="1" t="n">
        <v>3</v>
      </c>
      <c r="K394" s="1" t="n">
        <v>2</v>
      </c>
      <c r="L394" s="1" t="n">
        <v>4</v>
      </c>
      <c r="M394" s="1" t="s">
        <v>723</v>
      </c>
    </row>
    <row r="395" customFormat="false" ht="14.25" hidden="true" customHeight="true" outlineLevel="0" collapsed="false">
      <c r="A395" s="1" t="s">
        <v>699</v>
      </c>
      <c r="C395" s="1" t="s">
        <v>111</v>
      </c>
      <c r="D395" s="1" t="n">
        <v>7</v>
      </c>
      <c r="E395" s="1" t="n">
        <v>50</v>
      </c>
      <c r="F395" s="1" t="s">
        <v>157</v>
      </c>
      <c r="G395" s="1" t="s">
        <v>722</v>
      </c>
      <c r="H395" s="1" t="n">
        <v>5.28583333333333</v>
      </c>
      <c r="I395" s="1" t="n">
        <v>25</v>
      </c>
      <c r="J395" s="1" t="n">
        <v>3</v>
      </c>
      <c r="K395" s="1" t="n">
        <v>2</v>
      </c>
      <c r="L395" s="1" t="n">
        <v>4</v>
      </c>
      <c r="M395" s="1" t="s">
        <v>178</v>
      </c>
    </row>
    <row r="396" customFormat="false" ht="14.25" hidden="true" customHeight="true" outlineLevel="0" collapsed="false">
      <c r="A396" s="1" t="s">
        <v>699</v>
      </c>
      <c r="C396" s="1" t="s">
        <v>108</v>
      </c>
      <c r="D396" s="1" t="n">
        <v>8</v>
      </c>
      <c r="E396" s="1" t="n">
        <v>50</v>
      </c>
      <c r="F396" s="1" t="s">
        <v>157</v>
      </c>
      <c r="G396" s="1" t="s">
        <v>722</v>
      </c>
      <c r="H396" s="1" t="n">
        <v>5.28583333333333</v>
      </c>
      <c r="I396" s="1" t="n">
        <v>25</v>
      </c>
      <c r="J396" s="1" t="n">
        <v>3</v>
      </c>
      <c r="K396" s="1" t="n">
        <v>2</v>
      </c>
      <c r="L396" s="1" t="n">
        <v>4</v>
      </c>
      <c r="M396" s="1" t="s">
        <v>178</v>
      </c>
    </row>
    <row r="397" customFormat="false" ht="14.25" hidden="true" customHeight="true" outlineLevel="0" collapsed="false">
      <c r="A397" s="1" t="s">
        <v>699</v>
      </c>
      <c r="C397" s="1" t="s">
        <v>108</v>
      </c>
      <c r="D397" s="1" t="n">
        <v>29</v>
      </c>
      <c r="E397" s="1" t="n">
        <v>78</v>
      </c>
      <c r="F397" s="1" t="s">
        <v>160</v>
      </c>
      <c r="G397" s="1" t="s">
        <v>724</v>
      </c>
      <c r="H397" s="1" t="n">
        <v>12.36885</v>
      </c>
      <c r="I397" s="1" t="n">
        <v>25</v>
      </c>
      <c r="J397" s="1" t="n">
        <v>2</v>
      </c>
      <c r="K397" s="1" t="n">
        <v>6</v>
      </c>
      <c r="L397" s="1" t="n">
        <v>4</v>
      </c>
      <c r="M397" s="1" t="s">
        <v>177</v>
      </c>
    </row>
    <row r="398" customFormat="false" ht="14.25" hidden="true" customHeight="true" outlineLevel="0" collapsed="false">
      <c r="A398" s="1" t="s">
        <v>699</v>
      </c>
      <c r="C398" s="1" t="s">
        <v>108</v>
      </c>
      <c r="D398" s="1" t="n">
        <v>30</v>
      </c>
      <c r="E398" s="1" t="n">
        <v>71</v>
      </c>
      <c r="F398" s="1" t="s">
        <v>160</v>
      </c>
      <c r="G398" s="1" t="s">
        <v>725</v>
      </c>
      <c r="H398" s="1" t="n">
        <v>11.258825</v>
      </c>
      <c r="I398" s="1" t="n">
        <v>25</v>
      </c>
      <c r="J398" s="1" t="n">
        <v>2</v>
      </c>
      <c r="K398" s="1" t="n">
        <v>6</v>
      </c>
      <c r="L398" s="1" t="n">
        <v>4</v>
      </c>
      <c r="M398" s="1" t="s">
        <v>172</v>
      </c>
    </row>
    <row r="399" customFormat="false" ht="14.25" hidden="true" customHeight="true" outlineLevel="0" collapsed="false">
      <c r="A399" s="1" t="s">
        <v>699</v>
      </c>
      <c r="B399" s="1" t="s">
        <v>726</v>
      </c>
      <c r="C399" s="1" t="s">
        <v>104</v>
      </c>
      <c r="D399" s="1" t="n">
        <v>1</v>
      </c>
      <c r="E399" s="1" t="n">
        <v>47</v>
      </c>
      <c r="F399" s="1" t="s">
        <v>157</v>
      </c>
      <c r="G399" s="1" t="s">
        <v>727</v>
      </c>
      <c r="H399" s="1" t="n">
        <v>7.453025</v>
      </c>
      <c r="I399" s="1" t="n">
        <v>8</v>
      </c>
      <c r="J399" s="1" t="n">
        <v>2</v>
      </c>
      <c r="K399" s="1" t="n">
        <v>6</v>
      </c>
      <c r="L399" s="1" t="n">
        <v>1</v>
      </c>
      <c r="M399" s="1" t="s">
        <v>728</v>
      </c>
    </row>
    <row r="400" customFormat="false" ht="14.25" hidden="true" customHeight="true" outlineLevel="0" collapsed="false">
      <c r="A400" s="1" t="s">
        <v>699</v>
      </c>
      <c r="C400" s="1" t="s">
        <v>111</v>
      </c>
      <c r="D400" s="1" t="n">
        <v>10</v>
      </c>
      <c r="E400" s="1" t="n">
        <v>54</v>
      </c>
      <c r="F400" s="1" t="s">
        <v>157</v>
      </c>
      <c r="G400" s="1" t="s">
        <v>729</v>
      </c>
      <c r="H400" s="1" t="n">
        <v>4.281525</v>
      </c>
      <c r="I400" s="1" t="n">
        <v>25</v>
      </c>
      <c r="J400" s="1" t="n">
        <v>4</v>
      </c>
      <c r="K400" s="1" t="n">
        <v>6</v>
      </c>
      <c r="L400" s="1" t="n">
        <v>3</v>
      </c>
      <c r="M400" s="1" t="s">
        <v>730</v>
      </c>
    </row>
    <row r="401" customFormat="false" ht="14.25" hidden="true" customHeight="true" outlineLevel="0" collapsed="false">
      <c r="A401" s="1" t="s">
        <v>699</v>
      </c>
      <c r="C401" s="1" t="s">
        <v>156</v>
      </c>
      <c r="D401" s="1" t="n">
        <v>15</v>
      </c>
      <c r="E401" s="1" t="n">
        <v>57</v>
      </c>
      <c r="F401" s="1" t="s">
        <v>157</v>
      </c>
      <c r="G401" s="1" t="s">
        <v>731</v>
      </c>
      <c r="H401" s="1" t="n">
        <v>4.5193875</v>
      </c>
      <c r="I401" s="1" t="n">
        <v>180</v>
      </c>
      <c r="J401" s="1" t="n">
        <v>4</v>
      </c>
      <c r="K401" s="1" t="n">
        <v>6</v>
      </c>
      <c r="L401" s="1" t="n">
        <v>2</v>
      </c>
      <c r="M401" s="1" t="s">
        <v>732</v>
      </c>
    </row>
    <row r="402" customFormat="false" ht="14.25" hidden="true" customHeight="true" outlineLevel="0" collapsed="false">
      <c r="A402" s="1" t="s">
        <v>699</v>
      </c>
      <c r="C402" s="1" t="s">
        <v>104</v>
      </c>
      <c r="D402" s="1" t="n">
        <v>45</v>
      </c>
      <c r="E402" s="1" t="n">
        <v>78</v>
      </c>
      <c r="F402" s="1" t="s">
        <v>157</v>
      </c>
      <c r="G402" s="1" t="s">
        <v>733</v>
      </c>
      <c r="H402" s="1" t="n">
        <v>8.2459</v>
      </c>
      <c r="I402" s="1" t="n">
        <v>25</v>
      </c>
      <c r="J402" s="1" t="n">
        <v>3</v>
      </c>
      <c r="K402" s="1" t="n">
        <v>6</v>
      </c>
      <c r="L402" s="1" t="n">
        <v>3</v>
      </c>
      <c r="M402" s="1" t="s">
        <v>734</v>
      </c>
    </row>
    <row r="403" customFormat="false" ht="14.25" hidden="true" customHeight="true" outlineLevel="0" collapsed="false">
      <c r="A403" s="1" t="s">
        <v>699</v>
      </c>
      <c r="B403" s="1" t="s">
        <v>735</v>
      </c>
      <c r="C403" s="1" t="s">
        <v>104</v>
      </c>
      <c r="D403" s="1" t="n">
        <v>44</v>
      </c>
      <c r="E403" s="1" t="n">
        <v>51</v>
      </c>
      <c r="F403" s="1" t="s">
        <v>157</v>
      </c>
      <c r="G403" s="1" t="s">
        <v>507</v>
      </c>
      <c r="H403" s="1" t="n">
        <v>2.695775</v>
      </c>
      <c r="I403" s="1" t="n">
        <v>10</v>
      </c>
      <c r="J403" s="1" t="n">
        <v>6</v>
      </c>
      <c r="K403" s="1" t="n">
        <v>6</v>
      </c>
      <c r="L403" s="1" t="n">
        <v>1</v>
      </c>
      <c r="M403" s="1" t="s">
        <v>736</v>
      </c>
    </row>
    <row r="404" customFormat="false" ht="14.25" hidden="true" customHeight="true" outlineLevel="0" collapsed="false">
      <c r="A404" s="1" t="s">
        <v>699</v>
      </c>
      <c r="C404" s="1" t="s">
        <v>156</v>
      </c>
      <c r="D404" s="1" t="n">
        <v>32</v>
      </c>
      <c r="E404" s="1" t="n">
        <v>63</v>
      </c>
      <c r="F404" s="1" t="s">
        <v>157</v>
      </c>
      <c r="G404" s="1" t="s">
        <v>713</v>
      </c>
      <c r="H404" s="1" t="n">
        <v>9.990225</v>
      </c>
      <c r="I404" s="1" t="n">
        <v>7.5</v>
      </c>
      <c r="J404" s="1" t="n">
        <v>2</v>
      </c>
      <c r="K404" s="1" t="n">
        <v>6</v>
      </c>
      <c r="L404" s="1" t="n">
        <v>1</v>
      </c>
      <c r="M404" s="1" t="s">
        <v>737</v>
      </c>
    </row>
    <row r="405" customFormat="false" ht="14.25" hidden="true" customHeight="true" outlineLevel="0" collapsed="false">
      <c r="A405" s="1" t="s">
        <v>699</v>
      </c>
      <c r="C405" s="1" t="s">
        <v>104</v>
      </c>
      <c r="D405" s="1" t="n">
        <v>38</v>
      </c>
      <c r="E405" s="1" t="n">
        <v>63</v>
      </c>
      <c r="F405" s="1" t="s">
        <v>160</v>
      </c>
      <c r="G405" s="1" t="s">
        <v>738</v>
      </c>
      <c r="H405" s="1" t="n">
        <v>3.330075</v>
      </c>
      <c r="I405" s="1" t="n">
        <v>10.5</v>
      </c>
      <c r="J405" s="1" t="n">
        <v>6</v>
      </c>
      <c r="K405" s="1" t="n">
        <v>6</v>
      </c>
      <c r="L405" s="1" t="n">
        <v>1</v>
      </c>
      <c r="M405" s="1" t="s">
        <v>736</v>
      </c>
    </row>
    <row r="406" customFormat="false" ht="14.25" hidden="true" customHeight="true" outlineLevel="0" collapsed="false">
      <c r="A406" s="1" t="s">
        <v>699</v>
      </c>
      <c r="B406" s="1" t="s">
        <v>739</v>
      </c>
      <c r="C406" s="1" t="s">
        <v>104</v>
      </c>
      <c r="D406" s="1" t="n">
        <v>50</v>
      </c>
      <c r="E406" s="1" t="n">
        <v>51</v>
      </c>
      <c r="F406" s="1" t="s">
        <v>160</v>
      </c>
      <c r="G406" s="1" t="s">
        <v>740</v>
      </c>
      <c r="H406" s="1" t="n">
        <v>8.087325</v>
      </c>
      <c r="I406" s="1" t="n">
        <v>10.5</v>
      </c>
      <c r="J406" s="1" t="n">
        <v>2</v>
      </c>
      <c r="K406" s="1" t="n">
        <v>6</v>
      </c>
      <c r="L406" s="1" t="n">
        <v>1</v>
      </c>
      <c r="M406" s="1" t="s">
        <v>741</v>
      </c>
    </row>
    <row r="407" customFormat="false" ht="14.25" hidden="true" customHeight="true" outlineLevel="0" collapsed="false">
      <c r="A407" s="1" t="s">
        <v>699</v>
      </c>
      <c r="B407" s="1" t="s">
        <v>742</v>
      </c>
      <c r="C407" s="1" t="s">
        <v>104</v>
      </c>
      <c r="D407" s="1" t="n">
        <v>38</v>
      </c>
      <c r="E407" s="1" t="n">
        <v>63</v>
      </c>
      <c r="F407" s="1" t="s">
        <v>160</v>
      </c>
      <c r="G407" s="1" t="s">
        <v>743</v>
      </c>
      <c r="H407" s="1" t="n">
        <v>3.330075</v>
      </c>
      <c r="I407" s="1" t="n">
        <v>11</v>
      </c>
      <c r="J407" s="1" t="n">
        <v>6</v>
      </c>
      <c r="K407" s="1" t="n">
        <v>6</v>
      </c>
      <c r="L407" s="1" t="n">
        <v>1</v>
      </c>
      <c r="M407" s="1" t="s">
        <v>744</v>
      </c>
    </row>
    <row r="408" customFormat="false" ht="14.25" hidden="true" customHeight="true" outlineLevel="0" collapsed="false">
      <c r="A408" s="1" t="s">
        <v>699</v>
      </c>
      <c r="C408" s="1" t="s">
        <v>104</v>
      </c>
      <c r="D408" s="1" t="n">
        <v>44</v>
      </c>
      <c r="E408" s="1" t="n">
        <v>51</v>
      </c>
      <c r="F408" s="1" t="s">
        <v>160</v>
      </c>
      <c r="G408" s="1" t="s">
        <v>735</v>
      </c>
      <c r="H408" s="1" t="n">
        <v>4.0436625</v>
      </c>
      <c r="I408" s="1" t="n">
        <v>11.2</v>
      </c>
      <c r="J408" s="1" t="n">
        <v>4</v>
      </c>
      <c r="K408" s="1" t="n">
        <v>6</v>
      </c>
      <c r="L408" s="1" t="n">
        <v>1</v>
      </c>
      <c r="M408" s="1" t="s">
        <v>736</v>
      </c>
    </row>
    <row r="409" customFormat="false" ht="14.25" hidden="true" customHeight="true" outlineLevel="0" collapsed="false">
      <c r="A409" s="1" t="s">
        <v>699</v>
      </c>
      <c r="B409" s="1" t="s">
        <v>745</v>
      </c>
      <c r="C409" s="1" t="s">
        <v>104</v>
      </c>
      <c r="D409" s="1" t="n">
        <v>39</v>
      </c>
      <c r="E409" s="1" t="n">
        <v>63</v>
      </c>
      <c r="F409" s="1" t="s">
        <v>160</v>
      </c>
      <c r="G409" s="1" t="s">
        <v>746</v>
      </c>
      <c r="H409" s="1" t="n">
        <v>19.98045</v>
      </c>
      <c r="I409" s="1" t="n">
        <v>11</v>
      </c>
      <c r="J409" s="1" t="n">
        <v>1</v>
      </c>
      <c r="K409" s="1" t="n">
        <v>6</v>
      </c>
      <c r="L409" s="1" t="n">
        <v>1</v>
      </c>
      <c r="M409" s="1" t="s">
        <v>747</v>
      </c>
    </row>
    <row r="410" customFormat="false" ht="14.25" hidden="true" customHeight="true" outlineLevel="0" collapsed="false">
      <c r="A410" s="1" t="s">
        <v>699</v>
      </c>
      <c r="B410" s="1" t="s">
        <v>748</v>
      </c>
      <c r="C410" s="1" t="s">
        <v>104</v>
      </c>
      <c r="D410" s="1" t="n">
        <v>20</v>
      </c>
      <c r="E410" s="1" t="n">
        <v>63</v>
      </c>
      <c r="F410" s="1" t="s">
        <v>157</v>
      </c>
      <c r="G410" s="1" t="s">
        <v>749</v>
      </c>
      <c r="H410" s="1" t="n">
        <v>9.990225</v>
      </c>
      <c r="I410" s="1" t="n">
        <v>12</v>
      </c>
      <c r="J410" s="1" t="n">
        <v>2</v>
      </c>
      <c r="K410" s="1" t="n">
        <v>6</v>
      </c>
      <c r="L410" s="1" t="n">
        <v>1</v>
      </c>
      <c r="M410" s="1" t="s">
        <v>750</v>
      </c>
    </row>
    <row r="411" customFormat="false" ht="14.25" hidden="true" customHeight="true" outlineLevel="0" collapsed="false">
      <c r="A411" s="1" t="s">
        <v>699</v>
      </c>
      <c r="B411" s="1" t="s">
        <v>751</v>
      </c>
      <c r="C411" s="1" t="s">
        <v>111</v>
      </c>
      <c r="D411" s="1" t="n">
        <v>24</v>
      </c>
      <c r="E411" s="1" t="n">
        <v>78</v>
      </c>
      <c r="F411" s="1" t="s">
        <v>157</v>
      </c>
      <c r="G411" s="1" t="s">
        <v>752</v>
      </c>
      <c r="H411" s="1" t="n">
        <v>12.36885</v>
      </c>
      <c r="I411" s="1" t="n">
        <v>11</v>
      </c>
      <c r="J411" s="1" t="n">
        <v>2</v>
      </c>
      <c r="K411" s="1" t="n">
        <v>6</v>
      </c>
      <c r="L411" s="1" t="n">
        <v>4</v>
      </c>
      <c r="M411" s="1" t="s">
        <v>751</v>
      </c>
    </row>
    <row r="412" customFormat="false" ht="14.25" hidden="true" customHeight="true" outlineLevel="0" collapsed="false">
      <c r="A412" s="1" t="s">
        <v>699</v>
      </c>
      <c r="C412" s="1" t="s">
        <v>104</v>
      </c>
      <c r="D412" s="1" t="n">
        <v>48</v>
      </c>
      <c r="E412" s="1" t="n">
        <v>78</v>
      </c>
      <c r="F412" s="1" t="s">
        <v>157</v>
      </c>
      <c r="G412" s="1" t="s">
        <v>753</v>
      </c>
      <c r="H412" s="1" t="n">
        <v>12.36885</v>
      </c>
      <c r="I412" s="1" t="n">
        <v>21</v>
      </c>
      <c r="J412" s="1" t="n">
        <v>2</v>
      </c>
      <c r="K412" s="1" t="n">
        <v>6</v>
      </c>
      <c r="L412" s="1" t="n">
        <v>2</v>
      </c>
      <c r="M412" s="1" t="s">
        <v>754</v>
      </c>
    </row>
    <row r="413" customFormat="false" ht="14.25" hidden="true" customHeight="true" outlineLevel="0" collapsed="false">
      <c r="A413" s="1" t="s">
        <v>699</v>
      </c>
      <c r="B413" s="1" t="s">
        <v>755</v>
      </c>
      <c r="C413" s="1" t="s">
        <v>156</v>
      </c>
      <c r="D413" s="1" t="n">
        <v>4</v>
      </c>
      <c r="E413" s="1" t="n">
        <v>47</v>
      </c>
      <c r="F413" s="1" t="s">
        <v>157</v>
      </c>
      <c r="G413" s="1" t="s">
        <v>756</v>
      </c>
      <c r="H413" s="1" t="n">
        <v>14.90605</v>
      </c>
      <c r="I413" s="1" t="n">
        <v>11</v>
      </c>
      <c r="J413" s="1" t="n">
        <v>1</v>
      </c>
      <c r="K413" s="1" t="n">
        <v>6</v>
      </c>
      <c r="L413" s="1" t="n">
        <v>1</v>
      </c>
      <c r="M413" s="1" t="s">
        <v>757</v>
      </c>
    </row>
    <row r="414" customFormat="false" ht="14.25" hidden="true" customHeight="true" outlineLevel="0" collapsed="false">
      <c r="A414" s="1" t="s">
        <v>699</v>
      </c>
      <c r="B414" s="1" t="s">
        <v>758</v>
      </c>
      <c r="C414" s="1" t="s">
        <v>104</v>
      </c>
      <c r="D414" s="1" t="n">
        <v>47</v>
      </c>
      <c r="E414" s="1" t="n">
        <v>57</v>
      </c>
      <c r="F414" s="1" t="s">
        <v>160</v>
      </c>
      <c r="G414" s="1" t="s">
        <v>759</v>
      </c>
      <c r="H414" s="1" t="n">
        <v>18.07755</v>
      </c>
      <c r="I414" s="1" t="n">
        <v>8.5</v>
      </c>
      <c r="J414" s="1" t="n">
        <v>1</v>
      </c>
      <c r="K414" s="1" t="n">
        <v>6</v>
      </c>
      <c r="L414" s="1" t="n">
        <v>1</v>
      </c>
      <c r="M414" s="1" t="s">
        <v>760</v>
      </c>
    </row>
    <row r="415" customFormat="false" ht="14.25" hidden="true" customHeight="true" outlineLevel="0" collapsed="false">
      <c r="A415" s="1" t="s">
        <v>699</v>
      </c>
      <c r="C415" s="1" t="s">
        <v>104</v>
      </c>
      <c r="D415" s="1" t="n">
        <v>13</v>
      </c>
      <c r="E415" s="1" t="n">
        <v>57</v>
      </c>
      <c r="F415" s="1" t="s">
        <v>157</v>
      </c>
      <c r="G415" s="1" t="s">
        <v>761</v>
      </c>
      <c r="H415" s="1" t="n">
        <v>18.07755</v>
      </c>
      <c r="I415" s="1" t="n">
        <v>24</v>
      </c>
      <c r="J415" s="1" t="n">
        <v>1</v>
      </c>
      <c r="K415" s="1" t="n">
        <v>6</v>
      </c>
      <c r="L415" s="1" t="n">
        <v>3</v>
      </c>
      <c r="M415" s="1" t="s">
        <v>762</v>
      </c>
    </row>
    <row r="416" customFormat="false" ht="14.25" hidden="true" customHeight="true" outlineLevel="0" collapsed="false">
      <c r="A416" s="1" t="s">
        <v>699</v>
      </c>
      <c r="C416" s="1" t="s">
        <v>104</v>
      </c>
      <c r="D416" s="1" t="n">
        <v>33</v>
      </c>
      <c r="E416" s="1" t="n">
        <v>57</v>
      </c>
      <c r="F416" s="1" t="s">
        <v>157</v>
      </c>
      <c r="G416" s="1" t="s">
        <v>761</v>
      </c>
      <c r="H416" s="1" t="n">
        <v>18.07755</v>
      </c>
      <c r="I416" s="1" t="n">
        <v>24</v>
      </c>
      <c r="J416" s="1" t="n">
        <v>1</v>
      </c>
      <c r="K416" s="1" t="n">
        <v>6</v>
      </c>
      <c r="L416" s="1" t="n">
        <v>3</v>
      </c>
      <c r="M416" s="1" t="s">
        <v>762</v>
      </c>
    </row>
    <row r="417" customFormat="false" ht="14.25" hidden="true" customHeight="true" outlineLevel="0" collapsed="false">
      <c r="A417" s="1" t="s">
        <v>699</v>
      </c>
      <c r="C417" s="1" t="s">
        <v>111</v>
      </c>
      <c r="D417" s="1" t="n">
        <v>3</v>
      </c>
      <c r="E417" s="1" t="n">
        <v>47</v>
      </c>
      <c r="F417" s="1" t="s">
        <v>157</v>
      </c>
      <c r="G417" s="1" t="s">
        <v>763</v>
      </c>
      <c r="H417" s="1" t="n">
        <v>4.96868333333333</v>
      </c>
      <c r="I417" s="1" t="n">
        <v>23.5</v>
      </c>
      <c r="J417" s="1" t="n">
        <v>3</v>
      </c>
      <c r="K417" s="1" t="n">
        <v>6</v>
      </c>
      <c r="L417" s="1" t="n">
        <v>1</v>
      </c>
      <c r="M417" s="1" t="s">
        <v>764</v>
      </c>
    </row>
    <row r="418" customFormat="false" ht="14.25" hidden="true" customHeight="true" outlineLevel="0" collapsed="false">
      <c r="A418" s="1" t="s">
        <v>699</v>
      </c>
      <c r="B418" s="1" t="s">
        <v>765</v>
      </c>
      <c r="C418" s="1" t="s">
        <v>104</v>
      </c>
      <c r="D418" s="1" t="n">
        <v>49</v>
      </c>
      <c r="E418" s="1" t="n">
        <v>63</v>
      </c>
      <c r="F418" s="1" t="s">
        <v>157</v>
      </c>
      <c r="G418" s="1" t="s">
        <v>766</v>
      </c>
      <c r="H418" s="1" t="n">
        <v>19.98045</v>
      </c>
      <c r="I418" s="1" t="n">
        <v>23.5</v>
      </c>
      <c r="J418" s="1" t="n">
        <v>1</v>
      </c>
      <c r="K418" s="1" t="n">
        <v>6</v>
      </c>
      <c r="L418" s="1" t="n">
        <v>1</v>
      </c>
      <c r="M418" s="1" t="s">
        <v>767</v>
      </c>
    </row>
    <row r="419" customFormat="false" ht="14.25" hidden="true" customHeight="true" outlineLevel="0" collapsed="false">
      <c r="A419" s="1" t="s">
        <v>699</v>
      </c>
      <c r="B419" s="1" t="s">
        <v>739</v>
      </c>
      <c r="C419" s="1" t="s">
        <v>104</v>
      </c>
      <c r="D419" s="1" t="n">
        <v>46</v>
      </c>
      <c r="E419" s="1" t="n">
        <v>63</v>
      </c>
      <c r="F419" s="1" t="s">
        <v>160</v>
      </c>
      <c r="G419" s="1" t="s">
        <v>768</v>
      </c>
      <c r="H419" s="1" t="n">
        <v>6.66015</v>
      </c>
      <c r="I419" s="1" t="n">
        <v>10.5</v>
      </c>
      <c r="J419" s="1" t="n">
        <v>3</v>
      </c>
      <c r="K419" s="1" t="n">
        <v>6</v>
      </c>
      <c r="L419" s="1" t="n">
        <v>2</v>
      </c>
      <c r="M419" s="1" t="s">
        <v>769</v>
      </c>
    </row>
    <row r="420" customFormat="false" ht="14.25" hidden="true" customHeight="true" outlineLevel="0" collapsed="false">
      <c r="A420" s="1" t="s">
        <v>699</v>
      </c>
    </row>
    <row r="421" customFormat="false" ht="14.25" hidden="true" customHeight="true" outlineLevel="0" collapsed="false">
      <c r="A421" s="1" t="s">
        <v>699</v>
      </c>
      <c r="B421" s="1" t="s">
        <v>770</v>
      </c>
      <c r="C421" s="1" t="s">
        <v>111</v>
      </c>
      <c r="D421" s="1" t="n">
        <v>12</v>
      </c>
      <c r="E421" s="1" t="n">
        <v>54</v>
      </c>
      <c r="F421" s="1" t="s">
        <v>771</v>
      </c>
      <c r="G421" s="1" t="n">
        <v>4</v>
      </c>
      <c r="H421" s="1" t="n">
        <v>4.281525</v>
      </c>
      <c r="I421" s="1" t="n">
        <v>9</v>
      </c>
      <c r="J421" s="1" t="n">
        <v>4</v>
      </c>
      <c r="K421" s="1" t="n">
        <v>6</v>
      </c>
      <c r="L421" s="1" t="n">
        <v>1</v>
      </c>
      <c r="M421" s="1" t="s">
        <v>772</v>
      </c>
    </row>
    <row r="422" customFormat="false" ht="14.25" hidden="true" customHeight="true" outlineLevel="0" collapsed="false">
      <c r="A422" s="1" t="s">
        <v>699</v>
      </c>
      <c r="B422" s="1" t="s">
        <v>726</v>
      </c>
      <c r="C422" s="1" t="s">
        <v>104</v>
      </c>
      <c r="D422" s="1" t="n">
        <v>1</v>
      </c>
      <c r="E422" s="1" t="n">
        <v>47</v>
      </c>
      <c r="F422" s="1" t="s">
        <v>771</v>
      </c>
      <c r="G422" s="1" t="n">
        <v>4.76</v>
      </c>
      <c r="H422" s="1" t="n">
        <v>4.96868333333333</v>
      </c>
      <c r="I422" s="1" t="n">
        <v>5.5</v>
      </c>
      <c r="J422" s="1" t="n">
        <v>3</v>
      </c>
      <c r="K422" s="1" t="n">
        <v>6</v>
      </c>
      <c r="L422" s="1" t="n">
        <v>1</v>
      </c>
      <c r="M422" s="1" t="s">
        <v>773</v>
      </c>
    </row>
    <row r="423" customFormat="false" ht="14.25" hidden="true" customHeight="true" outlineLevel="0" collapsed="false">
      <c r="A423" s="1" t="s">
        <v>699</v>
      </c>
      <c r="C423" s="1" t="s">
        <v>104</v>
      </c>
      <c r="D423" s="1" t="n">
        <v>34</v>
      </c>
      <c r="E423" s="1" t="n">
        <v>47</v>
      </c>
      <c r="F423" s="1" t="s">
        <v>771</v>
      </c>
      <c r="G423" s="1" t="n">
        <v>4.76</v>
      </c>
      <c r="H423" s="1" t="n">
        <v>4.96868333333333</v>
      </c>
      <c r="I423" s="1" t="n">
        <v>5.5</v>
      </c>
      <c r="J423" s="1" t="n">
        <v>3</v>
      </c>
      <c r="K423" s="1" t="n">
        <v>6</v>
      </c>
      <c r="L423" s="1" t="n">
        <v>4</v>
      </c>
      <c r="M423" s="1" t="s">
        <v>172</v>
      </c>
    </row>
    <row r="424" customFormat="false" ht="14.25" hidden="true" customHeight="true" outlineLevel="0" collapsed="false">
      <c r="A424" s="1" t="s">
        <v>699</v>
      </c>
      <c r="B424" s="1" t="s">
        <v>774</v>
      </c>
      <c r="C424" s="1" t="s">
        <v>104</v>
      </c>
      <c r="D424" s="1" t="n">
        <v>26</v>
      </c>
      <c r="E424" s="1" t="n">
        <v>47</v>
      </c>
      <c r="F424" s="1" t="s">
        <v>771</v>
      </c>
      <c r="G424" s="1" t="s">
        <v>775</v>
      </c>
      <c r="H424" s="1" t="n">
        <v>4.96868333333333</v>
      </c>
      <c r="I424" s="1" t="n">
        <v>12</v>
      </c>
      <c r="J424" s="1" t="n">
        <v>3</v>
      </c>
      <c r="K424" s="1" t="n">
        <v>6</v>
      </c>
      <c r="L424" s="1" t="n">
        <v>1</v>
      </c>
      <c r="M424" s="1" t="s">
        <v>707</v>
      </c>
    </row>
    <row r="425" customFormat="false" ht="14.25" hidden="true" customHeight="true" outlineLevel="0" collapsed="false">
      <c r="A425" s="1" t="s">
        <v>699</v>
      </c>
      <c r="B425" s="1" t="s">
        <v>726</v>
      </c>
      <c r="C425" s="1" t="s">
        <v>104</v>
      </c>
      <c r="D425" s="1" t="n">
        <v>1</v>
      </c>
      <c r="E425" s="1" t="n">
        <v>47</v>
      </c>
      <c r="F425" s="1" t="s">
        <v>771</v>
      </c>
      <c r="G425" s="1" t="s">
        <v>776</v>
      </c>
      <c r="H425" s="1" t="n">
        <v>4.96868333333333</v>
      </c>
      <c r="I425" s="1" t="n">
        <v>5.5</v>
      </c>
      <c r="J425" s="1" t="n">
        <v>3</v>
      </c>
      <c r="K425" s="1" t="n">
        <v>6</v>
      </c>
      <c r="L425" s="1" t="n">
        <v>1</v>
      </c>
      <c r="M425" s="1" t="s">
        <v>728</v>
      </c>
    </row>
    <row r="426" customFormat="false" ht="14.25" hidden="true" customHeight="true" outlineLevel="0" collapsed="false">
      <c r="A426" s="1" t="s">
        <v>699</v>
      </c>
      <c r="B426" s="1" t="s">
        <v>755</v>
      </c>
      <c r="C426" s="1" t="s">
        <v>156</v>
      </c>
      <c r="D426" s="1" t="n">
        <v>4</v>
      </c>
      <c r="E426" s="1" t="n">
        <v>47</v>
      </c>
      <c r="F426" s="1" t="s">
        <v>771</v>
      </c>
      <c r="G426" s="1" t="s">
        <v>777</v>
      </c>
      <c r="H426" s="1" t="n">
        <v>3.7265125</v>
      </c>
      <c r="I426" s="1" t="n">
        <v>11</v>
      </c>
      <c r="J426" s="1" t="n">
        <v>4</v>
      </c>
      <c r="K426" s="1" t="n">
        <v>6</v>
      </c>
      <c r="L426" s="1" t="n">
        <v>2</v>
      </c>
      <c r="M426" s="1" t="s">
        <v>778</v>
      </c>
    </row>
    <row r="427" customFormat="false" ht="14.25" hidden="true" customHeight="true" outlineLevel="0" collapsed="false">
      <c r="A427" s="1" t="s">
        <v>699</v>
      </c>
      <c r="B427" s="1" t="s">
        <v>779</v>
      </c>
      <c r="C427" s="1" t="s">
        <v>111</v>
      </c>
      <c r="D427" s="1" t="n">
        <v>50</v>
      </c>
      <c r="E427" s="1" t="n">
        <v>51</v>
      </c>
      <c r="F427" s="1" t="s">
        <v>771</v>
      </c>
      <c r="G427" s="1" t="s">
        <v>780</v>
      </c>
      <c r="H427" s="1" t="n">
        <v>16.17465</v>
      </c>
      <c r="I427" s="1" t="n">
        <v>13</v>
      </c>
      <c r="J427" s="1" t="n">
        <v>1</v>
      </c>
      <c r="K427" s="1" t="n">
        <v>6</v>
      </c>
      <c r="L427" s="1" t="n">
        <v>2</v>
      </c>
      <c r="M427" s="1" t="s">
        <v>739</v>
      </c>
    </row>
    <row r="428" customFormat="false" ht="14.25" hidden="true" customHeight="true" outlineLevel="0" collapsed="false">
      <c r="A428" s="1" t="s">
        <v>699</v>
      </c>
      <c r="C428" s="1" t="s">
        <v>104</v>
      </c>
      <c r="D428" s="1" t="n">
        <v>9</v>
      </c>
      <c r="E428" s="1" t="n">
        <v>54</v>
      </c>
      <c r="F428" s="1" t="s">
        <v>771</v>
      </c>
      <c r="G428" s="1" t="s">
        <v>781</v>
      </c>
      <c r="H428" s="1" t="n">
        <v>5.7087</v>
      </c>
      <c r="I428" s="1" t="n">
        <v>25</v>
      </c>
      <c r="J428" s="1" t="n">
        <v>3</v>
      </c>
      <c r="K428" s="1" t="n">
        <v>6</v>
      </c>
      <c r="L428" s="1" t="n">
        <v>5</v>
      </c>
      <c r="M428" s="1" t="s">
        <v>164</v>
      </c>
    </row>
    <row r="429" customFormat="false" ht="14.25" hidden="true" customHeight="true" outlineLevel="0" collapsed="false">
      <c r="A429" s="1" t="s">
        <v>699</v>
      </c>
      <c r="B429" s="1" t="s">
        <v>782</v>
      </c>
      <c r="C429" s="1" t="s">
        <v>111</v>
      </c>
      <c r="D429" s="1" t="n">
        <v>12</v>
      </c>
      <c r="E429" s="1" t="n">
        <v>54</v>
      </c>
      <c r="F429" s="1" t="s">
        <v>255</v>
      </c>
      <c r="G429" s="1" t="s">
        <v>783</v>
      </c>
      <c r="H429" s="1" t="n">
        <v>4.281525</v>
      </c>
      <c r="I429" s="1" t="n">
        <v>6.5</v>
      </c>
      <c r="J429" s="1" t="n">
        <v>4</v>
      </c>
      <c r="K429" s="1" t="n">
        <v>6</v>
      </c>
      <c r="L429" s="1" t="n">
        <v>1</v>
      </c>
      <c r="M429" s="1" t="s">
        <v>784</v>
      </c>
    </row>
    <row r="430" customFormat="false" ht="14.25" hidden="true" customHeight="true" outlineLevel="0" collapsed="false">
      <c r="A430" s="1" t="s">
        <v>699</v>
      </c>
      <c r="B430" s="1" t="s">
        <v>785</v>
      </c>
      <c r="C430" s="1" t="s">
        <v>104</v>
      </c>
      <c r="D430" s="1" t="n">
        <v>27</v>
      </c>
      <c r="E430" s="1" t="n">
        <v>57</v>
      </c>
      <c r="F430" s="1" t="s">
        <v>771</v>
      </c>
      <c r="G430" s="1" t="s">
        <v>786</v>
      </c>
      <c r="H430" s="1" t="n">
        <v>6.02585</v>
      </c>
      <c r="I430" s="1" t="n">
        <v>6.5</v>
      </c>
      <c r="J430" s="1" t="n">
        <v>3</v>
      </c>
      <c r="K430" s="1" t="n">
        <v>6</v>
      </c>
      <c r="L430" s="1" t="n">
        <v>1</v>
      </c>
      <c r="M430" s="1" t="s">
        <v>787</v>
      </c>
    </row>
    <row r="431" customFormat="false" ht="14.25" hidden="true" customHeight="true" outlineLevel="0" collapsed="false">
      <c r="A431" s="1" t="s">
        <v>699</v>
      </c>
      <c r="B431" s="1" t="s">
        <v>726</v>
      </c>
      <c r="C431" s="1" t="s">
        <v>104</v>
      </c>
      <c r="D431" s="1" t="n">
        <v>1</v>
      </c>
      <c r="E431" s="1" t="n">
        <v>47</v>
      </c>
      <c r="F431" s="1" t="s">
        <v>255</v>
      </c>
      <c r="G431" s="1" t="s">
        <v>788</v>
      </c>
      <c r="H431" s="1" t="n">
        <v>7.453025</v>
      </c>
      <c r="I431" s="1" t="n">
        <v>7</v>
      </c>
      <c r="J431" s="1" t="n">
        <v>2</v>
      </c>
      <c r="K431" s="1" t="n">
        <v>6</v>
      </c>
      <c r="L431" s="1" t="n">
        <v>1</v>
      </c>
      <c r="M431" s="1" t="s">
        <v>728</v>
      </c>
    </row>
    <row r="432" customFormat="false" ht="14.25" hidden="true" customHeight="true" outlineLevel="0" collapsed="false">
      <c r="A432" s="1" t="s">
        <v>699</v>
      </c>
      <c r="B432" s="1" t="s">
        <v>785</v>
      </c>
      <c r="C432" s="1" t="s">
        <v>104</v>
      </c>
      <c r="D432" s="1" t="n">
        <v>27</v>
      </c>
      <c r="E432" s="1" t="n">
        <v>57</v>
      </c>
      <c r="F432" s="1" t="s">
        <v>771</v>
      </c>
      <c r="G432" s="1" t="s">
        <v>789</v>
      </c>
      <c r="H432" s="1" t="n">
        <v>6.02585</v>
      </c>
      <c r="I432" s="1" t="n">
        <v>7.5</v>
      </c>
      <c r="J432" s="1" t="n">
        <v>3</v>
      </c>
      <c r="K432" s="1" t="n">
        <v>6</v>
      </c>
      <c r="L432" s="1" t="n">
        <v>1</v>
      </c>
      <c r="M432" s="1" t="s">
        <v>790</v>
      </c>
    </row>
    <row r="433" customFormat="false" ht="14.25" hidden="true" customHeight="true" outlineLevel="0" collapsed="false">
      <c r="A433" s="1" t="s">
        <v>699</v>
      </c>
      <c r="B433" s="1" t="s">
        <v>791</v>
      </c>
      <c r="C433" s="1" t="s">
        <v>104</v>
      </c>
      <c r="D433" s="1" t="n">
        <v>43</v>
      </c>
      <c r="E433" s="1" t="n">
        <v>47</v>
      </c>
      <c r="F433" s="1" t="s">
        <v>771</v>
      </c>
      <c r="G433" s="1" t="s">
        <v>792</v>
      </c>
      <c r="H433" s="1" t="n">
        <v>7.453025</v>
      </c>
      <c r="I433" s="1" t="n">
        <v>6.5</v>
      </c>
      <c r="J433" s="1" t="n">
        <v>2</v>
      </c>
      <c r="K433" s="1" t="n">
        <v>6</v>
      </c>
      <c r="L433" s="1" t="n">
        <v>1</v>
      </c>
      <c r="M433" s="1" t="s">
        <v>793</v>
      </c>
    </row>
    <row r="434" customFormat="false" ht="14.25" hidden="true" customHeight="true" outlineLevel="0" collapsed="false">
      <c r="A434" s="1" t="s">
        <v>699</v>
      </c>
      <c r="C434" s="1" t="s">
        <v>111</v>
      </c>
      <c r="D434" s="1" t="n">
        <v>16</v>
      </c>
      <c r="E434" s="1" t="n">
        <v>57</v>
      </c>
      <c r="F434" s="1" t="s">
        <v>771</v>
      </c>
      <c r="G434" s="1" t="s">
        <v>794</v>
      </c>
      <c r="H434" s="1" t="n">
        <v>6.02585</v>
      </c>
      <c r="I434" s="1" t="n">
        <v>8.5</v>
      </c>
      <c r="J434" s="1" t="n">
        <v>3</v>
      </c>
      <c r="K434" s="1" t="n">
        <v>6</v>
      </c>
      <c r="L434" s="1" t="n">
        <v>1</v>
      </c>
      <c r="M434" s="1" t="s">
        <v>496</v>
      </c>
    </row>
    <row r="435" customFormat="false" ht="14.25" hidden="true" customHeight="true" outlineLevel="0" collapsed="false">
      <c r="A435" s="1" t="s">
        <v>699</v>
      </c>
      <c r="B435" s="1" t="s">
        <v>795</v>
      </c>
      <c r="C435" s="1" t="s">
        <v>111</v>
      </c>
      <c r="D435" s="1" t="n">
        <v>12</v>
      </c>
      <c r="E435" s="1" t="n">
        <v>54</v>
      </c>
      <c r="F435" s="1" t="s">
        <v>771</v>
      </c>
      <c r="G435" s="1" t="s">
        <v>796</v>
      </c>
      <c r="H435" s="1" t="n">
        <v>8.56305</v>
      </c>
      <c r="I435" s="1" t="n">
        <v>6.5</v>
      </c>
      <c r="J435" s="1" t="n">
        <v>2</v>
      </c>
      <c r="K435" s="1" t="n">
        <v>6</v>
      </c>
      <c r="L435" s="1" t="n">
        <v>1</v>
      </c>
      <c r="M435" s="1" t="s">
        <v>797</v>
      </c>
    </row>
    <row r="436" customFormat="false" ht="14.25" hidden="true" customHeight="true" outlineLevel="0" collapsed="false">
      <c r="A436" s="1" t="s">
        <v>699</v>
      </c>
      <c r="B436" s="1" t="s">
        <v>793</v>
      </c>
      <c r="C436" s="1" t="s">
        <v>104</v>
      </c>
      <c r="D436" s="1" t="n">
        <v>43</v>
      </c>
      <c r="E436" s="1" t="n">
        <v>47</v>
      </c>
      <c r="F436" s="1" t="s">
        <v>771</v>
      </c>
      <c r="G436" s="1" t="s">
        <v>798</v>
      </c>
      <c r="H436" s="1" t="n">
        <v>4.96868333333333</v>
      </c>
      <c r="I436" s="1" t="n">
        <v>18</v>
      </c>
      <c r="J436" s="1" t="n">
        <v>3</v>
      </c>
      <c r="K436" s="1" t="n">
        <v>6</v>
      </c>
      <c r="L436" s="1" t="n">
        <v>2</v>
      </c>
      <c r="M436" s="1" t="s">
        <v>791</v>
      </c>
    </row>
    <row r="437" customFormat="false" ht="14.25" hidden="true" customHeight="true" outlineLevel="0" collapsed="false">
      <c r="A437" s="1" t="s">
        <v>699</v>
      </c>
      <c r="B437" s="1" t="s">
        <v>799</v>
      </c>
      <c r="C437" s="1" t="s">
        <v>104</v>
      </c>
      <c r="D437" s="1" t="n">
        <v>47</v>
      </c>
      <c r="E437" s="1" t="n">
        <v>57</v>
      </c>
      <c r="F437" s="1" t="s">
        <v>255</v>
      </c>
      <c r="G437" s="1" t="s">
        <v>800</v>
      </c>
      <c r="H437" s="1" t="n">
        <v>9.038775</v>
      </c>
      <c r="I437" s="1" t="n">
        <v>14</v>
      </c>
      <c r="J437" s="1" t="n">
        <v>2</v>
      </c>
      <c r="K437" s="1" t="n">
        <v>6</v>
      </c>
      <c r="L437" s="1" t="n">
        <v>2</v>
      </c>
      <c r="M437" s="1" t="s">
        <v>758</v>
      </c>
    </row>
    <row r="438" customFormat="false" ht="14.25" hidden="true" customHeight="true" outlineLevel="0" collapsed="false">
      <c r="A438" s="1" t="s">
        <v>699</v>
      </c>
      <c r="B438" s="1" t="s">
        <v>801</v>
      </c>
      <c r="C438" s="1" t="s">
        <v>104</v>
      </c>
      <c r="D438" s="1" t="n">
        <v>42</v>
      </c>
      <c r="E438" s="1" t="n">
        <v>47</v>
      </c>
      <c r="F438" s="1" t="s">
        <v>771</v>
      </c>
      <c r="G438" s="1" t="s">
        <v>802</v>
      </c>
      <c r="H438" s="1" t="n">
        <v>14.90605</v>
      </c>
      <c r="I438" s="1" t="n">
        <v>9.5</v>
      </c>
      <c r="J438" s="1" t="n">
        <v>1</v>
      </c>
      <c r="K438" s="1" t="n">
        <v>6</v>
      </c>
      <c r="L438" s="1" t="n">
        <v>1</v>
      </c>
      <c r="M438" s="1" t="s">
        <v>659</v>
      </c>
    </row>
    <row r="439" customFormat="false" ht="14.25" hidden="true" customHeight="true" outlineLevel="0" collapsed="false">
      <c r="A439" s="1" t="s">
        <v>699</v>
      </c>
      <c r="B439" s="1" t="s">
        <v>803</v>
      </c>
      <c r="C439" s="1" t="s">
        <v>104</v>
      </c>
      <c r="D439" s="1" t="n">
        <v>20</v>
      </c>
      <c r="E439" s="1" t="n">
        <v>63</v>
      </c>
      <c r="F439" s="1" t="s">
        <v>771</v>
      </c>
      <c r="G439" s="1" t="s">
        <v>804</v>
      </c>
      <c r="H439" s="1" t="n">
        <v>9.990225</v>
      </c>
      <c r="I439" s="1" t="n">
        <v>6.5</v>
      </c>
      <c r="J439" s="1" t="n">
        <v>2</v>
      </c>
      <c r="K439" s="1" t="n">
        <v>6</v>
      </c>
      <c r="L439" s="1" t="n">
        <v>1</v>
      </c>
      <c r="M439" s="1" t="s">
        <v>805</v>
      </c>
    </row>
    <row r="440" customFormat="false" ht="14.25" hidden="true" customHeight="true" outlineLevel="0" collapsed="false">
      <c r="A440" s="1" t="s">
        <v>699</v>
      </c>
      <c r="B440" s="1" t="s">
        <v>806</v>
      </c>
      <c r="C440" s="1" t="s">
        <v>104</v>
      </c>
      <c r="D440" s="1" t="n">
        <v>21</v>
      </c>
      <c r="E440" s="1" t="n">
        <v>63</v>
      </c>
      <c r="F440" s="1" t="s">
        <v>771</v>
      </c>
      <c r="G440" s="1" t="s">
        <v>807</v>
      </c>
      <c r="H440" s="1" t="n">
        <v>9.990225</v>
      </c>
      <c r="I440" s="1" t="n">
        <v>7</v>
      </c>
      <c r="J440" s="1" t="n">
        <v>2</v>
      </c>
      <c r="K440" s="1" t="n">
        <v>6</v>
      </c>
      <c r="L440" s="1" t="n">
        <v>1</v>
      </c>
      <c r="M440" s="1" t="s">
        <v>808</v>
      </c>
    </row>
    <row r="441" customFormat="false" ht="14.25" hidden="true" customHeight="true" outlineLevel="0" collapsed="false">
      <c r="A441" s="1" t="s">
        <v>699</v>
      </c>
      <c r="B441" s="1" t="s">
        <v>809</v>
      </c>
      <c r="C441" s="1" t="s">
        <v>111</v>
      </c>
      <c r="D441" s="1" t="n">
        <v>17</v>
      </c>
      <c r="E441" s="1" t="n">
        <v>57</v>
      </c>
      <c r="F441" s="1" t="s">
        <v>771</v>
      </c>
      <c r="G441" s="1" t="s">
        <v>810</v>
      </c>
      <c r="H441" s="1" t="n">
        <v>9.038775</v>
      </c>
      <c r="I441" s="1" t="n">
        <v>10.5</v>
      </c>
      <c r="J441" s="1" t="n">
        <v>2</v>
      </c>
      <c r="K441" s="1" t="n">
        <v>6</v>
      </c>
      <c r="L441" s="1" t="n">
        <v>1</v>
      </c>
      <c r="M441" s="1" t="s">
        <v>809</v>
      </c>
    </row>
    <row r="442" customFormat="false" ht="14.25" hidden="true" customHeight="true" outlineLevel="0" collapsed="false">
      <c r="A442" s="1" t="s">
        <v>699</v>
      </c>
    </row>
    <row r="443" customFormat="false" ht="14.25" hidden="true" customHeight="true" outlineLevel="0" collapsed="false">
      <c r="A443" s="1" t="s">
        <v>699</v>
      </c>
      <c r="C443" s="1" t="s">
        <v>104</v>
      </c>
      <c r="D443" s="1" t="n">
        <v>28</v>
      </c>
      <c r="E443" s="1" t="n">
        <v>63</v>
      </c>
      <c r="F443" s="1" t="s">
        <v>771</v>
      </c>
      <c r="G443" s="1" t="s">
        <v>617</v>
      </c>
      <c r="H443" s="1" t="n">
        <v>6.66015</v>
      </c>
      <c r="I443" s="1" t="n">
        <v>10.5</v>
      </c>
      <c r="J443" s="1" t="n">
        <v>3</v>
      </c>
      <c r="K443" s="1" t="n">
        <v>6</v>
      </c>
      <c r="L443" s="1" t="n">
        <v>1</v>
      </c>
      <c r="M443" s="1" t="s">
        <v>811</v>
      </c>
    </row>
    <row r="444" customFormat="false" ht="14.25" hidden="true" customHeight="true" outlineLevel="0" collapsed="false">
      <c r="A444" s="1" t="s">
        <v>699</v>
      </c>
      <c r="B444" s="1" t="s">
        <v>812</v>
      </c>
      <c r="C444" s="1" t="s">
        <v>104</v>
      </c>
      <c r="D444" s="1" t="n">
        <v>2</v>
      </c>
      <c r="E444" s="1" t="n">
        <v>47</v>
      </c>
      <c r="F444" s="1" t="s">
        <v>771</v>
      </c>
      <c r="G444" s="1" t="s">
        <v>813</v>
      </c>
      <c r="H444" s="1" t="n">
        <v>7.453025</v>
      </c>
      <c r="I444" s="1" t="n">
        <v>10.5</v>
      </c>
      <c r="J444" s="1" t="n">
        <v>2</v>
      </c>
      <c r="L444" s="1" t="n">
        <v>1</v>
      </c>
      <c r="M444" s="1" t="s">
        <v>814</v>
      </c>
    </row>
    <row r="445" customFormat="false" ht="14.25" hidden="true" customHeight="true" outlineLevel="0" collapsed="false">
      <c r="A445" s="1" t="s">
        <v>699</v>
      </c>
      <c r="C445" s="1" t="s">
        <v>104</v>
      </c>
      <c r="D445" s="1" t="n">
        <v>37</v>
      </c>
      <c r="E445" s="1" t="n">
        <v>57</v>
      </c>
      <c r="F445" s="1" t="s">
        <v>255</v>
      </c>
      <c r="G445" s="1" t="s">
        <v>815</v>
      </c>
      <c r="H445" s="1" t="n">
        <v>9.038775</v>
      </c>
      <c r="I445" s="1" t="n">
        <v>11</v>
      </c>
      <c r="J445" s="1" t="n">
        <v>2</v>
      </c>
      <c r="K445" s="1" t="n">
        <v>6</v>
      </c>
      <c r="L445" s="1" t="n">
        <v>1</v>
      </c>
      <c r="M445" s="1" t="s">
        <v>816</v>
      </c>
    </row>
    <row r="446" customFormat="false" ht="14.25" hidden="true" customHeight="true" outlineLevel="0" collapsed="false">
      <c r="A446" s="1" t="s">
        <v>699</v>
      </c>
      <c r="B446" s="1" t="s">
        <v>785</v>
      </c>
      <c r="C446" s="1" t="s">
        <v>104</v>
      </c>
      <c r="D446" s="1" t="n">
        <v>27</v>
      </c>
      <c r="E446" s="1" t="n">
        <v>57</v>
      </c>
      <c r="F446" s="1" t="s">
        <v>771</v>
      </c>
      <c r="G446" s="1" t="s">
        <v>817</v>
      </c>
      <c r="H446" s="1" t="n">
        <v>9.038775</v>
      </c>
      <c r="I446" s="1" t="n">
        <v>11</v>
      </c>
      <c r="J446" s="1" t="n">
        <v>2</v>
      </c>
      <c r="K446" s="1" t="n">
        <v>6</v>
      </c>
      <c r="L446" s="1" t="n">
        <v>1</v>
      </c>
      <c r="M446" s="1" t="s">
        <v>818</v>
      </c>
    </row>
    <row r="447" customFormat="false" ht="14.25" hidden="true" customHeight="true" outlineLevel="0" collapsed="false">
      <c r="A447" s="1" t="s">
        <v>699</v>
      </c>
      <c r="C447" s="1" t="s">
        <v>111</v>
      </c>
      <c r="D447" s="1" t="n">
        <v>22</v>
      </c>
      <c r="E447" s="1" t="n">
        <v>63</v>
      </c>
      <c r="F447" s="1" t="s">
        <v>255</v>
      </c>
      <c r="G447" s="1" t="s">
        <v>819</v>
      </c>
      <c r="H447" s="1" t="n">
        <v>9.990225</v>
      </c>
      <c r="I447" s="1" t="n">
        <v>11</v>
      </c>
      <c r="J447" s="1" t="n">
        <v>2</v>
      </c>
      <c r="L447" s="1" t="n">
        <v>1</v>
      </c>
      <c r="M447" s="1" t="s">
        <v>820</v>
      </c>
    </row>
    <row r="448" customFormat="false" ht="14.25" hidden="true" customHeight="true" outlineLevel="0" collapsed="false">
      <c r="A448" s="1" t="s">
        <v>699</v>
      </c>
      <c r="B448" s="1" t="s">
        <v>706</v>
      </c>
      <c r="C448" s="1" t="s">
        <v>104</v>
      </c>
      <c r="D448" s="1" t="n">
        <v>26</v>
      </c>
      <c r="E448" s="1" t="n">
        <v>47</v>
      </c>
      <c r="F448" s="1" t="s">
        <v>255</v>
      </c>
      <c r="G448" s="1" t="s">
        <v>821</v>
      </c>
      <c r="H448" s="1" t="n">
        <v>4.96868333333333</v>
      </c>
      <c r="I448" s="1" t="n">
        <v>12</v>
      </c>
      <c r="J448" s="1" t="n">
        <v>3</v>
      </c>
      <c r="K448" s="1" t="n">
        <v>6</v>
      </c>
      <c r="L448" s="1" t="n">
        <v>1</v>
      </c>
      <c r="M448" s="1" t="s">
        <v>707</v>
      </c>
    </row>
    <row r="449" customFormat="false" ht="14.25" hidden="true" customHeight="true" outlineLevel="0" collapsed="false">
      <c r="A449" s="1" t="s">
        <v>699</v>
      </c>
      <c r="B449" s="1" t="s">
        <v>822</v>
      </c>
      <c r="C449" s="1" t="s">
        <v>104</v>
      </c>
      <c r="D449" s="1" t="n">
        <v>21</v>
      </c>
      <c r="E449" s="1" t="n">
        <v>63</v>
      </c>
      <c r="F449" s="1" t="s">
        <v>771</v>
      </c>
      <c r="G449" s="1" t="s">
        <v>823</v>
      </c>
      <c r="H449" s="1" t="n">
        <v>9.990225</v>
      </c>
      <c r="I449" s="1" t="n">
        <v>11.5</v>
      </c>
      <c r="J449" s="1" t="n">
        <v>2</v>
      </c>
      <c r="K449" s="1" t="n">
        <v>6</v>
      </c>
      <c r="L449" s="1" t="n">
        <v>1</v>
      </c>
      <c r="M449" s="1" t="s">
        <v>824</v>
      </c>
    </row>
    <row r="450" customFormat="false" ht="14.25" hidden="true" customHeight="true" outlineLevel="0" collapsed="false">
      <c r="A450" s="1" t="s">
        <v>699</v>
      </c>
      <c r="C450" s="1" t="s">
        <v>111</v>
      </c>
      <c r="D450" s="1" t="n">
        <v>22</v>
      </c>
      <c r="E450" s="1" t="n">
        <v>63</v>
      </c>
      <c r="F450" s="1" t="s">
        <v>771</v>
      </c>
      <c r="G450" s="1" t="s">
        <v>825</v>
      </c>
      <c r="H450" s="1" t="n">
        <v>6.66015</v>
      </c>
      <c r="I450" s="1" t="n">
        <v>14</v>
      </c>
      <c r="J450" s="1" t="n">
        <v>3</v>
      </c>
      <c r="L450" s="1" t="n">
        <v>1</v>
      </c>
      <c r="M450" s="1" t="s">
        <v>826</v>
      </c>
    </row>
    <row r="451" customFormat="false" ht="14.25" hidden="true" customHeight="true" outlineLevel="0" collapsed="false">
      <c r="A451" s="1" t="s">
        <v>699</v>
      </c>
      <c r="B451" s="1" t="s">
        <v>530</v>
      </c>
      <c r="C451" s="1" t="s">
        <v>104</v>
      </c>
      <c r="D451" s="1" t="n">
        <v>39</v>
      </c>
      <c r="E451" s="1" t="n">
        <v>63</v>
      </c>
      <c r="F451" s="1" t="s">
        <v>771</v>
      </c>
      <c r="G451" s="1" t="s">
        <v>827</v>
      </c>
      <c r="H451" s="1" t="n">
        <v>9.990225</v>
      </c>
      <c r="I451" s="1" t="n">
        <v>14</v>
      </c>
      <c r="J451" s="1" t="n">
        <v>2</v>
      </c>
      <c r="K451" s="1" t="n">
        <v>6</v>
      </c>
      <c r="L451" s="1" t="n">
        <v>1</v>
      </c>
      <c r="M451" s="1" t="s">
        <v>828</v>
      </c>
    </row>
    <row r="452" customFormat="false" ht="14.25" hidden="true" customHeight="true" outlineLevel="0" collapsed="false">
      <c r="A452" s="1" t="s">
        <v>699</v>
      </c>
      <c r="C452" s="1" t="s">
        <v>104</v>
      </c>
      <c r="D452" s="1" t="n">
        <v>37</v>
      </c>
      <c r="E452" s="1" t="n">
        <v>57</v>
      </c>
      <c r="F452" s="1" t="s">
        <v>255</v>
      </c>
      <c r="G452" s="1" t="s">
        <v>829</v>
      </c>
      <c r="H452" s="1" t="n">
        <v>9.038775</v>
      </c>
      <c r="I452" s="1" t="n">
        <v>14.5</v>
      </c>
      <c r="J452" s="1" t="n">
        <v>2</v>
      </c>
      <c r="K452" s="1" t="n">
        <v>6</v>
      </c>
      <c r="L452" s="1" t="n">
        <v>1</v>
      </c>
      <c r="M452" s="1" t="s">
        <v>582</v>
      </c>
    </row>
    <row r="453" customFormat="false" ht="14.25" hidden="true" customHeight="true" outlineLevel="0" collapsed="false">
      <c r="A453" s="1" t="s">
        <v>699</v>
      </c>
      <c r="B453" s="1" t="s">
        <v>830</v>
      </c>
      <c r="C453" s="1" t="s">
        <v>104</v>
      </c>
      <c r="D453" s="1" t="n">
        <v>26</v>
      </c>
      <c r="E453" s="1" t="n">
        <v>47</v>
      </c>
      <c r="F453" s="1" t="s">
        <v>771</v>
      </c>
      <c r="G453" s="1" t="s">
        <v>831</v>
      </c>
      <c r="H453" s="1" t="n">
        <v>14.90605</v>
      </c>
      <c r="I453" s="1" t="n">
        <v>8.5</v>
      </c>
      <c r="J453" s="1" t="n">
        <v>1</v>
      </c>
      <c r="K453" s="1" t="n">
        <v>6</v>
      </c>
      <c r="L453" s="1" t="n">
        <v>1</v>
      </c>
      <c r="M453" s="1" t="s">
        <v>707</v>
      </c>
    </row>
    <row r="454" customFormat="false" ht="14.25" hidden="true" customHeight="true" outlineLevel="0" collapsed="false">
      <c r="A454" s="1" t="s">
        <v>699</v>
      </c>
      <c r="B454" s="1" t="s">
        <v>832</v>
      </c>
      <c r="C454" s="1" t="s">
        <v>104</v>
      </c>
      <c r="D454" s="1" t="n">
        <v>42</v>
      </c>
      <c r="E454" s="1" t="n">
        <v>47</v>
      </c>
      <c r="F454" s="1" t="s">
        <v>771</v>
      </c>
      <c r="G454" s="1" t="s">
        <v>833</v>
      </c>
      <c r="H454" s="1" t="n">
        <v>14.90605</v>
      </c>
      <c r="I454" s="1" t="n">
        <v>11</v>
      </c>
      <c r="J454" s="1" t="n">
        <v>1</v>
      </c>
      <c r="K454" s="1" t="n">
        <v>6</v>
      </c>
      <c r="L454" s="1" t="n">
        <v>1</v>
      </c>
      <c r="M454" s="1" t="s">
        <v>834</v>
      </c>
    </row>
    <row r="455" customFormat="false" ht="14.25" hidden="true" customHeight="true" outlineLevel="0" collapsed="false">
      <c r="A455" s="1" t="s">
        <v>699</v>
      </c>
      <c r="B455" s="1" t="s">
        <v>835</v>
      </c>
      <c r="C455" s="1" t="s">
        <v>104</v>
      </c>
      <c r="D455" s="1" t="n">
        <v>2</v>
      </c>
      <c r="E455" s="1" t="n">
        <v>47</v>
      </c>
      <c r="F455" s="1" t="s">
        <v>771</v>
      </c>
      <c r="G455" s="1" t="s">
        <v>836</v>
      </c>
      <c r="H455" s="1" t="n">
        <v>14.90605</v>
      </c>
      <c r="I455" s="1" t="n">
        <v>13</v>
      </c>
      <c r="J455" s="1" t="n">
        <v>1</v>
      </c>
      <c r="L455" s="1" t="n">
        <v>1</v>
      </c>
      <c r="M455" s="1" t="s">
        <v>814</v>
      </c>
    </row>
    <row r="456" customFormat="false" ht="14.25" hidden="true" customHeight="true" outlineLevel="0" collapsed="false">
      <c r="A456" s="1" t="s">
        <v>699</v>
      </c>
      <c r="B456" s="1" t="s">
        <v>837</v>
      </c>
      <c r="C456" s="1" t="s">
        <v>111</v>
      </c>
      <c r="D456" s="1" t="n">
        <v>41</v>
      </c>
      <c r="E456" s="1" t="n">
        <v>47</v>
      </c>
      <c r="F456" s="1" t="s">
        <v>771</v>
      </c>
      <c r="G456" s="1" t="s">
        <v>838</v>
      </c>
      <c r="H456" s="1" t="n">
        <v>14.90605</v>
      </c>
      <c r="I456" s="1" t="n">
        <v>13.5</v>
      </c>
      <c r="J456" s="1" t="n">
        <v>1</v>
      </c>
      <c r="K456" s="1" t="n">
        <v>6</v>
      </c>
      <c r="L456" s="1" t="n">
        <v>1</v>
      </c>
      <c r="M456" s="1" t="s">
        <v>839</v>
      </c>
    </row>
    <row r="457" customFormat="false" ht="14.25" hidden="true" customHeight="true" outlineLevel="0" collapsed="false">
      <c r="A457" s="1" t="s">
        <v>699</v>
      </c>
      <c r="B457" s="1" t="s">
        <v>840</v>
      </c>
      <c r="C457" s="1" t="s">
        <v>111</v>
      </c>
      <c r="D457" s="1" t="n">
        <v>17</v>
      </c>
      <c r="E457" s="1" t="n">
        <v>57</v>
      </c>
      <c r="F457" s="1" t="s">
        <v>771</v>
      </c>
      <c r="G457" s="1" t="s">
        <v>841</v>
      </c>
      <c r="H457" s="1" t="n">
        <v>18.07755</v>
      </c>
      <c r="I457" s="1" t="n">
        <v>14.5</v>
      </c>
      <c r="J457" s="1" t="n">
        <v>1</v>
      </c>
      <c r="K457" s="1" t="n">
        <v>6</v>
      </c>
      <c r="L457" s="1" t="n">
        <v>2</v>
      </c>
      <c r="M457" s="1" t="s">
        <v>840</v>
      </c>
    </row>
    <row r="458" customFormat="false" ht="14.25" hidden="true" customHeight="true" outlineLevel="0" collapsed="false">
      <c r="A458" s="1" t="s">
        <v>699</v>
      </c>
      <c r="B458" s="1" t="s">
        <v>842</v>
      </c>
      <c r="C458" s="1" t="s">
        <v>104</v>
      </c>
      <c r="D458" s="1" t="n">
        <v>21</v>
      </c>
      <c r="E458" s="1" t="n">
        <v>63</v>
      </c>
      <c r="F458" s="1" t="s">
        <v>771</v>
      </c>
      <c r="G458" s="1" t="s">
        <v>843</v>
      </c>
      <c r="H458" s="1" t="n">
        <v>2.22005</v>
      </c>
      <c r="I458" s="1" t="n">
        <v>6.5</v>
      </c>
      <c r="J458" s="1" t="n">
        <v>9</v>
      </c>
      <c r="K458" s="1" t="n">
        <v>6</v>
      </c>
      <c r="L458" s="1" t="n">
        <v>1</v>
      </c>
      <c r="M458" s="1" t="s">
        <v>808</v>
      </c>
    </row>
    <row r="459" customFormat="false" ht="14.25" hidden="true" customHeight="true" outlineLevel="0" collapsed="false">
      <c r="A459" s="1" t="s">
        <v>699</v>
      </c>
      <c r="B459" s="1" t="s">
        <v>844</v>
      </c>
      <c r="C459" s="1" t="s">
        <v>104</v>
      </c>
      <c r="D459" s="1" t="n">
        <v>49</v>
      </c>
      <c r="E459" s="1" t="n">
        <v>63</v>
      </c>
      <c r="F459" s="1" t="s">
        <v>771</v>
      </c>
      <c r="G459" s="1" t="s">
        <v>845</v>
      </c>
      <c r="H459" s="1" t="n">
        <v>19.98045</v>
      </c>
      <c r="I459" s="1" t="n">
        <v>9.5</v>
      </c>
      <c r="J459" s="1" t="n">
        <v>1</v>
      </c>
      <c r="K459" s="1" t="n">
        <v>6</v>
      </c>
      <c r="L459" s="1" t="n">
        <v>1</v>
      </c>
      <c r="M459" s="1" t="s">
        <v>846</v>
      </c>
    </row>
    <row r="460" customFormat="false" ht="14.25" hidden="true" customHeight="true" outlineLevel="0" collapsed="false">
      <c r="A460" s="1" t="s">
        <v>699</v>
      </c>
      <c r="C460" s="1" t="s">
        <v>104</v>
      </c>
      <c r="D460" s="1" t="n">
        <v>36</v>
      </c>
      <c r="E460" s="1" t="n">
        <v>51</v>
      </c>
      <c r="F460" s="1" t="s">
        <v>771</v>
      </c>
      <c r="G460" s="1" t="s">
        <v>847</v>
      </c>
      <c r="H460" s="1" t="n">
        <v>5.39155</v>
      </c>
      <c r="I460" s="1" t="n">
        <v>230</v>
      </c>
      <c r="J460" s="1" t="n">
        <v>3</v>
      </c>
      <c r="K460" s="1" t="n">
        <v>6</v>
      </c>
      <c r="L460" s="1" t="n">
        <v>1</v>
      </c>
      <c r="M460" s="1" t="s">
        <v>172</v>
      </c>
    </row>
    <row r="461" customFormat="false" ht="14.25" hidden="true" customHeight="true" outlineLevel="0" collapsed="false">
      <c r="A461" s="1" t="s">
        <v>699</v>
      </c>
      <c r="B461" s="1" t="s">
        <v>848</v>
      </c>
      <c r="C461" s="1" t="s">
        <v>111</v>
      </c>
      <c r="D461" s="1" t="n">
        <v>25</v>
      </c>
      <c r="E461" s="1" t="n">
        <v>98</v>
      </c>
      <c r="F461" s="1" t="s">
        <v>771</v>
      </c>
      <c r="G461" s="1" t="s">
        <v>849</v>
      </c>
      <c r="H461" s="1" t="n">
        <v>31.0807</v>
      </c>
      <c r="I461" s="1" t="n">
        <v>11</v>
      </c>
      <c r="J461" s="1" t="n">
        <v>1</v>
      </c>
      <c r="K461" s="1" t="n">
        <v>6</v>
      </c>
      <c r="L461" s="1" t="n">
        <v>3</v>
      </c>
      <c r="M461" s="1" t="s">
        <v>850</v>
      </c>
    </row>
    <row r="462" customFormat="false" ht="14.25" hidden="true" customHeight="true" outlineLevel="0" collapsed="false">
      <c r="A462" s="1" t="s">
        <v>699</v>
      </c>
      <c r="C462" s="1" t="s">
        <v>104</v>
      </c>
      <c r="D462" s="1" t="n">
        <v>35</v>
      </c>
      <c r="E462" s="1" t="n">
        <v>98</v>
      </c>
      <c r="F462" s="1" t="s">
        <v>771</v>
      </c>
      <c r="G462" s="1" t="s">
        <v>851</v>
      </c>
      <c r="H462" s="1" t="n">
        <v>31.0807</v>
      </c>
      <c r="I462" s="1" t="n">
        <v>12.5</v>
      </c>
      <c r="J462" s="1" t="n">
        <v>1</v>
      </c>
      <c r="K462" s="1" t="n">
        <v>6</v>
      </c>
      <c r="L462" s="1" t="n">
        <v>3</v>
      </c>
      <c r="M462" s="1" t="s">
        <v>172</v>
      </c>
    </row>
    <row r="463" customFormat="false" ht="14.25" hidden="true" customHeight="true" outlineLevel="0" collapsed="false">
      <c r="A463" s="1" t="s">
        <v>699</v>
      </c>
      <c r="B463" s="1" t="s">
        <v>852</v>
      </c>
      <c r="C463" s="1" t="s">
        <v>111</v>
      </c>
      <c r="D463" s="1" t="n">
        <v>25</v>
      </c>
      <c r="E463" s="1" t="n">
        <v>98</v>
      </c>
      <c r="F463" s="1" t="s">
        <v>771</v>
      </c>
      <c r="G463" s="1" t="s">
        <v>853</v>
      </c>
      <c r="H463" s="1" t="n">
        <v>31.0807</v>
      </c>
      <c r="I463" s="1" t="n">
        <v>13</v>
      </c>
      <c r="J463" s="1" t="n">
        <v>1</v>
      </c>
      <c r="K463" s="1" t="n">
        <v>6</v>
      </c>
      <c r="L463" s="1" t="n">
        <v>2</v>
      </c>
      <c r="M463" s="1" t="s">
        <v>854</v>
      </c>
    </row>
    <row r="464" customFormat="false" ht="14.25" hidden="true" customHeight="true" outlineLevel="0" collapsed="false">
      <c r="A464" s="1" t="s">
        <v>699</v>
      </c>
      <c r="B464" s="1" t="s">
        <v>855</v>
      </c>
      <c r="C464" s="1" t="s">
        <v>104</v>
      </c>
      <c r="D464" s="1" t="n">
        <v>46</v>
      </c>
      <c r="E464" s="1" t="n">
        <v>63</v>
      </c>
      <c r="F464" s="1" t="s">
        <v>771</v>
      </c>
      <c r="G464" s="1" t="s">
        <v>856</v>
      </c>
      <c r="H464" s="1" t="n">
        <v>9.990225</v>
      </c>
      <c r="I464" s="1" t="n">
        <v>13</v>
      </c>
      <c r="J464" s="1" t="n">
        <v>2</v>
      </c>
      <c r="K464" s="1" t="n">
        <v>6</v>
      </c>
      <c r="L464" s="1" t="n">
        <v>1</v>
      </c>
      <c r="M464" s="1" t="s">
        <v>739</v>
      </c>
    </row>
    <row r="465" customFormat="false" ht="14.25" hidden="true" customHeight="true" outlineLevel="0" collapsed="false">
      <c r="A465" s="1" t="s">
        <v>699</v>
      </c>
      <c r="B465" s="1" t="s">
        <v>857</v>
      </c>
      <c r="C465" s="1" t="s">
        <v>104</v>
      </c>
      <c r="D465" s="1" t="n">
        <v>46</v>
      </c>
      <c r="E465" s="1" t="n">
        <v>63</v>
      </c>
      <c r="F465" s="1" t="s">
        <v>771</v>
      </c>
      <c r="G465" s="1" t="s">
        <v>858</v>
      </c>
      <c r="H465" s="1" t="n">
        <v>6.66015</v>
      </c>
      <c r="I465" s="1" t="n">
        <v>13</v>
      </c>
      <c r="J465" s="1" t="n">
        <v>3</v>
      </c>
      <c r="K465" s="1" t="n">
        <v>6</v>
      </c>
      <c r="L465" s="1" t="n">
        <v>1</v>
      </c>
      <c r="M465" s="1" t="s">
        <v>859</v>
      </c>
    </row>
    <row r="466" customFormat="false" ht="14.25" hidden="true" customHeight="true" outlineLevel="0" collapsed="false">
      <c r="A466" s="1" t="s">
        <v>699</v>
      </c>
    </row>
    <row r="467" customFormat="false" ht="14.25" hidden="true" customHeight="true" outlineLevel="0" collapsed="false">
      <c r="A467" s="1" t="s">
        <v>699</v>
      </c>
      <c r="C467" s="1" t="s">
        <v>104</v>
      </c>
      <c r="D467" s="1" t="n">
        <v>6</v>
      </c>
      <c r="E467" s="1" t="n">
        <v>50</v>
      </c>
      <c r="F467" s="1" t="s">
        <v>23</v>
      </c>
      <c r="G467" s="1" t="s">
        <v>722</v>
      </c>
      <c r="H467" s="1" t="n">
        <v>5.3</v>
      </c>
      <c r="I467" s="1" t="n">
        <v>25</v>
      </c>
      <c r="J467" s="1" t="n">
        <v>3</v>
      </c>
      <c r="K467" s="1" t="n">
        <v>2</v>
      </c>
      <c r="L467" s="1" t="n">
        <v>4</v>
      </c>
      <c r="M467" s="1" t="s">
        <v>349</v>
      </c>
    </row>
    <row r="468" customFormat="false" ht="14.25" hidden="true" customHeight="true" outlineLevel="0" collapsed="false">
      <c r="A468" s="1" t="s">
        <v>699</v>
      </c>
      <c r="C468" s="1" t="s">
        <v>111</v>
      </c>
      <c r="D468" s="1" t="n">
        <v>40</v>
      </c>
      <c r="E468" s="1" t="n">
        <v>51</v>
      </c>
      <c r="F468" s="1" t="s">
        <v>406</v>
      </c>
      <c r="G468" s="1" t="s">
        <v>860</v>
      </c>
      <c r="H468" s="1" t="n">
        <v>2.7</v>
      </c>
      <c r="I468" s="1" t="n">
        <v>11</v>
      </c>
      <c r="J468" s="1" t="n">
        <v>6</v>
      </c>
    </row>
    <row r="469" customFormat="false" ht="14.25" hidden="true" customHeight="true" outlineLevel="0" collapsed="false">
      <c r="A469" s="1" t="s">
        <v>699</v>
      </c>
      <c r="C469" s="1" t="s">
        <v>111</v>
      </c>
      <c r="D469" s="1" t="n">
        <v>40</v>
      </c>
      <c r="E469" s="1" t="n">
        <v>51</v>
      </c>
      <c r="F469" s="1" t="s">
        <v>406</v>
      </c>
      <c r="G469" s="1" t="s">
        <v>735</v>
      </c>
      <c r="H469" s="1" t="n">
        <v>3.9</v>
      </c>
      <c r="I469" s="1" t="n">
        <v>11</v>
      </c>
      <c r="J469" s="1" t="n">
        <v>6</v>
      </c>
    </row>
    <row r="470" customFormat="false" ht="14.25" hidden="true" customHeight="true" outlineLevel="0" collapsed="false">
      <c r="A470" s="1" t="s">
        <v>699</v>
      </c>
      <c r="C470" s="1" t="s">
        <v>104</v>
      </c>
      <c r="D470" s="1" t="n">
        <v>40</v>
      </c>
      <c r="E470" s="1" t="n">
        <v>63</v>
      </c>
      <c r="F470" s="1" t="s">
        <v>406</v>
      </c>
      <c r="G470" s="1" t="s">
        <v>743</v>
      </c>
      <c r="H470" s="1" t="n">
        <v>3.3</v>
      </c>
      <c r="I470" s="1" t="n">
        <v>25</v>
      </c>
      <c r="J470" s="1" t="n">
        <v>6</v>
      </c>
    </row>
    <row r="471" customFormat="false" ht="14.25" hidden="true" customHeight="true" outlineLevel="0" collapsed="false">
      <c r="A471" s="1" t="s">
        <v>861</v>
      </c>
      <c r="C471" s="1" t="s">
        <v>104</v>
      </c>
      <c r="D471" s="1" t="n">
        <v>41</v>
      </c>
      <c r="E471" s="1" t="n">
        <v>64</v>
      </c>
      <c r="F471" s="1" t="s">
        <v>862</v>
      </c>
    </row>
    <row r="472" customFormat="false" ht="14.25" hidden="true" customHeight="true" outlineLevel="0" collapsed="false">
      <c r="A472" s="1" t="s">
        <v>861</v>
      </c>
      <c r="B472" s="1" t="s">
        <v>863</v>
      </c>
      <c r="C472" s="1" t="s">
        <v>104</v>
      </c>
      <c r="D472" s="1" t="n">
        <v>4</v>
      </c>
      <c r="E472" s="1" t="n">
        <v>69</v>
      </c>
      <c r="F472" s="1" t="s">
        <v>160</v>
      </c>
      <c r="G472" s="1" t="s">
        <v>365</v>
      </c>
      <c r="H472" s="1" t="n">
        <v>7.29445</v>
      </c>
      <c r="I472" s="1" t="n">
        <v>10.5</v>
      </c>
      <c r="J472" s="1" t="n">
        <v>3</v>
      </c>
      <c r="K472" s="1" t="n">
        <v>6</v>
      </c>
      <c r="L472" s="1" t="n">
        <v>1</v>
      </c>
      <c r="M472" s="1" t="s">
        <v>635</v>
      </c>
    </row>
    <row r="473" customFormat="false" ht="14.25" hidden="true" customHeight="true" outlineLevel="0" collapsed="false">
      <c r="A473" s="1" t="s">
        <v>861</v>
      </c>
      <c r="B473" s="1" t="s">
        <v>864</v>
      </c>
      <c r="C473" s="1" t="s">
        <v>104</v>
      </c>
      <c r="D473" s="1" t="n">
        <v>4</v>
      </c>
      <c r="E473" s="1" t="n">
        <v>69</v>
      </c>
      <c r="F473" s="1" t="s">
        <v>160</v>
      </c>
      <c r="G473" s="1" t="s">
        <v>863</v>
      </c>
      <c r="H473" s="1" t="n">
        <v>10.941675</v>
      </c>
      <c r="I473" s="1" t="n">
        <v>13.5</v>
      </c>
      <c r="J473" s="1" t="n">
        <v>2</v>
      </c>
      <c r="K473" s="1" t="n">
        <v>6</v>
      </c>
      <c r="L473" s="1" t="n">
        <v>1</v>
      </c>
      <c r="M473" s="1" t="s">
        <v>635</v>
      </c>
    </row>
    <row r="474" customFormat="false" ht="14.25" hidden="true" customHeight="true" outlineLevel="0" collapsed="false">
      <c r="A474" s="1" t="s">
        <v>861</v>
      </c>
      <c r="B474" s="1" t="s">
        <v>760</v>
      </c>
      <c r="C474" s="1" t="s">
        <v>104</v>
      </c>
      <c r="D474" s="1" t="n">
        <v>3</v>
      </c>
      <c r="E474" s="1" t="n">
        <v>63</v>
      </c>
      <c r="F474" s="1" t="s">
        <v>160</v>
      </c>
      <c r="G474" s="1" t="s">
        <v>865</v>
      </c>
      <c r="H474" s="1" t="n">
        <v>19.98045</v>
      </c>
      <c r="I474" s="1" t="n">
        <v>10</v>
      </c>
      <c r="J474" s="1" t="n">
        <v>1</v>
      </c>
      <c r="K474" s="1" t="n">
        <v>6</v>
      </c>
      <c r="L474" s="1" t="n">
        <v>1</v>
      </c>
      <c r="M474" s="1" t="s">
        <v>760</v>
      </c>
    </row>
    <row r="475" customFormat="false" ht="14.25" hidden="true" customHeight="true" outlineLevel="0" collapsed="false">
      <c r="A475" s="1" t="s">
        <v>861</v>
      </c>
      <c r="B475" s="1" t="s">
        <v>866</v>
      </c>
      <c r="C475" s="1" t="s">
        <v>104</v>
      </c>
      <c r="D475" s="1" t="n">
        <v>3</v>
      </c>
      <c r="E475" s="1" t="n">
        <v>66</v>
      </c>
      <c r="F475" s="1" t="s">
        <v>160</v>
      </c>
      <c r="G475" s="1" t="s">
        <v>867</v>
      </c>
      <c r="H475" s="1" t="n">
        <v>20.9319</v>
      </c>
      <c r="I475" s="1" t="n">
        <v>15.5</v>
      </c>
      <c r="J475" s="1" t="n">
        <v>1</v>
      </c>
      <c r="K475" s="1" t="n">
        <v>6</v>
      </c>
      <c r="L475" s="1" t="n">
        <v>1</v>
      </c>
      <c r="M475" s="1" t="s">
        <v>741</v>
      </c>
    </row>
    <row r="476" customFormat="false" ht="14.25" hidden="true" customHeight="true" outlineLevel="0" collapsed="false">
      <c r="A476" s="1" t="s">
        <v>861</v>
      </c>
      <c r="B476" s="1" t="s">
        <v>868</v>
      </c>
      <c r="C476" s="1" t="s">
        <v>104</v>
      </c>
      <c r="D476" s="1" t="n">
        <v>5</v>
      </c>
      <c r="E476" s="1" t="n">
        <v>78</v>
      </c>
      <c r="F476" s="1" t="s">
        <v>160</v>
      </c>
      <c r="G476" s="1" t="s">
        <v>869</v>
      </c>
      <c r="H476" s="1" t="n">
        <v>12.36885</v>
      </c>
      <c r="I476" s="1" t="n">
        <v>10.5</v>
      </c>
      <c r="J476" s="1" t="n">
        <v>2</v>
      </c>
      <c r="K476" s="1" t="n">
        <v>6</v>
      </c>
      <c r="L476" s="1" t="n">
        <v>1</v>
      </c>
      <c r="M476" s="1" t="s">
        <v>868</v>
      </c>
    </row>
    <row r="477" customFormat="false" ht="14.25" hidden="true" customHeight="true" outlineLevel="0" collapsed="false">
      <c r="A477" s="1" t="s">
        <v>861</v>
      </c>
    </row>
    <row r="478" customFormat="false" ht="14.25" hidden="true" customHeight="true" outlineLevel="0" collapsed="false">
      <c r="A478" s="1" t="s">
        <v>861</v>
      </c>
    </row>
    <row r="479" customFormat="false" ht="14.25" hidden="true" customHeight="true" outlineLevel="0" collapsed="false">
      <c r="A479" s="1" t="s">
        <v>861</v>
      </c>
      <c r="B479" s="1" t="s">
        <v>870</v>
      </c>
      <c r="C479" s="1" t="s">
        <v>104</v>
      </c>
      <c r="D479" s="1" t="n">
        <v>7</v>
      </c>
      <c r="E479" s="1" t="n">
        <v>74</v>
      </c>
      <c r="F479" s="1" t="s">
        <v>255</v>
      </c>
      <c r="G479" s="1" t="s">
        <v>871</v>
      </c>
      <c r="H479" s="1" t="n">
        <v>5.867275</v>
      </c>
      <c r="I479" s="1" t="n">
        <v>8.5</v>
      </c>
      <c r="J479" s="1" t="n">
        <v>4</v>
      </c>
      <c r="K479" s="1" t="n">
        <v>6</v>
      </c>
      <c r="L479" s="1" t="n">
        <v>1</v>
      </c>
      <c r="M479" s="1" t="s">
        <v>872</v>
      </c>
    </row>
    <row r="480" customFormat="false" ht="14.25" hidden="true" customHeight="true" outlineLevel="0" collapsed="false">
      <c r="A480" s="1" t="s">
        <v>861</v>
      </c>
      <c r="B480" s="1" t="s">
        <v>870</v>
      </c>
      <c r="C480" s="1" t="s">
        <v>104</v>
      </c>
      <c r="D480" s="1" t="n">
        <v>7</v>
      </c>
      <c r="E480" s="1" t="n">
        <v>74</v>
      </c>
      <c r="F480" s="1" t="s">
        <v>255</v>
      </c>
      <c r="G480" s="1" t="s">
        <v>873</v>
      </c>
      <c r="H480" s="1" t="n">
        <v>11.73455</v>
      </c>
      <c r="I480" s="1" t="n">
        <v>8</v>
      </c>
      <c r="J480" s="1" t="n">
        <v>2</v>
      </c>
      <c r="K480" s="1" t="n">
        <v>6</v>
      </c>
      <c r="L480" s="1" t="n">
        <v>1</v>
      </c>
      <c r="M480" s="1" t="s">
        <v>874</v>
      </c>
    </row>
    <row r="481" customFormat="false" ht="14.25" hidden="true" customHeight="true" outlineLevel="0" collapsed="false">
      <c r="A481" s="1" t="s">
        <v>861</v>
      </c>
      <c r="C481" s="1" t="s">
        <v>104</v>
      </c>
      <c r="D481" s="1" t="n">
        <v>6</v>
      </c>
      <c r="E481" s="1" t="n">
        <v>78</v>
      </c>
      <c r="F481" s="1" t="s">
        <v>771</v>
      </c>
      <c r="G481" s="1" t="s">
        <v>875</v>
      </c>
      <c r="H481" s="1" t="n">
        <v>12.36885</v>
      </c>
      <c r="I481" s="1" t="n">
        <v>17.5</v>
      </c>
      <c r="J481" s="1" t="n">
        <v>2</v>
      </c>
      <c r="K481" s="1" t="n">
        <v>5</v>
      </c>
      <c r="L481" s="1" t="n">
        <v>2</v>
      </c>
      <c r="M481" s="1" t="s">
        <v>876</v>
      </c>
    </row>
    <row r="482" customFormat="false" ht="14.25" hidden="true" customHeight="true" outlineLevel="0" collapsed="false">
      <c r="A482" s="1" t="s">
        <v>861</v>
      </c>
      <c r="C482" s="1" t="s">
        <v>104</v>
      </c>
      <c r="D482" s="1" t="n">
        <v>6</v>
      </c>
      <c r="E482" s="1" t="n">
        <v>78</v>
      </c>
      <c r="F482" s="1" t="s">
        <v>771</v>
      </c>
      <c r="G482" s="1" t="s">
        <v>877</v>
      </c>
      <c r="H482" s="1" t="n">
        <v>6.184425</v>
      </c>
      <c r="I482" s="1" t="n">
        <v>21</v>
      </c>
      <c r="J482" s="1" t="n">
        <v>4</v>
      </c>
      <c r="K482" s="1" t="n">
        <v>6</v>
      </c>
      <c r="L482" s="1" t="n">
        <v>2</v>
      </c>
      <c r="M482" s="1" t="s">
        <v>878</v>
      </c>
    </row>
    <row r="483" customFormat="false" ht="14.25" hidden="true" customHeight="true" outlineLevel="0" collapsed="false">
      <c r="A483" s="1" t="s">
        <v>861</v>
      </c>
      <c r="B483" s="1" t="s">
        <v>879</v>
      </c>
      <c r="C483" s="1" t="s">
        <v>104</v>
      </c>
      <c r="D483" s="1" t="n">
        <v>7</v>
      </c>
      <c r="E483" s="1" t="n">
        <v>74</v>
      </c>
      <c r="F483" s="1" t="s">
        <v>255</v>
      </c>
      <c r="G483" s="1" t="s">
        <v>880</v>
      </c>
      <c r="H483" s="1" t="n">
        <v>11.73455</v>
      </c>
      <c r="I483" s="1" t="n">
        <v>7.5</v>
      </c>
      <c r="J483" s="1" t="n">
        <v>2</v>
      </c>
      <c r="K483" s="1" t="n">
        <v>6</v>
      </c>
      <c r="L483" s="1" t="n">
        <v>1</v>
      </c>
      <c r="M483" s="1" t="s">
        <v>881</v>
      </c>
    </row>
    <row r="484" customFormat="false" ht="14.25" hidden="true" customHeight="true" outlineLevel="0" collapsed="false">
      <c r="A484" s="1" t="s">
        <v>861</v>
      </c>
      <c r="B484" s="1" t="s">
        <v>867</v>
      </c>
      <c r="C484" s="1" t="s">
        <v>104</v>
      </c>
      <c r="D484" s="1" t="n">
        <v>3</v>
      </c>
      <c r="E484" s="1" t="n">
        <v>66</v>
      </c>
      <c r="F484" s="1" t="s">
        <v>771</v>
      </c>
      <c r="G484" s="1" t="s">
        <v>882</v>
      </c>
      <c r="H484" s="1" t="n">
        <v>10.46595</v>
      </c>
      <c r="I484" s="1" t="n">
        <v>10</v>
      </c>
      <c r="J484" s="1" t="n">
        <v>2</v>
      </c>
      <c r="K484" s="1" t="n">
        <v>6</v>
      </c>
      <c r="L484" s="1" t="n">
        <v>1</v>
      </c>
      <c r="M484" s="1" t="s">
        <v>868</v>
      </c>
    </row>
    <row r="485" customFormat="false" ht="14.25" hidden="true" customHeight="true" outlineLevel="0" collapsed="false">
      <c r="A485" s="1" t="s">
        <v>861</v>
      </c>
      <c r="B485" s="1" t="s">
        <v>866</v>
      </c>
      <c r="C485" s="1" t="s">
        <v>104</v>
      </c>
      <c r="D485" s="1" t="n">
        <v>5</v>
      </c>
      <c r="E485" s="1" t="n">
        <v>78</v>
      </c>
      <c r="F485" s="1" t="s">
        <v>255</v>
      </c>
      <c r="G485" s="1" t="s">
        <v>883</v>
      </c>
      <c r="H485" s="1" t="n">
        <v>12.36885</v>
      </c>
      <c r="I485" s="1" t="n">
        <v>10.5</v>
      </c>
      <c r="J485" s="1" t="n">
        <v>2</v>
      </c>
      <c r="K485" s="1" t="n">
        <v>6</v>
      </c>
      <c r="L485" s="1" t="n">
        <v>1</v>
      </c>
      <c r="M485" s="1" t="s">
        <v>741</v>
      </c>
    </row>
    <row r="486" customFormat="false" ht="14.25" hidden="true" customHeight="true" outlineLevel="0" collapsed="false">
      <c r="A486" s="1" t="s">
        <v>861</v>
      </c>
      <c r="B486" s="1" t="s">
        <v>884</v>
      </c>
      <c r="C486" s="1" t="s">
        <v>104</v>
      </c>
      <c r="D486" s="1" t="n">
        <v>2</v>
      </c>
      <c r="E486" s="1" t="n">
        <v>86</v>
      </c>
      <c r="F486" s="1" t="s">
        <v>255</v>
      </c>
      <c r="G486" s="1" t="s">
        <v>885</v>
      </c>
      <c r="H486" s="1" t="n">
        <v>9.09163333333333</v>
      </c>
      <c r="I486" s="1" t="n">
        <v>15.5</v>
      </c>
      <c r="J486" s="1" t="n">
        <v>3</v>
      </c>
      <c r="K486" s="1" t="n">
        <v>6</v>
      </c>
      <c r="L486" s="1" t="n">
        <v>1</v>
      </c>
      <c r="M486" s="1" t="s">
        <v>643</v>
      </c>
    </row>
    <row r="487" customFormat="false" ht="14.25" hidden="true" customHeight="true" outlineLevel="0" collapsed="false">
      <c r="A487" s="1" t="s">
        <v>861</v>
      </c>
      <c r="B487" s="1" t="s">
        <v>886</v>
      </c>
      <c r="C487" s="1" t="s">
        <v>104</v>
      </c>
      <c r="D487" s="1" t="n">
        <v>2</v>
      </c>
      <c r="E487" s="1" t="n">
        <v>63</v>
      </c>
      <c r="F487" s="1" t="s">
        <v>255</v>
      </c>
      <c r="G487" s="1" t="s">
        <v>845</v>
      </c>
      <c r="H487" s="1" t="n">
        <v>19.98045</v>
      </c>
      <c r="I487" s="1" t="n">
        <v>11.5</v>
      </c>
      <c r="J487" s="1" t="n">
        <v>1</v>
      </c>
      <c r="K487" s="1" t="n">
        <v>6</v>
      </c>
      <c r="L487" s="1" t="n">
        <v>1</v>
      </c>
      <c r="M487" s="1" t="s">
        <v>172</v>
      </c>
    </row>
    <row r="488" customFormat="false" ht="14.25" hidden="true" customHeight="true" outlineLevel="0" collapsed="false">
      <c r="A488" s="1" t="s">
        <v>861</v>
      </c>
      <c r="B488" s="1" t="s">
        <v>887</v>
      </c>
      <c r="C488" s="1" t="s">
        <v>104</v>
      </c>
      <c r="D488" s="1" t="n">
        <v>1</v>
      </c>
      <c r="E488" s="1" t="n">
        <v>96</v>
      </c>
      <c r="F488" s="1" t="s">
        <v>771</v>
      </c>
      <c r="G488" s="1" t="s">
        <v>888</v>
      </c>
      <c r="H488" s="1" t="n">
        <v>30.4464</v>
      </c>
      <c r="I488" s="1" t="n">
        <v>11</v>
      </c>
      <c r="J488" s="1" t="n">
        <v>1</v>
      </c>
      <c r="K488" s="1" t="n">
        <v>6</v>
      </c>
      <c r="L488" s="1" t="n">
        <v>3</v>
      </c>
      <c r="M488" s="1" t="s">
        <v>887</v>
      </c>
    </row>
    <row r="489" customFormat="false" ht="14.25" hidden="true" customHeight="true" outlineLevel="0" collapsed="false">
      <c r="A489" s="1" t="s">
        <v>861</v>
      </c>
      <c r="B489" s="1" t="s">
        <v>889</v>
      </c>
      <c r="C489" s="1" t="s">
        <v>104</v>
      </c>
      <c r="D489" s="1" t="n">
        <v>1</v>
      </c>
      <c r="E489" s="1" t="n">
        <v>96</v>
      </c>
      <c r="F489" s="1" t="s">
        <v>771</v>
      </c>
      <c r="G489" s="1" t="s">
        <v>890</v>
      </c>
      <c r="H489" s="1" t="n">
        <v>30.4464</v>
      </c>
      <c r="I489" s="1" t="n">
        <v>6.5</v>
      </c>
      <c r="J489" s="1" t="n">
        <v>1</v>
      </c>
      <c r="K489" s="1" t="n">
        <v>6</v>
      </c>
      <c r="L489" s="1" t="n">
        <v>2</v>
      </c>
      <c r="M489" s="1" t="s">
        <v>889</v>
      </c>
    </row>
    <row r="490" customFormat="false" ht="14.25" hidden="true" customHeight="true" outlineLevel="0" collapsed="false">
      <c r="A490" s="1" t="s">
        <v>861</v>
      </c>
    </row>
    <row r="491" customFormat="false" ht="14.25" hidden="true" customHeight="true" outlineLevel="0" collapsed="false">
      <c r="A491" s="1" t="s">
        <v>861</v>
      </c>
      <c r="B491" s="1" t="s">
        <v>891</v>
      </c>
      <c r="C491" s="1" t="s">
        <v>111</v>
      </c>
      <c r="D491" s="1" t="n">
        <v>8</v>
      </c>
      <c r="E491" s="1" t="n">
        <v>74</v>
      </c>
      <c r="F491" s="1" t="s">
        <v>892</v>
      </c>
      <c r="G491" s="1" t="s">
        <v>720</v>
      </c>
      <c r="H491" s="1" t="n">
        <v>5.867275</v>
      </c>
      <c r="I491" s="1" t="n">
        <v>9</v>
      </c>
      <c r="J491" s="1" t="n">
        <v>4</v>
      </c>
      <c r="K491" s="1" t="n">
        <v>6</v>
      </c>
      <c r="L491" s="1" t="n">
        <v>1</v>
      </c>
      <c r="M491" s="1" t="s">
        <v>893</v>
      </c>
    </row>
    <row r="492" customFormat="false" ht="14.25" hidden="true" customHeight="true" outlineLevel="0" collapsed="false">
      <c r="A492" s="1" t="s">
        <v>861</v>
      </c>
      <c r="B492" s="1" t="s">
        <v>894</v>
      </c>
      <c r="C492" s="1" t="s">
        <v>111</v>
      </c>
      <c r="D492" s="1" t="n">
        <v>8</v>
      </c>
      <c r="E492" s="1" t="n">
        <v>74</v>
      </c>
      <c r="F492" s="1" t="s">
        <v>892</v>
      </c>
      <c r="G492" s="1" t="s">
        <v>895</v>
      </c>
      <c r="H492" s="1" t="n">
        <v>11.73455</v>
      </c>
      <c r="I492" s="1" t="n">
        <v>8</v>
      </c>
      <c r="J492" s="1" t="n">
        <v>2</v>
      </c>
      <c r="K492" s="1" t="n">
        <v>6</v>
      </c>
      <c r="L492" s="1" t="n">
        <v>1</v>
      </c>
      <c r="M492" s="1" t="s">
        <v>896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3" activeCellId="0" sqref="A3"/>
    </sheetView>
  </sheetViews>
  <sheetFormatPr defaultColWidth="8.59765625" defaultRowHeight="14.25" zeroHeight="false" outlineLevelRow="0" outlineLevelCol="0"/>
  <cols>
    <col collapsed="false" customWidth="true" hidden="false" outlineLevel="0" max="2" min="2" style="1" width="11.33"/>
    <col collapsed="false" customWidth="true" hidden="false" outlineLevel="0" max="4" min="3" style="1" width="14.11"/>
    <col collapsed="false" customWidth="true" hidden="false" outlineLevel="0" max="5" min="5" style="1" width="11.55"/>
  </cols>
  <sheetData>
    <row r="1" customFormat="false" ht="14.25" hidden="false" customHeight="true" outlineLevel="0" collapsed="false">
      <c r="A1" s="1" t="s">
        <v>69</v>
      </c>
    </row>
    <row r="2" customFormat="false" ht="14.25" hidden="false" customHeight="true" outlineLevel="0" collapsed="false">
      <c r="A2" s="118" t="s">
        <v>19</v>
      </c>
      <c r="B2" s="118" t="s">
        <v>897</v>
      </c>
      <c r="C2" s="118" t="s">
        <v>898</v>
      </c>
      <c r="D2" s="118" t="s">
        <v>899</v>
      </c>
      <c r="E2" s="118" t="s">
        <v>900</v>
      </c>
      <c r="F2" s="119" t="s">
        <v>53</v>
      </c>
    </row>
    <row r="3" customFormat="false" ht="14.25" hidden="false" customHeight="true" outlineLevel="0" collapsed="false">
      <c r="A3" s="118" t="n">
        <f aca="false">ORÇAMENTO!C10</f>
        <v>60</v>
      </c>
      <c r="B3" s="120" t="n">
        <f aca="false">ORÇAMENTO!$C$8*ORÇAMENTO!I8</f>
        <v>10</v>
      </c>
      <c r="C3" s="118" t="n">
        <f aca="false">ORÇAMENTO!$E$8</f>
        <v>1</v>
      </c>
      <c r="D3" s="118" t="n">
        <v>0.28</v>
      </c>
      <c r="E3" s="121" t="n">
        <f aca="false">IF(A3&gt;=1,(((((A3*3.175)/10)+4)*(B3+4)*C3))*D3,"")</f>
        <v>90.356</v>
      </c>
      <c r="F3" s="1" t="s">
        <v>901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11"/>
  <sheetViews>
    <sheetView showFormulas="false" showGridLines="fals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C9" activeCellId="0" sqref="C9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8.45"/>
    <col collapsed="false" customWidth="true" hidden="false" outlineLevel="0" max="2" min="2" style="1" width="26.44"/>
    <col collapsed="false" customWidth="true" hidden="false" outlineLevel="0" max="3" min="3" style="1" width="3.45"/>
    <col collapsed="false" customWidth="true" hidden="false" outlineLevel="0" max="4" min="4" style="1" width="16"/>
    <col collapsed="false" customWidth="true" hidden="false" outlineLevel="0" max="6" min="5" style="1" width="11.11"/>
    <col collapsed="false" customWidth="true" hidden="false" outlineLevel="0" max="7" min="7" style="1" width="2.67"/>
    <col collapsed="false" customWidth="true" hidden="false" outlineLevel="0" max="9" min="8" style="1" width="11.33"/>
    <col collapsed="false" customWidth="true" hidden="false" outlineLevel="0" max="10" min="10" style="1" width="2.34"/>
    <col collapsed="false" customWidth="true" hidden="false" outlineLevel="0" max="11" min="11" style="1" width="7.33"/>
    <col collapsed="false" customWidth="true" hidden="false" outlineLevel="0" max="13" min="12" style="1" width="11.11"/>
    <col collapsed="false" customWidth="true" hidden="false" outlineLevel="0" max="14" min="14" style="1" width="7"/>
    <col collapsed="false" customWidth="true" hidden="false" outlineLevel="0" max="16" min="15" style="1" width="14.89"/>
    <col collapsed="false" customWidth="true" hidden="false" outlineLevel="0" max="17" min="17" style="1" width="3.45"/>
    <col collapsed="false" customWidth="true" hidden="false" outlineLevel="0" max="18" min="18" style="1" width="16"/>
    <col collapsed="false" customWidth="true" hidden="false" outlineLevel="0" max="19" min="19" style="1" width="12.67"/>
    <col collapsed="false" customWidth="true" hidden="false" outlineLevel="0" max="20" min="20" style="1" width="11.11"/>
  </cols>
  <sheetData>
    <row r="1" customFormat="false" ht="14.25" hidden="false" customHeight="true" outlineLevel="0" collapsed="false">
      <c r="D1" s="122" t="s">
        <v>902</v>
      </c>
      <c r="E1" s="122"/>
      <c r="F1" s="123"/>
      <c r="K1" s="122" t="s">
        <v>902</v>
      </c>
      <c r="L1" s="122"/>
      <c r="M1" s="123"/>
      <c r="R1" s="122" t="s">
        <v>902</v>
      </c>
      <c r="S1" s="122"/>
      <c r="U1" s="1" t="s">
        <v>16</v>
      </c>
    </row>
    <row r="2" customFormat="false" ht="14.25" hidden="false" customHeight="true" outlineLevel="0" collapsed="false">
      <c r="A2" s="124" t="s">
        <v>903</v>
      </c>
      <c r="B2" s="124" t="s">
        <v>52</v>
      </c>
      <c r="C2" s="125" t="n">
        <v>0</v>
      </c>
      <c r="D2" s="124" t="s">
        <v>904</v>
      </c>
      <c r="E2" s="126" t="n">
        <v>120</v>
      </c>
      <c r="F2" s="127" t="n">
        <v>120</v>
      </c>
      <c r="H2" s="128" t="str">
        <f aca="false">A2</f>
        <v>HM</v>
      </c>
      <c r="I2" s="124" t="s">
        <v>905</v>
      </c>
      <c r="J2" s="125" t="n">
        <v>1</v>
      </c>
      <c r="K2" s="124" t="s">
        <v>906</v>
      </c>
      <c r="L2" s="126" t="n">
        <v>200</v>
      </c>
      <c r="M2" s="127" t="n">
        <v>200</v>
      </c>
      <c r="O2" s="129" t="s">
        <v>907</v>
      </c>
      <c r="P2" s="130" t="s">
        <v>908</v>
      </c>
      <c r="Q2" s="125" t="n">
        <v>0</v>
      </c>
      <c r="R2" s="124" t="s">
        <v>904</v>
      </c>
      <c r="S2" s="126" t="n">
        <v>120</v>
      </c>
      <c r="T2" s="127" t="n">
        <v>120</v>
      </c>
      <c r="U2" s="1" t="s">
        <v>319</v>
      </c>
    </row>
    <row r="3" customFormat="false" ht="14.25" hidden="false" customHeight="true" outlineLevel="0" collapsed="false">
      <c r="A3" s="124"/>
      <c r="B3" s="124" t="s">
        <v>52</v>
      </c>
      <c r="C3" s="125" t="n">
        <v>1</v>
      </c>
      <c r="D3" s="124" t="s">
        <v>906</v>
      </c>
      <c r="E3" s="126" t="n">
        <v>145</v>
      </c>
      <c r="F3" s="127" t="n">
        <v>145</v>
      </c>
      <c r="H3" s="128"/>
      <c r="I3" s="124" t="s">
        <v>905</v>
      </c>
      <c r="J3" s="125" t="n">
        <v>2</v>
      </c>
      <c r="K3" s="124" t="s">
        <v>909</v>
      </c>
      <c r="L3" s="126" t="n">
        <v>210</v>
      </c>
      <c r="M3" s="127" t="n">
        <v>210</v>
      </c>
      <c r="O3" s="129"/>
      <c r="P3" s="130" t="s">
        <v>908</v>
      </c>
      <c r="Q3" s="125" t="n">
        <v>1</v>
      </c>
      <c r="R3" s="124" t="s">
        <v>906</v>
      </c>
      <c r="S3" s="126" t="n">
        <v>150</v>
      </c>
      <c r="T3" s="127" t="n">
        <v>150</v>
      </c>
      <c r="U3" s="1" t="n">
        <v>160</v>
      </c>
    </row>
    <row r="4" customFormat="false" ht="14.25" hidden="false" customHeight="true" outlineLevel="0" collapsed="false">
      <c r="A4" s="124"/>
      <c r="B4" s="124" t="s">
        <v>52</v>
      </c>
      <c r="C4" s="125" t="n">
        <v>2</v>
      </c>
      <c r="D4" s="124" t="s">
        <v>909</v>
      </c>
      <c r="E4" s="126" t="n">
        <v>155</v>
      </c>
      <c r="F4" s="127" t="n">
        <v>155</v>
      </c>
      <c r="O4" s="129"/>
      <c r="P4" s="130" t="s">
        <v>908</v>
      </c>
      <c r="Q4" s="125" t="n">
        <v>2</v>
      </c>
      <c r="R4" s="124" t="s">
        <v>909</v>
      </c>
      <c r="S4" s="126" t="n">
        <v>160</v>
      </c>
      <c r="T4" s="127" t="n">
        <v>160</v>
      </c>
      <c r="U4" s="1" t="n">
        <v>250</v>
      </c>
    </row>
    <row r="5" customFormat="false" ht="14.25" hidden="false" customHeight="true" outlineLevel="0" collapsed="false">
      <c r="A5" s="124"/>
      <c r="B5" s="124" t="s">
        <v>52</v>
      </c>
      <c r="C5" s="125" t="n">
        <v>3</v>
      </c>
      <c r="D5" s="124" t="s">
        <v>910</v>
      </c>
      <c r="E5" s="126" t="n">
        <v>165</v>
      </c>
      <c r="F5" s="127" t="n">
        <v>165</v>
      </c>
      <c r="O5" s="129"/>
      <c r="P5" s="130" t="s">
        <v>908</v>
      </c>
      <c r="Q5" s="125" t="n">
        <v>3</v>
      </c>
      <c r="R5" s="124" t="s">
        <v>910</v>
      </c>
      <c r="S5" s="126" t="n">
        <v>170</v>
      </c>
      <c r="T5" s="127" t="n">
        <v>170</v>
      </c>
      <c r="U5" s="1" t="s">
        <v>284</v>
      </c>
    </row>
    <row r="6" customFormat="false" ht="14.25" hidden="false" customHeight="true" outlineLevel="0" collapsed="false">
      <c r="A6" s="124"/>
      <c r="B6" s="124" t="s">
        <v>52</v>
      </c>
      <c r="C6" s="125" t="n">
        <v>4</v>
      </c>
      <c r="D6" s="124" t="s">
        <v>911</v>
      </c>
      <c r="E6" s="126" t="n">
        <v>175</v>
      </c>
      <c r="F6" s="127" t="n">
        <v>175</v>
      </c>
      <c r="O6" s="129"/>
      <c r="P6" s="130" t="s">
        <v>908</v>
      </c>
      <c r="Q6" s="125" t="n">
        <v>4</v>
      </c>
      <c r="R6" s="124" t="s">
        <v>911</v>
      </c>
      <c r="S6" s="126" t="n">
        <v>190</v>
      </c>
      <c r="T6" s="127" t="n">
        <v>190</v>
      </c>
      <c r="U6" s="1" t="s">
        <v>905</v>
      </c>
    </row>
    <row r="7" customFormat="false" ht="14.25" hidden="false" customHeight="true" outlineLevel="0" collapsed="false">
      <c r="A7" s="124"/>
      <c r="B7" s="124" t="s">
        <v>52</v>
      </c>
      <c r="C7" s="125" t="s">
        <v>912</v>
      </c>
      <c r="D7" s="124" t="s">
        <v>913</v>
      </c>
      <c r="E7" s="126" t="n">
        <v>180</v>
      </c>
      <c r="F7" s="127" t="n">
        <v>180</v>
      </c>
      <c r="O7" s="129"/>
      <c r="P7" s="130" t="s">
        <v>908</v>
      </c>
      <c r="Q7" s="125" t="s">
        <v>912</v>
      </c>
      <c r="R7" s="124" t="s">
        <v>914</v>
      </c>
      <c r="S7" s="126" t="n">
        <v>200</v>
      </c>
      <c r="T7" s="127" t="n">
        <v>200</v>
      </c>
      <c r="U7" s="1" t="s">
        <v>908</v>
      </c>
    </row>
    <row r="8" customFormat="false" ht="14.25" hidden="false" customHeight="true" outlineLevel="0" collapsed="false">
      <c r="A8" s="124"/>
      <c r="B8" s="124" t="s">
        <v>52</v>
      </c>
      <c r="C8" s="131" t="n">
        <v>5</v>
      </c>
      <c r="D8" s="124" t="s">
        <v>915</v>
      </c>
      <c r="E8" s="126" t="n">
        <v>190</v>
      </c>
      <c r="F8" s="127" t="n">
        <v>190</v>
      </c>
      <c r="O8" s="129"/>
      <c r="P8" s="130" t="s">
        <v>908</v>
      </c>
      <c r="Q8" s="125" t="n">
        <v>5</v>
      </c>
      <c r="R8" s="124" t="s">
        <v>915</v>
      </c>
      <c r="S8" s="126" t="n">
        <v>210</v>
      </c>
      <c r="T8" s="127" t="n">
        <v>210</v>
      </c>
    </row>
    <row r="9" customFormat="false" ht="14.25" hidden="false" customHeight="true" outlineLevel="0" collapsed="false">
      <c r="O9" s="129"/>
      <c r="P9" s="130" t="s">
        <v>908</v>
      </c>
      <c r="Q9" s="125" t="n">
        <v>6</v>
      </c>
      <c r="R9" s="124" t="s">
        <v>916</v>
      </c>
      <c r="S9" s="126" t="n">
        <v>220</v>
      </c>
      <c r="T9" s="127" t="n">
        <v>220</v>
      </c>
    </row>
    <row r="10" customFormat="false" ht="14.25" hidden="false" customHeight="true" outlineLevel="0" collapsed="false">
      <c r="O10" s="129"/>
      <c r="P10" s="130" t="s">
        <v>908</v>
      </c>
      <c r="Q10" s="125" t="n">
        <v>7</v>
      </c>
      <c r="R10" s="124" t="s">
        <v>917</v>
      </c>
      <c r="S10" s="126" t="n">
        <v>230</v>
      </c>
      <c r="T10" s="127" t="n">
        <v>230</v>
      </c>
    </row>
    <row r="11" customFormat="false" ht="14.25" hidden="false" customHeight="true" outlineLevel="0" collapsed="false">
      <c r="O11" s="129"/>
      <c r="P11" s="130" t="s">
        <v>908</v>
      </c>
      <c r="Q11" s="125" t="n">
        <v>8</v>
      </c>
      <c r="R11" s="124" t="s">
        <v>918</v>
      </c>
      <c r="S11" s="126" t="n">
        <v>240</v>
      </c>
      <c r="T11" s="127" t="n">
        <v>240</v>
      </c>
    </row>
  </sheetData>
  <mergeCells count="6">
    <mergeCell ref="D1:E1"/>
    <mergeCell ref="K1:L1"/>
    <mergeCell ref="R1:S1"/>
    <mergeCell ref="A2:A8"/>
    <mergeCell ref="H2:H3"/>
    <mergeCell ref="O2:O11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4" activeCellId="0" sqref="C4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22.67"/>
    <col collapsed="false" customWidth="true" hidden="false" outlineLevel="0" max="3" min="3" style="1" width="4.45"/>
  </cols>
  <sheetData>
    <row r="1" customFormat="false" ht="30.75" hidden="false" customHeight="true" outlineLevel="0" collapsed="false">
      <c r="A1" s="124" t="s">
        <v>919</v>
      </c>
      <c r="B1" s="132" t="s">
        <v>920</v>
      </c>
      <c r="C1" s="132" t="s">
        <v>921</v>
      </c>
    </row>
    <row r="2" customFormat="false" ht="14.25" hidden="false" customHeight="true" outlineLevel="0" collapsed="false">
      <c r="A2" s="47"/>
      <c r="B2" s="47"/>
      <c r="C2" s="47"/>
    </row>
    <row r="3" customFormat="false" ht="14.25" hidden="false" customHeight="true" outlineLevel="0" collapsed="false">
      <c r="A3" s="124" t="s">
        <v>70</v>
      </c>
      <c r="B3" s="124" t="n">
        <v>0</v>
      </c>
      <c r="C3" s="124"/>
    </row>
    <row r="4" customFormat="false" ht="14.25" hidden="false" customHeight="true" outlineLevel="0" collapsed="false">
      <c r="A4" s="124" t="s">
        <v>922</v>
      </c>
      <c r="B4" s="133" t="n">
        <f aca="false">C4/60</f>
        <v>0.0833333333333333</v>
      </c>
      <c r="C4" s="124" t="n">
        <v>5</v>
      </c>
    </row>
    <row r="5" customFormat="false" ht="14.25" hidden="false" customHeight="true" outlineLevel="0" collapsed="false">
      <c r="A5" s="124" t="s">
        <v>923</v>
      </c>
      <c r="B5" s="133" t="n">
        <f aca="false">C5/60</f>
        <v>0.166666666666667</v>
      </c>
      <c r="C5" s="124" t="n">
        <v>10</v>
      </c>
    </row>
    <row r="6" customFormat="false" ht="14.25" hidden="false" customHeight="true" outlineLevel="0" collapsed="false">
      <c r="A6" s="124" t="s">
        <v>924</v>
      </c>
      <c r="B6" s="133" t="n">
        <f aca="false">C6/60</f>
        <v>0.333333333333333</v>
      </c>
      <c r="C6" s="124" t="n">
        <v>20</v>
      </c>
    </row>
    <row r="7" customFormat="false" ht="14.25" hidden="false" customHeight="true" outlineLevel="0" collapsed="false">
      <c r="A7" s="124" t="s">
        <v>925</v>
      </c>
      <c r="B7" s="133" t="n">
        <f aca="false">C7/60</f>
        <v>0.25</v>
      </c>
      <c r="C7" s="124" t="n">
        <v>15</v>
      </c>
    </row>
    <row r="8" customFormat="false" ht="14.25" hidden="false" customHeight="true" outlineLevel="0" collapsed="false">
      <c r="A8" s="124" t="s">
        <v>926</v>
      </c>
      <c r="B8" s="133" t="n">
        <f aca="false">C8/60</f>
        <v>0.833333333333333</v>
      </c>
      <c r="C8" s="124" t="n">
        <v>50</v>
      </c>
    </row>
    <row r="9" customFormat="false" ht="14.25" hidden="false" customHeight="true" outlineLevel="0" collapsed="false">
      <c r="A9" s="124" t="s">
        <v>927</v>
      </c>
      <c r="B9" s="133" t="n">
        <f aca="false">C9/60</f>
        <v>0.0833333333333333</v>
      </c>
      <c r="C9" s="124" t="n">
        <v>5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8" activeCellId="0" sqref="E8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42.67"/>
    <col collapsed="false" customWidth="true" hidden="false" outlineLevel="0" max="2" min="2" style="1" width="10"/>
    <col collapsed="false" customWidth="true" hidden="false" outlineLevel="0" max="4" min="4" style="1" width="28.45"/>
    <col collapsed="false" customWidth="true" hidden="false" outlineLevel="0" max="5" min="5" style="1" width="14.34"/>
  </cols>
  <sheetData>
    <row r="1" customFormat="false" ht="14.25" hidden="false" customHeight="true" outlineLevel="0" collapsed="false">
      <c r="A1" s="134" t="s">
        <v>35</v>
      </c>
      <c r="B1" s="134" t="s">
        <v>928</v>
      </c>
      <c r="C1" s="10" t="s">
        <v>929</v>
      </c>
    </row>
    <row r="2" customFormat="false" ht="14.25" hidden="false" customHeight="true" outlineLevel="0" collapsed="false">
      <c r="A2" s="124" t="s">
        <v>930</v>
      </c>
      <c r="B2" s="126" t="n">
        <v>7.2</v>
      </c>
      <c r="C2" s="126" t="n">
        <v>7.2</v>
      </c>
    </row>
    <row r="3" customFormat="false" ht="14.25" hidden="false" customHeight="true" outlineLevel="0" collapsed="false">
      <c r="A3" s="124" t="s">
        <v>931</v>
      </c>
      <c r="B3" s="126" t="n">
        <v>7.9</v>
      </c>
      <c r="C3" s="126" t="n">
        <v>7.9</v>
      </c>
    </row>
    <row r="4" customFormat="false" ht="14.25" hidden="false" customHeight="true" outlineLevel="0" collapsed="false">
      <c r="A4" s="124" t="s">
        <v>932</v>
      </c>
      <c r="B4" s="126" t="n">
        <v>6.9</v>
      </c>
      <c r="C4" s="126" t="n">
        <v>6.9</v>
      </c>
    </row>
    <row r="5" customFormat="false" ht="14.25" hidden="false" customHeight="true" outlineLevel="0" collapsed="false">
      <c r="A5" s="124" t="s">
        <v>933</v>
      </c>
      <c r="B5" s="126" t="n">
        <v>7.9</v>
      </c>
      <c r="C5" s="126" t="n">
        <v>7.9</v>
      </c>
    </row>
    <row r="6" customFormat="false" ht="14.25" hidden="false" customHeight="true" outlineLevel="0" collapsed="false">
      <c r="A6" s="124" t="s">
        <v>934</v>
      </c>
      <c r="B6" s="126" t="n">
        <v>7.5</v>
      </c>
      <c r="C6" s="126" t="n">
        <v>7.5</v>
      </c>
    </row>
    <row r="7" customFormat="false" ht="14.25" hidden="false" customHeight="true" outlineLevel="0" collapsed="false">
      <c r="A7" s="124" t="s">
        <v>935</v>
      </c>
      <c r="B7" s="126" t="n">
        <v>8.5</v>
      </c>
      <c r="C7" s="126" t="n">
        <v>8.5</v>
      </c>
    </row>
    <row r="8" customFormat="false" ht="14.25" hidden="false" customHeight="true" outlineLevel="0" collapsed="false">
      <c r="A8" s="124" t="s">
        <v>936</v>
      </c>
      <c r="B8" s="135" t="n">
        <v>7</v>
      </c>
      <c r="C8" s="135" t="n">
        <v>7</v>
      </c>
    </row>
    <row r="9" customFormat="false" ht="14.25" hidden="false" customHeight="true" outlineLevel="0" collapsed="false">
      <c r="A9" s="124" t="s">
        <v>937</v>
      </c>
      <c r="B9" s="135" t="n">
        <v>7.9</v>
      </c>
      <c r="C9" s="135" t="n">
        <v>7.9</v>
      </c>
    </row>
    <row r="10" customFormat="false" ht="14.25" hidden="false" customHeight="true" outlineLevel="0" collapsed="false">
      <c r="A10" s="124" t="s">
        <v>40</v>
      </c>
      <c r="B10" s="135" t="n">
        <v>3.5</v>
      </c>
      <c r="C10" s="135" t="n">
        <v>3.5</v>
      </c>
    </row>
    <row r="11" customFormat="false" ht="14.25" hidden="false" customHeight="true" outlineLevel="0" collapsed="false">
      <c r="A11" s="124" t="s">
        <v>938</v>
      </c>
      <c r="B11" s="135" t="n">
        <v>5.3</v>
      </c>
      <c r="C11" s="135" t="n">
        <v>5.3</v>
      </c>
    </row>
    <row r="12" customFormat="false" ht="14.25" hidden="false" customHeight="true" outlineLevel="0" collapsed="false">
      <c r="A12" s="124" t="s">
        <v>939</v>
      </c>
      <c r="B12" s="135" t="n">
        <v>4.3</v>
      </c>
      <c r="C12" s="135" t="n">
        <v>4.3</v>
      </c>
    </row>
    <row r="13" customFormat="false" ht="14.25" hidden="false" customHeight="true" outlineLevel="0" collapsed="false">
      <c r="A13" s="124" t="s">
        <v>940</v>
      </c>
      <c r="B13" s="135" t="n">
        <v>3.6</v>
      </c>
      <c r="C13" s="135" t="n">
        <v>3.6</v>
      </c>
    </row>
    <row r="14" customFormat="false" ht="14.25" hidden="false" customHeight="true" outlineLevel="0" collapsed="false">
      <c r="A14" s="124" t="s">
        <v>941</v>
      </c>
      <c r="B14" s="126" t="n">
        <v>6</v>
      </c>
      <c r="C14" s="126" t="n">
        <v>6</v>
      </c>
    </row>
    <row r="15" customFormat="false" ht="14.25" hidden="false" customHeight="true" outlineLevel="0" collapsed="false">
      <c r="A15" s="124" t="s">
        <v>942</v>
      </c>
      <c r="B15" s="126" t="n">
        <v>7</v>
      </c>
      <c r="C15" s="126" t="n">
        <v>7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1" topLeftCell="B2" activePane="bottomRight" state="frozen"/>
      <selection pane="topLeft" activeCell="A1" activeCellId="0" sqref="A1"/>
      <selection pane="topRight" activeCell="B1" activeCellId="0" sqref="B1"/>
      <selection pane="bottomLeft" activeCell="A2" activeCellId="0" sqref="A2"/>
      <selection pane="bottomRight" activeCell="B6" activeCellId="0" sqref="B6"/>
    </sheetView>
  </sheetViews>
  <sheetFormatPr defaultColWidth="24.3359375" defaultRowHeight="14.25" zeroHeight="false" outlineLevelRow="0" outlineLevelCol="0"/>
  <cols>
    <col collapsed="false" customWidth="true" hidden="false" outlineLevel="0" max="1" min="1" style="1" width="6.67"/>
    <col collapsed="false" customWidth="true" hidden="false" outlineLevel="0" max="2" min="2" style="1" width="6.89"/>
    <col collapsed="false" customWidth="true" hidden="false" outlineLevel="0" max="3" min="3" style="1" width="22.89"/>
    <col collapsed="false" customWidth="true" hidden="false" outlineLevel="0" max="4" min="4" style="1" width="3.67"/>
  </cols>
  <sheetData>
    <row r="1" customFormat="false" ht="14.25" hidden="false" customHeight="true" outlineLevel="0" collapsed="false">
      <c r="A1" s="118" t="s">
        <v>34</v>
      </c>
      <c r="B1" s="118" t="s">
        <v>943</v>
      </c>
      <c r="C1" s="124" t="s">
        <v>944</v>
      </c>
      <c r="D1" s="124" t="s">
        <v>945</v>
      </c>
    </row>
    <row r="2" customFormat="false" ht="14.25" hidden="false" customHeight="true" outlineLevel="0" collapsed="false">
      <c r="A2" s="118" t="n">
        <v>0</v>
      </c>
      <c r="B2" s="118"/>
      <c r="C2" s="124"/>
      <c r="D2" s="124" t="n">
        <v>4</v>
      </c>
    </row>
    <row r="3" customFormat="false" ht="14.25" hidden="false" customHeight="true" outlineLevel="0" collapsed="false">
      <c r="A3" s="124" t="n">
        <v>1</v>
      </c>
      <c r="B3" s="124" t="n">
        <v>40</v>
      </c>
      <c r="C3" s="126" t="s">
        <v>946</v>
      </c>
      <c r="D3" s="124" t="n">
        <v>4</v>
      </c>
    </row>
    <row r="4" customFormat="false" ht="14.25" hidden="false" customHeight="true" outlineLevel="0" collapsed="false">
      <c r="A4" s="124" t="n">
        <v>2</v>
      </c>
      <c r="B4" s="124" t="n">
        <v>60</v>
      </c>
      <c r="C4" s="126" t="s">
        <v>947</v>
      </c>
      <c r="D4" s="124" t="n">
        <v>6</v>
      </c>
    </row>
    <row r="5" customFormat="false" ht="14.25" hidden="false" customHeight="true" outlineLevel="0" collapsed="false">
      <c r="A5" s="124" t="n">
        <v>3</v>
      </c>
      <c r="B5" s="124" t="n">
        <v>90</v>
      </c>
      <c r="C5" s="126" t="s">
        <v>948</v>
      </c>
      <c r="D5" s="124" t="n">
        <v>8</v>
      </c>
    </row>
    <row r="6" customFormat="false" ht="14.25" hidden="false" customHeight="true" outlineLevel="0" collapsed="false">
      <c r="A6" s="124" t="n">
        <v>4</v>
      </c>
      <c r="B6" s="124" t="n">
        <v>200</v>
      </c>
      <c r="C6" s="126" t="s">
        <v>949</v>
      </c>
      <c r="D6" s="124"/>
      <c r="E6" s="1" t="s">
        <v>950</v>
      </c>
      <c r="F6" s="1" t="n">
        <v>180</v>
      </c>
    </row>
    <row r="7" customFormat="false" ht="14.25" hidden="false" customHeight="true" outlineLevel="0" collapsed="false">
      <c r="A7" s="124" t="s">
        <v>912</v>
      </c>
      <c r="B7" s="124" t="n">
        <v>250</v>
      </c>
      <c r="C7" s="126" t="s">
        <v>951</v>
      </c>
      <c r="D7" s="124"/>
      <c r="E7" s="1" t="s">
        <v>952</v>
      </c>
      <c r="F7" s="1" t="n">
        <v>220</v>
      </c>
    </row>
    <row r="8" customFormat="false" ht="14.25" hidden="false" customHeight="true" outlineLevel="0" collapsed="false">
      <c r="A8" s="124" t="n">
        <v>5</v>
      </c>
      <c r="B8" s="124" t="n">
        <v>250</v>
      </c>
      <c r="C8" s="126" t="s">
        <v>951</v>
      </c>
      <c r="D8" s="124"/>
      <c r="E8" s="1" t="s">
        <v>952</v>
      </c>
      <c r="F8" s="1" t="n">
        <v>220</v>
      </c>
    </row>
    <row r="9" customFormat="false" ht="14.25" hidden="false" customHeight="true" outlineLevel="0" collapsed="false">
      <c r="A9" s="124" t="n">
        <v>6</v>
      </c>
      <c r="B9" s="124" t="n">
        <v>260</v>
      </c>
      <c r="C9" s="126" t="s">
        <v>953</v>
      </c>
      <c r="D9" s="124"/>
    </row>
    <row r="10" customFormat="false" ht="14.25" hidden="false" customHeight="true" outlineLevel="0" collapsed="false">
      <c r="A10" s="124" t="n">
        <v>7</v>
      </c>
      <c r="B10" s="124" t="n">
        <v>270</v>
      </c>
      <c r="C10" s="126" t="s">
        <v>954</v>
      </c>
      <c r="D10" s="124"/>
    </row>
    <row r="11" customFormat="false" ht="14.25" hidden="false" customHeight="true" outlineLevel="0" collapsed="false">
      <c r="A11" s="124" t="n">
        <v>8</v>
      </c>
      <c r="B11" s="124" t="n">
        <v>280</v>
      </c>
      <c r="C11" s="126" t="s">
        <v>955</v>
      </c>
      <c r="D11" s="124"/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1" topLeftCell="B2" activePane="bottomRight" state="frozen"/>
      <selection pane="topLeft" activeCell="A1" activeCellId="0" sqref="A1"/>
      <selection pane="topRight" activeCell="B1" activeCellId="0" sqref="B1"/>
      <selection pane="bottomLeft" activeCell="A2" activeCellId="0" sqref="A2"/>
      <selection pane="bottomRight" activeCell="E7" activeCellId="0" sqref="E7"/>
    </sheetView>
  </sheetViews>
  <sheetFormatPr defaultColWidth="24.3359375" defaultRowHeight="14.25" zeroHeight="false" outlineLevelRow="0" outlineLevelCol="0"/>
  <cols>
    <col collapsed="false" customWidth="true" hidden="false" outlineLevel="0" max="1" min="1" style="1" width="6.44"/>
    <col collapsed="false" customWidth="true" hidden="false" outlineLevel="0" max="2" min="2" style="1" width="22"/>
    <col collapsed="false" customWidth="true" hidden="false" outlineLevel="0" max="3" min="3" style="1" width="4"/>
    <col collapsed="false" customWidth="true" hidden="false" outlineLevel="0" max="4" min="4" style="1" width="5.44"/>
    <col collapsed="false" customWidth="true" hidden="false" outlineLevel="0" max="5" min="5" style="1" width="7.45"/>
  </cols>
  <sheetData>
    <row r="1" customFormat="false" ht="14.25" hidden="false" customHeight="true" outlineLevel="0" collapsed="false">
      <c r="A1" s="118" t="s">
        <v>34</v>
      </c>
      <c r="B1" s="124" t="s">
        <v>944</v>
      </c>
    </row>
    <row r="2" customFormat="false" ht="14.25" hidden="false" customHeight="true" outlineLevel="0" collapsed="false">
      <c r="A2" s="118" t="n">
        <v>0</v>
      </c>
      <c r="B2" s="124"/>
    </row>
    <row r="3" customFormat="false" ht="14.25" hidden="false" customHeight="true" outlineLevel="0" collapsed="false">
      <c r="A3" s="124" t="n">
        <v>1</v>
      </c>
      <c r="B3" s="126" t="s">
        <v>956</v>
      </c>
      <c r="C3" s="1" t="n">
        <v>7</v>
      </c>
      <c r="D3" s="136" t="n">
        <f aca="false">ORÇAMENTO!$C$8/100</f>
        <v>0.1</v>
      </c>
      <c r="E3" s="137" t="n">
        <f aca="false">(C3*D3)</f>
        <v>0.7</v>
      </c>
    </row>
    <row r="4" customFormat="false" ht="14.25" hidden="false" customHeight="true" outlineLevel="0" collapsed="false">
      <c r="A4" s="124" t="n">
        <v>2</v>
      </c>
      <c r="B4" s="126" t="s">
        <v>957</v>
      </c>
      <c r="C4" s="1" t="n">
        <v>14</v>
      </c>
      <c r="D4" s="136" t="n">
        <f aca="false">ORÇAMENTO!$C$8/100</f>
        <v>0.1</v>
      </c>
      <c r="E4" s="137" t="n">
        <f aca="false">(C4*D4)</f>
        <v>1.4</v>
      </c>
    </row>
    <row r="5" customFormat="false" ht="14.25" hidden="false" customHeight="true" outlineLevel="0" collapsed="false">
      <c r="A5" s="124" t="n">
        <v>3</v>
      </c>
      <c r="B5" s="126" t="s">
        <v>958</v>
      </c>
      <c r="C5" s="1" t="n">
        <v>21</v>
      </c>
      <c r="D5" s="136" t="n">
        <f aca="false">ORÇAMENTO!$C$8/100</f>
        <v>0.1</v>
      </c>
      <c r="E5" s="137" t="n">
        <f aca="false">(C5*D5)</f>
        <v>2.1</v>
      </c>
    </row>
    <row r="6" customFormat="false" ht="14.25" hidden="false" customHeight="true" outlineLevel="0" collapsed="false">
      <c r="A6" s="124" t="n">
        <v>4</v>
      </c>
      <c r="B6" s="124" t="n">
        <v>200</v>
      </c>
      <c r="C6" s="1" t="n">
        <v>200</v>
      </c>
      <c r="D6" s="136" t="n">
        <f aca="false">ORÇAMENTO!$C$8/100</f>
        <v>0.1</v>
      </c>
      <c r="E6" s="137" t="n">
        <f aca="false">(C6*D6)</f>
        <v>20</v>
      </c>
    </row>
    <row r="7" customFormat="false" ht="14.25" hidden="false" customHeight="true" outlineLevel="0" collapsed="false">
      <c r="A7" s="124" t="n">
        <v>5</v>
      </c>
      <c r="B7" s="124" t="n">
        <v>200</v>
      </c>
      <c r="C7" s="1" t="n">
        <v>200</v>
      </c>
      <c r="D7" s="136" t="n">
        <f aca="false">ORÇAMENTO!$C$8/100</f>
        <v>0.1</v>
      </c>
      <c r="E7" s="137" t="n">
        <f aca="false">(C7*D7)</f>
        <v>20</v>
      </c>
    </row>
    <row r="8" customFormat="false" ht="14.25" hidden="false" customHeight="true" outlineLevel="0" collapsed="false">
      <c r="A8" s="124" t="n">
        <v>6</v>
      </c>
      <c r="B8" s="124" t="n">
        <v>200</v>
      </c>
      <c r="C8" s="1" t="n">
        <v>200</v>
      </c>
      <c r="D8" s="136" t="n">
        <f aca="false">ORÇAMENTO!$C$8/100</f>
        <v>0.1</v>
      </c>
      <c r="E8" s="137" t="n">
        <f aca="false">(C8*D8)</f>
        <v>20</v>
      </c>
    </row>
    <row r="9" customFormat="false" ht="14.25" hidden="false" customHeight="true" outlineLevel="0" collapsed="false">
      <c r="A9" s="124" t="n">
        <v>7</v>
      </c>
      <c r="B9" s="124" t="n">
        <v>200</v>
      </c>
      <c r="C9" s="1" t="n">
        <v>200</v>
      </c>
      <c r="D9" s="136" t="n">
        <f aca="false">ORÇAMENTO!$C$8/100</f>
        <v>0.1</v>
      </c>
      <c r="E9" s="137" t="n">
        <f aca="false">(C9*D9)</f>
        <v>20</v>
      </c>
    </row>
    <row r="10" customFormat="false" ht="14.25" hidden="false" customHeight="true" outlineLevel="0" collapsed="false">
      <c r="A10" s="124" t="n">
        <v>8</v>
      </c>
      <c r="B10" s="124" t="n">
        <v>200</v>
      </c>
      <c r="C10" s="1" t="n">
        <v>200</v>
      </c>
      <c r="D10" s="136" t="n">
        <f aca="false">ORÇAMENTO!$C$8/100</f>
        <v>0.1</v>
      </c>
      <c r="E10" s="137" t="n">
        <f aca="false">(C10*D10)</f>
        <v>20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24.3359375" defaultRowHeight="14.25" zeroHeight="false" outlineLevelRow="0" outlineLevelCol="0"/>
  <cols>
    <col collapsed="false" customWidth="true" hidden="false" outlineLevel="0" max="1" min="1" style="1" width="19.55"/>
    <col collapsed="false" customWidth="true" hidden="false" outlineLevel="0" max="2" min="2" style="1" width="10.89"/>
    <col collapsed="false" customWidth="true" hidden="false" outlineLevel="0" max="3" min="3" style="1" width="22.89"/>
    <col collapsed="false" customWidth="true" hidden="false" outlineLevel="0" max="4" min="4" style="1" width="3.67"/>
  </cols>
  <sheetData>
    <row r="1" customFormat="false" ht="14.25" hidden="false" customHeight="true" outlineLevel="0" collapsed="false">
      <c r="A1" s="138" t="s">
        <v>959</v>
      </c>
      <c r="B1" s="138" t="s">
        <v>960</v>
      </c>
    </row>
    <row r="2" customFormat="false" ht="14.25" hidden="false" customHeight="true" outlineLevel="0" collapsed="false">
      <c r="A2" s="118" t="s">
        <v>961</v>
      </c>
      <c r="B2" s="120" t="n">
        <v>0</v>
      </c>
    </row>
    <row r="3" customFormat="false" ht="14.25" hidden="false" customHeight="true" outlineLevel="0" collapsed="false">
      <c r="A3" s="139" t="s">
        <v>962</v>
      </c>
      <c r="B3" s="140" t="n">
        <v>0</v>
      </c>
    </row>
    <row r="4" customFormat="false" ht="14.25" hidden="false" customHeight="true" outlineLevel="0" collapsed="false">
      <c r="A4" s="139" t="s">
        <v>963</v>
      </c>
      <c r="B4" s="140" t="n">
        <v>5</v>
      </c>
    </row>
    <row r="5" customFormat="false" ht="14.25" hidden="false" customHeight="true" outlineLevel="0" collapsed="false">
      <c r="A5" s="139" t="s">
        <v>41</v>
      </c>
      <c r="B5" s="140" t="n">
        <v>5</v>
      </c>
    </row>
    <row r="6" customFormat="false" ht="14.25" hidden="false" customHeight="true" outlineLevel="0" collapsed="false">
      <c r="A6" s="139" t="s">
        <v>78</v>
      </c>
      <c r="B6" s="140" t="n">
        <v>0</v>
      </c>
    </row>
    <row r="7" customFormat="false" ht="14.25" hidden="false" customHeight="true" outlineLevel="0" collapsed="false">
      <c r="A7" s="139" t="s">
        <v>964</v>
      </c>
      <c r="B7" s="140" t="n">
        <v>5</v>
      </c>
    </row>
    <row r="8" customFormat="false" ht="14.25" hidden="false" customHeight="true" outlineLevel="0" collapsed="false">
      <c r="A8" s="139" t="s">
        <v>965</v>
      </c>
      <c r="B8" s="140" t="n">
        <v>5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5" activeCellId="0" sqref="C5"/>
    </sheetView>
  </sheetViews>
  <sheetFormatPr defaultColWidth="15.55859375" defaultRowHeight="14.25" zeroHeight="false" outlineLevelRow="0" outlineLevelCol="0"/>
  <cols>
    <col collapsed="false" customWidth="true" hidden="false" outlineLevel="0" max="1" min="1" style="1" width="18.11"/>
    <col collapsed="false" customWidth="true" hidden="false" outlineLevel="0" max="2" min="2" style="1" width="9.66"/>
    <col collapsed="false" customWidth="true" hidden="false" outlineLevel="0" max="3" min="3" style="1" width="8.55"/>
  </cols>
  <sheetData>
    <row r="1" s="10" customFormat="true" ht="14.25" hidden="false" customHeight="true" outlineLevel="0" collapsed="false">
      <c r="A1" s="118" t="s">
        <v>79</v>
      </c>
      <c r="B1" s="118" t="s">
        <v>14</v>
      </c>
      <c r="C1" s="118" t="s">
        <v>928</v>
      </c>
    </row>
    <row r="2" customFormat="false" ht="14.25" hidden="false" customHeight="true" outlineLevel="0" collapsed="false">
      <c r="A2" s="141" t="s">
        <v>966</v>
      </c>
      <c r="B2" s="134" t="s">
        <v>967</v>
      </c>
      <c r="C2" s="126" t="n">
        <v>0.5</v>
      </c>
    </row>
    <row r="3" customFormat="false" ht="14.25" hidden="false" customHeight="true" outlineLevel="0" collapsed="false">
      <c r="A3" s="141" t="s">
        <v>968</v>
      </c>
      <c r="B3" s="134" t="s">
        <v>969</v>
      </c>
      <c r="C3" s="126" t="n">
        <v>0.6</v>
      </c>
    </row>
    <row r="4" customFormat="false" ht="14.25" hidden="false" customHeight="true" outlineLevel="0" collapsed="false">
      <c r="A4" s="141" t="s">
        <v>970</v>
      </c>
      <c r="B4" s="134" t="s">
        <v>51</v>
      </c>
      <c r="C4" s="126" t="n">
        <v>0.7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4" activeCellId="0" sqref="C4"/>
    </sheetView>
  </sheetViews>
  <sheetFormatPr defaultColWidth="8.59765625" defaultRowHeight="14.25" zeroHeight="false" outlineLevelRow="0" outlineLevelCol="0"/>
  <cols>
    <col collapsed="false" customWidth="true" hidden="false" outlineLevel="0" max="2" min="1" style="1" width="20.89"/>
    <col collapsed="false" customWidth="true" hidden="false" outlineLevel="0" max="3" min="3" style="1" width="16.67"/>
  </cols>
  <sheetData>
    <row r="1" customFormat="false" ht="14.25" hidden="false" customHeight="true" outlineLevel="0" collapsed="false">
      <c r="A1" s="138" t="s">
        <v>959</v>
      </c>
      <c r="B1" s="138" t="s">
        <v>945</v>
      </c>
      <c r="C1" s="138" t="s">
        <v>928</v>
      </c>
    </row>
    <row r="2" customFormat="false" ht="14.25" hidden="false" customHeight="true" outlineLevel="0" collapsed="false">
      <c r="A2" s="118" t="s">
        <v>77</v>
      </c>
      <c r="B2" s="118" t="n">
        <v>30</v>
      </c>
      <c r="C2" s="118" t="n">
        <v>10</v>
      </c>
    </row>
    <row r="3" customFormat="false" ht="14.25" hidden="false" customHeight="true" outlineLevel="0" collapsed="false">
      <c r="A3" s="118" t="s">
        <v>77</v>
      </c>
      <c r="B3" s="118" t="s">
        <v>971</v>
      </c>
      <c r="C3" s="120" t="n">
        <v>0.4</v>
      </c>
    </row>
    <row r="4" customFormat="false" ht="14.25" hidden="false" customHeight="true" outlineLevel="0" collapsed="false">
      <c r="A4" s="139"/>
      <c r="B4" s="139"/>
      <c r="C4" s="142"/>
    </row>
    <row r="5" customFormat="false" ht="14.25" hidden="false" customHeight="true" outlineLevel="0" collapsed="false">
      <c r="A5" s="139"/>
      <c r="B5" s="139"/>
      <c r="C5" s="135"/>
    </row>
    <row r="6" customFormat="false" ht="14.25" hidden="false" customHeight="true" outlineLevel="0" collapsed="false">
      <c r="A6" s="139"/>
      <c r="B6" s="139"/>
      <c r="C6" s="135"/>
    </row>
    <row r="7" customFormat="false" ht="14.25" hidden="false" customHeight="true" outlineLevel="0" collapsed="false">
      <c r="A7" s="139"/>
      <c r="B7" s="139"/>
      <c r="C7" s="135"/>
    </row>
    <row r="8" customFormat="false" ht="14.25" hidden="false" customHeight="true" outlineLevel="0" collapsed="false">
      <c r="A8" s="139"/>
      <c r="B8" s="139"/>
      <c r="C8" s="135"/>
    </row>
    <row r="9" customFormat="false" ht="14.25" hidden="false" customHeight="true" outlineLevel="0" collapsed="false">
      <c r="A9" s="10"/>
      <c r="B9" s="10"/>
      <c r="C9" s="10"/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3" activeCellId="0" sqref="B3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20.89"/>
    <col collapsed="false" customWidth="true" hidden="false" outlineLevel="0" max="2" min="2" style="1" width="16.67"/>
  </cols>
  <sheetData>
    <row r="1" customFormat="false" ht="14.25" hidden="false" customHeight="true" outlineLevel="0" collapsed="false">
      <c r="A1" s="138" t="s">
        <v>959</v>
      </c>
      <c r="B1" s="138" t="s">
        <v>928</v>
      </c>
    </row>
    <row r="2" customFormat="false" ht="14.25" hidden="false" customHeight="true" outlineLevel="0" collapsed="false">
      <c r="A2" s="118" t="s">
        <v>961</v>
      </c>
      <c r="B2" s="118" t="n">
        <v>0</v>
      </c>
    </row>
    <row r="3" customFormat="false" ht="14.25" hidden="false" customHeight="true" outlineLevel="0" collapsed="false">
      <c r="A3" s="139" t="s">
        <v>962</v>
      </c>
      <c r="B3" s="140" t="n">
        <v>0.3</v>
      </c>
    </row>
    <row r="4" customFormat="false" ht="14.25" hidden="false" customHeight="true" outlineLevel="0" collapsed="false">
      <c r="A4" s="139" t="s">
        <v>963</v>
      </c>
      <c r="B4" s="135" t="n">
        <v>2.8</v>
      </c>
    </row>
    <row r="5" customFormat="false" ht="14.25" hidden="false" customHeight="true" outlineLevel="0" collapsed="false">
      <c r="A5" s="139" t="s">
        <v>41</v>
      </c>
      <c r="B5" s="135" t="n">
        <v>1.8</v>
      </c>
    </row>
    <row r="6" customFormat="false" ht="14.25" hidden="false" customHeight="true" outlineLevel="0" collapsed="false">
      <c r="A6" s="139" t="s">
        <v>78</v>
      </c>
      <c r="B6" s="135" t="n">
        <v>17</v>
      </c>
    </row>
    <row r="7" customFormat="false" ht="14.25" hidden="false" customHeight="true" outlineLevel="0" collapsed="false">
      <c r="A7" s="139" t="s">
        <v>964</v>
      </c>
      <c r="B7" s="135" t="n">
        <f aca="false">2.8+0.7</f>
        <v>3.5</v>
      </c>
    </row>
    <row r="8" customFormat="false" ht="14.25" hidden="false" customHeight="true" outlineLevel="0" collapsed="false">
      <c r="A8" s="139" t="s">
        <v>965</v>
      </c>
      <c r="B8" s="135" t="n">
        <v>2.8</v>
      </c>
    </row>
    <row r="9" customFormat="false" ht="14.25" hidden="false" customHeight="true" outlineLevel="0" collapsed="false">
      <c r="A9" s="10"/>
      <c r="B9" s="10"/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16" activeCellId="0" sqref="I16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10"/>
    <col collapsed="false" customWidth="true" hidden="false" outlineLevel="0" max="2" min="2" style="0" width="16"/>
    <col collapsed="false" customWidth="true" hidden="false" outlineLevel="0" max="5" min="3" style="0" width="10"/>
    <col collapsed="false" customWidth="true" hidden="false" outlineLevel="0" max="7" min="6" style="0" width="14"/>
    <col collapsed="false" customWidth="true" hidden="false" outlineLevel="0" max="9" min="8" style="0" width="12"/>
    <col collapsed="false" customWidth="true" hidden="false" outlineLevel="0" max="10" min="10" style="0" width="28"/>
  </cols>
  <sheetData>
    <row r="1" customFormat="false" ht="31.5" hidden="false" customHeight="true" outlineLevel="0" collapsed="false">
      <c r="A1" s="143" t="s">
        <v>972</v>
      </c>
      <c r="B1" s="143" t="s">
        <v>973</v>
      </c>
      <c r="C1" s="143" t="s">
        <v>974</v>
      </c>
      <c r="D1" s="143" t="s">
        <v>975</v>
      </c>
      <c r="E1" s="143" t="s">
        <v>976</v>
      </c>
      <c r="F1" s="143" t="s">
        <v>977</v>
      </c>
      <c r="G1" s="143" t="s">
        <v>978</v>
      </c>
      <c r="H1" s="143" t="s">
        <v>979</v>
      </c>
      <c r="I1" s="143" t="s">
        <v>980</v>
      </c>
      <c r="J1" s="143" t="s">
        <v>981</v>
      </c>
    </row>
    <row r="2" customFormat="false" ht="15" hidden="false" customHeight="false" outlineLevel="0" collapsed="false">
      <c r="A2" s="144" t="n">
        <v>1</v>
      </c>
      <c r="B2" s="144" t="s">
        <v>982</v>
      </c>
      <c r="C2" s="144" t="n">
        <v>200</v>
      </c>
      <c r="D2" s="144" t="n">
        <v>150</v>
      </c>
      <c r="E2" s="144" t="n">
        <v>120</v>
      </c>
      <c r="F2" s="144"/>
      <c r="G2" s="144"/>
      <c r="H2" s="144"/>
      <c r="I2" s="144"/>
      <c r="J2" s="145" t="s">
        <v>983</v>
      </c>
    </row>
    <row r="3" customFormat="false" ht="15" hidden="false" customHeight="false" outlineLevel="0" collapsed="false">
      <c r="A3" s="146" t="n">
        <v>2</v>
      </c>
      <c r="B3" s="146" t="s">
        <v>984</v>
      </c>
      <c r="C3" s="144" t="n">
        <v>250</v>
      </c>
      <c r="D3" s="144" t="n">
        <v>200</v>
      </c>
      <c r="E3" s="144" t="n">
        <v>200</v>
      </c>
      <c r="F3" s="146" t="n">
        <v>20</v>
      </c>
      <c r="G3" s="144"/>
      <c r="H3" s="146" t="s">
        <v>53</v>
      </c>
      <c r="I3" s="146"/>
      <c r="J3" s="147" t="s">
        <v>985</v>
      </c>
    </row>
    <row r="4" customFormat="false" ht="15" hidden="false" customHeight="false" outlineLevel="0" collapsed="false">
      <c r="A4" s="144" t="n">
        <v>3</v>
      </c>
      <c r="B4" s="144" t="s">
        <v>986</v>
      </c>
      <c r="C4" s="144" t="n">
        <v>250</v>
      </c>
      <c r="D4" s="144" t="n">
        <v>250</v>
      </c>
      <c r="E4" s="144" t="n">
        <v>200</v>
      </c>
      <c r="F4" s="144"/>
      <c r="G4" s="144"/>
      <c r="H4" s="144"/>
      <c r="I4" s="144"/>
      <c r="J4" s="145" t="s">
        <v>983</v>
      </c>
    </row>
    <row r="5" customFormat="false" ht="15" hidden="false" customHeight="false" outlineLevel="0" collapsed="false">
      <c r="A5" s="144" t="n">
        <v>4</v>
      </c>
      <c r="B5" s="144" t="s">
        <v>987</v>
      </c>
      <c r="C5" s="144" t="n">
        <v>400</v>
      </c>
      <c r="D5" s="144" t="n">
        <v>300</v>
      </c>
      <c r="E5" s="144" t="n">
        <v>223</v>
      </c>
      <c r="F5" s="144"/>
      <c r="G5" s="144"/>
      <c r="H5" s="144"/>
      <c r="I5" s="144"/>
      <c r="J5" s="145" t="s">
        <v>983</v>
      </c>
    </row>
    <row r="6" customFormat="false" ht="15" hidden="false" customHeight="false" outlineLevel="0" collapsed="false">
      <c r="A6" s="144" t="n">
        <v>5</v>
      </c>
      <c r="B6" s="144" t="s">
        <v>988</v>
      </c>
      <c r="C6" s="144" t="n">
        <v>300</v>
      </c>
      <c r="D6" s="144" t="n">
        <v>300</v>
      </c>
      <c r="E6" s="144" t="n">
        <v>317</v>
      </c>
      <c r="F6" s="144"/>
      <c r="G6" s="144"/>
      <c r="H6" s="144"/>
      <c r="I6" s="144"/>
      <c r="J6" s="145" t="s">
        <v>983</v>
      </c>
    </row>
    <row r="7" customFormat="false" ht="15" hidden="false" customHeight="false" outlineLevel="0" collapsed="false">
      <c r="A7" s="146" t="n">
        <v>6</v>
      </c>
      <c r="B7" s="146" t="s">
        <v>989</v>
      </c>
      <c r="C7" s="144" t="n">
        <v>500</v>
      </c>
      <c r="D7" s="144" t="n">
        <v>300</v>
      </c>
      <c r="E7" s="144" t="n">
        <v>300</v>
      </c>
      <c r="F7" s="144"/>
      <c r="G7" s="146" t="n">
        <v>12</v>
      </c>
      <c r="H7" s="146"/>
      <c r="I7" s="146" t="s">
        <v>53</v>
      </c>
      <c r="J7" s="147" t="s">
        <v>990</v>
      </c>
    </row>
    <row r="8" customFormat="false" ht="15" hidden="false" customHeight="false" outlineLevel="0" collapsed="false">
      <c r="A8" s="144" t="n">
        <v>7</v>
      </c>
      <c r="B8" s="144" t="s">
        <v>991</v>
      </c>
      <c r="C8" s="144" t="n">
        <v>460</v>
      </c>
      <c r="D8" s="144" t="n">
        <v>360</v>
      </c>
      <c r="E8" s="144" t="n">
        <v>340</v>
      </c>
      <c r="F8" s="144"/>
      <c r="G8" s="144"/>
      <c r="H8" s="144"/>
      <c r="I8" s="144"/>
      <c r="J8" s="145" t="s">
        <v>983</v>
      </c>
    </row>
    <row r="9" customFormat="false" ht="15" hidden="false" customHeight="false" outlineLevel="0" collapsed="false">
      <c r="A9" s="144" t="n">
        <v>8</v>
      </c>
      <c r="B9" s="144" t="s">
        <v>992</v>
      </c>
      <c r="C9" s="144" t="n">
        <v>500</v>
      </c>
      <c r="D9" s="144" t="n">
        <v>400</v>
      </c>
      <c r="E9" s="144" t="n">
        <v>300</v>
      </c>
      <c r="F9" s="144"/>
      <c r="G9" s="144"/>
      <c r="H9" s="144"/>
      <c r="I9" s="144"/>
      <c r="J9" s="145" t="s">
        <v>983</v>
      </c>
    </row>
    <row r="10" customFormat="false" ht="15" hidden="false" customHeight="false" outlineLevel="0" collapsed="false">
      <c r="A10" s="144" t="n">
        <v>9</v>
      </c>
      <c r="B10" s="144" t="s">
        <v>993</v>
      </c>
      <c r="C10" s="144" t="n">
        <v>540</v>
      </c>
      <c r="D10" s="144" t="n">
        <v>405</v>
      </c>
      <c r="E10" s="144" t="n">
        <v>335</v>
      </c>
      <c r="F10" s="144"/>
      <c r="G10" s="144"/>
      <c r="H10" s="144"/>
      <c r="I10" s="144"/>
      <c r="J10" s="145" t="s">
        <v>983</v>
      </c>
    </row>
    <row r="12" customFormat="false" ht="15" hidden="false" customHeight="false" outlineLevel="0" collapsed="false">
      <c r="A12" s="148" t="s">
        <v>994</v>
      </c>
    </row>
    <row r="13" customFormat="false" ht="15" hidden="false" customHeight="false" outlineLevel="0" collapsed="false">
      <c r="A13" s="149" t="s">
        <v>995</v>
      </c>
      <c r="B13" s="149" t="s">
        <v>996</v>
      </c>
      <c r="C13" s="149" t="s">
        <v>997</v>
      </c>
      <c r="D13" s="149" t="s">
        <v>998</v>
      </c>
      <c r="E13" s="149" t="s">
        <v>999</v>
      </c>
    </row>
    <row r="14" customFormat="false" ht="15" hidden="false" customHeight="false" outlineLevel="0" collapsed="false">
      <c r="A14" s="150" t="s">
        <v>967</v>
      </c>
      <c r="B14" s="150" t="n">
        <v>2</v>
      </c>
      <c r="C14" s="150" t="s">
        <v>984</v>
      </c>
      <c r="D14" s="150" t="n">
        <v>20</v>
      </c>
      <c r="E14" s="150" t="e">
        <f aca="false">CEILING(rolos/20;1)</f>
        <v>#VALUE!</v>
      </c>
    </row>
    <row r="15" customFormat="false" ht="15" hidden="false" customHeight="false" outlineLevel="0" collapsed="false">
      <c r="A15" s="150" t="s">
        <v>51</v>
      </c>
      <c r="B15" s="150" t="n">
        <v>6</v>
      </c>
      <c r="C15" s="150" t="s">
        <v>989</v>
      </c>
      <c r="D15" s="150" t="n">
        <v>12</v>
      </c>
      <c r="E15" s="150" t="e">
        <f aca="false">CEILING(rolos/12;1)</f>
        <v>#VALUE!</v>
      </c>
    </row>
    <row r="16" customFormat="false" ht="15" hidden="false" customHeight="false" outlineLevel="0" collapsed="false">
      <c r="A16" s="150" t="s">
        <v>969</v>
      </c>
      <c r="B16" s="150" t="n">
        <v>2</v>
      </c>
      <c r="C16" s="150" t="s">
        <v>984</v>
      </c>
      <c r="D16" s="150" t="n">
        <v>20</v>
      </c>
      <c r="E16" s="150" t="s">
        <v>1000</v>
      </c>
    </row>
    <row r="18" customFormat="false" ht="15" hidden="false" customHeight="true" outlineLevel="0" collapsed="false">
      <c r="A18" s="151" t="s">
        <v>1001</v>
      </c>
      <c r="B18" s="151"/>
      <c r="C18" s="151"/>
      <c r="D18" s="151"/>
      <c r="E18" s="151"/>
      <c r="F18" s="151"/>
      <c r="G18" s="151"/>
      <c r="H18" s="151"/>
      <c r="I18" s="151"/>
      <c r="J18" s="151"/>
    </row>
    <row r="19" customFormat="false" ht="15" hidden="false" customHeight="false" outlineLevel="0" collapsed="false">
      <c r="A19" s="151"/>
      <c r="B19" s="151"/>
      <c r="C19" s="151"/>
      <c r="D19" s="151"/>
      <c r="E19" s="151"/>
      <c r="F19" s="151"/>
      <c r="G19" s="151"/>
      <c r="H19" s="151"/>
      <c r="I19" s="151"/>
      <c r="J19" s="151"/>
    </row>
    <row r="20" customFormat="false" ht="15" hidden="false" customHeight="false" outlineLevel="0" collapsed="false">
      <c r="A20" s="151"/>
      <c r="B20" s="151"/>
      <c r="C20" s="151"/>
      <c r="D20" s="151"/>
      <c r="E20" s="151"/>
      <c r="F20" s="151"/>
      <c r="G20" s="151"/>
      <c r="H20" s="151"/>
      <c r="I20" s="151"/>
      <c r="J20" s="151"/>
    </row>
  </sheetData>
  <mergeCells count="1">
    <mergeCell ref="A18:J20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156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5" ySplit="1" topLeftCell="F2" activePane="bottomRight" state="frozen"/>
      <selection pane="topLeft" activeCell="A1" activeCellId="0" sqref="A1"/>
      <selection pane="topRight" activeCell="F1" activeCellId="0" sqref="F1"/>
      <selection pane="bottomLeft" activeCell="A2" activeCellId="0" sqref="A2"/>
      <selection pane="bottomRight" activeCell="E2" activeCellId="0" sqref="E2"/>
    </sheetView>
  </sheetViews>
  <sheetFormatPr defaultColWidth="8.59765625" defaultRowHeight="14.25" zeroHeight="false" outlineLevelRow="0" outlineLevelCol="0"/>
  <cols>
    <col collapsed="false" customWidth="true" hidden="false" outlineLevel="0" max="2" min="1" style="1" width="8.89"/>
    <col collapsed="false" customWidth="true" hidden="false" outlineLevel="0" max="3" min="3" style="1" width="9.33"/>
    <col collapsed="false" customWidth="true" hidden="false" outlineLevel="0" max="4" min="4" style="1" width="17.66"/>
    <col collapsed="false" customWidth="true" hidden="false" outlineLevel="0" max="6" min="5" style="1" width="14.56"/>
  </cols>
  <sheetData>
    <row r="1" customFormat="false" ht="14.25" hidden="false" customHeight="true" outlineLevel="0" collapsed="false">
      <c r="A1" s="118"/>
      <c r="B1" s="118"/>
      <c r="C1" s="118" t="s">
        <v>1002</v>
      </c>
      <c r="D1" s="118" t="s">
        <v>1003</v>
      </c>
      <c r="E1" s="118" t="s">
        <v>1004</v>
      </c>
      <c r="F1" s="118" t="n">
        <v>5</v>
      </c>
    </row>
    <row r="2" customFormat="false" ht="14.25" hidden="false" customHeight="true" outlineLevel="0" collapsed="false">
      <c r="A2" s="118" t="s">
        <v>1005</v>
      </c>
      <c r="B2" s="118" t="str">
        <f aca="false">CONCATENATE(C2&amp;D2)</f>
        <v>3"1</v>
      </c>
      <c r="C2" s="118" t="s">
        <v>51</v>
      </c>
      <c r="D2" s="118" t="n">
        <v>1</v>
      </c>
      <c r="E2" s="118" t="n">
        <v>1</v>
      </c>
      <c r="F2" s="118" t="n">
        <f aca="false">E2*$F$1</f>
        <v>5</v>
      </c>
    </row>
    <row r="3" customFormat="false" ht="14.25" hidden="false" customHeight="true" outlineLevel="0" collapsed="false">
      <c r="A3" s="118" t="s">
        <v>1005</v>
      </c>
      <c r="B3" s="118" t="str">
        <f aca="false">CONCATENATE(C3&amp;D3)</f>
        <v>3"2</v>
      </c>
      <c r="C3" s="118" t="s">
        <v>51</v>
      </c>
      <c r="D3" s="118" t="n">
        <f aca="false">D2+1</f>
        <v>2</v>
      </c>
      <c r="E3" s="118" t="e">
        <f aca="false">CEILING(D3/12;1)</f>
        <v>#VALUE!</v>
      </c>
      <c r="F3" s="118" t="e">
        <f aca="false">E3*$F$1</f>
        <v>#VALUE!</v>
      </c>
    </row>
    <row r="4" customFormat="false" ht="14.25" hidden="false" customHeight="true" outlineLevel="0" collapsed="false">
      <c r="A4" s="118" t="s">
        <v>1005</v>
      </c>
      <c r="B4" s="118" t="str">
        <f aca="false">CONCATENATE(C4&amp;D4)</f>
        <v>3"3</v>
      </c>
      <c r="C4" s="118" t="s">
        <v>51</v>
      </c>
      <c r="D4" s="118" t="n">
        <f aca="false">D3+1</f>
        <v>3</v>
      </c>
      <c r="E4" s="118" t="e">
        <f aca="false">CEILING(D4/12;1)</f>
        <v>#VALUE!</v>
      </c>
      <c r="F4" s="118" t="e">
        <f aca="false">E4*$F$1</f>
        <v>#VALUE!</v>
      </c>
    </row>
    <row r="5" customFormat="false" ht="14.25" hidden="false" customHeight="true" outlineLevel="0" collapsed="false">
      <c r="A5" s="118" t="s">
        <v>1005</v>
      </c>
      <c r="B5" s="118" t="str">
        <f aca="false">CONCATENATE(C5&amp;D5)</f>
        <v>3"4</v>
      </c>
      <c r="C5" s="118" t="s">
        <v>51</v>
      </c>
      <c r="D5" s="118" t="n">
        <f aca="false">D4+1</f>
        <v>4</v>
      </c>
      <c r="E5" s="118" t="e">
        <f aca="false">CEILING(D5/12;1)</f>
        <v>#VALUE!</v>
      </c>
      <c r="F5" s="118" t="e">
        <f aca="false">E5*$F$1</f>
        <v>#VALUE!</v>
      </c>
    </row>
    <row r="6" customFormat="false" ht="14.25" hidden="false" customHeight="true" outlineLevel="0" collapsed="false">
      <c r="A6" s="118" t="s">
        <v>1005</v>
      </c>
      <c r="B6" s="118" t="str">
        <f aca="false">CONCATENATE(C6&amp;D6)</f>
        <v>3"5</v>
      </c>
      <c r="C6" s="118" t="s">
        <v>51</v>
      </c>
      <c r="D6" s="118" t="n">
        <f aca="false">D5+1</f>
        <v>5</v>
      </c>
      <c r="E6" s="118" t="e">
        <f aca="false">CEILING(D6/12;1)</f>
        <v>#VALUE!</v>
      </c>
      <c r="F6" s="118" t="e">
        <f aca="false">E6*$F$1</f>
        <v>#VALUE!</v>
      </c>
    </row>
    <row r="7" customFormat="false" ht="14.25" hidden="false" customHeight="true" outlineLevel="0" collapsed="false">
      <c r="A7" s="118" t="s">
        <v>1005</v>
      </c>
      <c r="B7" s="118" t="str">
        <f aca="false">CONCATENATE(C7&amp;D7)</f>
        <v>3"6</v>
      </c>
      <c r="C7" s="118" t="s">
        <v>51</v>
      </c>
      <c r="D7" s="118" t="n">
        <f aca="false">D6+1</f>
        <v>6</v>
      </c>
      <c r="E7" s="118" t="e">
        <f aca="false">CEILING(D7/12;1)</f>
        <v>#VALUE!</v>
      </c>
      <c r="F7" s="118" t="e">
        <f aca="false">E7*$F$1</f>
        <v>#VALUE!</v>
      </c>
    </row>
    <row r="8" customFormat="false" ht="14.25" hidden="false" customHeight="true" outlineLevel="0" collapsed="false">
      <c r="A8" s="118" t="s">
        <v>1005</v>
      </c>
      <c r="B8" s="118" t="str">
        <f aca="false">CONCATENATE(C8&amp;D8)</f>
        <v>3"7</v>
      </c>
      <c r="C8" s="118" t="s">
        <v>51</v>
      </c>
      <c r="D8" s="118" t="n">
        <f aca="false">D7+1</f>
        <v>7</v>
      </c>
      <c r="E8" s="118" t="e">
        <f aca="false">CEILING(D8/12;1)</f>
        <v>#VALUE!</v>
      </c>
      <c r="F8" s="118" t="e">
        <f aca="false">E8*$F$1</f>
        <v>#VALUE!</v>
      </c>
    </row>
    <row r="9" customFormat="false" ht="14.25" hidden="false" customHeight="true" outlineLevel="0" collapsed="false">
      <c r="A9" s="118" t="s">
        <v>1005</v>
      </c>
      <c r="B9" s="118" t="str">
        <f aca="false">CONCATENATE(C9&amp;D9)</f>
        <v>3"8</v>
      </c>
      <c r="C9" s="118" t="s">
        <v>51</v>
      </c>
      <c r="D9" s="118" t="n">
        <f aca="false">D8+1</f>
        <v>8</v>
      </c>
      <c r="E9" s="118" t="e">
        <f aca="false">CEILING(D9/12;1)</f>
        <v>#VALUE!</v>
      </c>
      <c r="F9" s="118" t="e">
        <f aca="false">E9*$F$1</f>
        <v>#VALUE!</v>
      </c>
    </row>
    <row r="10" customFormat="false" ht="14.25" hidden="false" customHeight="true" outlineLevel="0" collapsed="false">
      <c r="A10" s="118" t="s">
        <v>1005</v>
      </c>
      <c r="B10" s="118" t="str">
        <f aca="false">CONCATENATE(C10&amp;D10)</f>
        <v>3"9</v>
      </c>
      <c r="C10" s="118" t="s">
        <v>51</v>
      </c>
      <c r="D10" s="118" t="n">
        <f aca="false">D9+1</f>
        <v>9</v>
      </c>
      <c r="E10" s="118" t="e">
        <f aca="false">CEILING(D10/12;1)</f>
        <v>#VALUE!</v>
      </c>
      <c r="F10" s="118" t="e">
        <f aca="false">E10*$F$1</f>
        <v>#VALUE!</v>
      </c>
    </row>
    <row r="11" customFormat="false" ht="14.25" hidden="false" customHeight="true" outlineLevel="0" collapsed="false">
      <c r="A11" s="118" t="s">
        <v>1005</v>
      </c>
      <c r="B11" s="118" t="str">
        <f aca="false">CONCATENATE(C11&amp;D11)</f>
        <v>3"10</v>
      </c>
      <c r="C11" s="118" t="s">
        <v>51</v>
      </c>
      <c r="D11" s="118" t="n">
        <f aca="false">D10+1</f>
        <v>10</v>
      </c>
      <c r="E11" s="118" t="e">
        <f aca="false">CEILING(D11/12;1)</f>
        <v>#VALUE!</v>
      </c>
      <c r="F11" s="118" t="e">
        <f aca="false">E11*$F$1</f>
        <v>#VALUE!</v>
      </c>
    </row>
    <row r="12" customFormat="false" ht="14.25" hidden="false" customHeight="true" outlineLevel="0" collapsed="false">
      <c r="A12" s="118" t="s">
        <v>1005</v>
      </c>
      <c r="B12" s="118" t="str">
        <f aca="false">CONCATENATE(C12&amp;D12)</f>
        <v>3"11</v>
      </c>
      <c r="C12" s="118" t="s">
        <v>51</v>
      </c>
      <c r="D12" s="118" t="n">
        <f aca="false">D11+1</f>
        <v>11</v>
      </c>
      <c r="E12" s="118" t="e">
        <f aca="false">CEILING(D12/12;1)</f>
        <v>#VALUE!</v>
      </c>
      <c r="F12" s="118" t="e">
        <f aca="false">E12*$F$1</f>
        <v>#VALUE!</v>
      </c>
    </row>
    <row r="13" customFormat="false" ht="14.25" hidden="false" customHeight="true" outlineLevel="0" collapsed="false">
      <c r="A13" s="118" t="s">
        <v>1005</v>
      </c>
      <c r="B13" s="118" t="str">
        <f aca="false">CONCATENATE(C13&amp;D13)</f>
        <v>3"12</v>
      </c>
      <c r="C13" s="118" t="s">
        <v>51</v>
      </c>
      <c r="D13" s="152" t="n">
        <f aca="false">D12+1</f>
        <v>12</v>
      </c>
      <c r="E13" s="118" t="e">
        <f aca="false">CEILING(D13/12;1)</f>
        <v>#VALUE!</v>
      </c>
      <c r="F13" s="118" t="e">
        <f aca="false">E13*$F$1</f>
        <v>#VALUE!</v>
      </c>
    </row>
    <row r="14" customFormat="false" ht="14.25" hidden="false" customHeight="true" outlineLevel="0" collapsed="false">
      <c r="A14" s="118" t="s">
        <v>1005</v>
      </c>
      <c r="B14" s="118" t="str">
        <f aca="false">CONCATENATE(C14&amp;D14)</f>
        <v>3"13</v>
      </c>
      <c r="C14" s="118" t="s">
        <v>51</v>
      </c>
      <c r="D14" s="118" t="n">
        <f aca="false">D13+1</f>
        <v>13</v>
      </c>
      <c r="E14" s="118" t="e">
        <f aca="false">CEILING(D14/12;1)</f>
        <v>#VALUE!</v>
      </c>
      <c r="F14" s="118" t="e">
        <f aca="false">E14*$F$1</f>
        <v>#VALUE!</v>
      </c>
    </row>
    <row r="15" customFormat="false" ht="14.25" hidden="false" customHeight="true" outlineLevel="0" collapsed="false">
      <c r="A15" s="118" t="s">
        <v>1005</v>
      </c>
      <c r="B15" s="118" t="str">
        <f aca="false">CONCATENATE(C15&amp;D15)</f>
        <v>3"14</v>
      </c>
      <c r="C15" s="118" t="s">
        <v>51</v>
      </c>
      <c r="D15" s="118" t="n">
        <f aca="false">D14+1</f>
        <v>14</v>
      </c>
      <c r="E15" s="118" t="e">
        <f aca="false">CEILING(D15/12;1)</f>
        <v>#VALUE!</v>
      </c>
      <c r="F15" s="118" t="e">
        <f aca="false">E15*$F$1</f>
        <v>#VALUE!</v>
      </c>
    </row>
    <row r="16" customFormat="false" ht="14.25" hidden="false" customHeight="true" outlineLevel="0" collapsed="false">
      <c r="A16" s="118" t="s">
        <v>1005</v>
      </c>
      <c r="B16" s="118" t="str">
        <f aca="false">CONCATENATE(C16&amp;D16)</f>
        <v>3"15</v>
      </c>
      <c r="C16" s="118" t="s">
        <v>51</v>
      </c>
      <c r="D16" s="118" t="n">
        <f aca="false">D15+1</f>
        <v>15</v>
      </c>
      <c r="E16" s="118" t="e">
        <f aca="false">CEILING(D16/12;1)</f>
        <v>#VALUE!</v>
      </c>
      <c r="F16" s="118" t="e">
        <f aca="false">E16*$F$1</f>
        <v>#VALUE!</v>
      </c>
    </row>
    <row r="17" customFormat="false" ht="14.25" hidden="false" customHeight="true" outlineLevel="0" collapsed="false">
      <c r="A17" s="118" t="s">
        <v>1005</v>
      </c>
      <c r="B17" s="118" t="str">
        <f aca="false">CONCATENATE(C17&amp;D17)</f>
        <v>3"16</v>
      </c>
      <c r="C17" s="118" t="s">
        <v>51</v>
      </c>
      <c r="D17" s="118" t="n">
        <f aca="false">D16+1</f>
        <v>16</v>
      </c>
      <c r="E17" s="118" t="e">
        <f aca="false">CEILING(D17/12;1)</f>
        <v>#VALUE!</v>
      </c>
      <c r="F17" s="118" t="e">
        <f aca="false">E17*$F$1</f>
        <v>#VALUE!</v>
      </c>
    </row>
    <row r="18" customFormat="false" ht="14.25" hidden="false" customHeight="true" outlineLevel="0" collapsed="false">
      <c r="A18" s="118" t="s">
        <v>1005</v>
      </c>
      <c r="B18" s="118" t="str">
        <f aca="false">CONCATENATE(C18&amp;D18)</f>
        <v>3"17</v>
      </c>
      <c r="C18" s="118" t="s">
        <v>51</v>
      </c>
      <c r="D18" s="118" t="n">
        <f aca="false">D17+1</f>
        <v>17</v>
      </c>
      <c r="E18" s="118" t="e">
        <f aca="false">CEILING(D18/12;1)</f>
        <v>#VALUE!</v>
      </c>
      <c r="F18" s="118" t="e">
        <f aca="false">E18*$F$1</f>
        <v>#VALUE!</v>
      </c>
    </row>
    <row r="19" customFormat="false" ht="14.25" hidden="false" customHeight="true" outlineLevel="0" collapsed="false">
      <c r="A19" s="118" t="s">
        <v>1005</v>
      </c>
      <c r="B19" s="118" t="str">
        <f aca="false">CONCATENATE(C19&amp;D19)</f>
        <v>3"18</v>
      </c>
      <c r="C19" s="118" t="s">
        <v>51</v>
      </c>
      <c r="D19" s="118" t="n">
        <f aca="false">D18+1</f>
        <v>18</v>
      </c>
      <c r="E19" s="118" t="e">
        <f aca="false">CEILING(D19/12;1)</f>
        <v>#VALUE!</v>
      </c>
      <c r="F19" s="118" t="e">
        <f aca="false">E19*$F$1</f>
        <v>#VALUE!</v>
      </c>
    </row>
    <row r="20" customFormat="false" ht="14.25" hidden="false" customHeight="true" outlineLevel="0" collapsed="false">
      <c r="A20" s="118" t="s">
        <v>1005</v>
      </c>
      <c r="B20" s="118" t="str">
        <f aca="false">CONCATENATE(C20&amp;D20)</f>
        <v>3"19</v>
      </c>
      <c r="C20" s="118" t="s">
        <v>51</v>
      </c>
      <c r="D20" s="118" t="n">
        <f aca="false">D19+1</f>
        <v>19</v>
      </c>
      <c r="E20" s="118" t="e">
        <f aca="false">CEILING(D20/12;1)</f>
        <v>#VALUE!</v>
      </c>
      <c r="F20" s="118" t="e">
        <f aca="false">E20*$F$1</f>
        <v>#VALUE!</v>
      </c>
    </row>
    <row r="21" customFormat="false" ht="14.25" hidden="false" customHeight="true" outlineLevel="0" collapsed="false">
      <c r="A21" s="118" t="s">
        <v>1005</v>
      </c>
      <c r="B21" s="118" t="str">
        <f aca="false">CONCATENATE(C21&amp;D21)</f>
        <v>3"20</v>
      </c>
      <c r="C21" s="118" t="s">
        <v>51</v>
      </c>
      <c r="D21" s="118" t="n">
        <f aca="false">D20+1</f>
        <v>20</v>
      </c>
      <c r="E21" s="118" t="e">
        <f aca="false">CEILING(D21/12;1)</f>
        <v>#VALUE!</v>
      </c>
      <c r="F21" s="118" t="e">
        <f aca="false">E21*$F$1</f>
        <v>#VALUE!</v>
      </c>
    </row>
    <row r="22" customFormat="false" ht="14.25" hidden="false" customHeight="true" outlineLevel="0" collapsed="false">
      <c r="A22" s="118" t="s">
        <v>1005</v>
      </c>
      <c r="B22" s="118" t="str">
        <f aca="false">CONCATENATE(C22&amp;D22)</f>
        <v>3"21</v>
      </c>
      <c r="C22" s="118" t="s">
        <v>51</v>
      </c>
      <c r="D22" s="118" t="n">
        <f aca="false">D21+1</f>
        <v>21</v>
      </c>
      <c r="E22" s="118" t="e">
        <f aca="false">CEILING(D22/12;1)</f>
        <v>#VALUE!</v>
      </c>
      <c r="F22" s="118" t="e">
        <f aca="false">E22*$F$1</f>
        <v>#VALUE!</v>
      </c>
    </row>
    <row r="23" customFormat="false" ht="14.25" hidden="false" customHeight="true" outlineLevel="0" collapsed="false">
      <c r="A23" s="118" t="s">
        <v>1005</v>
      </c>
      <c r="B23" s="118" t="str">
        <f aca="false">CONCATENATE(C23&amp;D23)</f>
        <v>3"22</v>
      </c>
      <c r="C23" s="118" t="s">
        <v>51</v>
      </c>
      <c r="D23" s="118" t="n">
        <f aca="false">D22+1</f>
        <v>22</v>
      </c>
      <c r="E23" s="118" t="e">
        <f aca="false">CEILING(D23/12;1)</f>
        <v>#VALUE!</v>
      </c>
      <c r="F23" s="118" t="e">
        <f aca="false">E23*$F$1</f>
        <v>#VALUE!</v>
      </c>
    </row>
    <row r="24" customFormat="false" ht="14.25" hidden="false" customHeight="true" outlineLevel="0" collapsed="false">
      <c r="A24" s="118" t="s">
        <v>1005</v>
      </c>
      <c r="B24" s="118" t="str">
        <f aca="false">CONCATENATE(C24&amp;D24)</f>
        <v>3"23</v>
      </c>
      <c r="C24" s="118" t="s">
        <v>51</v>
      </c>
      <c r="D24" s="118" t="n">
        <f aca="false">D23+1</f>
        <v>23</v>
      </c>
      <c r="E24" s="118" t="e">
        <f aca="false">CEILING(D24/12;1)</f>
        <v>#VALUE!</v>
      </c>
      <c r="F24" s="118" t="e">
        <f aca="false">E24*$F$1</f>
        <v>#VALUE!</v>
      </c>
    </row>
    <row r="25" customFormat="false" ht="14.25" hidden="false" customHeight="true" outlineLevel="0" collapsed="false">
      <c r="A25" s="118" t="s">
        <v>1005</v>
      </c>
      <c r="B25" s="118" t="str">
        <f aca="false">CONCATENATE(C25&amp;D25)</f>
        <v>3"24</v>
      </c>
      <c r="C25" s="118" t="s">
        <v>51</v>
      </c>
      <c r="D25" s="152" t="n">
        <f aca="false">D24+1</f>
        <v>24</v>
      </c>
      <c r="E25" s="118" t="e">
        <f aca="false">CEILING(D25/12;1)</f>
        <v>#VALUE!</v>
      </c>
      <c r="F25" s="118" t="e">
        <f aca="false">E25*$F$1</f>
        <v>#VALUE!</v>
      </c>
    </row>
    <row r="26" customFormat="false" ht="14.25" hidden="false" customHeight="true" outlineLevel="0" collapsed="false">
      <c r="A26" s="118" t="s">
        <v>1005</v>
      </c>
      <c r="B26" s="118" t="str">
        <f aca="false">CONCATENATE(C26&amp;D26)</f>
        <v>3"25</v>
      </c>
      <c r="C26" s="118" t="s">
        <v>51</v>
      </c>
      <c r="D26" s="118" t="n">
        <f aca="false">D25+1</f>
        <v>25</v>
      </c>
      <c r="E26" s="118" t="e">
        <f aca="false">CEILING(D26/12;1)</f>
        <v>#VALUE!</v>
      </c>
      <c r="F26" s="118" t="e">
        <f aca="false">E26*$F$1</f>
        <v>#VALUE!</v>
      </c>
    </row>
    <row r="27" customFormat="false" ht="14.25" hidden="false" customHeight="true" outlineLevel="0" collapsed="false">
      <c r="A27" s="118" t="s">
        <v>1005</v>
      </c>
      <c r="B27" s="118" t="str">
        <f aca="false">CONCATENATE(C27&amp;D27)</f>
        <v>3"26</v>
      </c>
      <c r="C27" s="118" t="s">
        <v>51</v>
      </c>
      <c r="D27" s="118" t="n">
        <f aca="false">D26+1</f>
        <v>26</v>
      </c>
      <c r="E27" s="118" t="e">
        <f aca="false">CEILING(D27/12;1)</f>
        <v>#VALUE!</v>
      </c>
      <c r="F27" s="118" t="e">
        <f aca="false">E27*$F$1</f>
        <v>#VALUE!</v>
      </c>
    </row>
    <row r="28" customFormat="false" ht="14.25" hidden="false" customHeight="true" outlineLevel="0" collapsed="false">
      <c r="A28" s="118" t="s">
        <v>1005</v>
      </c>
      <c r="B28" s="118" t="str">
        <f aca="false">CONCATENATE(C28&amp;D28)</f>
        <v>3"27</v>
      </c>
      <c r="C28" s="118" t="s">
        <v>51</v>
      </c>
      <c r="D28" s="118" t="n">
        <f aca="false">D27+1</f>
        <v>27</v>
      </c>
      <c r="E28" s="118" t="e">
        <f aca="false">CEILING(D28/12;1)</f>
        <v>#VALUE!</v>
      </c>
      <c r="F28" s="118" t="e">
        <f aca="false">E28*$F$1</f>
        <v>#VALUE!</v>
      </c>
    </row>
    <row r="29" customFormat="false" ht="14.25" hidden="false" customHeight="true" outlineLevel="0" collapsed="false">
      <c r="A29" s="118" t="s">
        <v>1005</v>
      </c>
      <c r="B29" s="118" t="str">
        <f aca="false">CONCATENATE(C29&amp;D29)</f>
        <v>3"28</v>
      </c>
      <c r="C29" s="118" t="s">
        <v>51</v>
      </c>
      <c r="D29" s="118" t="n">
        <f aca="false">D28+1</f>
        <v>28</v>
      </c>
      <c r="E29" s="118" t="e">
        <f aca="false">CEILING(D29/12;1)</f>
        <v>#VALUE!</v>
      </c>
      <c r="F29" s="118" t="e">
        <f aca="false">E29*$F$1</f>
        <v>#VALUE!</v>
      </c>
    </row>
    <row r="30" customFormat="false" ht="14.25" hidden="false" customHeight="true" outlineLevel="0" collapsed="false">
      <c r="A30" s="118" t="s">
        <v>1005</v>
      </c>
      <c r="B30" s="118" t="str">
        <f aca="false">CONCATENATE(C30&amp;D30)</f>
        <v>3"29</v>
      </c>
      <c r="C30" s="118" t="s">
        <v>51</v>
      </c>
      <c r="D30" s="118" t="n">
        <f aca="false">D29+1</f>
        <v>29</v>
      </c>
      <c r="E30" s="118" t="e">
        <f aca="false">CEILING(D30/12;1)</f>
        <v>#VALUE!</v>
      </c>
      <c r="F30" s="118" t="e">
        <f aca="false">E30*$F$1</f>
        <v>#VALUE!</v>
      </c>
    </row>
    <row r="31" customFormat="false" ht="14.25" hidden="false" customHeight="true" outlineLevel="0" collapsed="false">
      <c r="A31" s="118" t="s">
        <v>1005</v>
      </c>
      <c r="B31" s="118" t="str">
        <f aca="false">CONCATENATE(C31&amp;D31)</f>
        <v>3"30</v>
      </c>
      <c r="C31" s="118" t="s">
        <v>51</v>
      </c>
      <c r="D31" s="118" t="n">
        <f aca="false">D30+1</f>
        <v>30</v>
      </c>
      <c r="E31" s="118" t="e">
        <f aca="false">CEILING(D31/12;1)</f>
        <v>#VALUE!</v>
      </c>
      <c r="F31" s="118" t="e">
        <f aca="false">E31*$F$1</f>
        <v>#VALUE!</v>
      </c>
    </row>
    <row r="32" customFormat="false" ht="14.25" hidden="false" customHeight="true" outlineLevel="0" collapsed="false">
      <c r="A32" s="118" t="s">
        <v>1005</v>
      </c>
      <c r="B32" s="118" t="str">
        <f aca="false">CONCATENATE(C32&amp;D32)</f>
        <v>3"31</v>
      </c>
      <c r="C32" s="118" t="s">
        <v>51</v>
      </c>
      <c r="D32" s="118" t="n">
        <f aca="false">D31+1</f>
        <v>31</v>
      </c>
      <c r="E32" s="118" t="e">
        <f aca="false">CEILING(D32/12;1)</f>
        <v>#VALUE!</v>
      </c>
      <c r="F32" s="118" t="e">
        <f aca="false">E32*$F$1</f>
        <v>#VALUE!</v>
      </c>
    </row>
    <row r="33" customFormat="false" ht="14.25" hidden="false" customHeight="true" outlineLevel="0" collapsed="false">
      <c r="A33" s="118" t="s">
        <v>1005</v>
      </c>
      <c r="B33" s="118" t="str">
        <f aca="false">CONCATENATE(C33&amp;D33)</f>
        <v>3"32</v>
      </c>
      <c r="C33" s="118" t="s">
        <v>51</v>
      </c>
      <c r="D33" s="118" t="n">
        <f aca="false">D32+1</f>
        <v>32</v>
      </c>
      <c r="E33" s="118" t="e">
        <f aca="false">CEILING(D33/12;1)</f>
        <v>#VALUE!</v>
      </c>
      <c r="F33" s="118" t="e">
        <f aca="false">E33*$F$1</f>
        <v>#VALUE!</v>
      </c>
    </row>
    <row r="34" customFormat="false" ht="14.25" hidden="false" customHeight="true" outlineLevel="0" collapsed="false">
      <c r="A34" s="118" t="s">
        <v>1005</v>
      </c>
      <c r="B34" s="118" t="str">
        <f aca="false">CONCATENATE(C34&amp;D34)</f>
        <v>3"33</v>
      </c>
      <c r="C34" s="118" t="s">
        <v>51</v>
      </c>
      <c r="D34" s="118" t="n">
        <f aca="false">D33+1</f>
        <v>33</v>
      </c>
      <c r="E34" s="118" t="e">
        <f aca="false">CEILING(D34/12;1)</f>
        <v>#VALUE!</v>
      </c>
      <c r="F34" s="118" t="e">
        <f aca="false">E34*$F$1</f>
        <v>#VALUE!</v>
      </c>
    </row>
    <row r="35" customFormat="false" ht="14.25" hidden="false" customHeight="true" outlineLevel="0" collapsed="false">
      <c r="A35" s="118" t="s">
        <v>1005</v>
      </c>
      <c r="B35" s="118" t="str">
        <f aca="false">CONCATENATE(C35&amp;D35)</f>
        <v>3"34</v>
      </c>
      <c r="C35" s="118" t="s">
        <v>51</v>
      </c>
      <c r="D35" s="118" t="n">
        <f aca="false">D34+1</f>
        <v>34</v>
      </c>
      <c r="E35" s="118" t="e">
        <f aca="false">CEILING(D35/12;1)</f>
        <v>#VALUE!</v>
      </c>
      <c r="F35" s="118" t="e">
        <f aca="false">E35*$F$1</f>
        <v>#VALUE!</v>
      </c>
    </row>
    <row r="36" customFormat="false" ht="14.25" hidden="false" customHeight="true" outlineLevel="0" collapsed="false">
      <c r="A36" s="118" t="s">
        <v>1005</v>
      </c>
      <c r="B36" s="118" t="str">
        <f aca="false">CONCATENATE(C36&amp;D36)</f>
        <v>3"35</v>
      </c>
      <c r="C36" s="118" t="s">
        <v>51</v>
      </c>
      <c r="D36" s="118" t="n">
        <f aca="false">D35+1</f>
        <v>35</v>
      </c>
      <c r="E36" s="118" t="e">
        <f aca="false">CEILING(D36/12;1)</f>
        <v>#VALUE!</v>
      </c>
      <c r="F36" s="118" t="e">
        <f aca="false">E36*$F$1</f>
        <v>#VALUE!</v>
      </c>
    </row>
    <row r="37" customFormat="false" ht="14.25" hidden="false" customHeight="true" outlineLevel="0" collapsed="false">
      <c r="A37" s="118" t="s">
        <v>1005</v>
      </c>
      <c r="B37" s="118" t="str">
        <f aca="false">CONCATENATE(C37&amp;D37)</f>
        <v>3"36</v>
      </c>
      <c r="C37" s="118" t="s">
        <v>51</v>
      </c>
      <c r="D37" s="152" t="n">
        <f aca="false">D36+1</f>
        <v>36</v>
      </c>
      <c r="E37" s="118" t="e">
        <f aca="false">CEILING(D37/12;1)</f>
        <v>#VALUE!</v>
      </c>
      <c r="F37" s="118" t="e">
        <f aca="false">E37*$F$1</f>
        <v>#VALUE!</v>
      </c>
    </row>
    <row r="38" customFormat="false" ht="14.25" hidden="false" customHeight="true" outlineLevel="0" collapsed="false">
      <c r="A38" s="118" t="s">
        <v>1005</v>
      </c>
      <c r="B38" s="118" t="str">
        <f aca="false">CONCATENATE(C38&amp;D38)</f>
        <v>3"37</v>
      </c>
      <c r="C38" s="118" t="s">
        <v>51</v>
      </c>
      <c r="D38" s="118" t="n">
        <f aca="false">D37+1</f>
        <v>37</v>
      </c>
      <c r="E38" s="118" t="e">
        <f aca="false">CEILING(D38/12;1)</f>
        <v>#VALUE!</v>
      </c>
      <c r="F38" s="118" t="e">
        <f aca="false">E38*$F$1</f>
        <v>#VALUE!</v>
      </c>
    </row>
    <row r="39" customFormat="false" ht="14.25" hidden="false" customHeight="true" outlineLevel="0" collapsed="false">
      <c r="A39" s="118" t="s">
        <v>1005</v>
      </c>
      <c r="B39" s="118" t="str">
        <f aca="false">CONCATENATE(C39&amp;D39)</f>
        <v>3"38</v>
      </c>
      <c r="C39" s="118" t="s">
        <v>51</v>
      </c>
      <c r="D39" s="118" t="n">
        <f aca="false">D38+1</f>
        <v>38</v>
      </c>
      <c r="E39" s="118" t="e">
        <f aca="false">CEILING(D39/12;1)</f>
        <v>#VALUE!</v>
      </c>
      <c r="F39" s="118" t="e">
        <f aca="false">E39*$F$1</f>
        <v>#VALUE!</v>
      </c>
    </row>
    <row r="40" customFormat="false" ht="14.25" hidden="false" customHeight="true" outlineLevel="0" collapsed="false">
      <c r="A40" s="118" t="s">
        <v>1005</v>
      </c>
      <c r="B40" s="118" t="str">
        <f aca="false">CONCATENATE(C40&amp;D40)</f>
        <v>3"39</v>
      </c>
      <c r="C40" s="118" t="s">
        <v>51</v>
      </c>
      <c r="D40" s="118" t="n">
        <f aca="false">D39+1</f>
        <v>39</v>
      </c>
      <c r="E40" s="118" t="e">
        <f aca="false">CEILING(D40/12;1)</f>
        <v>#VALUE!</v>
      </c>
      <c r="F40" s="118" t="e">
        <f aca="false">E40*$F$1</f>
        <v>#VALUE!</v>
      </c>
    </row>
    <row r="41" customFormat="false" ht="14.25" hidden="false" customHeight="true" outlineLevel="0" collapsed="false">
      <c r="A41" s="118" t="s">
        <v>1005</v>
      </c>
      <c r="B41" s="118" t="str">
        <f aca="false">CONCATENATE(C41&amp;D41)</f>
        <v>3"40</v>
      </c>
      <c r="C41" s="118" t="s">
        <v>51</v>
      </c>
      <c r="D41" s="118" t="n">
        <f aca="false">D40+1</f>
        <v>40</v>
      </c>
      <c r="E41" s="118" t="e">
        <f aca="false">CEILING(D41/12;1)</f>
        <v>#VALUE!</v>
      </c>
      <c r="F41" s="118" t="e">
        <f aca="false">E41*$F$1</f>
        <v>#VALUE!</v>
      </c>
    </row>
    <row r="42" customFormat="false" ht="14.25" hidden="false" customHeight="true" outlineLevel="0" collapsed="false">
      <c r="A42" s="118" t="s">
        <v>1005</v>
      </c>
      <c r="B42" s="118" t="str">
        <f aca="false">CONCATENATE(C42&amp;D42)</f>
        <v>3"41</v>
      </c>
      <c r="C42" s="118" t="s">
        <v>51</v>
      </c>
      <c r="D42" s="118" t="n">
        <f aca="false">D41+1</f>
        <v>41</v>
      </c>
      <c r="E42" s="118" t="e">
        <f aca="false">CEILING(D42/12;1)</f>
        <v>#VALUE!</v>
      </c>
      <c r="F42" s="118" t="e">
        <f aca="false">E42*$F$1</f>
        <v>#VALUE!</v>
      </c>
    </row>
    <row r="43" customFormat="false" ht="14.25" hidden="false" customHeight="true" outlineLevel="0" collapsed="false">
      <c r="A43" s="118" t="s">
        <v>1005</v>
      </c>
      <c r="B43" s="118" t="str">
        <f aca="false">CONCATENATE(C43&amp;D43)</f>
        <v>3"42</v>
      </c>
      <c r="C43" s="118" t="s">
        <v>51</v>
      </c>
      <c r="D43" s="118" t="n">
        <f aca="false">D42+1</f>
        <v>42</v>
      </c>
      <c r="E43" s="118" t="e">
        <f aca="false">CEILING(D43/12;1)</f>
        <v>#VALUE!</v>
      </c>
      <c r="F43" s="118" t="e">
        <f aca="false">E43*$F$1</f>
        <v>#VALUE!</v>
      </c>
    </row>
    <row r="44" customFormat="false" ht="14.25" hidden="false" customHeight="true" outlineLevel="0" collapsed="false">
      <c r="A44" s="118" t="s">
        <v>1005</v>
      </c>
      <c r="B44" s="118" t="str">
        <f aca="false">CONCATENATE(C44&amp;D44)</f>
        <v>3"43</v>
      </c>
      <c r="C44" s="118" t="s">
        <v>51</v>
      </c>
      <c r="D44" s="118" t="n">
        <f aca="false">D43+1</f>
        <v>43</v>
      </c>
      <c r="E44" s="118" t="e">
        <f aca="false">CEILING(D44/12;1)</f>
        <v>#VALUE!</v>
      </c>
      <c r="F44" s="118" t="e">
        <f aca="false">E44*$F$1</f>
        <v>#VALUE!</v>
      </c>
    </row>
    <row r="45" customFormat="false" ht="14.25" hidden="false" customHeight="true" outlineLevel="0" collapsed="false">
      <c r="A45" s="118" t="s">
        <v>1005</v>
      </c>
      <c r="B45" s="118" t="str">
        <f aca="false">CONCATENATE(C45&amp;D45)</f>
        <v>3"44</v>
      </c>
      <c r="C45" s="118" t="s">
        <v>51</v>
      </c>
      <c r="D45" s="118" t="n">
        <f aca="false">D44+1</f>
        <v>44</v>
      </c>
      <c r="E45" s="118" t="e">
        <f aca="false">CEILING(D45/12;1)</f>
        <v>#VALUE!</v>
      </c>
      <c r="F45" s="118" t="e">
        <f aca="false">E45*$F$1</f>
        <v>#VALUE!</v>
      </c>
    </row>
    <row r="46" customFormat="false" ht="14.25" hidden="false" customHeight="true" outlineLevel="0" collapsed="false">
      <c r="A46" s="118" t="s">
        <v>1005</v>
      </c>
      <c r="B46" s="118" t="str">
        <f aca="false">CONCATENATE(C46&amp;D46)</f>
        <v>3"45</v>
      </c>
      <c r="C46" s="118" t="s">
        <v>51</v>
      </c>
      <c r="D46" s="118" t="n">
        <f aca="false">D45+1</f>
        <v>45</v>
      </c>
      <c r="E46" s="118" t="e">
        <f aca="false">CEILING(D46/12;1)</f>
        <v>#VALUE!</v>
      </c>
      <c r="F46" s="118" t="e">
        <f aca="false">E46*$F$1</f>
        <v>#VALUE!</v>
      </c>
    </row>
    <row r="47" customFormat="false" ht="14.25" hidden="false" customHeight="true" outlineLevel="0" collapsed="false">
      <c r="A47" s="118" t="s">
        <v>1005</v>
      </c>
      <c r="B47" s="118" t="str">
        <f aca="false">CONCATENATE(C47&amp;D47)</f>
        <v>3"46</v>
      </c>
      <c r="C47" s="118" t="s">
        <v>51</v>
      </c>
      <c r="D47" s="118" t="n">
        <f aca="false">D46+1</f>
        <v>46</v>
      </c>
      <c r="E47" s="118" t="e">
        <f aca="false">CEILING(D47/12;1)</f>
        <v>#VALUE!</v>
      </c>
      <c r="F47" s="118" t="e">
        <f aca="false">E47*$F$1</f>
        <v>#VALUE!</v>
      </c>
    </row>
    <row r="48" customFormat="false" ht="14.25" hidden="false" customHeight="true" outlineLevel="0" collapsed="false">
      <c r="A48" s="118" t="s">
        <v>1005</v>
      </c>
      <c r="B48" s="118" t="str">
        <f aca="false">CONCATENATE(C48&amp;D48)</f>
        <v>3"47</v>
      </c>
      <c r="C48" s="118" t="s">
        <v>51</v>
      </c>
      <c r="D48" s="118" t="n">
        <f aca="false">D47+1</f>
        <v>47</v>
      </c>
      <c r="E48" s="118" t="e">
        <f aca="false">CEILING(D48/12;1)</f>
        <v>#VALUE!</v>
      </c>
      <c r="F48" s="118" t="e">
        <f aca="false">E48*$F$1</f>
        <v>#VALUE!</v>
      </c>
    </row>
    <row r="49" customFormat="false" ht="14.25" hidden="false" customHeight="true" outlineLevel="0" collapsed="false">
      <c r="A49" s="118" t="s">
        <v>1005</v>
      </c>
      <c r="B49" s="118" t="str">
        <f aca="false">CONCATENATE(C49&amp;D49)</f>
        <v>3"48</v>
      </c>
      <c r="C49" s="118" t="s">
        <v>51</v>
      </c>
      <c r="D49" s="152" t="n">
        <f aca="false">D48+1</f>
        <v>48</v>
      </c>
      <c r="E49" s="118" t="e">
        <f aca="false">CEILING(D49/12;1)</f>
        <v>#VALUE!</v>
      </c>
      <c r="F49" s="118" t="e">
        <f aca="false">E49*$F$1</f>
        <v>#VALUE!</v>
      </c>
    </row>
    <row r="50" customFormat="false" ht="14.25" hidden="false" customHeight="true" outlineLevel="0" collapsed="false">
      <c r="A50" s="118" t="s">
        <v>1005</v>
      </c>
      <c r="B50" s="118" t="str">
        <f aca="false">CONCATENATE(C50&amp;D50)</f>
        <v>3"49</v>
      </c>
      <c r="C50" s="118" t="s">
        <v>51</v>
      </c>
      <c r="D50" s="118" t="n">
        <f aca="false">D49+1</f>
        <v>49</v>
      </c>
      <c r="E50" s="118" t="e">
        <f aca="false">CEILING(D50/12;1)</f>
        <v>#VALUE!</v>
      </c>
      <c r="F50" s="118" t="e">
        <f aca="false">E50*$F$1</f>
        <v>#VALUE!</v>
      </c>
    </row>
    <row r="51" customFormat="false" ht="14.25" hidden="false" customHeight="true" outlineLevel="0" collapsed="false">
      <c r="A51" s="118" t="s">
        <v>1005</v>
      </c>
      <c r="B51" s="118" t="str">
        <f aca="false">CONCATENATE(C51&amp;D51)</f>
        <v>3"50</v>
      </c>
      <c r="C51" s="118" t="s">
        <v>51</v>
      </c>
      <c r="D51" s="118" t="n">
        <f aca="false">D50+1</f>
        <v>50</v>
      </c>
      <c r="E51" s="118" t="e">
        <f aca="false">CEILING(D51/12;1)</f>
        <v>#VALUE!</v>
      </c>
      <c r="F51" s="118" t="e">
        <f aca="false">E51*$F$1</f>
        <v>#VALUE!</v>
      </c>
    </row>
    <row r="52" customFormat="false" ht="14.25" hidden="false" customHeight="true" outlineLevel="0" collapsed="false">
      <c r="A52" s="118" t="s">
        <v>1005</v>
      </c>
      <c r="B52" s="118" t="str">
        <f aca="false">CONCATENATE(C52&amp;D52)</f>
        <v>3"51</v>
      </c>
      <c r="C52" s="118" t="s">
        <v>51</v>
      </c>
      <c r="D52" s="118" t="n">
        <f aca="false">D51+1</f>
        <v>51</v>
      </c>
      <c r="E52" s="118" t="e">
        <f aca="false">CEILING(D52/12;1)</f>
        <v>#VALUE!</v>
      </c>
      <c r="F52" s="118" t="e">
        <f aca="false">E52*$F$1</f>
        <v>#VALUE!</v>
      </c>
    </row>
    <row r="53" customFormat="false" ht="14.25" hidden="false" customHeight="true" outlineLevel="0" collapsed="false">
      <c r="A53" s="118" t="s">
        <v>1005</v>
      </c>
      <c r="B53" s="118" t="str">
        <f aca="false">CONCATENATE(C53&amp;D53)</f>
        <v>3"52</v>
      </c>
      <c r="C53" s="118" t="s">
        <v>51</v>
      </c>
      <c r="D53" s="118" t="n">
        <f aca="false">D52+1</f>
        <v>52</v>
      </c>
      <c r="E53" s="118" t="e">
        <f aca="false">CEILING(D53/12;1)</f>
        <v>#VALUE!</v>
      </c>
      <c r="F53" s="118" t="e">
        <f aca="false">E53*$F$1</f>
        <v>#VALUE!</v>
      </c>
    </row>
    <row r="54" customFormat="false" ht="14.25" hidden="false" customHeight="true" outlineLevel="0" collapsed="false">
      <c r="A54" s="118" t="s">
        <v>1005</v>
      </c>
      <c r="B54" s="118" t="str">
        <f aca="false">CONCATENATE(C54&amp;D54)</f>
        <v>3"53</v>
      </c>
      <c r="C54" s="118" t="s">
        <v>51</v>
      </c>
      <c r="D54" s="118" t="n">
        <f aca="false">D53+1</f>
        <v>53</v>
      </c>
      <c r="E54" s="118" t="e">
        <f aca="false">CEILING(D54/12;1)</f>
        <v>#VALUE!</v>
      </c>
      <c r="F54" s="118" t="e">
        <f aca="false">E54*$F$1</f>
        <v>#VALUE!</v>
      </c>
    </row>
    <row r="55" customFormat="false" ht="14.25" hidden="false" customHeight="true" outlineLevel="0" collapsed="false">
      <c r="A55" s="118" t="s">
        <v>1005</v>
      </c>
      <c r="B55" s="118" t="str">
        <f aca="false">CONCATENATE(C55&amp;D55)</f>
        <v>3"54</v>
      </c>
      <c r="C55" s="118" t="s">
        <v>51</v>
      </c>
      <c r="D55" s="118" t="n">
        <f aca="false">D54+1</f>
        <v>54</v>
      </c>
      <c r="E55" s="118" t="e">
        <f aca="false">CEILING(D55/12;1)</f>
        <v>#VALUE!</v>
      </c>
      <c r="F55" s="118" t="e">
        <f aca="false">E55*$F$1</f>
        <v>#VALUE!</v>
      </c>
    </row>
    <row r="56" customFormat="false" ht="14.25" hidden="false" customHeight="true" outlineLevel="0" collapsed="false">
      <c r="A56" s="118" t="s">
        <v>1005</v>
      </c>
      <c r="B56" s="118" t="str">
        <f aca="false">CONCATENATE(C56&amp;D56)</f>
        <v>3"55</v>
      </c>
      <c r="C56" s="118" t="s">
        <v>51</v>
      </c>
      <c r="D56" s="118" t="n">
        <f aca="false">D55+1</f>
        <v>55</v>
      </c>
      <c r="E56" s="118" t="e">
        <f aca="false">CEILING(D56/12;1)</f>
        <v>#VALUE!</v>
      </c>
      <c r="F56" s="118" t="e">
        <f aca="false">E56*$F$1</f>
        <v>#VALUE!</v>
      </c>
    </row>
    <row r="57" customFormat="false" ht="14.25" hidden="false" customHeight="true" outlineLevel="0" collapsed="false">
      <c r="A57" s="118" t="s">
        <v>1005</v>
      </c>
      <c r="B57" s="118" t="str">
        <f aca="false">CONCATENATE(C57&amp;D57)</f>
        <v>3"56</v>
      </c>
      <c r="C57" s="118" t="s">
        <v>51</v>
      </c>
      <c r="D57" s="118" t="n">
        <f aca="false">D56+1</f>
        <v>56</v>
      </c>
      <c r="E57" s="118" t="e">
        <f aca="false">CEILING(D57/12;1)</f>
        <v>#VALUE!</v>
      </c>
      <c r="F57" s="118" t="e">
        <f aca="false">E57*$F$1</f>
        <v>#VALUE!</v>
      </c>
    </row>
    <row r="58" customFormat="false" ht="14.25" hidden="false" customHeight="true" outlineLevel="0" collapsed="false">
      <c r="A58" s="118" t="s">
        <v>1005</v>
      </c>
      <c r="B58" s="118" t="str">
        <f aca="false">CONCATENATE(C58&amp;D58)</f>
        <v>3"57</v>
      </c>
      <c r="C58" s="118" t="s">
        <v>51</v>
      </c>
      <c r="D58" s="118" t="n">
        <f aca="false">D57+1</f>
        <v>57</v>
      </c>
      <c r="E58" s="118" t="e">
        <f aca="false">CEILING(D58/12;1)</f>
        <v>#VALUE!</v>
      </c>
      <c r="F58" s="118" t="e">
        <f aca="false">E58*$F$1</f>
        <v>#VALUE!</v>
      </c>
    </row>
    <row r="59" customFormat="false" ht="14.25" hidden="false" customHeight="true" outlineLevel="0" collapsed="false">
      <c r="A59" s="118" t="s">
        <v>1005</v>
      </c>
      <c r="B59" s="118" t="str">
        <f aca="false">CONCATENATE(C59&amp;D59)</f>
        <v>3"58</v>
      </c>
      <c r="C59" s="118" t="s">
        <v>51</v>
      </c>
      <c r="D59" s="118" t="n">
        <f aca="false">D58+1</f>
        <v>58</v>
      </c>
      <c r="E59" s="118" t="e">
        <f aca="false">CEILING(D59/12;1)</f>
        <v>#VALUE!</v>
      </c>
      <c r="F59" s="118" t="e">
        <f aca="false">E59*$F$1</f>
        <v>#VALUE!</v>
      </c>
    </row>
    <row r="60" customFormat="false" ht="14.25" hidden="false" customHeight="true" outlineLevel="0" collapsed="false">
      <c r="A60" s="118" t="s">
        <v>1005</v>
      </c>
      <c r="B60" s="118" t="str">
        <f aca="false">CONCATENATE(C60&amp;D60)</f>
        <v>3"59</v>
      </c>
      <c r="C60" s="118" t="s">
        <v>51</v>
      </c>
      <c r="D60" s="118" t="n">
        <f aca="false">D59+1</f>
        <v>59</v>
      </c>
      <c r="E60" s="118" t="e">
        <f aca="false">CEILING(D60/12;1)</f>
        <v>#VALUE!</v>
      </c>
      <c r="F60" s="118" t="e">
        <f aca="false">E60*$F$1</f>
        <v>#VALUE!</v>
      </c>
    </row>
    <row r="61" customFormat="false" ht="14.25" hidden="false" customHeight="true" outlineLevel="0" collapsed="false">
      <c r="A61" s="118" t="s">
        <v>1005</v>
      </c>
      <c r="B61" s="118" t="str">
        <f aca="false">CONCATENATE(C61&amp;D61)</f>
        <v>3"60</v>
      </c>
      <c r="C61" s="118" t="s">
        <v>51</v>
      </c>
      <c r="D61" s="152" t="n">
        <f aca="false">D60+1</f>
        <v>60</v>
      </c>
      <c r="E61" s="118" t="e">
        <f aca="false">CEILING(D61/12;1)</f>
        <v>#VALUE!</v>
      </c>
      <c r="F61" s="118" t="e">
        <f aca="false">E61*$F$1</f>
        <v>#VALUE!</v>
      </c>
    </row>
    <row r="62" customFormat="false" ht="14.25" hidden="false" customHeight="true" outlineLevel="0" collapsed="false">
      <c r="A62" s="118" t="s">
        <v>1005</v>
      </c>
      <c r="B62" s="118" t="str">
        <f aca="false">CONCATENATE(C62&amp;D62)</f>
        <v>3"61</v>
      </c>
      <c r="C62" s="118" t="s">
        <v>51</v>
      </c>
      <c r="D62" s="118" t="n">
        <f aca="false">D61+1</f>
        <v>61</v>
      </c>
      <c r="E62" s="118" t="e">
        <f aca="false">CEILING(D62/12;1)</f>
        <v>#VALUE!</v>
      </c>
      <c r="F62" s="118" t="e">
        <f aca="false">E62*$F$1</f>
        <v>#VALUE!</v>
      </c>
    </row>
    <row r="63" customFormat="false" ht="14.25" hidden="false" customHeight="true" outlineLevel="0" collapsed="false">
      <c r="A63" s="118" t="s">
        <v>1005</v>
      </c>
      <c r="B63" s="118" t="str">
        <f aca="false">CONCATENATE(C63&amp;D63)</f>
        <v>3"62</v>
      </c>
      <c r="C63" s="118" t="s">
        <v>51</v>
      </c>
      <c r="D63" s="118" t="n">
        <f aca="false">D62+1</f>
        <v>62</v>
      </c>
      <c r="E63" s="118" t="e">
        <f aca="false">CEILING(D63/12;1)</f>
        <v>#VALUE!</v>
      </c>
      <c r="F63" s="118" t="e">
        <f aca="false">E63*$F$1</f>
        <v>#VALUE!</v>
      </c>
    </row>
    <row r="64" customFormat="false" ht="14.25" hidden="false" customHeight="true" outlineLevel="0" collapsed="false">
      <c r="A64" s="118" t="s">
        <v>1005</v>
      </c>
      <c r="B64" s="118" t="str">
        <f aca="false">CONCATENATE(C64&amp;D64)</f>
        <v>3"63</v>
      </c>
      <c r="C64" s="118" t="s">
        <v>51</v>
      </c>
      <c r="D64" s="118" t="n">
        <f aca="false">D63+1</f>
        <v>63</v>
      </c>
      <c r="E64" s="118" t="e">
        <f aca="false">CEILING(D64/12;1)</f>
        <v>#VALUE!</v>
      </c>
      <c r="F64" s="118" t="e">
        <f aca="false">E64*$F$1</f>
        <v>#VALUE!</v>
      </c>
    </row>
    <row r="65" customFormat="false" ht="14.25" hidden="false" customHeight="true" outlineLevel="0" collapsed="false">
      <c r="A65" s="118" t="s">
        <v>1005</v>
      </c>
      <c r="B65" s="118" t="str">
        <f aca="false">CONCATENATE(C65&amp;D65)</f>
        <v>3"64</v>
      </c>
      <c r="C65" s="118" t="s">
        <v>51</v>
      </c>
      <c r="D65" s="118" t="n">
        <f aca="false">D64+1</f>
        <v>64</v>
      </c>
      <c r="E65" s="118" t="e">
        <f aca="false">CEILING(D65/12;1)</f>
        <v>#VALUE!</v>
      </c>
      <c r="F65" s="118" t="e">
        <f aca="false">E65*$F$1</f>
        <v>#VALUE!</v>
      </c>
    </row>
    <row r="66" customFormat="false" ht="14.25" hidden="false" customHeight="true" outlineLevel="0" collapsed="false">
      <c r="A66" s="118" t="s">
        <v>1005</v>
      </c>
      <c r="B66" s="118" t="str">
        <f aca="false">CONCATENATE(C66&amp;D66)</f>
        <v>3"65</v>
      </c>
      <c r="C66" s="118" t="s">
        <v>51</v>
      </c>
      <c r="D66" s="118" t="n">
        <f aca="false">D65+1</f>
        <v>65</v>
      </c>
      <c r="E66" s="118" t="e">
        <f aca="false">CEILING(D66/12;1)</f>
        <v>#VALUE!</v>
      </c>
      <c r="F66" s="118" t="e">
        <f aca="false">E66*$F$1</f>
        <v>#VALUE!</v>
      </c>
    </row>
    <row r="67" customFormat="false" ht="14.25" hidden="false" customHeight="true" outlineLevel="0" collapsed="false">
      <c r="A67" s="118" t="s">
        <v>1005</v>
      </c>
      <c r="B67" s="118" t="str">
        <f aca="false">CONCATENATE(C67&amp;D67)</f>
        <v>3"66</v>
      </c>
      <c r="C67" s="118" t="s">
        <v>51</v>
      </c>
      <c r="D67" s="118" t="n">
        <f aca="false">D66+1</f>
        <v>66</v>
      </c>
      <c r="E67" s="118" t="e">
        <f aca="false">CEILING(D67/12;1)</f>
        <v>#VALUE!</v>
      </c>
      <c r="F67" s="118" t="e">
        <f aca="false">E67*$F$1</f>
        <v>#VALUE!</v>
      </c>
    </row>
    <row r="68" customFormat="false" ht="14.25" hidden="false" customHeight="true" outlineLevel="0" collapsed="false">
      <c r="A68" s="118" t="s">
        <v>1005</v>
      </c>
      <c r="B68" s="118" t="str">
        <f aca="false">CONCATENATE(C68&amp;D68)</f>
        <v>3"67</v>
      </c>
      <c r="C68" s="118" t="s">
        <v>51</v>
      </c>
      <c r="D68" s="118" t="n">
        <f aca="false">D67+1</f>
        <v>67</v>
      </c>
      <c r="E68" s="118" t="e">
        <f aca="false">CEILING(D68/12;1)</f>
        <v>#VALUE!</v>
      </c>
      <c r="F68" s="118" t="e">
        <f aca="false">E68*$F$1</f>
        <v>#VALUE!</v>
      </c>
    </row>
    <row r="69" customFormat="false" ht="14.25" hidden="false" customHeight="true" outlineLevel="0" collapsed="false">
      <c r="A69" s="118" t="s">
        <v>1005</v>
      </c>
      <c r="B69" s="118" t="str">
        <f aca="false">CONCATENATE(C69&amp;D69)</f>
        <v>3"68</v>
      </c>
      <c r="C69" s="118" t="s">
        <v>51</v>
      </c>
      <c r="D69" s="118" t="n">
        <f aca="false">D68+1</f>
        <v>68</v>
      </c>
      <c r="E69" s="118" t="e">
        <f aca="false">CEILING(D69/12;1)</f>
        <v>#VALUE!</v>
      </c>
      <c r="F69" s="118" t="e">
        <f aca="false">E69*$F$1</f>
        <v>#VALUE!</v>
      </c>
    </row>
    <row r="70" customFormat="false" ht="14.25" hidden="false" customHeight="true" outlineLevel="0" collapsed="false">
      <c r="A70" s="118" t="s">
        <v>1005</v>
      </c>
      <c r="B70" s="118" t="str">
        <f aca="false">CONCATENATE(C70&amp;D70)</f>
        <v>3"69</v>
      </c>
      <c r="C70" s="118" t="s">
        <v>51</v>
      </c>
      <c r="D70" s="118" t="n">
        <f aca="false">D69+1</f>
        <v>69</v>
      </c>
      <c r="E70" s="118" t="e">
        <f aca="false">CEILING(D70/12;1)</f>
        <v>#VALUE!</v>
      </c>
      <c r="F70" s="118" t="e">
        <f aca="false">E70*$F$1</f>
        <v>#VALUE!</v>
      </c>
    </row>
    <row r="71" customFormat="false" ht="14.25" hidden="false" customHeight="true" outlineLevel="0" collapsed="false">
      <c r="A71" s="118" t="s">
        <v>1005</v>
      </c>
      <c r="B71" s="118" t="str">
        <f aca="false">CONCATENATE(C71&amp;D71)</f>
        <v>3"70</v>
      </c>
      <c r="C71" s="118" t="s">
        <v>51</v>
      </c>
      <c r="D71" s="118" t="n">
        <f aca="false">D70+1</f>
        <v>70</v>
      </c>
      <c r="E71" s="118" t="e">
        <f aca="false">CEILING(D71/12;1)</f>
        <v>#VALUE!</v>
      </c>
      <c r="F71" s="118" t="e">
        <f aca="false">E71*$F$1</f>
        <v>#VALUE!</v>
      </c>
    </row>
    <row r="72" customFormat="false" ht="14.25" hidden="false" customHeight="true" outlineLevel="0" collapsed="false">
      <c r="A72" s="118" t="s">
        <v>1005</v>
      </c>
      <c r="B72" s="118" t="str">
        <f aca="false">CONCATENATE(C72&amp;D72)</f>
        <v>3"71</v>
      </c>
      <c r="C72" s="118" t="s">
        <v>51</v>
      </c>
      <c r="D72" s="118" t="n">
        <f aca="false">D71+1</f>
        <v>71</v>
      </c>
      <c r="E72" s="118" t="e">
        <f aca="false">CEILING(D72/12;1)</f>
        <v>#VALUE!</v>
      </c>
      <c r="F72" s="118" t="e">
        <f aca="false">E72*$F$1</f>
        <v>#VALUE!</v>
      </c>
    </row>
    <row r="73" customFormat="false" ht="14.25" hidden="false" customHeight="true" outlineLevel="0" collapsed="false">
      <c r="A73" s="118" t="s">
        <v>1005</v>
      </c>
      <c r="B73" s="118" t="str">
        <f aca="false">CONCATENATE(C73&amp;D73)</f>
        <v>3"72</v>
      </c>
      <c r="C73" s="118" t="s">
        <v>51</v>
      </c>
      <c r="D73" s="152" t="n">
        <f aca="false">D72+1</f>
        <v>72</v>
      </c>
      <c r="E73" s="118" t="e">
        <f aca="false">CEILING(D73/12;1)</f>
        <v>#VALUE!</v>
      </c>
      <c r="F73" s="118" t="e">
        <f aca="false">E73*$F$1</f>
        <v>#VALUE!</v>
      </c>
    </row>
    <row r="74" customFormat="false" ht="14.25" hidden="false" customHeight="true" outlineLevel="0" collapsed="false">
      <c r="A74" s="118" t="s">
        <v>1005</v>
      </c>
      <c r="B74" s="118" t="str">
        <f aca="false">CONCATENATE(C74&amp;D74)</f>
        <v>3"73</v>
      </c>
      <c r="C74" s="118" t="s">
        <v>51</v>
      </c>
      <c r="D74" s="118" t="n">
        <f aca="false">D73+1</f>
        <v>73</v>
      </c>
      <c r="E74" s="118" t="e">
        <f aca="false">CEILING(D74/12;1)</f>
        <v>#VALUE!</v>
      </c>
      <c r="F74" s="118" t="e">
        <f aca="false">E74*$F$1</f>
        <v>#VALUE!</v>
      </c>
    </row>
    <row r="75" customFormat="false" ht="14.25" hidden="false" customHeight="true" outlineLevel="0" collapsed="false">
      <c r="A75" s="118" t="s">
        <v>1005</v>
      </c>
      <c r="B75" s="118" t="str">
        <f aca="false">CONCATENATE(C75&amp;D75)</f>
        <v>3"74</v>
      </c>
      <c r="C75" s="118" t="s">
        <v>51</v>
      </c>
      <c r="D75" s="118" t="n">
        <f aca="false">D74+1</f>
        <v>74</v>
      </c>
      <c r="E75" s="118" t="e">
        <f aca="false">CEILING(D75/12;1)</f>
        <v>#VALUE!</v>
      </c>
      <c r="F75" s="118" t="e">
        <f aca="false">E75*$F$1</f>
        <v>#VALUE!</v>
      </c>
    </row>
    <row r="76" customFormat="false" ht="14.25" hidden="false" customHeight="true" outlineLevel="0" collapsed="false">
      <c r="A76" s="118" t="s">
        <v>1005</v>
      </c>
      <c r="B76" s="118" t="str">
        <f aca="false">CONCATENATE(C76&amp;D76)</f>
        <v>3"75</v>
      </c>
      <c r="C76" s="118" t="s">
        <v>51</v>
      </c>
      <c r="D76" s="118" t="n">
        <f aca="false">D75+1</f>
        <v>75</v>
      </c>
      <c r="E76" s="118" t="e">
        <f aca="false">CEILING(D76/12;1)</f>
        <v>#VALUE!</v>
      </c>
      <c r="F76" s="118" t="e">
        <f aca="false">E76*$F$1</f>
        <v>#VALUE!</v>
      </c>
    </row>
    <row r="77" customFormat="false" ht="14.25" hidden="false" customHeight="true" outlineLevel="0" collapsed="false">
      <c r="A77" s="118" t="s">
        <v>1005</v>
      </c>
      <c r="B77" s="118" t="str">
        <f aca="false">CONCATENATE(C77&amp;D77)</f>
        <v>3"76</v>
      </c>
      <c r="C77" s="118" t="s">
        <v>51</v>
      </c>
      <c r="D77" s="118" t="n">
        <f aca="false">D76+1</f>
        <v>76</v>
      </c>
      <c r="E77" s="118" t="e">
        <f aca="false">CEILING(D77/12;1)</f>
        <v>#VALUE!</v>
      </c>
      <c r="F77" s="118" t="e">
        <f aca="false">E77*$F$1</f>
        <v>#VALUE!</v>
      </c>
    </row>
    <row r="78" customFormat="false" ht="14.25" hidden="false" customHeight="true" outlineLevel="0" collapsed="false">
      <c r="A78" s="118" t="s">
        <v>1005</v>
      </c>
      <c r="B78" s="118" t="str">
        <f aca="false">CONCATENATE(C78&amp;D78)</f>
        <v>3"77</v>
      </c>
      <c r="C78" s="118" t="s">
        <v>51</v>
      </c>
      <c r="D78" s="118" t="n">
        <f aca="false">D77+1</f>
        <v>77</v>
      </c>
      <c r="E78" s="118" t="e">
        <f aca="false">CEILING(D78/12;1)</f>
        <v>#VALUE!</v>
      </c>
      <c r="F78" s="118" t="e">
        <f aca="false">E78*$F$1</f>
        <v>#VALUE!</v>
      </c>
    </row>
    <row r="79" customFormat="false" ht="14.25" hidden="false" customHeight="true" outlineLevel="0" collapsed="false">
      <c r="A79" s="118" t="s">
        <v>1005</v>
      </c>
      <c r="B79" s="118" t="str">
        <f aca="false">CONCATENATE(C79&amp;D79)</f>
        <v>3"78</v>
      </c>
      <c r="C79" s="118" t="s">
        <v>51</v>
      </c>
      <c r="D79" s="118" t="n">
        <f aca="false">D78+1</f>
        <v>78</v>
      </c>
      <c r="E79" s="118" t="e">
        <f aca="false">CEILING(D79/12;1)</f>
        <v>#VALUE!</v>
      </c>
      <c r="F79" s="118" t="e">
        <f aca="false">E79*$F$1</f>
        <v>#VALUE!</v>
      </c>
    </row>
    <row r="80" customFormat="false" ht="14.25" hidden="false" customHeight="true" outlineLevel="0" collapsed="false">
      <c r="A80" s="118" t="s">
        <v>1005</v>
      </c>
      <c r="B80" s="118" t="str">
        <f aca="false">CONCATENATE(C80&amp;D80)</f>
        <v>3"79</v>
      </c>
      <c r="C80" s="118" t="s">
        <v>51</v>
      </c>
      <c r="D80" s="118" t="n">
        <f aca="false">D79+1</f>
        <v>79</v>
      </c>
      <c r="E80" s="118" t="e">
        <f aca="false">CEILING(D80/12;1)</f>
        <v>#VALUE!</v>
      </c>
      <c r="F80" s="118" t="e">
        <f aca="false">E80*$F$1</f>
        <v>#VALUE!</v>
      </c>
    </row>
    <row r="81" customFormat="false" ht="14.25" hidden="false" customHeight="true" outlineLevel="0" collapsed="false">
      <c r="A81" s="118" t="s">
        <v>1005</v>
      </c>
      <c r="B81" s="118" t="str">
        <f aca="false">CONCATENATE(C81&amp;D81)</f>
        <v>3"80</v>
      </c>
      <c r="C81" s="118" t="s">
        <v>51</v>
      </c>
      <c r="D81" s="118" t="n">
        <f aca="false">D80+1</f>
        <v>80</v>
      </c>
      <c r="E81" s="118" t="e">
        <f aca="false">CEILING(D81/12;1)</f>
        <v>#VALUE!</v>
      </c>
      <c r="F81" s="118" t="e">
        <f aca="false">E81*$F$1</f>
        <v>#VALUE!</v>
      </c>
    </row>
    <row r="82" customFormat="false" ht="14.25" hidden="false" customHeight="true" outlineLevel="0" collapsed="false">
      <c r="A82" s="118" t="s">
        <v>1005</v>
      </c>
      <c r="B82" s="118" t="str">
        <f aca="false">CONCATENATE(C82&amp;D82)</f>
        <v>3"81</v>
      </c>
      <c r="C82" s="118" t="s">
        <v>51</v>
      </c>
      <c r="D82" s="118" t="n">
        <f aca="false">D81+1</f>
        <v>81</v>
      </c>
      <c r="E82" s="118" t="e">
        <f aca="false">CEILING(D82/12;1)</f>
        <v>#VALUE!</v>
      </c>
      <c r="F82" s="118" t="e">
        <f aca="false">E82*$F$1</f>
        <v>#VALUE!</v>
      </c>
    </row>
    <row r="83" customFormat="false" ht="14.25" hidden="false" customHeight="true" outlineLevel="0" collapsed="false">
      <c r="A83" s="118" t="s">
        <v>1005</v>
      </c>
      <c r="B83" s="118" t="str">
        <f aca="false">CONCATENATE(C83&amp;D83)</f>
        <v>3"82</v>
      </c>
      <c r="C83" s="118" t="s">
        <v>51</v>
      </c>
      <c r="D83" s="118" t="n">
        <f aca="false">D82+1</f>
        <v>82</v>
      </c>
      <c r="E83" s="118" t="e">
        <f aca="false">CEILING(D83/12;1)</f>
        <v>#VALUE!</v>
      </c>
      <c r="F83" s="118" t="e">
        <f aca="false">E83*$F$1</f>
        <v>#VALUE!</v>
      </c>
    </row>
    <row r="84" customFormat="false" ht="14.25" hidden="false" customHeight="true" outlineLevel="0" collapsed="false">
      <c r="A84" s="118" t="s">
        <v>1005</v>
      </c>
      <c r="B84" s="118" t="str">
        <f aca="false">CONCATENATE(C84&amp;D84)</f>
        <v>3"83</v>
      </c>
      <c r="C84" s="118" t="s">
        <v>51</v>
      </c>
      <c r="D84" s="118" t="n">
        <f aca="false">D83+1</f>
        <v>83</v>
      </c>
      <c r="E84" s="118" t="e">
        <f aca="false">CEILING(D84/12;1)</f>
        <v>#VALUE!</v>
      </c>
      <c r="F84" s="118" t="e">
        <f aca="false">E84*$F$1</f>
        <v>#VALUE!</v>
      </c>
    </row>
    <row r="85" customFormat="false" ht="14.25" hidden="false" customHeight="true" outlineLevel="0" collapsed="false">
      <c r="A85" s="118" t="s">
        <v>1005</v>
      </c>
      <c r="B85" s="118" t="str">
        <f aca="false">CONCATENATE(C85&amp;D85)</f>
        <v>3"84</v>
      </c>
      <c r="C85" s="118" t="s">
        <v>51</v>
      </c>
      <c r="D85" s="152" t="n">
        <f aca="false">D84+1</f>
        <v>84</v>
      </c>
      <c r="E85" s="118" t="e">
        <f aca="false">CEILING(D85/12;1)</f>
        <v>#VALUE!</v>
      </c>
      <c r="F85" s="118" t="e">
        <f aca="false">E85*$F$1</f>
        <v>#VALUE!</v>
      </c>
    </row>
    <row r="86" customFormat="false" ht="14.25" hidden="false" customHeight="true" outlineLevel="0" collapsed="false">
      <c r="A86" s="118" t="s">
        <v>1005</v>
      </c>
      <c r="B86" s="118" t="str">
        <f aca="false">CONCATENATE(C86&amp;D86)</f>
        <v>3"85</v>
      </c>
      <c r="C86" s="118" t="s">
        <v>51</v>
      </c>
      <c r="D86" s="118" t="n">
        <f aca="false">D85+1</f>
        <v>85</v>
      </c>
      <c r="E86" s="118" t="e">
        <f aca="false">CEILING(D86/12;1)</f>
        <v>#VALUE!</v>
      </c>
      <c r="F86" s="118" t="e">
        <f aca="false">E86*$F$1</f>
        <v>#VALUE!</v>
      </c>
    </row>
    <row r="87" customFormat="false" ht="14.25" hidden="false" customHeight="true" outlineLevel="0" collapsed="false">
      <c r="A87" s="118" t="s">
        <v>1005</v>
      </c>
      <c r="B87" s="118" t="str">
        <f aca="false">CONCATENATE(C87&amp;D87)</f>
        <v>3"86</v>
      </c>
      <c r="C87" s="118" t="s">
        <v>51</v>
      </c>
      <c r="D87" s="118" t="n">
        <f aca="false">D86+1</f>
        <v>86</v>
      </c>
      <c r="E87" s="118" t="e">
        <f aca="false">CEILING(D87/12;1)</f>
        <v>#VALUE!</v>
      </c>
      <c r="F87" s="118" t="e">
        <f aca="false">E87*$F$1</f>
        <v>#VALUE!</v>
      </c>
    </row>
    <row r="88" customFormat="false" ht="14.25" hidden="false" customHeight="true" outlineLevel="0" collapsed="false">
      <c r="A88" s="118" t="s">
        <v>1005</v>
      </c>
      <c r="B88" s="118" t="str">
        <f aca="false">CONCATENATE(C88&amp;D88)</f>
        <v>3"87</v>
      </c>
      <c r="C88" s="118" t="s">
        <v>51</v>
      </c>
      <c r="D88" s="118" t="n">
        <f aca="false">D87+1</f>
        <v>87</v>
      </c>
      <c r="E88" s="118" t="e">
        <f aca="false">CEILING(D88/12;1)</f>
        <v>#VALUE!</v>
      </c>
      <c r="F88" s="118" t="e">
        <f aca="false">E88*$F$1</f>
        <v>#VALUE!</v>
      </c>
    </row>
    <row r="89" customFormat="false" ht="14.25" hidden="false" customHeight="true" outlineLevel="0" collapsed="false">
      <c r="A89" s="118" t="s">
        <v>1005</v>
      </c>
      <c r="B89" s="118" t="str">
        <f aca="false">CONCATENATE(C89&amp;D89)</f>
        <v>3"88</v>
      </c>
      <c r="C89" s="118" t="s">
        <v>51</v>
      </c>
      <c r="D89" s="118" t="n">
        <f aca="false">D88+1</f>
        <v>88</v>
      </c>
      <c r="E89" s="118" t="e">
        <f aca="false">CEILING(D89/12;1)</f>
        <v>#VALUE!</v>
      </c>
      <c r="F89" s="118" t="e">
        <f aca="false">E89*$F$1</f>
        <v>#VALUE!</v>
      </c>
    </row>
    <row r="90" customFormat="false" ht="14.25" hidden="false" customHeight="true" outlineLevel="0" collapsed="false">
      <c r="A90" s="118" t="s">
        <v>1005</v>
      </c>
      <c r="B90" s="118" t="str">
        <f aca="false">CONCATENATE(C90&amp;D90)</f>
        <v>3"89</v>
      </c>
      <c r="C90" s="118" t="s">
        <v>51</v>
      </c>
      <c r="D90" s="118" t="n">
        <f aca="false">D89+1</f>
        <v>89</v>
      </c>
      <c r="E90" s="118" t="e">
        <f aca="false">CEILING(D90/12;1)</f>
        <v>#VALUE!</v>
      </c>
      <c r="F90" s="118" t="e">
        <f aca="false">E90*$F$1</f>
        <v>#VALUE!</v>
      </c>
    </row>
    <row r="91" customFormat="false" ht="14.25" hidden="false" customHeight="true" outlineLevel="0" collapsed="false">
      <c r="A91" s="118" t="s">
        <v>1005</v>
      </c>
      <c r="B91" s="118" t="str">
        <f aca="false">CONCATENATE(C91&amp;D91)</f>
        <v>3"90</v>
      </c>
      <c r="C91" s="118" t="s">
        <v>51</v>
      </c>
      <c r="D91" s="118" t="n">
        <f aca="false">D90+1</f>
        <v>90</v>
      </c>
      <c r="E91" s="118" t="e">
        <f aca="false">CEILING(D91/12;1)</f>
        <v>#VALUE!</v>
      </c>
      <c r="F91" s="118" t="e">
        <f aca="false">E91*$F$1</f>
        <v>#VALUE!</v>
      </c>
    </row>
    <row r="92" customFormat="false" ht="14.25" hidden="false" customHeight="true" outlineLevel="0" collapsed="false">
      <c r="A92" s="118" t="s">
        <v>1005</v>
      </c>
      <c r="B92" s="118" t="str">
        <f aca="false">CONCATENATE(C92&amp;D92)</f>
        <v>3"91</v>
      </c>
      <c r="C92" s="118" t="s">
        <v>51</v>
      </c>
      <c r="D92" s="118" t="n">
        <f aca="false">D91+1</f>
        <v>91</v>
      </c>
      <c r="E92" s="118" t="e">
        <f aca="false">CEILING(D92/12;1)</f>
        <v>#VALUE!</v>
      </c>
      <c r="F92" s="118" t="e">
        <f aca="false">E92*$F$1</f>
        <v>#VALUE!</v>
      </c>
    </row>
    <row r="93" customFormat="false" ht="14.25" hidden="false" customHeight="true" outlineLevel="0" collapsed="false">
      <c r="A93" s="118" t="s">
        <v>1005</v>
      </c>
      <c r="B93" s="118" t="str">
        <f aca="false">CONCATENATE(C93&amp;D93)</f>
        <v>3"92</v>
      </c>
      <c r="C93" s="118" t="s">
        <v>51</v>
      </c>
      <c r="D93" s="118" t="n">
        <f aca="false">D92+1</f>
        <v>92</v>
      </c>
      <c r="E93" s="118" t="e">
        <f aca="false">CEILING(D93/12;1)</f>
        <v>#VALUE!</v>
      </c>
      <c r="F93" s="118" t="e">
        <f aca="false">E93*$F$1</f>
        <v>#VALUE!</v>
      </c>
    </row>
    <row r="94" customFormat="false" ht="14.25" hidden="false" customHeight="true" outlineLevel="0" collapsed="false">
      <c r="A94" s="118" t="s">
        <v>1005</v>
      </c>
      <c r="B94" s="118" t="str">
        <f aca="false">CONCATENATE(C94&amp;D94)</f>
        <v>3"93</v>
      </c>
      <c r="C94" s="118" t="s">
        <v>51</v>
      </c>
      <c r="D94" s="118" t="n">
        <f aca="false">D93+1</f>
        <v>93</v>
      </c>
      <c r="E94" s="118" t="e">
        <f aca="false">CEILING(D94/12;1)</f>
        <v>#VALUE!</v>
      </c>
      <c r="F94" s="118" t="e">
        <f aca="false">E94*$F$1</f>
        <v>#VALUE!</v>
      </c>
    </row>
    <row r="95" customFormat="false" ht="14.25" hidden="false" customHeight="true" outlineLevel="0" collapsed="false">
      <c r="A95" s="118" t="s">
        <v>1005</v>
      </c>
      <c r="B95" s="118" t="str">
        <f aca="false">CONCATENATE(C95&amp;D95)</f>
        <v>3"94</v>
      </c>
      <c r="C95" s="118" t="s">
        <v>51</v>
      </c>
      <c r="D95" s="118" t="n">
        <f aca="false">D94+1</f>
        <v>94</v>
      </c>
      <c r="E95" s="118" t="e">
        <f aca="false">CEILING(D95/12;1)</f>
        <v>#VALUE!</v>
      </c>
      <c r="F95" s="118" t="e">
        <f aca="false">E95*$F$1</f>
        <v>#VALUE!</v>
      </c>
    </row>
    <row r="96" customFormat="false" ht="14.25" hidden="false" customHeight="true" outlineLevel="0" collapsed="false">
      <c r="A96" s="118" t="s">
        <v>1005</v>
      </c>
      <c r="B96" s="118" t="str">
        <f aca="false">CONCATENATE(C96&amp;D96)</f>
        <v>3"95</v>
      </c>
      <c r="C96" s="118" t="s">
        <v>51</v>
      </c>
      <c r="D96" s="118" t="n">
        <f aca="false">D95+1</f>
        <v>95</v>
      </c>
      <c r="E96" s="118" t="e">
        <f aca="false">CEILING(D96/12;1)</f>
        <v>#VALUE!</v>
      </c>
      <c r="F96" s="118" t="e">
        <f aca="false">E96*$F$1</f>
        <v>#VALUE!</v>
      </c>
    </row>
    <row r="97" customFormat="false" ht="14.25" hidden="false" customHeight="true" outlineLevel="0" collapsed="false">
      <c r="A97" s="118" t="s">
        <v>1005</v>
      </c>
      <c r="B97" s="118" t="str">
        <f aca="false">CONCATENATE(C97&amp;D97)</f>
        <v>3"96</v>
      </c>
      <c r="C97" s="118" t="s">
        <v>51</v>
      </c>
      <c r="D97" s="152" t="n">
        <f aca="false">D96+1</f>
        <v>96</v>
      </c>
      <c r="E97" s="118" t="e">
        <f aca="false">CEILING(D97/12;1)</f>
        <v>#VALUE!</v>
      </c>
      <c r="F97" s="118" t="e">
        <f aca="false">E97*$F$1</f>
        <v>#VALUE!</v>
      </c>
    </row>
    <row r="98" customFormat="false" ht="14.25" hidden="false" customHeight="true" outlineLevel="0" collapsed="false">
      <c r="A98" s="118" t="s">
        <v>1005</v>
      </c>
      <c r="B98" s="118" t="str">
        <f aca="false">CONCATENATE(C98&amp;D98)</f>
        <v>3"97</v>
      </c>
      <c r="C98" s="118" t="s">
        <v>51</v>
      </c>
      <c r="D98" s="118" t="n">
        <f aca="false">D97+1</f>
        <v>97</v>
      </c>
      <c r="E98" s="118" t="e">
        <f aca="false">CEILING(D98/12;1)</f>
        <v>#VALUE!</v>
      </c>
      <c r="F98" s="118" t="e">
        <f aca="false">E98*$F$1</f>
        <v>#VALUE!</v>
      </c>
    </row>
    <row r="99" customFormat="false" ht="14.25" hidden="false" customHeight="true" outlineLevel="0" collapsed="false">
      <c r="A99" s="118" t="s">
        <v>1005</v>
      </c>
      <c r="B99" s="118" t="str">
        <f aca="false">CONCATENATE(C99&amp;D99)</f>
        <v>3"98</v>
      </c>
      <c r="C99" s="118" t="s">
        <v>51</v>
      </c>
      <c r="D99" s="118" t="n">
        <f aca="false">D98+1</f>
        <v>98</v>
      </c>
      <c r="E99" s="118" t="e">
        <f aca="false">CEILING(D99/12;1)</f>
        <v>#VALUE!</v>
      </c>
      <c r="F99" s="118" t="e">
        <f aca="false">E99*$F$1</f>
        <v>#VALUE!</v>
      </c>
    </row>
    <row r="100" customFormat="false" ht="14.25" hidden="false" customHeight="true" outlineLevel="0" collapsed="false">
      <c r="A100" s="118" t="s">
        <v>1005</v>
      </c>
      <c r="B100" s="118" t="str">
        <f aca="false">CONCATENATE(C100&amp;D100)</f>
        <v>3"99</v>
      </c>
      <c r="C100" s="118" t="s">
        <v>51</v>
      </c>
      <c r="D100" s="118" t="n">
        <f aca="false">D99+1</f>
        <v>99</v>
      </c>
      <c r="E100" s="118" t="e">
        <f aca="false">CEILING(D100/12;1)</f>
        <v>#VALUE!</v>
      </c>
      <c r="F100" s="118" t="e">
        <f aca="false">E100*$F$1</f>
        <v>#VALUE!</v>
      </c>
    </row>
    <row r="101" customFormat="false" ht="14.25" hidden="false" customHeight="true" outlineLevel="0" collapsed="false">
      <c r="A101" s="118" t="s">
        <v>1005</v>
      </c>
      <c r="B101" s="118" t="str">
        <f aca="false">CONCATENATE(C101&amp;D101)</f>
        <v>3"100</v>
      </c>
      <c r="C101" s="118" t="s">
        <v>51</v>
      </c>
      <c r="D101" s="118" t="n">
        <f aca="false">D100+1</f>
        <v>100</v>
      </c>
      <c r="E101" s="118" t="e">
        <f aca="false">CEILING(D101/12;1)</f>
        <v>#VALUE!</v>
      </c>
      <c r="F101" s="118" t="e">
        <f aca="false">E101*$F$1</f>
        <v>#VALUE!</v>
      </c>
    </row>
    <row r="102" customFormat="false" ht="14.25" hidden="false" customHeight="true" outlineLevel="0" collapsed="false">
      <c r="A102" s="118" t="s">
        <v>1005</v>
      </c>
      <c r="B102" s="118" t="str">
        <f aca="false">CONCATENATE(C102&amp;D102)</f>
        <v>3"101</v>
      </c>
      <c r="C102" s="118" t="s">
        <v>51</v>
      </c>
      <c r="D102" s="118" t="n">
        <f aca="false">D101+1</f>
        <v>101</v>
      </c>
      <c r="E102" s="118" t="e">
        <f aca="false">CEILING(D102/12;1)</f>
        <v>#VALUE!</v>
      </c>
      <c r="F102" s="118" t="e">
        <f aca="false">E102*$F$1</f>
        <v>#VALUE!</v>
      </c>
    </row>
    <row r="103" customFormat="false" ht="14.25" hidden="false" customHeight="true" outlineLevel="0" collapsed="false">
      <c r="A103" s="118" t="s">
        <v>1005</v>
      </c>
      <c r="B103" s="118" t="str">
        <f aca="false">CONCATENATE(C103&amp;D103)</f>
        <v>3"102</v>
      </c>
      <c r="C103" s="118" t="s">
        <v>51</v>
      </c>
      <c r="D103" s="118" t="n">
        <f aca="false">D102+1</f>
        <v>102</v>
      </c>
      <c r="E103" s="118" t="e">
        <f aca="false">CEILING(D103/12;1)</f>
        <v>#VALUE!</v>
      </c>
      <c r="F103" s="118" t="e">
        <f aca="false">E103*$F$1</f>
        <v>#VALUE!</v>
      </c>
    </row>
    <row r="104" customFormat="false" ht="14.25" hidden="false" customHeight="true" outlineLevel="0" collapsed="false">
      <c r="A104" s="118" t="s">
        <v>1005</v>
      </c>
      <c r="B104" s="118" t="str">
        <f aca="false">CONCATENATE(C104&amp;D104)</f>
        <v>3"103</v>
      </c>
      <c r="C104" s="118" t="s">
        <v>51</v>
      </c>
      <c r="D104" s="118" t="n">
        <f aca="false">D103+1</f>
        <v>103</v>
      </c>
      <c r="E104" s="118" t="e">
        <f aca="false">CEILING(D104/12;1)</f>
        <v>#VALUE!</v>
      </c>
      <c r="F104" s="118" t="e">
        <f aca="false">E104*$F$1</f>
        <v>#VALUE!</v>
      </c>
    </row>
    <row r="105" customFormat="false" ht="14.25" hidden="false" customHeight="true" outlineLevel="0" collapsed="false">
      <c r="A105" s="118" t="s">
        <v>1005</v>
      </c>
      <c r="B105" s="118" t="str">
        <f aca="false">CONCATENATE(C105&amp;D105)</f>
        <v>3"104</v>
      </c>
      <c r="C105" s="118" t="s">
        <v>51</v>
      </c>
      <c r="D105" s="118" t="n">
        <f aca="false">D104+1</f>
        <v>104</v>
      </c>
      <c r="E105" s="118" t="e">
        <f aca="false">CEILING(D105/12;1)</f>
        <v>#VALUE!</v>
      </c>
      <c r="F105" s="118" t="e">
        <f aca="false">E105*$F$1</f>
        <v>#VALUE!</v>
      </c>
    </row>
    <row r="106" customFormat="false" ht="14.25" hidden="false" customHeight="true" outlineLevel="0" collapsed="false">
      <c r="A106" s="118" t="s">
        <v>1005</v>
      </c>
      <c r="B106" s="118" t="str">
        <f aca="false">CONCATENATE(C106&amp;D106)</f>
        <v>3"105</v>
      </c>
      <c r="C106" s="118" t="s">
        <v>51</v>
      </c>
      <c r="D106" s="118" t="n">
        <f aca="false">D105+1</f>
        <v>105</v>
      </c>
      <c r="E106" s="118" t="e">
        <f aca="false">CEILING(D106/12;1)</f>
        <v>#VALUE!</v>
      </c>
      <c r="F106" s="118" t="e">
        <f aca="false">E106*$F$1</f>
        <v>#VALUE!</v>
      </c>
    </row>
    <row r="107" customFormat="false" ht="14.25" hidden="false" customHeight="true" outlineLevel="0" collapsed="false">
      <c r="A107" s="118" t="s">
        <v>1005</v>
      </c>
      <c r="B107" s="118" t="str">
        <f aca="false">CONCATENATE(C107&amp;D107)</f>
        <v>3"106</v>
      </c>
      <c r="C107" s="118" t="s">
        <v>51</v>
      </c>
      <c r="D107" s="118" t="n">
        <f aca="false">D106+1</f>
        <v>106</v>
      </c>
      <c r="E107" s="118" t="e">
        <f aca="false">CEILING(D107/12;1)</f>
        <v>#VALUE!</v>
      </c>
      <c r="F107" s="118" t="e">
        <f aca="false">E107*$F$1</f>
        <v>#VALUE!</v>
      </c>
    </row>
    <row r="108" customFormat="false" ht="14.25" hidden="false" customHeight="true" outlineLevel="0" collapsed="false">
      <c r="A108" s="118" t="s">
        <v>1005</v>
      </c>
      <c r="B108" s="118" t="str">
        <f aca="false">CONCATENATE(C108&amp;D108)</f>
        <v>3"107</v>
      </c>
      <c r="C108" s="118" t="s">
        <v>51</v>
      </c>
      <c r="D108" s="118" t="n">
        <f aca="false">D107+1</f>
        <v>107</v>
      </c>
      <c r="E108" s="118" t="e">
        <f aca="false">CEILING(D108/12;1)</f>
        <v>#VALUE!</v>
      </c>
      <c r="F108" s="118" t="e">
        <f aca="false">E108*$F$1</f>
        <v>#VALUE!</v>
      </c>
    </row>
    <row r="109" customFormat="false" ht="14.25" hidden="false" customHeight="true" outlineLevel="0" collapsed="false">
      <c r="A109" s="118" t="s">
        <v>1005</v>
      </c>
      <c r="B109" s="118" t="str">
        <f aca="false">CONCATENATE(C109&amp;D109)</f>
        <v>3"108</v>
      </c>
      <c r="C109" s="118" t="s">
        <v>51</v>
      </c>
      <c r="D109" s="152" t="n">
        <f aca="false">D108+1</f>
        <v>108</v>
      </c>
      <c r="E109" s="118" t="e">
        <f aca="false">CEILING(D109/12;1)</f>
        <v>#VALUE!</v>
      </c>
      <c r="F109" s="118" t="e">
        <f aca="false">E109*$F$1</f>
        <v>#VALUE!</v>
      </c>
    </row>
    <row r="110" customFormat="false" ht="14.25" hidden="false" customHeight="true" outlineLevel="0" collapsed="false">
      <c r="A110" s="118" t="s">
        <v>1005</v>
      </c>
      <c r="B110" s="118" t="str">
        <f aca="false">CONCATENATE(C110&amp;D110)</f>
        <v>3"109</v>
      </c>
      <c r="C110" s="118" t="s">
        <v>51</v>
      </c>
      <c r="D110" s="118" t="n">
        <f aca="false">D109+1</f>
        <v>109</v>
      </c>
      <c r="E110" s="118" t="e">
        <f aca="false">CEILING(D110/12;1)</f>
        <v>#VALUE!</v>
      </c>
      <c r="F110" s="118" t="e">
        <f aca="false">E110*$F$1</f>
        <v>#VALUE!</v>
      </c>
    </row>
    <row r="111" customFormat="false" ht="14.25" hidden="false" customHeight="true" outlineLevel="0" collapsed="false">
      <c r="A111" s="118" t="s">
        <v>1005</v>
      </c>
      <c r="B111" s="118" t="str">
        <f aca="false">CONCATENATE(C111&amp;D111)</f>
        <v>3"110</v>
      </c>
      <c r="C111" s="118" t="s">
        <v>51</v>
      </c>
      <c r="D111" s="118" t="n">
        <f aca="false">D110+1</f>
        <v>110</v>
      </c>
      <c r="E111" s="118" t="e">
        <f aca="false">CEILING(D111/12;1)</f>
        <v>#VALUE!</v>
      </c>
      <c r="F111" s="118" t="e">
        <f aca="false">E111*$F$1</f>
        <v>#VALUE!</v>
      </c>
    </row>
    <row r="112" customFormat="false" ht="14.25" hidden="false" customHeight="true" outlineLevel="0" collapsed="false">
      <c r="A112" s="118" t="s">
        <v>1005</v>
      </c>
      <c r="B112" s="118" t="str">
        <f aca="false">CONCATENATE(C112&amp;D112)</f>
        <v>3"111</v>
      </c>
      <c r="C112" s="118" t="s">
        <v>51</v>
      </c>
      <c r="D112" s="118" t="n">
        <f aca="false">D111+1</f>
        <v>111</v>
      </c>
      <c r="E112" s="118" t="e">
        <f aca="false">CEILING(D112/12;1)</f>
        <v>#VALUE!</v>
      </c>
      <c r="F112" s="118" t="e">
        <f aca="false">E112*$F$1</f>
        <v>#VALUE!</v>
      </c>
    </row>
    <row r="113" customFormat="false" ht="14.25" hidden="false" customHeight="true" outlineLevel="0" collapsed="false">
      <c r="A113" s="118" t="s">
        <v>1005</v>
      </c>
      <c r="B113" s="118" t="str">
        <f aca="false">CONCATENATE(C113&amp;D113)</f>
        <v>3"112</v>
      </c>
      <c r="C113" s="118" t="s">
        <v>51</v>
      </c>
      <c r="D113" s="118" t="n">
        <f aca="false">D112+1</f>
        <v>112</v>
      </c>
      <c r="E113" s="118" t="e">
        <f aca="false">CEILING(D113/12;1)</f>
        <v>#VALUE!</v>
      </c>
      <c r="F113" s="118" t="e">
        <f aca="false">E113*$F$1</f>
        <v>#VALUE!</v>
      </c>
    </row>
    <row r="114" customFormat="false" ht="14.25" hidden="false" customHeight="true" outlineLevel="0" collapsed="false">
      <c r="A114" s="118" t="s">
        <v>1005</v>
      </c>
      <c r="B114" s="118" t="str">
        <f aca="false">CONCATENATE(C114&amp;D114)</f>
        <v>3"113</v>
      </c>
      <c r="C114" s="118" t="s">
        <v>51</v>
      </c>
      <c r="D114" s="118" t="n">
        <f aca="false">D113+1</f>
        <v>113</v>
      </c>
      <c r="E114" s="118" t="e">
        <f aca="false">CEILING(D114/12;1)</f>
        <v>#VALUE!</v>
      </c>
      <c r="F114" s="118" t="e">
        <f aca="false">E114*$F$1</f>
        <v>#VALUE!</v>
      </c>
    </row>
    <row r="115" customFormat="false" ht="14.25" hidden="false" customHeight="true" outlineLevel="0" collapsed="false">
      <c r="A115" s="118" t="s">
        <v>1005</v>
      </c>
      <c r="B115" s="118" t="str">
        <f aca="false">CONCATENATE(C115&amp;D115)</f>
        <v>3"114</v>
      </c>
      <c r="C115" s="118" t="s">
        <v>51</v>
      </c>
      <c r="D115" s="118" t="n">
        <f aca="false">D114+1</f>
        <v>114</v>
      </c>
      <c r="E115" s="118" t="e">
        <f aca="false">CEILING(D115/12;1)</f>
        <v>#VALUE!</v>
      </c>
      <c r="F115" s="118" t="e">
        <f aca="false">E115*$F$1</f>
        <v>#VALUE!</v>
      </c>
    </row>
    <row r="116" customFormat="false" ht="14.25" hidden="false" customHeight="true" outlineLevel="0" collapsed="false">
      <c r="A116" s="118" t="s">
        <v>1005</v>
      </c>
      <c r="B116" s="118" t="str">
        <f aca="false">CONCATENATE(C116&amp;D116)</f>
        <v>3"115</v>
      </c>
      <c r="C116" s="118" t="s">
        <v>51</v>
      </c>
      <c r="D116" s="118" t="n">
        <f aca="false">D115+1</f>
        <v>115</v>
      </c>
      <c r="E116" s="118" t="e">
        <f aca="false">CEILING(D116/12;1)</f>
        <v>#VALUE!</v>
      </c>
      <c r="F116" s="118" t="e">
        <f aca="false">E116*$F$1</f>
        <v>#VALUE!</v>
      </c>
    </row>
    <row r="117" customFormat="false" ht="14.25" hidden="false" customHeight="true" outlineLevel="0" collapsed="false">
      <c r="A117" s="118" t="s">
        <v>1005</v>
      </c>
      <c r="B117" s="118" t="str">
        <f aca="false">CONCATENATE(C117&amp;D117)</f>
        <v>3"116</v>
      </c>
      <c r="C117" s="118" t="s">
        <v>51</v>
      </c>
      <c r="D117" s="118" t="n">
        <f aca="false">D116+1</f>
        <v>116</v>
      </c>
      <c r="E117" s="118" t="e">
        <f aca="false">CEILING(D117/12;1)</f>
        <v>#VALUE!</v>
      </c>
      <c r="F117" s="118" t="e">
        <f aca="false">E117*$F$1</f>
        <v>#VALUE!</v>
      </c>
    </row>
    <row r="118" customFormat="false" ht="14.25" hidden="false" customHeight="true" outlineLevel="0" collapsed="false">
      <c r="A118" s="118" t="s">
        <v>1005</v>
      </c>
      <c r="B118" s="118" t="str">
        <f aca="false">CONCATENATE(C118&amp;D118)</f>
        <v>3"117</v>
      </c>
      <c r="C118" s="118" t="s">
        <v>51</v>
      </c>
      <c r="D118" s="118" t="n">
        <f aca="false">D117+1</f>
        <v>117</v>
      </c>
      <c r="E118" s="118" t="e">
        <f aca="false">CEILING(D118/12;1)</f>
        <v>#VALUE!</v>
      </c>
      <c r="F118" s="118" t="e">
        <f aca="false">E118*$F$1</f>
        <v>#VALUE!</v>
      </c>
    </row>
    <row r="119" customFormat="false" ht="14.25" hidden="false" customHeight="true" outlineLevel="0" collapsed="false">
      <c r="A119" s="118" t="s">
        <v>1005</v>
      </c>
      <c r="B119" s="118" t="str">
        <f aca="false">CONCATENATE(C119&amp;D119)</f>
        <v>3"118</v>
      </c>
      <c r="C119" s="118" t="s">
        <v>51</v>
      </c>
      <c r="D119" s="118" t="n">
        <f aca="false">D118+1</f>
        <v>118</v>
      </c>
      <c r="E119" s="118" t="e">
        <f aca="false">CEILING(D119/12;1)</f>
        <v>#VALUE!</v>
      </c>
      <c r="F119" s="118" t="e">
        <f aca="false">E119*$F$1</f>
        <v>#VALUE!</v>
      </c>
    </row>
    <row r="120" customFormat="false" ht="14.25" hidden="false" customHeight="true" outlineLevel="0" collapsed="false">
      <c r="A120" s="118" t="s">
        <v>1005</v>
      </c>
      <c r="B120" s="118" t="str">
        <f aca="false">CONCATENATE(C120&amp;D120)</f>
        <v>3"119</v>
      </c>
      <c r="C120" s="118" t="s">
        <v>51</v>
      </c>
      <c r="D120" s="118" t="n">
        <f aca="false">D119+1</f>
        <v>119</v>
      </c>
      <c r="E120" s="118" t="e">
        <f aca="false">CEILING(D120/12;1)</f>
        <v>#VALUE!</v>
      </c>
      <c r="F120" s="118" t="e">
        <f aca="false">E120*$F$1</f>
        <v>#VALUE!</v>
      </c>
    </row>
    <row r="121" customFormat="false" ht="14.25" hidden="false" customHeight="true" outlineLevel="0" collapsed="false">
      <c r="A121" s="118" t="s">
        <v>1005</v>
      </c>
      <c r="B121" s="118" t="str">
        <f aca="false">CONCATENATE(C121&amp;D121)</f>
        <v>3"120</v>
      </c>
      <c r="C121" s="118" t="s">
        <v>51</v>
      </c>
      <c r="D121" s="152" t="n">
        <f aca="false">D120+1</f>
        <v>120</v>
      </c>
      <c r="E121" s="118" t="e">
        <f aca="false">CEILING(D121/12;1)</f>
        <v>#VALUE!</v>
      </c>
      <c r="F121" s="118" t="e">
        <f aca="false">E121*$F$1</f>
        <v>#VALUE!</v>
      </c>
    </row>
    <row r="122" customFormat="false" ht="14.25" hidden="false" customHeight="true" outlineLevel="0" collapsed="false">
      <c r="A122" s="118" t="s">
        <v>1005</v>
      </c>
      <c r="B122" s="118" t="str">
        <f aca="false">CONCATENATE(C122&amp;D122)</f>
        <v>3"121</v>
      </c>
      <c r="C122" s="118" t="s">
        <v>51</v>
      </c>
      <c r="D122" s="118" t="n">
        <f aca="false">D121+1</f>
        <v>121</v>
      </c>
      <c r="E122" s="118" t="e">
        <f aca="false">CEILING(D122/12;1)</f>
        <v>#VALUE!</v>
      </c>
      <c r="F122" s="118" t="e">
        <f aca="false">E122*$F$1</f>
        <v>#VALUE!</v>
      </c>
    </row>
    <row r="123" customFormat="false" ht="14.25" hidden="false" customHeight="true" outlineLevel="0" collapsed="false">
      <c r="A123" s="118" t="s">
        <v>1005</v>
      </c>
      <c r="B123" s="118" t="str">
        <f aca="false">CONCATENATE(C123&amp;D123)</f>
        <v>3"122</v>
      </c>
      <c r="C123" s="118" t="s">
        <v>51</v>
      </c>
      <c r="D123" s="118" t="n">
        <f aca="false">D122+1</f>
        <v>122</v>
      </c>
      <c r="E123" s="118" t="e">
        <f aca="false">CEILING(D123/12;1)</f>
        <v>#VALUE!</v>
      </c>
      <c r="F123" s="118" t="e">
        <f aca="false">E123*$F$1</f>
        <v>#VALUE!</v>
      </c>
    </row>
    <row r="124" customFormat="false" ht="14.25" hidden="false" customHeight="true" outlineLevel="0" collapsed="false">
      <c r="A124" s="118" t="s">
        <v>1005</v>
      </c>
      <c r="B124" s="118" t="str">
        <f aca="false">CONCATENATE(C124&amp;D124)</f>
        <v>3"123</v>
      </c>
      <c r="C124" s="118" t="s">
        <v>51</v>
      </c>
      <c r="D124" s="118" t="n">
        <f aca="false">D123+1</f>
        <v>123</v>
      </c>
      <c r="E124" s="118" t="e">
        <f aca="false">CEILING(D124/12;1)</f>
        <v>#VALUE!</v>
      </c>
      <c r="F124" s="118" t="e">
        <f aca="false">E124*$F$1</f>
        <v>#VALUE!</v>
      </c>
    </row>
    <row r="125" customFormat="false" ht="14.25" hidden="false" customHeight="true" outlineLevel="0" collapsed="false">
      <c r="A125" s="118" t="s">
        <v>1005</v>
      </c>
      <c r="B125" s="118" t="str">
        <f aca="false">CONCATENATE(C125&amp;D125)</f>
        <v>3"124</v>
      </c>
      <c r="C125" s="118" t="s">
        <v>51</v>
      </c>
      <c r="D125" s="118" t="n">
        <f aca="false">D124+1</f>
        <v>124</v>
      </c>
      <c r="E125" s="118" t="e">
        <f aca="false">CEILING(D125/12;1)</f>
        <v>#VALUE!</v>
      </c>
      <c r="F125" s="118" t="e">
        <f aca="false">E125*$F$1</f>
        <v>#VALUE!</v>
      </c>
    </row>
    <row r="126" customFormat="false" ht="14.25" hidden="false" customHeight="true" outlineLevel="0" collapsed="false">
      <c r="A126" s="118" t="s">
        <v>1005</v>
      </c>
      <c r="B126" s="118" t="str">
        <f aca="false">CONCATENATE(C126&amp;D126)</f>
        <v>3"125</v>
      </c>
      <c r="C126" s="118" t="s">
        <v>51</v>
      </c>
      <c r="D126" s="118" t="n">
        <f aca="false">D125+1</f>
        <v>125</v>
      </c>
      <c r="E126" s="118" t="e">
        <f aca="false">CEILING(D126/12;1)</f>
        <v>#VALUE!</v>
      </c>
      <c r="F126" s="118" t="e">
        <f aca="false">E126*$F$1</f>
        <v>#VALUE!</v>
      </c>
    </row>
    <row r="127" customFormat="false" ht="14.25" hidden="false" customHeight="true" outlineLevel="0" collapsed="false">
      <c r="A127" s="118" t="s">
        <v>1005</v>
      </c>
      <c r="B127" s="118" t="str">
        <f aca="false">CONCATENATE(C127&amp;D127)</f>
        <v>3"126</v>
      </c>
      <c r="C127" s="118" t="s">
        <v>51</v>
      </c>
      <c r="D127" s="118" t="n">
        <f aca="false">D126+1</f>
        <v>126</v>
      </c>
      <c r="E127" s="118" t="e">
        <f aca="false">CEILING(D127/12;1)</f>
        <v>#VALUE!</v>
      </c>
      <c r="F127" s="118" t="e">
        <f aca="false">E127*$F$1</f>
        <v>#VALUE!</v>
      </c>
    </row>
    <row r="128" customFormat="false" ht="14.25" hidden="false" customHeight="true" outlineLevel="0" collapsed="false">
      <c r="A128" s="118" t="s">
        <v>1005</v>
      </c>
      <c r="B128" s="118" t="str">
        <f aca="false">CONCATENATE(C128&amp;D128)</f>
        <v>3"127</v>
      </c>
      <c r="C128" s="118" t="s">
        <v>51</v>
      </c>
      <c r="D128" s="118" t="n">
        <f aca="false">D127+1</f>
        <v>127</v>
      </c>
      <c r="E128" s="118" t="e">
        <f aca="false">CEILING(D128/12;1)</f>
        <v>#VALUE!</v>
      </c>
      <c r="F128" s="118" t="e">
        <f aca="false">E128*$F$1</f>
        <v>#VALUE!</v>
      </c>
    </row>
    <row r="129" customFormat="false" ht="14.25" hidden="false" customHeight="true" outlineLevel="0" collapsed="false">
      <c r="A129" s="118" t="s">
        <v>1005</v>
      </c>
      <c r="B129" s="118" t="str">
        <f aca="false">CONCATENATE(C129&amp;D129)</f>
        <v>3"128</v>
      </c>
      <c r="C129" s="118" t="s">
        <v>51</v>
      </c>
      <c r="D129" s="118" t="n">
        <f aca="false">D128+1</f>
        <v>128</v>
      </c>
      <c r="E129" s="118" t="e">
        <f aca="false">CEILING(D129/12;1)</f>
        <v>#VALUE!</v>
      </c>
      <c r="F129" s="118" t="e">
        <f aca="false">E129*$F$1</f>
        <v>#VALUE!</v>
      </c>
    </row>
    <row r="130" customFormat="false" ht="14.25" hidden="false" customHeight="true" outlineLevel="0" collapsed="false">
      <c r="A130" s="118" t="s">
        <v>1005</v>
      </c>
      <c r="B130" s="118" t="str">
        <f aca="false">CONCATENATE(C130&amp;D130)</f>
        <v>3"129</v>
      </c>
      <c r="C130" s="118" t="s">
        <v>51</v>
      </c>
      <c r="D130" s="118" t="n">
        <f aca="false">D129+1</f>
        <v>129</v>
      </c>
      <c r="E130" s="118" t="e">
        <f aca="false">CEILING(D130/12;1)</f>
        <v>#VALUE!</v>
      </c>
      <c r="F130" s="118" t="e">
        <f aca="false">E130*$F$1</f>
        <v>#VALUE!</v>
      </c>
    </row>
    <row r="131" customFormat="false" ht="14.25" hidden="false" customHeight="true" outlineLevel="0" collapsed="false">
      <c r="A131" s="118" t="s">
        <v>1005</v>
      </c>
      <c r="B131" s="118" t="str">
        <f aca="false">CONCATENATE(C131&amp;D131)</f>
        <v>3"130</v>
      </c>
      <c r="C131" s="118" t="s">
        <v>51</v>
      </c>
      <c r="D131" s="118" t="n">
        <f aca="false">D130+1</f>
        <v>130</v>
      </c>
      <c r="E131" s="118" t="e">
        <f aca="false">CEILING(D131/12;1)</f>
        <v>#VALUE!</v>
      </c>
      <c r="F131" s="118" t="e">
        <f aca="false">E131*$F$1</f>
        <v>#VALUE!</v>
      </c>
    </row>
    <row r="132" customFormat="false" ht="14.25" hidden="false" customHeight="true" outlineLevel="0" collapsed="false">
      <c r="A132" s="118" t="s">
        <v>1005</v>
      </c>
      <c r="B132" s="118" t="str">
        <f aca="false">CONCATENATE(C132&amp;D132)</f>
        <v>3"131</v>
      </c>
      <c r="C132" s="118" t="s">
        <v>51</v>
      </c>
      <c r="D132" s="118" t="n">
        <f aca="false">D131+1</f>
        <v>131</v>
      </c>
      <c r="E132" s="118" t="e">
        <f aca="false">CEILING(D132/12;1)</f>
        <v>#VALUE!</v>
      </c>
      <c r="F132" s="118" t="e">
        <f aca="false">E132*$F$1</f>
        <v>#VALUE!</v>
      </c>
    </row>
    <row r="133" customFormat="false" ht="14.25" hidden="false" customHeight="true" outlineLevel="0" collapsed="false">
      <c r="A133" s="118" t="s">
        <v>1005</v>
      </c>
      <c r="B133" s="118" t="str">
        <f aca="false">CONCATENATE(C133&amp;D133)</f>
        <v>3"132</v>
      </c>
      <c r="C133" s="118" t="s">
        <v>51</v>
      </c>
      <c r="D133" s="152" t="n">
        <f aca="false">D132+1</f>
        <v>132</v>
      </c>
      <c r="E133" s="118" t="e">
        <f aca="false">CEILING(D133/12;1)</f>
        <v>#VALUE!</v>
      </c>
      <c r="F133" s="118" t="e">
        <f aca="false">E133*$F$1</f>
        <v>#VALUE!</v>
      </c>
    </row>
    <row r="134" customFormat="false" ht="14.25" hidden="false" customHeight="true" outlineLevel="0" collapsed="false">
      <c r="A134" s="118" t="s">
        <v>1005</v>
      </c>
      <c r="B134" s="118" t="str">
        <f aca="false">CONCATENATE(C134&amp;D134)</f>
        <v>3"133</v>
      </c>
      <c r="C134" s="118" t="s">
        <v>51</v>
      </c>
      <c r="D134" s="118" t="n">
        <f aca="false">D133+1</f>
        <v>133</v>
      </c>
      <c r="E134" s="118" t="e">
        <f aca="false">CEILING(D134/12;1)</f>
        <v>#VALUE!</v>
      </c>
      <c r="F134" s="118" t="e">
        <f aca="false">E134*$F$1</f>
        <v>#VALUE!</v>
      </c>
    </row>
    <row r="135" customFormat="false" ht="14.25" hidden="false" customHeight="true" outlineLevel="0" collapsed="false">
      <c r="A135" s="118" t="s">
        <v>1005</v>
      </c>
      <c r="B135" s="118" t="str">
        <f aca="false">CONCATENATE(C135&amp;D135)</f>
        <v>3"134</v>
      </c>
      <c r="C135" s="118" t="s">
        <v>51</v>
      </c>
      <c r="D135" s="118" t="n">
        <f aca="false">D134+1</f>
        <v>134</v>
      </c>
      <c r="E135" s="118" t="e">
        <f aca="false">CEILING(D135/12;1)</f>
        <v>#VALUE!</v>
      </c>
      <c r="F135" s="118" t="e">
        <f aca="false">E135*$F$1</f>
        <v>#VALUE!</v>
      </c>
    </row>
    <row r="136" customFormat="false" ht="14.25" hidden="false" customHeight="true" outlineLevel="0" collapsed="false">
      <c r="A136" s="118" t="s">
        <v>1005</v>
      </c>
      <c r="B136" s="118" t="str">
        <f aca="false">CONCATENATE(C136&amp;D136)</f>
        <v>3"135</v>
      </c>
      <c r="C136" s="118" t="s">
        <v>51</v>
      </c>
      <c r="D136" s="118" t="n">
        <f aca="false">D135+1</f>
        <v>135</v>
      </c>
      <c r="E136" s="118" t="e">
        <f aca="false">CEILING(D136/12;1)</f>
        <v>#VALUE!</v>
      </c>
      <c r="F136" s="118" t="e">
        <f aca="false">E136*$F$1</f>
        <v>#VALUE!</v>
      </c>
    </row>
    <row r="137" customFormat="false" ht="14.25" hidden="false" customHeight="true" outlineLevel="0" collapsed="false">
      <c r="A137" s="118" t="s">
        <v>1005</v>
      </c>
      <c r="B137" s="118" t="str">
        <f aca="false">CONCATENATE(C137&amp;D137)</f>
        <v>3"136</v>
      </c>
      <c r="C137" s="118" t="s">
        <v>51</v>
      </c>
      <c r="D137" s="118" t="n">
        <f aca="false">D136+1</f>
        <v>136</v>
      </c>
      <c r="E137" s="118" t="e">
        <f aca="false">CEILING(D137/12;1)</f>
        <v>#VALUE!</v>
      </c>
      <c r="F137" s="118" t="e">
        <f aca="false">E137*$F$1</f>
        <v>#VALUE!</v>
      </c>
    </row>
    <row r="138" customFormat="false" ht="14.25" hidden="false" customHeight="true" outlineLevel="0" collapsed="false">
      <c r="A138" s="118" t="s">
        <v>1005</v>
      </c>
      <c r="B138" s="118" t="str">
        <f aca="false">CONCATENATE(C138&amp;D138)</f>
        <v>3"137</v>
      </c>
      <c r="C138" s="118" t="s">
        <v>51</v>
      </c>
      <c r="D138" s="118" t="n">
        <f aca="false">D137+1</f>
        <v>137</v>
      </c>
      <c r="E138" s="118" t="e">
        <f aca="false">CEILING(D138/12;1)</f>
        <v>#VALUE!</v>
      </c>
      <c r="F138" s="118" t="e">
        <f aca="false">E138*$F$1</f>
        <v>#VALUE!</v>
      </c>
    </row>
    <row r="139" customFormat="false" ht="14.25" hidden="false" customHeight="true" outlineLevel="0" collapsed="false">
      <c r="A139" s="118" t="s">
        <v>1005</v>
      </c>
      <c r="B139" s="118" t="str">
        <f aca="false">CONCATENATE(C139&amp;D139)</f>
        <v>3"138</v>
      </c>
      <c r="C139" s="118" t="s">
        <v>51</v>
      </c>
      <c r="D139" s="118" t="n">
        <f aca="false">D138+1</f>
        <v>138</v>
      </c>
      <c r="E139" s="118" t="e">
        <f aca="false">CEILING(D139/12;1)</f>
        <v>#VALUE!</v>
      </c>
      <c r="F139" s="118" t="e">
        <f aca="false">E139*$F$1</f>
        <v>#VALUE!</v>
      </c>
    </row>
    <row r="140" customFormat="false" ht="14.25" hidden="false" customHeight="true" outlineLevel="0" collapsed="false">
      <c r="A140" s="118" t="s">
        <v>1005</v>
      </c>
      <c r="B140" s="118" t="str">
        <f aca="false">CONCATENATE(C140&amp;D140)</f>
        <v>3"139</v>
      </c>
      <c r="C140" s="118" t="s">
        <v>51</v>
      </c>
      <c r="D140" s="118" t="n">
        <f aca="false">D139+1</f>
        <v>139</v>
      </c>
      <c r="E140" s="118" t="e">
        <f aca="false">CEILING(D140/12;1)</f>
        <v>#VALUE!</v>
      </c>
      <c r="F140" s="118" t="e">
        <f aca="false">E140*$F$1</f>
        <v>#VALUE!</v>
      </c>
    </row>
    <row r="141" customFormat="false" ht="14.25" hidden="false" customHeight="true" outlineLevel="0" collapsed="false">
      <c r="A141" s="118" t="s">
        <v>1005</v>
      </c>
      <c r="B141" s="118" t="str">
        <f aca="false">CONCATENATE(C141&amp;D141)</f>
        <v>3"140</v>
      </c>
      <c r="C141" s="118" t="s">
        <v>51</v>
      </c>
      <c r="D141" s="118" t="n">
        <f aca="false">D140+1</f>
        <v>140</v>
      </c>
      <c r="E141" s="118" t="e">
        <f aca="false">CEILING(D141/12;1)</f>
        <v>#VALUE!</v>
      </c>
      <c r="F141" s="118" t="e">
        <f aca="false">E141*$F$1</f>
        <v>#VALUE!</v>
      </c>
    </row>
    <row r="142" customFormat="false" ht="14.25" hidden="false" customHeight="true" outlineLevel="0" collapsed="false">
      <c r="A142" s="118" t="s">
        <v>1005</v>
      </c>
      <c r="B142" s="118" t="str">
        <f aca="false">CONCATENATE(C142&amp;D142)</f>
        <v>3"141</v>
      </c>
      <c r="C142" s="118" t="s">
        <v>51</v>
      </c>
      <c r="D142" s="118" t="n">
        <f aca="false">D141+1</f>
        <v>141</v>
      </c>
      <c r="E142" s="118" t="e">
        <f aca="false">CEILING(D142/12;1)</f>
        <v>#VALUE!</v>
      </c>
      <c r="F142" s="118" t="e">
        <f aca="false">E142*$F$1</f>
        <v>#VALUE!</v>
      </c>
    </row>
    <row r="143" customFormat="false" ht="14.25" hidden="false" customHeight="true" outlineLevel="0" collapsed="false">
      <c r="A143" s="118" t="s">
        <v>1005</v>
      </c>
      <c r="B143" s="118" t="str">
        <f aca="false">CONCATENATE(C143&amp;D143)</f>
        <v>3"142</v>
      </c>
      <c r="C143" s="118" t="s">
        <v>51</v>
      </c>
      <c r="D143" s="118" t="n">
        <f aca="false">D142+1</f>
        <v>142</v>
      </c>
      <c r="E143" s="118" t="e">
        <f aca="false">CEILING(D143/12;1)</f>
        <v>#VALUE!</v>
      </c>
      <c r="F143" s="118" t="e">
        <f aca="false">E143*$F$1</f>
        <v>#VALUE!</v>
      </c>
    </row>
    <row r="144" customFormat="false" ht="14.25" hidden="false" customHeight="true" outlineLevel="0" collapsed="false">
      <c r="A144" s="118" t="s">
        <v>1005</v>
      </c>
      <c r="B144" s="118" t="str">
        <f aca="false">CONCATENATE(C144&amp;D144)</f>
        <v>3"143</v>
      </c>
      <c r="C144" s="118" t="s">
        <v>51</v>
      </c>
      <c r="D144" s="118" t="n">
        <f aca="false">D143+1</f>
        <v>143</v>
      </c>
      <c r="E144" s="118" t="e">
        <f aca="false">CEILING(D144/12;1)</f>
        <v>#VALUE!</v>
      </c>
      <c r="F144" s="118" t="e">
        <f aca="false">E144*$F$1</f>
        <v>#VALUE!</v>
      </c>
    </row>
    <row r="145" customFormat="false" ht="14.25" hidden="false" customHeight="true" outlineLevel="0" collapsed="false">
      <c r="A145" s="118" t="s">
        <v>1005</v>
      </c>
      <c r="B145" s="118" t="str">
        <f aca="false">CONCATENATE(C145&amp;D145)</f>
        <v>3"144</v>
      </c>
      <c r="C145" s="118" t="s">
        <v>51</v>
      </c>
      <c r="D145" s="152" t="n">
        <f aca="false">D144+1</f>
        <v>144</v>
      </c>
      <c r="E145" s="118" t="e">
        <f aca="false">CEILING(D145/12;1)</f>
        <v>#VALUE!</v>
      </c>
      <c r="F145" s="118" t="e">
        <f aca="false">E145*$F$1</f>
        <v>#VALUE!</v>
      </c>
    </row>
    <row r="146" customFormat="false" ht="14.25" hidden="false" customHeight="true" outlineLevel="0" collapsed="false">
      <c r="A146" s="118" t="s">
        <v>1005</v>
      </c>
      <c r="B146" s="118" t="str">
        <f aca="false">CONCATENATE(C146&amp;D146)</f>
        <v>3"145</v>
      </c>
      <c r="C146" s="118" t="s">
        <v>51</v>
      </c>
      <c r="D146" s="118" t="n">
        <f aca="false">D145+1</f>
        <v>145</v>
      </c>
      <c r="E146" s="118" t="e">
        <f aca="false">CEILING(D146/12;1)</f>
        <v>#VALUE!</v>
      </c>
      <c r="F146" s="118" t="e">
        <f aca="false">E146*$F$1</f>
        <v>#VALUE!</v>
      </c>
    </row>
    <row r="147" customFormat="false" ht="14.25" hidden="false" customHeight="true" outlineLevel="0" collapsed="false">
      <c r="A147" s="118" t="s">
        <v>1005</v>
      </c>
      <c r="B147" s="118" t="str">
        <f aca="false">CONCATENATE(C147&amp;D147)</f>
        <v>3"146</v>
      </c>
      <c r="C147" s="118" t="s">
        <v>51</v>
      </c>
      <c r="D147" s="118" t="n">
        <f aca="false">D146+1</f>
        <v>146</v>
      </c>
      <c r="E147" s="118" t="e">
        <f aca="false">CEILING(D147/12;1)</f>
        <v>#VALUE!</v>
      </c>
      <c r="F147" s="118" t="e">
        <f aca="false">E147*$F$1</f>
        <v>#VALUE!</v>
      </c>
    </row>
    <row r="148" customFormat="false" ht="14.25" hidden="false" customHeight="true" outlineLevel="0" collapsed="false">
      <c r="A148" s="118" t="s">
        <v>1005</v>
      </c>
      <c r="B148" s="118" t="str">
        <f aca="false">CONCATENATE(C148&amp;D148)</f>
        <v>3"147</v>
      </c>
      <c r="C148" s="118" t="s">
        <v>51</v>
      </c>
      <c r="D148" s="118" t="n">
        <f aca="false">D147+1</f>
        <v>147</v>
      </c>
      <c r="E148" s="118" t="e">
        <f aca="false">CEILING(D148/12;1)</f>
        <v>#VALUE!</v>
      </c>
      <c r="F148" s="118" t="e">
        <f aca="false">E148*$F$1</f>
        <v>#VALUE!</v>
      </c>
    </row>
    <row r="149" customFormat="false" ht="14.25" hidden="false" customHeight="true" outlineLevel="0" collapsed="false">
      <c r="A149" s="118" t="s">
        <v>1005</v>
      </c>
      <c r="B149" s="118" t="str">
        <f aca="false">CONCATENATE(C149&amp;D149)</f>
        <v>3"148</v>
      </c>
      <c r="C149" s="118" t="s">
        <v>51</v>
      </c>
      <c r="D149" s="118" t="n">
        <f aca="false">D148+1</f>
        <v>148</v>
      </c>
      <c r="E149" s="118" t="e">
        <f aca="false">CEILING(D149/12;1)</f>
        <v>#VALUE!</v>
      </c>
      <c r="F149" s="118" t="e">
        <f aca="false">E149*$F$1</f>
        <v>#VALUE!</v>
      </c>
    </row>
    <row r="150" customFormat="false" ht="14.25" hidden="false" customHeight="true" outlineLevel="0" collapsed="false">
      <c r="A150" s="118" t="s">
        <v>1005</v>
      </c>
      <c r="B150" s="118" t="str">
        <f aca="false">CONCATENATE(C150&amp;D150)</f>
        <v>3"149</v>
      </c>
      <c r="C150" s="118" t="s">
        <v>51</v>
      </c>
      <c r="D150" s="118" t="n">
        <f aca="false">D149+1</f>
        <v>149</v>
      </c>
      <c r="E150" s="118" t="e">
        <f aca="false">CEILING(D150/12;1)</f>
        <v>#VALUE!</v>
      </c>
      <c r="F150" s="118" t="e">
        <f aca="false">E150*$F$1</f>
        <v>#VALUE!</v>
      </c>
    </row>
    <row r="151" customFormat="false" ht="14.25" hidden="false" customHeight="true" outlineLevel="0" collapsed="false">
      <c r="A151" s="118" t="s">
        <v>1005</v>
      </c>
      <c r="B151" s="118" t="str">
        <f aca="false">CONCATENATE(C151&amp;D151)</f>
        <v>3"150</v>
      </c>
      <c r="C151" s="118" t="s">
        <v>51</v>
      </c>
      <c r="D151" s="118" t="n">
        <f aca="false">D150+1</f>
        <v>150</v>
      </c>
      <c r="E151" s="118" t="e">
        <f aca="false">CEILING(D151/12;1)</f>
        <v>#VALUE!</v>
      </c>
      <c r="F151" s="118" t="e">
        <f aca="false">E151*$F$1</f>
        <v>#VALUE!</v>
      </c>
    </row>
    <row r="152" customFormat="false" ht="14.25" hidden="false" customHeight="true" outlineLevel="0" collapsed="false">
      <c r="A152" s="118" t="s">
        <v>1005</v>
      </c>
      <c r="B152" s="118" t="str">
        <f aca="false">CONCATENATE(C152&amp;D152)</f>
        <v>3"151</v>
      </c>
      <c r="C152" s="118" t="s">
        <v>51</v>
      </c>
      <c r="D152" s="118" t="n">
        <f aca="false">D151+1</f>
        <v>151</v>
      </c>
      <c r="E152" s="118" t="e">
        <f aca="false">CEILING(D152/12;1)</f>
        <v>#VALUE!</v>
      </c>
      <c r="F152" s="118" t="e">
        <f aca="false">E152*$F$1</f>
        <v>#VALUE!</v>
      </c>
    </row>
    <row r="153" customFormat="false" ht="14.25" hidden="false" customHeight="true" outlineLevel="0" collapsed="false">
      <c r="A153" s="118" t="s">
        <v>1005</v>
      </c>
      <c r="B153" s="118" t="str">
        <f aca="false">CONCATENATE(C153&amp;D153)</f>
        <v>3"152</v>
      </c>
      <c r="C153" s="118" t="s">
        <v>51</v>
      </c>
      <c r="D153" s="118" t="n">
        <f aca="false">D152+1</f>
        <v>152</v>
      </c>
      <c r="E153" s="118" t="e">
        <f aca="false">CEILING(D153/12;1)</f>
        <v>#VALUE!</v>
      </c>
      <c r="F153" s="118" t="e">
        <f aca="false">E153*$F$1</f>
        <v>#VALUE!</v>
      </c>
    </row>
    <row r="154" customFormat="false" ht="14.25" hidden="false" customHeight="true" outlineLevel="0" collapsed="false">
      <c r="A154" s="118" t="s">
        <v>1005</v>
      </c>
      <c r="B154" s="118" t="str">
        <f aca="false">CONCATENATE(C154&amp;D154)</f>
        <v>3"153</v>
      </c>
      <c r="C154" s="118" t="s">
        <v>51</v>
      </c>
      <c r="D154" s="118" t="n">
        <f aca="false">D153+1</f>
        <v>153</v>
      </c>
      <c r="E154" s="118" t="e">
        <f aca="false">CEILING(D154/12;1)</f>
        <v>#VALUE!</v>
      </c>
      <c r="F154" s="118" t="e">
        <f aca="false">E154*$F$1</f>
        <v>#VALUE!</v>
      </c>
    </row>
    <row r="155" customFormat="false" ht="14.25" hidden="false" customHeight="true" outlineLevel="0" collapsed="false">
      <c r="A155" s="118" t="s">
        <v>1005</v>
      </c>
      <c r="B155" s="118" t="str">
        <f aca="false">CONCATENATE(C155&amp;D155)</f>
        <v>3"154</v>
      </c>
      <c r="C155" s="118" t="s">
        <v>51</v>
      </c>
      <c r="D155" s="118" t="n">
        <f aca="false">D154+1</f>
        <v>154</v>
      </c>
      <c r="E155" s="118" t="e">
        <f aca="false">CEILING(D155/12;1)</f>
        <v>#VALUE!</v>
      </c>
      <c r="F155" s="118" t="e">
        <f aca="false">E155*$F$1</f>
        <v>#VALUE!</v>
      </c>
    </row>
    <row r="156" customFormat="false" ht="14.25" hidden="false" customHeight="true" outlineLevel="0" collapsed="false">
      <c r="A156" s="118" t="s">
        <v>1005</v>
      </c>
      <c r="B156" s="118" t="str">
        <f aca="false">CONCATENATE(C156&amp;D156)</f>
        <v>3"155</v>
      </c>
      <c r="C156" s="118" t="s">
        <v>51</v>
      </c>
      <c r="D156" s="118" t="n">
        <f aca="false">D155+1</f>
        <v>155</v>
      </c>
      <c r="E156" s="118" t="e">
        <f aca="false">CEILING(D156/12;1)</f>
        <v>#VALUE!</v>
      </c>
      <c r="F156" s="118" t="e">
        <f aca="false">E156*$F$1</f>
        <v>#VALUE!</v>
      </c>
    </row>
    <row r="157" customFormat="false" ht="14.25" hidden="false" customHeight="true" outlineLevel="0" collapsed="false">
      <c r="A157" s="118" t="s">
        <v>1005</v>
      </c>
      <c r="B157" s="118" t="str">
        <f aca="false">CONCATENATE(C157&amp;D157)</f>
        <v>3"156</v>
      </c>
      <c r="C157" s="118" t="s">
        <v>51</v>
      </c>
      <c r="D157" s="152" t="n">
        <f aca="false">D156+1</f>
        <v>156</v>
      </c>
      <c r="E157" s="118" t="e">
        <f aca="false">CEILING(D157/12;1)</f>
        <v>#VALUE!</v>
      </c>
      <c r="F157" s="118" t="e">
        <f aca="false">E157*$F$1</f>
        <v>#VALUE!</v>
      </c>
    </row>
    <row r="158" customFormat="false" ht="14.25" hidden="false" customHeight="true" outlineLevel="0" collapsed="false">
      <c r="A158" s="118" t="s">
        <v>1005</v>
      </c>
      <c r="B158" s="118" t="str">
        <f aca="false">CONCATENATE(C158&amp;D158)</f>
        <v>3"157</v>
      </c>
      <c r="C158" s="118" t="s">
        <v>51</v>
      </c>
      <c r="D158" s="118" t="n">
        <f aca="false">D157+1</f>
        <v>157</v>
      </c>
      <c r="E158" s="118" t="e">
        <f aca="false">CEILING(D158/12;1)</f>
        <v>#VALUE!</v>
      </c>
      <c r="F158" s="118" t="e">
        <f aca="false">E158*$F$1</f>
        <v>#VALUE!</v>
      </c>
    </row>
    <row r="159" customFormat="false" ht="14.25" hidden="false" customHeight="true" outlineLevel="0" collapsed="false">
      <c r="A159" s="118" t="s">
        <v>1005</v>
      </c>
      <c r="B159" s="118" t="str">
        <f aca="false">CONCATENATE(C159&amp;D159)</f>
        <v>3"158</v>
      </c>
      <c r="C159" s="118" t="s">
        <v>51</v>
      </c>
      <c r="D159" s="118" t="n">
        <f aca="false">D158+1</f>
        <v>158</v>
      </c>
      <c r="E159" s="118" t="e">
        <f aca="false">CEILING(D159/12;1)</f>
        <v>#VALUE!</v>
      </c>
      <c r="F159" s="118" t="e">
        <f aca="false">E159*$F$1</f>
        <v>#VALUE!</v>
      </c>
    </row>
    <row r="160" customFormat="false" ht="14.25" hidden="false" customHeight="true" outlineLevel="0" collapsed="false">
      <c r="A160" s="118" t="s">
        <v>1005</v>
      </c>
      <c r="B160" s="118" t="str">
        <f aca="false">CONCATENATE(C160&amp;D160)</f>
        <v>3"159</v>
      </c>
      <c r="C160" s="118" t="s">
        <v>51</v>
      </c>
      <c r="D160" s="118" t="n">
        <f aca="false">D159+1</f>
        <v>159</v>
      </c>
      <c r="E160" s="118" t="e">
        <f aca="false">CEILING(D160/12;1)</f>
        <v>#VALUE!</v>
      </c>
      <c r="F160" s="118" t="e">
        <f aca="false">E160*$F$1</f>
        <v>#VALUE!</v>
      </c>
    </row>
    <row r="161" customFormat="false" ht="14.25" hidden="false" customHeight="true" outlineLevel="0" collapsed="false">
      <c r="A161" s="118" t="s">
        <v>1005</v>
      </c>
      <c r="B161" s="118" t="str">
        <f aca="false">CONCATENATE(C161&amp;D161)</f>
        <v>3"160</v>
      </c>
      <c r="C161" s="118" t="s">
        <v>51</v>
      </c>
      <c r="D161" s="118" t="n">
        <f aca="false">D160+1</f>
        <v>160</v>
      </c>
      <c r="E161" s="118" t="e">
        <f aca="false">CEILING(D161/12;1)</f>
        <v>#VALUE!</v>
      </c>
      <c r="F161" s="118" t="e">
        <f aca="false">E161*$F$1</f>
        <v>#VALUE!</v>
      </c>
    </row>
    <row r="162" customFormat="false" ht="14.25" hidden="false" customHeight="true" outlineLevel="0" collapsed="false">
      <c r="A162" s="118" t="s">
        <v>1005</v>
      </c>
      <c r="B162" s="118" t="str">
        <f aca="false">CONCATENATE(C162&amp;D162)</f>
        <v>3"161</v>
      </c>
      <c r="C162" s="118" t="s">
        <v>51</v>
      </c>
      <c r="D162" s="118" t="n">
        <f aca="false">D161+1</f>
        <v>161</v>
      </c>
      <c r="E162" s="118" t="e">
        <f aca="false">CEILING(D162/12;1)</f>
        <v>#VALUE!</v>
      </c>
      <c r="F162" s="118" t="e">
        <f aca="false">E162*$F$1</f>
        <v>#VALUE!</v>
      </c>
    </row>
    <row r="163" customFormat="false" ht="14.25" hidden="false" customHeight="true" outlineLevel="0" collapsed="false">
      <c r="A163" s="118" t="s">
        <v>1005</v>
      </c>
      <c r="B163" s="118" t="str">
        <f aca="false">CONCATENATE(C163&amp;D163)</f>
        <v>3"162</v>
      </c>
      <c r="C163" s="118" t="s">
        <v>51</v>
      </c>
      <c r="D163" s="118" t="n">
        <f aca="false">D162+1</f>
        <v>162</v>
      </c>
      <c r="E163" s="118" t="e">
        <f aca="false">CEILING(D163/12;1)</f>
        <v>#VALUE!</v>
      </c>
      <c r="F163" s="118" t="e">
        <f aca="false">E163*$F$1</f>
        <v>#VALUE!</v>
      </c>
    </row>
    <row r="164" customFormat="false" ht="14.25" hidden="false" customHeight="true" outlineLevel="0" collapsed="false">
      <c r="A164" s="118" t="s">
        <v>1005</v>
      </c>
      <c r="B164" s="118" t="str">
        <f aca="false">CONCATENATE(C164&amp;D164)</f>
        <v>3"163</v>
      </c>
      <c r="C164" s="118" t="s">
        <v>51</v>
      </c>
      <c r="D164" s="118" t="n">
        <f aca="false">D163+1</f>
        <v>163</v>
      </c>
      <c r="E164" s="118" t="e">
        <f aca="false">CEILING(D164/12;1)</f>
        <v>#VALUE!</v>
      </c>
      <c r="F164" s="118" t="e">
        <f aca="false">E164*$F$1</f>
        <v>#VALUE!</v>
      </c>
    </row>
    <row r="165" customFormat="false" ht="14.25" hidden="false" customHeight="true" outlineLevel="0" collapsed="false">
      <c r="A165" s="118" t="s">
        <v>1005</v>
      </c>
      <c r="B165" s="118" t="str">
        <f aca="false">CONCATENATE(C165&amp;D165)</f>
        <v>3"164</v>
      </c>
      <c r="C165" s="118" t="s">
        <v>51</v>
      </c>
      <c r="D165" s="118" t="n">
        <f aca="false">D164+1</f>
        <v>164</v>
      </c>
      <c r="E165" s="118" t="e">
        <f aca="false">CEILING(D165/12;1)</f>
        <v>#VALUE!</v>
      </c>
      <c r="F165" s="118" t="e">
        <f aca="false">E165*$F$1</f>
        <v>#VALUE!</v>
      </c>
    </row>
    <row r="166" customFormat="false" ht="14.25" hidden="false" customHeight="true" outlineLevel="0" collapsed="false">
      <c r="A166" s="118" t="s">
        <v>1005</v>
      </c>
      <c r="B166" s="118" t="str">
        <f aca="false">CONCATENATE(C166&amp;D166)</f>
        <v>3"165</v>
      </c>
      <c r="C166" s="118" t="s">
        <v>51</v>
      </c>
      <c r="D166" s="118" t="n">
        <f aca="false">D165+1</f>
        <v>165</v>
      </c>
      <c r="E166" s="118" t="e">
        <f aca="false">CEILING(D166/12;1)</f>
        <v>#VALUE!</v>
      </c>
      <c r="F166" s="118" t="e">
        <f aca="false">E166*$F$1</f>
        <v>#VALUE!</v>
      </c>
    </row>
    <row r="167" customFormat="false" ht="14.25" hidden="false" customHeight="true" outlineLevel="0" collapsed="false">
      <c r="A167" s="118" t="s">
        <v>1005</v>
      </c>
      <c r="B167" s="118" t="str">
        <f aca="false">CONCATENATE(C167&amp;D167)</f>
        <v>3"166</v>
      </c>
      <c r="C167" s="118" t="s">
        <v>51</v>
      </c>
      <c r="D167" s="118" t="n">
        <f aca="false">D166+1</f>
        <v>166</v>
      </c>
      <c r="E167" s="118" t="e">
        <f aca="false">CEILING(D167/12;1)</f>
        <v>#VALUE!</v>
      </c>
      <c r="F167" s="118" t="e">
        <f aca="false">E167*$F$1</f>
        <v>#VALUE!</v>
      </c>
    </row>
    <row r="168" customFormat="false" ht="14.25" hidden="false" customHeight="true" outlineLevel="0" collapsed="false">
      <c r="A168" s="118" t="s">
        <v>1005</v>
      </c>
      <c r="B168" s="118" t="str">
        <f aca="false">CONCATENATE(C168&amp;D168)</f>
        <v>3"167</v>
      </c>
      <c r="C168" s="118" t="s">
        <v>51</v>
      </c>
      <c r="D168" s="118" t="n">
        <f aca="false">D167+1</f>
        <v>167</v>
      </c>
      <c r="E168" s="118" t="e">
        <f aca="false">CEILING(D168/12;1)</f>
        <v>#VALUE!</v>
      </c>
      <c r="F168" s="118" t="e">
        <f aca="false">E168*$F$1</f>
        <v>#VALUE!</v>
      </c>
    </row>
    <row r="169" customFormat="false" ht="14.25" hidden="false" customHeight="true" outlineLevel="0" collapsed="false">
      <c r="A169" s="118" t="s">
        <v>1005</v>
      </c>
      <c r="B169" s="118" t="str">
        <f aca="false">CONCATENATE(C169&amp;D169)</f>
        <v>3"168</v>
      </c>
      <c r="C169" s="118" t="s">
        <v>51</v>
      </c>
      <c r="D169" s="152" t="n">
        <f aca="false">D168+1</f>
        <v>168</v>
      </c>
      <c r="E169" s="118" t="e">
        <f aca="false">CEILING(D169/12;1)</f>
        <v>#VALUE!</v>
      </c>
      <c r="F169" s="118" t="e">
        <f aca="false">E169*$F$1</f>
        <v>#VALUE!</v>
      </c>
    </row>
    <row r="170" customFormat="false" ht="14.25" hidden="false" customHeight="true" outlineLevel="0" collapsed="false">
      <c r="A170" s="118" t="s">
        <v>1005</v>
      </c>
      <c r="B170" s="118" t="str">
        <f aca="false">CONCATENATE(C170&amp;D170)</f>
        <v>3"169</v>
      </c>
      <c r="C170" s="118" t="s">
        <v>51</v>
      </c>
      <c r="D170" s="118" t="n">
        <f aca="false">D169+1</f>
        <v>169</v>
      </c>
      <c r="E170" s="118" t="e">
        <f aca="false">CEILING(D170/12;1)</f>
        <v>#VALUE!</v>
      </c>
      <c r="F170" s="118" t="e">
        <f aca="false">E170*$F$1</f>
        <v>#VALUE!</v>
      </c>
    </row>
    <row r="171" customFormat="false" ht="14.25" hidden="false" customHeight="true" outlineLevel="0" collapsed="false">
      <c r="A171" s="118" t="s">
        <v>1005</v>
      </c>
      <c r="B171" s="118" t="str">
        <f aca="false">CONCATENATE(C171&amp;D171)</f>
        <v>3"170</v>
      </c>
      <c r="C171" s="118" t="s">
        <v>51</v>
      </c>
      <c r="D171" s="118" t="n">
        <f aca="false">D170+1</f>
        <v>170</v>
      </c>
      <c r="E171" s="118" t="e">
        <f aca="false">CEILING(D171/12;1)</f>
        <v>#VALUE!</v>
      </c>
      <c r="F171" s="118" t="e">
        <f aca="false">E171*$F$1</f>
        <v>#VALUE!</v>
      </c>
    </row>
    <row r="172" customFormat="false" ht="14.25" hidden="false" customHeight="true" outlineLevel="0" collapsed="false">
      <c r="A172" s="118" t="s">
        <v>1005</v>
      </c>
      <c r="B172" s="118" t="str">
        <f aca="false">CONCATENATE(C172&amp;D172)</f>
        <v>3"171</v>
      </c>
      <c r="C172" s="118" t="s">
        <v>51</v>
      </c>
      <c r="D172" s="118" t="n">
        <f aca="false">D171+1</f>
        <v>171</v>
      </c>
      <c r="E172" s="118" t="e">
        <f aca="false">CEILING(D172/12;1)</f>
        <v>#VALUE!</v>
      </c>
      <c r="F172" s="118" t="e">
        <f aca="false">E172*$F$1</f>
        <v>#VALUE!</v>
      </c>
    </row>
    <row r="173" customFormat="false" ht="14.25" hidden="false" customHeight="true" outlineLevel="0" collapsed="false">
      <c r="A173" s="118" t="s">
        <v>1005</v>
      </c>
      <c r="B173" s="118" t="str">
        <f aca="false">CONCATENATE(C173&amp;D173)</f>
        <v>3"172</v>
      </c>
      <c r="C173" s="118" t="s">
        <v>51</v>
      </c>
      <c r="D173" s="118" t="n">
        <f aca="false">D172+1</f>
        <v>172</v>
      </c>
      <c r="E173" s="118" t="e">
        <f aca="false">CEILING(D173/12;1)</f>
        <v>#VALUE!</v>
      </c>
      <c r="F173" s="118" t="e">
        <f aca="false">E173*$F$1</f>
        <v>#VALUE!</v>
      </c>
    </row>
    <row r="174" customFormat="false" ht="14.25" hidden="false" customHeight="true" outlineLevel="0" collapsed="false">
      <c r="A174" s="118" t="s">
        <v>1005</v>
      </c>
      <c r="B174" s="118" t="str">
        <f aca="false">CONCATENATE(C174&amp;D174)</f>
        <v>3"173</v>
      </c>
      <c r="C174" s="118" t="s">
        <v>51</v>
      </c>
      <c r="D174" s="118" t="n">
        <f aca="false">D173+1</f>
        <v>173</v>
      </c>
      <c r="E174" s="118" t="e">
        <f aca="false">CEILING(D174/12;1)</f>
        <v>#VALUE!</v>
      </c>
      <c r="F174" s="118" t="e">
        <f aca="false">E174*$F$1</f>
        <v>#VALUE!</v>
      </c>
    </row>
    <row r="175" customFormat="false" ht="14.25" hidden="false" customHeight="true" outlineLevel="0" collapsed="false">
      <c r="A175" s="118" t="s">
        <v>1005</v>
      </c>
      <c r="B175" s="118" t="str">
        <f aca="false">CONCATENATE(C175&amp;D175)</f>
        <v>3"174</v>
      </c>
      <c r="C175" s="118" t="s">
        <v>51</v>
      </c>
      <c r="D175" s="118" t="n">
        <f aca="false">D174+1</f>
        <v>174</v>
      </c>
      <c r="E175" s="118" t="e">
        <f aca="false">CEILING(D175/12;1)</f>
        <v>#VALUE!</v>
      </c>
      <c r="F175" s="118" t="e">
        <f aca="false">E175*$F$1</f>
        <v>#VALUE!</v>
      </c>
    </row>
    <row r="176" customFormat="false" ht="14.25" hidden="false" customHeight="true" outlineLevel="0" collapsed="false">
      <c r="A176" s="118" t="s">
        <v>1005</v>
      </c>
      <c r="B176" s="118" t="str">
        <f aca="false">CONCATENATE(C176&amp;D176)</f>
        <v>3"175</v>
      </c>
      <c r="C176" s="118" t="s">
        <v>51</v>
      </c>
      <c r="D176" s="118" t="n">
        <f aca="false">D175+1</f>
        <v>175</v>
      </c>
      <c r="E176" s="118" t="e">
        <f aca="false">CEILING(D176/12;1)</f>
        <v>#VALUE!</v>
      </c>
      <c r="F176" s="118" t="e">
        <f aca="false">E176*$F$1</f>
        <v>#VALUE!</v>
      </c>
    </row>
    <row r="177" customFormat="false" ht="14.25" hidden="false" customHeight="true" outlineLevel="0" collapsed="false">
      <c r="A177" s="118" t="s">
        <v>1005</v>
      </c>
      <c r="B177" s="118" t="str">
        <f aca="false">CONCATENATE(C177&amp;D177)</f>
        <v>3"176</v>
      </c>
      <c r="C177" s="118" t="s">
        <v>51</v>
      </c>
      <c r="D177" s="118" t="n">
        <f aca="false">D176+1</f>
        <v>176</v>
      </c>
      <c r="E177" s="118" t="e">
        <f aca="false">CEILING(D177/12;1)</f>
        <v>#VALUE!</v>
      </c>
      <c r="F177" s="118" t="e">
        <f aca="false">E177*$F$1</f>
        <v>#VALUE!</v>
      </c>
    </row>
    <row r="178" customFormat="false" ht="14.25" hidden="false" customHeight="true" outlineLevel="0" collapsed="false">
      <c r="A178" s="118" t="s">
        <v>1005</v>
      </c>
      <c r="B178" s="118" t="str">
        <f aca="false">CONCATENATE(C178&amp;D178)</f>
        <v>3"177</v>
      </c>
      <c r="C178" s="118" t="s">
        <v>51</v>
      </c>
      <c r="D178" s="118" t="n">
        <f aca="false">D177+1</f>
        <v>177</v>
      </c>
      <c r="E178" s="118" t="e">
        <f aca="false">CEILING(D178/12;1)</f>
        <v>#VALUE!</v>
      </c>
      <c r="F178" s="118" t="e">
        <f aca="false">E178*$F$1</f>
        <v>#VALUE!</v>
      </c>
    </row>
    <row r="179" customFormat="false" ht="14.25" hidden="false" customHeight="true" outlineLevel="0" collapsed="false">
      <c r="A179" s="118" t="s">
        <v>1005</v>
      </c>
      <c r="B179" s="118" t="str">
        <f aca="false">CONCATENATE(C179&amp;D179)</f>
        <v>3"178</v>
      </c>
      <c r="C179" s="118" t="s">
        <v>51</v>
      </c>
      <c r="D179" s="118" t="n">
        <f aca="false">D178+1</f>
        <v>178</v>
      </c>
      <c r="E179" s="118" t="e">
        <f aca="false">CEILING(D179/12;1)</f>
        <v>#VALUE!</v>
      </c>
      <c r="F179" s="118" t="e">
        <f aca="false">E179*$F$1</f>
        <v>#VALUE!</v>
      </c>
    </row>
    <row r="180" customFormat="false" ht="14.25" hidden="false" customHeight="true" outlineLevel="0" collapsed="false">
      <c r="A180" s="118" t="s">
        <v>1005</v>
      </c>
      <c r="B180" s="118" t="str">
        <f aca="false">CONCATENATE(C180&amp;D180)</f>
        <v>3"179</v>
      </c>
      <c r="C180" s="118" t="s">
        <v>51</v>
      </c>
      <c r="D180" s="118" t="n">
        <f aca="false">D179+1</f>
        <v>179</v>
      </c>
      <c r="E180" s="118" t="e">
        <f aca="false">CEILING(D180/12;1)</f>
        <v>#VALUE!</v>
      </c>
      <c r="F180" s="118" t="e">
        <f aca="false">E180*$F$1</f>
        <v>#VALUE!</v>
      </c>
    </row>
    <row r="181" customFormat="false" ht="14.25" hidden="false" customHeight="true" outlineLevel="0" collapsed="false">
      <c r="A181" s="118" t="s">
        <v>1005</v>
      </c>
      <c r="B181" s="118" t="str">
        <f aca="false">CONCATENATE(C181&amp;D181)</f>
        <v>3"180</v>
      </c>
      <c r="C181" s="118" t="s">
        <v>51</v>
      </c>
      <c r="D181" s="152" t="n">
        <f aca="false">D180+1</f>
        <v>180</v>
      </c>
      <c r="E181" s="118" t="e">
        <f aca="false">CEILING(D181/12;1)</f>
        <v>#VALUE!</v>
      </c>
      <c r="F181" s="118" t="e">
        <f aca="false">E181*$F$1</f>
        <v>#VALUE!</v>
      </c>
    </row>
    <row r="182" customFormat="false" ht="14.25" hidden="false" customHeight="true" outlineLevel="0" collapsed="false">
      <c r="A182" s="118" t="s">
        <v>1005</v>
      </c>
      <c r="B182" s="118" t="str">
        <f aca="false">CONCATENATE(C182&amp;D182)</f>
        <v>3"181</v>
      </c>
      <c r="C182" s="118" t="s">
        <v>51</v>
      </c>
      <c r="D182" s="118" t="n">
        <f aca="false">D181+1</f>
        <v>181</v>
      </c>
      <c r="E182" s="118" t="e">
        <f aca="false">CEILING(D182/12;1)</f>
        <v>#VALUE!</v>
      </c>
      <c r="F182" s="118" t="e">
        <f aca="false">E182*$F$1</f>
        <v>#VALUE!</v>
      </c>
    </row>
    <row r="183" customFormat="false" ht="14.25" hidden="false" customHeight="true" outlineLevel="0" collapsed="false">
      <c r="A183" s="118" t="s">
        <v>1005</v>
      </c>
      <c r="B183" s="118" t="str">
        <f aca="false">CONCATENATE(C183&amp;D183)</f>
        <v>3"182</v>
      </c>
      <c r="C183" s="118" t="s">
        <v>51</v>
      </c>
      <c r="D183" s="118" t="n">
        <f aca="false">D182+1</f>
        <v>182</v>
      </c>
      <c r="E183" s="118" t="e">
        <f aca="false">CEILING(D183/12;1)</f>
        <v>#VALUE!</v>
      </c>
      <c r="F183" s="118" t="e">
        <f aca="false">E183*$F$1</f>
        <v>#VALUE!</v>
      </c>
    </row>
    <row r="184" customFormat="false" ht="14.25" hidden="false" customHeight="true" outlineLevel="0" collapsed="false">
      <c r="A184" s="118" t="s">
        <v>1005</v>
      </c>
      <c r="B184" s="118" t="str">
        <f aca="false">CONCATENATE(C184&amp;D184)</f>
        <v>3"183</v>
      </c>
      <c r="C184" s="118" t="s">
        <v>51</v>
      </c>
      <c r="D184" s="118" t="n">
        <f aca="false">D183+1</f>
        <v>183</v>
      </c>
      <c r="E184" s="118" t="e">
        <f aca="false">CEILING(D184/12;1)</f>
        <v>#VALUE!</v>
      </c>
      <c r="F184" s="118" t="e">
        <f aca="false">E184*$F$1</f>
        <v>#VALUE!</v>
      </c>
    </row>
    <row r="185" customFormat="false" ht="14.25" hidden="false" customHeight="true" outlineLevel="0" collapsed="false">
      <c r="A185" s="118" t="s">
        <v>1005</v>
      </c>
      <c r="B185" s="118" t="str">
        <f aca="false">CONCATENATE(C185&amp;D185)</f>
        <v>3"184</v>
      </c>
      <c r="C185" s="118" t="s">
        <v>51</v>
      </c>
      <c r="D185" s="118" t="n">
        <f aca="false">D184+1</f>
        <v>184</v>
      </c>
      <c r="E185" s="118" t="e">
        <f aca="false">CEILING(D185/12;1)</f>
        <v>#VALUE!</v>
      </c>
      <c r="F185" s="118" t="e">
        <f aca="false">E185*$F$1</f>
        <v>#VALUE!</v>
      </c>
    </row>
    <row r="186" customFormat="false" ht="14.25" hidden="false" customHeight="true" outlineLevel="0" collapsed="false">
      <c r="A186" s="118" t="s">
        <v>1005</v>
      </c>
      <c r="B186" s="118" t="str">
        <f aca="false">CONCATENATE(C186&amp;D186)</f>
        <v>3"185</v>
      </c>
      <c r="C186" s="118" t="s">
        <v>51</v>
      </c>
      <c r="D186" s="118" t="n">
        <f aca="false">D185+1</f>
        <v>185</v>
      </c>
      <c r="E186" s="118" t="e">
        <f aca="false">CEILING(D186/12;1)</f>
        <v>#VALUE!</v>
      </c>
      <c r="F186" s="118" t="e">
        <f aca="false">E186*$F$1</f>
        <v>#VALUE!</v>
      </c>
    </row>
    <row r="187" customFormat="false" ht="14.25" hidden="false" customHeight="true" outlineLevel="0" collapsed="false">
      <c r="A187" s="118" t="s">
        <v>1005</v>
      </c>
      <c r="B187" s="118" t="str">
        <f aca="false">CONCATENATE(C187&amp;D187)</f>
        <v>3"186</v>
      </c>
      <c r="C187" s="118" t="s">
        <v>51</v>
      </c>
      <c r="D187" s="118" t="n">
        <f aca="false">D186+1</f>
        <v>186</v>
      </c>
      <c r="E187" s="118" t="e">
        <f aca="false">CEILING(D187/12;1)</f>
        <v>#VALUE!</v>
      </c>
      <c r="F187" s="118" t="e">
        <f aca="false">E187*$F$1</f>
        <v>#VALUE!</v>
      </c>
    </row>
    <row r="188" customFormat="false" ht="14.25" hidden="false" customHeight="true" outlineLevel="0" collapsed="false">
      <c r="A188" s="118" t="s">
        <v>1005</v>
      </c>
      <c r="B188" s="118" t="str">
        <f aca="false">CONCATENATE(C188&amp;D188)</f>
        <v>3"187</v>
      </c>
      <c r="C188" s="118" t="s">
        <v>51</v>
      </c>
      <c r="D188" s="118" t="n">
        <f aca="false">D187+1</f>
        <v>187</v>
      </c>
      <c r="E188" s="118" t="e">
        <f aca="false">CEILING(D188/12;1)</f>
        <v>#VALUE!</v>
      </c>
      <c r="F188" s="118" t="e">
        <f aca="false">E188*$F$1</f>
        <v>#VALUE!</v>
      </c>
    </row>
    <row r="189" customFormat="false" ht="14.25" hidden="false" customHeight="true" outlineLevel="0" collapsed="false">
      <c r="A189" s="118" t="s">
        <v>1005</v>
      </c>
      <c r="B189" s="118" t="str">
        <f aca="false">CONCATENATE(C189&amp;D189)</f>
        <v>3"188</v>
      </c>
      <c r="C189" s="118" t="s">
        <v>51</v>
      </c>
      <c r="D189" s="118" t="n">
        <f aca="false">D188+1</f>
        <v>188</v>
      </c>
      <c r="E189" s="118" t="e">
        <f aca="false">CEILING(D189/12;1)</f>
        <v>#VALUE!</v>
      </c>
      <c r="F189" s="118" t="e">
        <f aca="false">E189*$F$1</f>
        <v>#VALUE!</v>
      </c>
    </row>
    <row r="190" customFormat="false" ht="14.25" hidden="false" customHeight="true" outlineLevel="0" collapsed="false">
      <c r="A190" s="118" t="s">
        <v>1005</v>
      </c>
      <c r="B190" s="118" t="str">
        <f aca="false">CONCATENATE(C190&amp;D190)</f>
        <v>3"189</v>
      </c>
      <c r="C190" s="118" t="s">
        <v>51</v>
      </c>
      <c r="D190" s="118" t="n">
        <f aca="false">D189+1</f>
        <v>189</v>
      </c>
      <c r="E190" s="118" t="e">
        <f aca="false">CEILING(D190/12;1)</f>
        <v>#VALUE!</v>
      </c>
      <c r="F190" s="118" t="e">
        <f aca="false">E190*$F$1</f>
        <v>#VALUE!</v>
      </c>
    </row>
    <row r="191" customFormat="false" ht="14.25" hidden="false" customHeight="true" outlineLevel="0" collapsed="false">
      <c r="A191" s="118" t="s">
        <v>1005</v>
      </c>
      <c r="B191" s="118" t="str">
        <f aca="false">CONCATENATE(C191&amp;D191)</f>
        <v>3"190</v>
      </c>
      <c r="C191" s="118" t="s">
        <v>51</v>
      </c>
      <c r="D191" s="118" t="n">
        <f aca="false">D190+1</f>
        <v>190</v>
      </c>
      <c r="E191" s="118" t="e">
        <f aca="false">CEILING(D191/12;1)</f>
        <v>#VALUE!</v>
      </c>
      <c r="F191" s="118" t="e">
        <f aca="false">E191*$F$1</f>
        <v>#VALUE!</v>
      </c>
    </row>
    <row r="192" customFormat="false" ht="14.25" hidden="false" customHeight="true" outlineLevel="0" collapsed="false">
      <c r="A192" s="118" t="s">
        <v>1005</v>
      </c>
      <c r="B192" s="118" t="str">
        <f aca="false">CONCATENATE(C192&amp;D192)</f>
        <v>3"191</v>
      </c>
      <c r="C192" s="118" t="s">
        <v>51</v>
      </c>
      <c r="D192" s="118" t="n">
        <f aca="false">D191+1</f>
        <v>191</v>
      </c>
      <c r="E192" s="118" t="e">
        <f aca="false">CEILING(D192/12;1)</f>
        <v>#VALUE!</v>
      </c>
      <c r="F192" s="118" t="e">
        <f aca="false">E192*$F$1</f>
        <v>#VALUE!</v>
      </c>
    </row>
    <row r="193" customFormat="false" ht="14.25" hidden="false" customHeight="true" outlineLevel="0" collapsed="false">
      <c r="A193" s="118" t="s">
        <v>1005</v>
      </c>
      <c r="B193" s="118" t="str">
        <f aca="false">CONCATENATE(C193&amp;D193)</f>
        <v>3"192</v>
      </c>
      <c r="C193" s="118" t="s">
        <v>51</v>
      </c>
      <c r="D193" s="152" t="n">
        <f aca="false">D192+1</f>
        <v>192</v>
      </c>
      <c r="E193" s="118" t="e">
        <f aca="false">CEILING(D193/12;1)</f>
        <v>#VALUE!</v>
      </c>
      <c r="F193" s="118" t="e">
        <f aca="false">E193*$F$1</f>
        <v>#VALUE!</v>
      </c>
    </row>
    <row r="194" customFormat="false" ht="14.25" hidden="false" customHeight="true" outlineLevel="0" collapsed="false">
      <c r="A194" s="118" t="s">
        <v>1005</v>
      </c>
      <c r="B194" s="118" t="str">
        <f aca="false">CONCATENATE(C194&amp;D194)</f>
        <v>3"193</v>
      </c>
      <c r="C194" s="118" t="s">
        <v>51</v>
      </c>
      <c r="D194" s="118" t="n">
        <f aca="false">D193+1</f>
        <v>193</v>
      </c>
      <c r="E194" s="118" t="e">
        <f aca="false">CEILING(D194/12;1)</f>
        <v>#VALUE!</v>
      </c>
      <c r="F194" s="118" t="e">
        <f aca="false">E194*$F$1</f>
        <v>#VALUE!</v>
      </c>
    </row>
    <row r="195" customFormat="false" ht="14.25" hidden="false" customHeight="true" outlineLevel="0" collapsed="false">
      <c r="A195" s="118" t="s">
        <v>1005</v>
      </c>
      <c r="B195" s="118" t="str">
        <f aca="false">CONCATENATE(C195&amp;D195)</f>
        <v>3"194</v>
      </c>
      <c r="C195" s="118" t="s">
        <v>51</v>
      </c>
      <c r="D195" s="118" t="n">
        <f aca="false">D194+1</f>
        <v>194</v>
      </c>
      <c r="E195" s="118" t="e">
        <f aca="false">CEILING(D195/12;1)</f>
        <v>#VALUE!</v>
      </c>
      <c r="F195" s="118" t="e">
        <f aca="false">E195*$F$1</f>
        <v>#VALUE!</v>
      </c>
    </row>
    <row r="196" customFormat="false" ht="14.25" hidden="false" customHeight="true" outlineLevel="0" collapsed="false">
      <c r="A196" s="118" t="s">
        <v>1005</v>
      </c>
      <c r="B196" s="118" t="str">
        <f aca="false">CONCATENATE(C196&amp;D196)</f>
        <v>3"195</v>
      </c>
      <c r="C196" s="118" t="s">
        <v>51</v>
      </c>
      <c r="D196" s="118" t="n">
        <f aca="false">D195+1</f>
        <v>195</v>
      </c>
      <c r="E196" s="118" t="e">
        <f aca="false">CEILING(D196/12;1)</f>
        <v>#VALUE!</v>
      </c>
      <c r="F196" s="118" t="e">
        <f aca="false">E196*$F$1</f>
        <v>#VALUE!</v>
      </c>
    </row>
    <row r="197" customFormat="false" ht="14.25" hidden="false" customHeight="true" outlineLevel="0" collapsed="false">
      <c r="A197" s="118" t="s">
        <v>1005</v>
      </c>
      <c r="B197" s="118" t="str">
        <f aca="false">CONCATENATE(C197&amp;D197)</f>
        <v>3"196</v>
      </c>
      <c r="C197" s="118" t="s">
        <v>51</v>
      </c>
      <c r="D197" s="118" t="n">
        <f aca="false">D196+1</f>
        <v>196</v>
      </c>
      <c r="E197" s="118" t="e">
        <f aca="false">CEILING(D197/12;1)</f>
        <v>#VALUE!</v>
      </c>
      <c r="F197" s="118" t="e">
        <f aca="false">E197*$F$1</f>
        <v>#VALUE!</v>
      </c>
    </row>
    <row r="198" customFormat="false" ht="14.25" hidden="false" customHeight="true" outlineLevel="0" collapsed="false">
      <c r="A198" s="118" t="s">
        <v>1005</v>
      </c>
      <c r="B198" s="118" t="str">
        <f aca="false">CONCATENATE(C198&amp;D198)</f>
        <v>3"197</v>
      </c>
      <c r="C198" s="118" t="s">
        <v>51</v>
      </c>
      <c r="D198" s="118" t="n">
        <f aca="false">D197+1</f>
        <v>197</v>
      </c>
      <c r="E198" s="118" t="e">
        <f aca="false">CEILING(D198/12;1)</f>
        <v>#VALUE!</v>
      </c>
      <c r="F198" s="118" t="e">
        <f aca="false">E198*$F$1</f>
        <v>#VALUE!</v>
      </c>
    </row>
    <row r="199" customFormat="false" ht="14.25" hidden="false" customHeight="true" outlineLevel="0" collapsed="false">
      <c r="A199" s="118" t="s">
        <v>1005</v>
      </c>
      <c r="B199" s="118" t="str">
        <f aca="false">CONCATENATE(C199&amp;D199)</f>
        <v>3"198</v>
      </c>
      <c r="C199" s="118" t="s">
        <v>51</v>
      </c>
      <c r="D199" s="118" t="n">
        <f aca="false">D198+1</f>
        <v>198</v>
      </c>
      <c r="E199" s="118" t="e">
        <f aca="false">CEILING(D199/12;1)</f>
        <v>#VALUE!</v>
      </c>
      <c r="F199" s="118" t="e">
        <f aca="false">E199*$F$1</f>
        <v>#VALUE!</v>
      </c>
    </row>
    <row r="200" customFormat="false" ht="14.25" hidden="false" customHeight="true" outlineLevel="0" collapsed="false">
      <c r="A200" s="118" t="s">
        <v>1005</v>
      </c>
      <c r="B200" s="118" t="str">
        <f aca="false">CONCATENATE(C200&amp;D200)</f>
        <v>3"199</v>
      </c>
      <c r="C200" s="118" t="s">
        <v>51</v>
      </c>
      <c r="D200" s="118" t="n">
        <f aca="false">D199+1</f>
        <v>199</v>
      </c>
      <c r="E200" s="118" t="e">
        <f aca="false">CEILING(D200/12;1)</f>
        <v>#VALUE!</v>
      </c>
      <c r="F200" s="118" t="e">
        <f aca="false">E200*$F$1</f>
        <v>#VALUE!</v>
      </c>
    </row>
    <row r="201" customFormat="false" ht="14.25" hidden="false" customHeight="true" outlineLevel="0" collapsed="false">
      <c r="A201" s="118" t="s">
        <v>1005</v>
      </c>
      <c r="B201" s="118" t="str">
        <f aca="false">CONCATENATE(C201&amp;D201)</f>
        <v>3"200</v>
      </c>
      <c r="C201" s="118" t="s">
        <v>51</v>
      </c>
      <c r="D201" s="118" t="n">
        <f aca="false">D200+1</f>
        <v>200</v>
      </c>
      <c r="E201" s="118" t="e">
        <f aca="false">CEILING(D201/12;1)</f>
        <v>#VALUE!</v>
      </c>
      <c r="F201" s="118" t="e">
        <f aca="false">E201*$F$1</f>
        <v>#VALUE!</v>
      </c>
    </row>
    <row r="202" customFormat="false" ht="14.25" hidden="false" customHeight="true" outlineLevel="0" collapsed="false">
      <c r="A202" s="118" t="s">
        <v>1005</v>
      </c>
      <c r="B202" s="118" t="str">
        <f aca="false">CONCATENATE(C202&amp;D202)</f>
        <v>3"201</v>
      </c>
      <c r="C202" s="118" t="s">
        <v>51</v>
      </c>
      <c r="D202" s="118" t="n">
        <f aca="false">D201+1</f>
        <v>201</v>
      </c>
      <c r="E202" s="118" t="e">
        <f aca="false">CEILING(D202/12;1)</f>
        <v>#VALUE!</v>
      </c>
      <c r="F202" s="118" t="e">
        <f aca="false">E202*$F$1</f>
        <v>#VALUE!</v>
      </c>
    </row>
    <row r="203" customFormat="false" ht="14.25" hidden="false" customHeight="true" outlineLevel="0" collapsed="false">
      <c r="A203" s="118" t="s">
        <v>1005</v>
      </c>
      <c r="B203" s="118" t="str">
        <f aca="false">CONCATENATE(C203&amp;D203)</f>
        <v>3"202</v>
      </c>
      <c r="C203" s="118" t="s">
        <v>51</v>
      </c>
      <c r="D203" s="118" t="n">
        <f aca="false">D202+1</f>
        <v>202</v>
      </c>
      <c r="E203" s="118" t="e">
        <f aca="false">CEILING(D203/12;1)</f>
        <v>#VALUE!</v>
      </c>
      <c r="F203" s="118" t="e">
        <f aca="false">E203*$F$1</f>
        <v>#VALUE!</v>
      </c>
    </row>
    <row r="204" customFormat="false" ht="14.25" hidden="false" customHeight="true" outlineLevel="0" collapsed="false">
      <c r="A204" s="118" t="s">
        <v>1005</v>
      </c>
      <c r="B204" s="118" t="str">
        <f aca="false">CONCATENATE(C204&amp;D204)</f>
        <v>3"203</v>
      </c>
      <c r="C204" s="118" t="s">
        <v>51</v>
      </c>
      <c r="D204" s="118" t="n">
        <f aca="false">D203+1</f>
        <v>203</v>
      </c>
      <c r="E204" s="118" t="e">
        <f aca="false">CEILING(D204/12;1)</f>
        <v>#VALUE!</v>
      </c>
      <c r="F204" s="118" t="e">
        <f aca="false">E204*$F$1</f>
        <v>#VALUE!</v>
      </c>
    </row>
    <row r="205" customFormat="false" ht="14.25" hidden="false" customHeight="true" outlineLevel="0" collapsed="false">
      <c r="A205" s="118" t="s">
        <v>1005</v>
      </c>
      <c r="B205" s="118" t="str">
        <f aca="false">CONCATENATE(C205&amp;D205)</f>
        <v>3"204</v>
      </c>
      <c r="C205" s="118" t="s">
        <v>51</v>
      </c>
      <c r="D205" s="152" t="n">
        <f aca="false">D204+1</f>
        <v>204</v>
      </c>
      <c r="E205" s="118" t="e">
        <f aca="false">CEILING(D205/12;1)</f>
        <v>#VALUE!</v>
      </c>
      <c r="F205" s="118" t="e">
        <f aca="false">E205*$F$1</f>
        <v>#VALUE!</v>
      </c>
    </row>
    <row r="206" customFormat="false" ht="14.25" hidden="false" customHeight="true" outlineLevel="0" collapsed="false">
      <c r="A206" s="118" t="s">
        <v>1005</v>
      </c>
      <c r="B206" s="118" t="str">
        <f aca="false">CONCATENATE(C206&amp;D206)</f>
        <v>3"205</v>
      </c>
      <c r="C206" s="118" t="s">
        <v>51</v>
      </c>
      <c r="D206" s="118" t="n">
        <f aca="false">D205+1</f>
        <v>205</v>
      </c>
      <c r="E206" s="118" t="e">
        <f aca="false">CEILING(D206/12;1)</f>
        <v>#VALUE!</v>
      </c>
      <c r="F206" s="118" t="e">
        <f aca="false">E206*$F$1</f>
        <v>#VALUE!</v>
      </c>
    </row>
    <row r="207" customFormat="false" ht="14.25" hidden="false" customHeight="true" outlineLevel="0" collapsed="false">
      <c r="A207" s="118" t="s">
        <v>1005</v>
      </c>
      <c r="B207" s="118" t="str">
        <f aca="false">CONCATENATE(C207&amp;D207)</f>
        <v>3"206</v>
      </c>
      <c r="C207" s="118" t="s">
        <v>51</v>
      </c>
      <c r="D207" s="118" t="n">
        <f aca="false">D206+1</f>
        <v>206</v>
      </c>
      <c r="E207" s="118" t="e">
        <f aca="false">CEILING(D207/12;1)</f>
        <v>#VALUE!</v>
      </c>
      <c r="F207" s="118" t="e">
        <f aca="false">E207*$F$1</f>
        <v>#VALUE!</v>
      </c>
    </row>
    <row r="208" customFormat="false" ht="14.25" hidden="false" customHeight="true" outlineLevel="0" collapsed="false">
      <c r="A208" s="118" t="s">
        <v>1005</v>
      </c>
      <c r="B208" s="118" t="str">
        <f aca="false">CONCATENATE(C208&amp;D208)</f>
        <v>3"207</v>
      </c>
      <c r="C208" s="118" t="s">
        <v>51</v>
      </c>
      <c r="D208" s="118" t="n">
        <f aca="false">D207+1</f>
        <v>207</v>
      </c>
      <c r="E208" s="118" t="e">
        <f aca="false">CEILING(D208/12;1)</f>
        <v>#VALUE!</v>
      </c>
      <c r="F208" s="118" t="e">
        <f aca="false">E208*$F$1</f>
        <v>#VALUE!</v>
      </c>
    </row>
    <row r="209" customFormat="false" ht="14.25" hidden="false" customHeight="true" outlineLevel="0" collapsed="false">
      <c r="A209" s="118" t="s">
        <v>1005</v>
      </c>
      <c r="B209" s="118" t="str">
        <f aca="false">CONCATENATE(C209&amp;D209)</f>
        <v>3"208</v>
      </c>
      <c r="C209" s="118" t="s">
        <v>51</v>
      </c>
      <c r="D209" s="118" t="n">
        <f aca="false">D208+1</f>
        <v>208</v>
      </c>
      <c r="E209" s="118" t="e">
        <f aca="false">CEILING(D209/12;1)</f>
        <v>#VALUE!</v>
      </c>
      <c r="F209" s="118" t="e">
        <f aca="false">E209*$F$1</f>
        <v>#VALUE!</v>
      </c>
    </row>
    <row r="210" customFormat="false" ht="14.25" hidden="false" customHeight="true" outlineLevel="0" collapsed="false">
      <c r="A210" s="118" t="s">
        <v>1005</v>
      </c>
      <c r="B210" s="118" t="str">
        <f aca="false">CONCATENATE(C210&amp;D210)</f>
        <v>3"209</v>
      </c>
      <c r="C210" s="118" t="s">
        <v>51</v>
      </c>
      <c r="D210" s="118" t="n">
        <f aca="false">D209+1</f>
        <v>209</v>
      </c>
      <c r="E210" s="118" t="e">
        <f aca="false">CEILING(D210/12;1)</f>
        <v>#VALUE!</v>
      </c>
      <c r="F210" s="118" t="e">
        <f aca="false">E210*$F$1</f>
        <v>#VALUE!</v>
      </c>
    </row>
    <row r="211" customFormat="false" ht="14.25" hidden="false" customHeight="true" outlineLevel="0" collapsed="false">
      <c r="A211" s="118" t="s">
        <v>1005</v>
      </c>
      <c r="B211" s="118" t="str">
        <f aca="false">CONCATENATE(C211&amp;D211)</f>
        <v>3"210</v>
      </c>
      <c r="C211" s="118" t="s">
        <v>51</v>
      </c>
      <c r="D211" s="118" t="n">
        <f aca="false">D210+1</f>
        <v>210</v>
      </c>
      <c r="E211" s="118" t="e">
        <f aca="false">CEILING(D211/12;1)</f>
        <v>#VALUE!</v>
      </c>
      <c r="F211" s="118" t="e">
        <f aca="false">E211*$F$1</f>
        <v>#VALUE!</v>
      </c>
    </row>
    <row r="212" customFormat="false" ht="14.25" hidden="false" customHeight="true" outlineLevel="0" collapsed="false">
      <c r="A212" s="118" t="s">
        <v>1005</v>
      </c>
      <c r="B212" s="118" t="str">
        <f aca="false">CONCATENATE(C212&amp;D212)</f>
        <v>3"211</v>
      </c>
      <c r="C212" s="118" t="s">
        <v>51</v>
      </c>
      <c r="D212" s="118" t="n">
        <f aca="false">D211+1</f>
        <v>211</v>
      </c>
      <c r="E212" s="118" t="e">
        <f aca="false">CEILING(D212/12;1)</f>
        <v>#VALUE!</v>
      </c>
      <c r="F212" s="118" t="e">
        <f aca="false">E212*$F$1</f>
        <v>#VALUE!</v>
      </c>
    </row>
    <row r="213" customFormat="false" ht="14.25" hidden="false" customHeight="true" outlineLevel="0" collapsed="false">
      <c r="A213" s="118" t="s">
        <v>1005</v>
      </c>
      <c r="B213" s="118" t="str">
        <f aca="false">CONCATENATE(C213&amp;D213)</f>
        <v>3"212</v>
      </c>
      <c r="C213" s="118" t="s">
        <v>51</v>
      </c>
      <c r="D213" s="118" t="n">
        <f aca="false">D212+1</f>
        <v>212</v>
      </c>
      <c r="E213" s="118" t="e">
        <f aca="false">CEILING(D213/12;1)</f>
        <v>#VALUE!</v>
      </c>
      <c r="F213" s="118" t="e">
        <f aca="false">E213*$F$1</f>
        <v>#VALUE!</v>
      </c>
    </row>
    <row r="214" customFormat="false" ht="14.25" hidden="false" customHeight="true" outlineLevel="0" collapsed="false">
      <c r="A214" s="118" t="s">
        <v>1005</v>
      </c>
      <c r="B214" s="118" t="str">
        <f aca="false">CONCATENATE(C214&amp;D214)</f>
        <v>3"213</v>
      </c>
      <c r="C214" s="118" t="s">
        <v>51</v>
      </c>
      <c r="D214" s="118" t="n">
        <f aca="false">D213+1</f>
        <v>213</v>
      </c>
      <c r="E214" s="118" t="e">
        <f aca="false">CEILING(D214/12;1)</f>
        <v>#VALUE!</v>
      </c>
      <c r="F214" s="118" t="e">
        <f aca="false">E214*$F$1</f>
        <v>#VALUE!</v>
      </c>
    </row>
    <row r="215" customFormat="false" ht="14.25" hidden="false" customHeight="true" outlineLevel="0" collapsed="false">
      <c r="A215" s="118" t="s">
        <v>1005</v>
      </c>
      <c r="B215" s="118" t="str">
        <f aca="false">CONCATENATE(C215&amp;D215)</f>
        <v>3"214</v>
      </c>
      <c r="C215" s="118" t="s">
        <v>51</v>
      </c>
      <c r="D215" s="118" t="n">
        <f aca="false">D214+1</f>
        <v>214</v>
      </c>
      <c r="E215" s="118" t="e">
        <f aca="false">CEILING(D215/12;1)</f>
        <v>#VALUE!</v>
      </c>
      <c r="F215" s="118" t="e">
        <f aca="false">E215*$F$1</f>
        <v>#VALUE!</v>
      </c>
    </row>
    <row r="216" customFormat="false" ht="14.25" hidden="false" customHeight="true" outlineLevel="0" collapsed="false">
      <c r="A216" s="118" t="s">
        <v>1005</v>
      </c>
      <c r="B216" s="118" t="str">
        <f aca="false">CONCATENATE(C216&amp;D216)</f>
        <v>3"215</v>
      </c>
      <c r="C216" s="118" t="s">
        <v>51</v>
      </c>
      <c r="D216" s="118" t="n">
        <f aca="false">D215+1</f>
        <v>215</v>
      </c>
      <c r="E216" s="118" t="e">
        <f aca="false">CEILING(D216/12;1)</f>
        <v>#VALUE!</v>
      </c>
      <c r="F216" s="118" t="e">
        <f aca="false">E216*$F$1</f>
        <v>#VALUE!</v>
      </c>
    </row>
    <row r="217" customFormat="false" ht="14.25" hidden="false" customHeight="true" outlineLevel="0" collapsed="false">
      <c r="A217" s="118" t="s">
        <v>1005</v>
      </c>
      <c r="B217" s="118" t="str">
        <f aca="false">CONCATENATE(C217&amp;D217)</f>
        <v>3"216</v>
      </c>
      <c r="C217" s="118" t="s">
        <v>51</v>
      </c>
      <c r="D217" s="152" t="n">
        <f aca="false">D216+1</f>
        <v>216</v>
      </c>
      <c r="E217" s="118" t="e">
        <f aca="false">CEILING(D217/12;1)</f>
        <v>#VALUE!</v>
      </c>
      <c r="F217" s="118" t="e">
        <f aca="false">E217*$F$1</f>
        <v>#VALUE!</v>
      </c>
    </row>
    <row r="218" customFormat="false" ht="14.25" hidden="false" customHeight="true" outlineLevel="0" collapsed="false">
      <c r="A218" s="118" t="s">
        <v>1005</v>
      </c>
      <c r="B218" s="118" t="str">
        <f aca="false">CONCATENATE(C218&amp;D218)</f>
        <v>3"217</v>
      </c>
      <c r="C218" s="118" t="s">
        <v>51</v>
      </c>
      <c r="D218" s="152" t="n">
        <f aca="false">D217+1</f>
        <v>217</v>
      </c>
      <c r="E218" s="118" t="e">
        <f aca="false">CEILING(D218/12;1)</f>
        <v>#VALUE!</v>
      </c>
      <c r="F218" s="118" t="e">
        <f aca="false">E218*$F$1</f>
        <v>#VALUE!</v>
      </c>
    </row>
    <row r="219" customFormat="false" ht="14.25" hidden="false" customHeight="true" outlineLevel="0" collapsed="false">
      <c r="A219" s="118" t="s">
        <v>1005</v>
      </c>
      <c r="B219" s="118" t="str">
        <f aca="false">CONCATENATE(C219&amp;D219)</f>
        <v>3"218</v>
      </c>
      <c r="C219" s="118" t="s">
        <v>51</v>
      </c>
      <c r="D219" s="152" t="n">
        <f aca="false">D218+1</f>
        <v>218</v>
      </c>
      <c r="E219" s="118" t="e">
        <f aca="false">CEILING(D219/12;1)</f>
        <v>#VALUE!</v>
      </c>
      <c r="F219" s="118" t="e">
        <f aca="false">E219*$F$1</f>
        <v>#VALUE!</v>
      </c>
    </row>
    <row r="220" customFormat="false" ht="14.25" hidden="false" customHeight="true" outlineLevel="0" collapsed="false">
      <c r="A220" s="118" t="s">
        <v>1005</v>
      </c>
      <c r="B220" s="118" t="str">
        <f aca="false">CONCATENATE(C220&amp;D220)</f>
        <v>3"219</v>
      </c>
      <c r="C220" s="118" t="s">
        <v>51</v>
      </c>
      <c r="D220" s="152" t="n">
        <f aca="false">D219+1</f>
        <v>219</v>
      </c>
      <c r="E220" s="118" t="e">
        <f aca="false">CEILING(D220/12;1)</f>
        <v>#VALUE!</v>
      </c>
      <c r="F220" s="118" t="e">
        <f aca="false">E220*$F$1</f>
        <v>#VALUE!</v>
      </c>
    </row>
    <row r="221" customFormat="false" ht="14.25" hidden="false" customHeight="true" outlineLevel="0" collapsed="false">
      <c r="A221" s="118" t="s">
        <v>1005</v>
      </c>
      <c r="B221" s="118" t="str">
        <f aca="false">CONCATENATE(C221&amp;D221)</f>
        <v>3"220</v>
      </c>
      <c r="C221" s="118" t="s">
        <v>51</v>
      </c>
      <c r="D221" s="152" t="n">
        <f aca="false">D220+1</f>
        <v>220</v>
      </c>
      <c r="E221" s="118" t="e">
        <f aca="false">CEILING(D221/12;1)</f>
        <v>#VALUE!</v>
      </c>
      <c r="F221" s="118" t="e">
        <f aca="false">E221*$F$1</f>
        <v>#VALUE!</v>
      </c>
    </row>
    <row r="222" customFormat="false" ht="14.25" hidden="false" customHeight="true" outlineLevel="0" collapsed="false">
      <c r="A222" s="118" t="s">
        <v>1005</v>
      </c>
      <c r="B222" s="118" t="str">
        <f aca="false">CONCATENATE(C222&amp;D222)</f>
        <v>3"221</v>
      </c>
      <c r="C222" s="118" t="s">
        <v>51</v>
      </c>
      <c r="D222" s="152" t="n">
        <f aca="false">D221+1</f>
        <v>221</v>
      </c>
      <c r="E222" s="118" t="e">
        <f aca="false">CEILING(D222/12;1)</f>
        <v>#VALUE!</v>
      </c>
      <c r="F222" s="118" t="e">
        <f aca="false">E222*$F$1</f>
        <v>#VALUE!</v>
      </c>
    </row>
    <row r="223" customFormat="false" ht="14.25" hidden="false" customHeight="true" outlineLevel="0" collapsed="false">
      <c r="A223" s="118" t="s">
        <v>1005</v>
      </c>
      <c r="B223" s="118" t="str">
        <f aca="false">CONCATENATE(C223&amp;D223)</f>
        <v>3"222</v>
      </c>
      <c r="C223" s="118" t="s">
        <v>51</v>
      </c>
      <c r="D223" s="152" t="n">
        <f aca="false">D222+1</f>
        <v>222</v>
      </c>
      <c r="E223" s="118" t="e">
        <f aca="false">CEILING(D223/12;1)</f>
        <v>#VALUE!</v>
      </c>
      <c r="F223" s="118" t="e">
        <f aca="false">E223*$F$1</f>
        <v>#VALUE!</v>
      </c>
    </row>
    <row r="224" customFormat="false" ht="14.25" hidden="false" customHeight="true" outlineLevel="0" collapsed="false">
      <c r="A224" s="118" t="s">
        <v>1005</v>
      </c>
      <c r="B224" s="118" t="str">
        <f aca="false">CONCATENATE(C224&amp;D224)</f>
        <v>3"223</v>
      </c>
      <c r="C224" s="118" t="s">
        <v>51</v>
      </c>
      <c r="D224" s="152" t="n">
        <f aca="false">D223+1</f>
        <v>223</v>
      </c>
      <c r="E224" s="118" t="e">
        <f aca="false">CEILING(D224/12;1)</f>
        <v>#VALUE!</v>
      </c>
      <c r="F224" s="118" t="e">
        <f aca="false">E224*$F$1</f>
        <v>#VALUE!</v>
      </c>
    </row>
    <row r="225" customFormat="false" ht="14.25" hidden="false" customHeight="true" outlineLevel="0" collapsed="false">
      <c r="A225" s="118" t="s">
        <v>1005</v>
      </c>
      <c r="B225" s="118" t="str">
        <f aca="false">CONCATENATE(C225&amp;D225)</f>
        <v>3"224</v>
      </c>
      <c r="C225" s="118" t="s">
        <v>51</v>
      </c>
      <c r="D225" s="152" t="n">
        <f aca="false">D224+1</f>
        <v>224</v>
      </c>
      <c r="E225" s="118" t="e">
        <f aca="false">CEILING(D225/12;1)</f>
        <v>#VALUE!</v>
      </c>
      <c r="F225" s="118" t="e">
        <f aca="false">E225*$F$1</f>
        <v>#VALUE!</v>
      </c>
    </row>
    <row r="226" customFormat="false" ht="14.25" hidden="false" customHeight="true" outlineLevel="0" collapsed="false">
      <c r="A226" s="118" t="s">
        <v>1005</v>
      </c>
      <c r="B226" s="118" t="str">
        <f aca="false">CONCATENATE(C226&amp;D226)</f>
        <v>3"225</v>
      </c>
      <c r="C226" s="118" t="s">
        <v>51</v>
      </c>
      <c r="D226" s="152" t="n">
        <f aca="false">D225+1</f>
        <v>225</v>
      </c>
      <c r="E226" s="118" t="e">
        <f aca="false">CEILING(D226/12;1)</f>
        <v>#VALUE!</v>
      </c>
      <c r="F226" s="118" t="e">
        <f aca="false">E226*$F$1</f>
        <v>#VALUE!</v>
      </c>
    </row>
    <row r="227" customFormat="false" ht="14.25" hidden="false" customHeight="true" outlineLevel="0" collapsed="false">
      <c r="A227" s="118" t="s">
        <v>1005</v>
      </c>
      <c r="B227" s="118" t="str">
        <f aca="false">CONCATENATE(C227&amp;D227)</f>
        <v>3"226</v>
      </c>
      <c r="C227" s="118" t="s">
        <v>51</v>
      </c>
      <c r="D227" s="152" t="n">
        <f aca="false">D226+1</f>
        <v>226</v>
      </c>
      <c r="E227" s="118" t="e">
        <f aca="false">CEILING(D227/12;1)</f>
        <v>#VALUE!</v>
      </c>
      <c r="F227" s="118" t="e">
        <f aca="false">E227*$F$1</f>
        <v>#VALUE!</v>
      </c>
    </row>
    <row r="228" customFormat="false" ht="14.25" hidden="false" customHeight="true" outlineLevel="0" collapsed="false">
      <c r="A228" s="118" t="s">
        <v>1005</v>
      </c>
      <c r="B228" s="118" t="str">
        <f aca="false">CONCATENATE(C228&amp;D228)</f>
        <v>3"227</v>
      </c>
      <c r="C228" s="118" t="s">
        <v>51</v>
      </c>
      <c r="D228" s="152" t="n">
        <f aca="false">D227+1</f>
        <v>227</v>
      </c>
      <c r="E228" s="118" t="e">
        <f aca="false">CEILING(D228/12;1)</f>
        <v>#VALUE!</v>
      </c>
      <c r="F228" s="118" t="e">
        <f aca="false">E228*$F$1</f>
        <v>#VALUE!</v>
      </c>
    </row>
    <row r="229" customFormat="false" ht="14.25" hidden="false" customHeight="true" outlineLevel="0" collapsed="false">
      <c r="A229" s="118" t="s">
        <v>1005</v>
      </c>
      <c r="B229" s="118" t="str">
        <f aca="false">CONCATENATE(C229&amp;D229)</f>
        <v>3"228</v>
      </c>
      <c r="C229" s="118" t="s">
        <v>51</v>
      </c>
      <c r="D229" s="152" t="n">
        <f aca="false">D228+1</f>
        <v>228</v>
      </c>
      <c r="E229" s="118" t="e">
        <f aca="false">CEILING(D229/12;1)</f>
        <v>#VALUE!</v>
      </c>
      <c r="F229" s="118" t="e">
        <f aca="false">E229*$F$1</f>
        <v>#VALUE!</v>
      </c>
    </row>
    <row r="230" customFormat="false" ht="14.25" hidden="false" customHeight="true" outlineLevel="0" collapsed="false">
      <c r="A230" s="118" t="s">
        <v>1005</v>
      </c>
      <c r="B230" s="118" t="str">
        <f aca="false">CONCATENATE(C230&amp;D230)</f>
        <v>3"229</v>
      </c>
      <c r="C230" s="118" t="s">
        <v>51</v>
      </c>
      <c r="D230" s="152" t="n">
        <f aca="false">D229+1</f>
        <v>229</v>
      </c>
      <c r="E230" s="118" t="e">
        <f aca="false">CEILING(D230/12;1)</f>
        <v>#VALUE!</v>
      </c>
      <c r="F230" s="118" t="e">
        <f aca="false">E230*$F$1</f>
        <v>#VALUE!</v>
      </c>
    </row>
    <row r="231" customFormat="false" ht="14.25" hidden="false" customHeight="true" outlineLevel="0" collapsed="false">
      <c r="A231" s="118" t="s">
        <v>1005</v>
      </c>
      <c r="B231" s="118" t="str">
        <f aca="false">CONCATENATE(C231&amp;D231)</f>
        <v>3"230</v>
      </c>
      <c r="C231" s="118" t="s">
        <v>51</v>
      </c>
      <c r="D231" s="152" t="n">
        <f aca="false">D230+1</f>
        <v>230</v>
      </c>
      <c r="E231" s="118" t="e">
        <f aca="false">CEILING(D231/12;1)</f>
        <v>#VALUE!</v>
      </c>
      <c r="F231" s="118" t="e">
        <f aca="false">E231*$F$1</f>
        <v>#VALUE!</v>
      </c>
    </row>
    <row r="232" customFormat="false" ht="14.25" hidden="false" customHeight="true" outlineLevel="0" collapsed="false">
      <c r="A232" s="118" t="s">
        <v>1005</v>
      </c>
      <c r="B232" s="118" t="str">
        <f aca="false">CONCATENATE(C232&amp;D232)</f>
        <v>3"231</v>
      </c>
      <c r="C232" s="118" t="s">
        <v>51</v>
      </c>
      <c r="D232" s="152" t="n">
        <f aca="false">D231+1</f>
        <v>231</v>
      </c>
      <c r="E232" s="118" t="e">
        <f aca="false">CEILING(D232/12;1)</f>
        <v>#VALUE!</v>
      </c>
      <c r="F232" s="118" t="e">
        <f aca="false">E232*$F$1</f>
        <v>#VALUE!</v>
      </c>
    </row>
    <row r="233" customFormat="false" ht="14.25" hidden="false" customHeight="true" outlineLevel="0" collapsed="false">
      <c r="A233" s="118" t="s">
        <v>1005</v>
      </c>
      <c r="B233" s="118" t="str">
        <f aca="false">CONCATENATE(C233&amp;D233)</f>
        <v>3"232</v>
      </c>
      <c r="C233" s="118" t="s">
        <v>51</v>
      </c>
      <c r="D233" s="152" t="n">
        <f aca="false">D232+1</f>
        <v>232</v>
      </c>
      <c r="E233" s="118" t="e">
        <f aca="false">CEILING(D233/12;1)</f>
        <v>#VALUE!</v>
      </c>
      <c r="F233" s="118" t="e">
        <f aca="false">E233*$F$1</f>
        <v>#VALUE!</v>
      </c>
    </row>
    <row r="234" customFormat="false" ht="14.25" hidden="false" customHeight="true" outlineLevel="0" collapsed="false">
      <c r="A234" s="118" t="s">
        <v>1005</v>
      </c>
      <c r="B234" s="118" t="str">
        <f aca="false">CONCATENATE(C234&amp;D234)</f>
        <v>3"233</v>
      </c>
      <c r="C234" s="118" t="s">
        <v>51</v>
      </c>
      <c r="D234" s="152" t="n">
        <f aca="false">D233+1</f>
        <v>233</v>
      </c>
      <c r="E234" s="118" t="e">
        <f aca="false">CEILING(D234/12;1)</f>
        <v>#VALUE!</v>
      </c>
      <c r="F234" s="118" t="e">
        <f aca="false">E234*$F$1</f>
        <v>#VALUE!</v>
      </c>
    </row>
    <row r="235" customFormat="false" ht="14.25" hidden="false" customHeight="true" outlineLevel="0" collapsed="false">
      <c r="A235" s="118" t="s">
        <v>1005</v>
      </c>
      <c r="B235" s="118" t="str">
        <f aca="false">CONCATENATE(C235&amp;D235)</f>
        <v>3"234</v>
      </c>
      <c r="C235" s="118" t="s">
        <v>51</v>
      </c>
      <c r="D235" s="152" t="n">
        <f aca="false">D234+1</f>
        <v>234</v>
      </c>
      <c r="E235" s="118" t="e">
        <f aca="false">CEILING(D235/12;1)</f>
        <v>#VALUE!</v>
      </c>
      <c r="F235" s="118" t="e">
        <f aca="false">E235*$F$1</f>
        <v>#VALUE!</v>
      </c>
    </row>
    <row r="236" customFormat="false" ht="14.25" hidden="false" customHeight="true" outlineLevel="0" collapsed="false">
      <c r="A236" s="118" t="s">
        <v>1005</v>
      </c>
      <c r="B236" s="118" t="str">
        <f aca="false">CONCATENATE(C236&amp;D236)</f>
        <v>3"235</v>
      </c>
      <c r="C236" s="118" t="s">
        <v>51</v>
      </c>
      <c r="D236" s="152" t="n">
        <f aca="false">D235+1</f>
        <v>235</v>
      </c>
      <c r="E236" s="118" t="e">
        <f aca="false">CEILING(D236/12;1)</f>
        <v>#VALUE!</v>
      </c>
      <c r="F236" s="118" t="e">
        <f aca="false">E236*$F$1</f>
        <v>#VALUE!</v>
      </c>
    </row>
    <row r="237" customFormat="false" ht="14.25" hidden="false" customHeight="true" outlineLevel="0" collapsed="false">
      <c r="A237" s="118" t="s">
        <v>1005</v>
      </c>
      <c r="B237" s="118" t="str">
        <f aca="false">CONCATENATE(C237&amp;D237)</f>
        <v>3"236</v>
      </c>
      <c r="C237" s="118" t="s">
        <v>51</v>
      </c>
      <c r="D237" s="152" t="n">
        <f aca="false">D236+1</f>
        <v>236</v>
      </c>
      <c r="E237" s="118" t="e">
        <f aca="false">CEILING(D237/12;1)</f>
        <v>#VALUE!</v>
      </c>
      <c r="F237" s="118" t="e">
        <f aca="false">E237*$F$1</f>
        <v>#VALUE!</v>
      </c>
    </row>
    <row r="238" customFormat="false" ht="14.25" hidden="false" customHeight="true" outlineLevel="0" collapsed="false">
      <c r="A238" s="118" t="s">
        <v>1005</v>
      </c>
      <c r="B238" s="118" t="str">
        <f aca="false">CONCATENATE(C238&amp;D238)</f>
        <v>3"237</v>
      </c>
      <c r="C238" s="118" t="s">
        <v>51</v>
      </c>
      <c r="D238" s="152" t="n">
        <f aca="false">D237+1</f>
        <v>237</v>
      </c>
      <c r="E238" s="118" t="e">
        <f aca="false">CEILING(D238/12;1)</f>
        <v>#VALUE!</v>
      </c>
      <c r="F238" s="118" t="e">
        <f aca="false">E238*$F$1</f>
        <v>#VALUE!</v>
      </c>
    </row>
    <row r="239" customFormat="false" ht="14.25" hidden="false" customHeight="true" outlineLevel="0" collapsed="false">
      <c r="A239" s="118" t="s">
        <v>1005</v>
      </c>
      <c r="B239" s="118" t="str">
        <f aca="false">CONCATENATE(C239&amp;D239)</f>
        <v>3"238</v>
      </c>
      <c r="C239" s="118" t="s">
        <v>51</v>
      </c>
      <c r="D239" s="152" t="n">
        <f aca="false">D238+1</f>
        <v>238</v>
      </c>
      <c r="E239" s="118" t="e">
        <f aca="false">CEILING(D239/12;1)</f>
        <v>#VALUE!</v>
      </c>
      <c r="F239" s="118" t="e">
        <f aca="false">E239*$F$1</f>
        <v>#VALUE!</v>
      </c>
    </row>
    <row r="240" customFormat="false" ht="14.25" hidden="false" customHeight="true" outlineLevel="0" collapsed="false">
      <c r="A240" s="118" t="s">
        <v>1005</v>
      </c>
      <c r="B240" s="118" t="str">
        <f aca="false">CONCATENATE(C240&amp;D240)</f>
        <v>3"239</v>
      </c>
      <c r="C240" s="118" t="s">
        <v>51</v>
      </c>
      <c r="D240" s="152" t="n">
        <f aca="false">D239+1</f>
        <v>239</v>
      </c>
      <c r="E240" s="118" t="e">
        <f aca="false">CEILING(D240/12;1)</f>
        <v>#VALUE!</v>
      </c>
      <c r="F240" s="118" t="e">
        <f aca="false">E240*$F$1</f>
        <v>#VALUE!</v>
      </c>
    </row>
    <row r="241" customFormat="false" ht="14.25" hidden="false" customHeight="true" outlineLevel="0" collapsed="false">
      <c r="A241" s="118" t="s">
        <v>1005</v>
      </c>
      <c r="B241" s="118" t="str">
        <f aca="false">CONCATENATE(C241&amp;D241)</f>
        <v>3"240</v>
      </c>
      <c r="C241" s="118" t="s">
        <v>51</v>
      </c>
      <c r="D241" s="152" t="n">
        <f aca="false">D240+1</f>
        <v>240</v>
      </c>
      <c r="E241" s="118" t="e">
        <f aca="false">CEILING(D241/12;1)</f>
        <v>#VALUE!</v>
      </c>
      <c r="F241" s="118" t="e">
        <f aca="false">E241*$F$1</f>
        <v>#VALUE!</v>
      </c>
    </row>
    <row r="242" customFormat="false" ht="14.25" hidden="false" customHeight="true" outlineLevel="0" collapsed="false">
      <c r="A242" s="118" t="s">
        <v>1005</v>
      </c>
      <c r="B242" s="118" t="str">
        <f aca="false">CONCATENATE(C242&amp;D242)</f>
        <v>3"241</v>
      </c>
      <c r="C242" s="118" t="s">
        <v>51</v>
      </c>
      <c r="D242" s="152" t="n">
        <f aca="false">D241+1</f>
        <v>241</v>
      </c>
      <c r="E242" s="118" t="e">
        <f aca="false">CEILING(D242/12;1)</f>
        <v>#VALUE!</v>
      </c>
      <c r="F242" s="118" t="e">
        <f aca="false">E242*$F$1</f>
        <v>#VALUE!</v>
      </c>
    </row>
    <row r="243" customFormat="false" ht="14.25" hidden="false" customHeight="true" outlineLevel="0" collapsed="false">
      <c r="A243" s="118" t="s">
        <v>1005</v>
      </c>
      <c r="B243" s="118" t="str">
        <f aca="false">CONCATENATE(C243&amp;D243)</f>
        <v>3"242</v>
      </c>
      <c r="C243" s="118" t="s">
        <v>51</v>
      </c>
      <c r="D243" s="152" t="n">
        <f aca="false">D242+1</f>
        <v>242</v>
      </c>
      <c r="E243" s="118" t="e">
        <f aca="false">CEILING(D243/12;1)</f>
        <v>#VALUE!</v>
      </c>
      <c r="F243" s="118" t="e">
        <f aca="false">E243*$F$1</f>
        <v>#VALUE!</v>
      </c>
    </row>
    <row r="244" customFormat="false" ht="14.25" hidden="false" customHeight="true" outlineLevel="0" collapsed="false">
      <c r="A244" s="118" t="s">
        <v>1005</v>
      </c>
      <c r="B244" s="118" t="str">
        <f aca="false">CONCATENATE(C244&amp;D244)</f>
        <v>3"243</v>
      </c>
      <c r="C244" s="118" t="s">
        <v>51</v>
      </c>
      <c r="D244" s="152" t="n">
        <f aca="false">D243+1</f>
        <v>243</v>
      </c>
      <c r="E244" s="118" t="e">
        <f aca="false">CEILING(D244/12;1)</f>
        <v>#VALUE!</v>
      </c>
      <c r="F244" s="118" t="e">
        <f aca="false">E244*$F$1</f>
        <v>#VALUE!</v>
      </c>
    </row>
    <row r="245" customFormat="false" ht="14.25" hidden="false" customHeight="true" outlineLevel="0" collapsed="false">
      <c r="A245" s="118" t="s">
        <v>1005</v>
      </c>
      <c r="B245" s="118" t="str">
        <f aca="false">CONCATENATE(C245&amp;D245)</f>
        <v>3"244</v>
      </c>
      <c r="C245" s="118" t="s">
        <v>51</v>
      </c>
      <c r="D245" s="152" t="n">
        <f aca="false">D244+1</f>
        <v>244</v>
      </c>
      <c r="E245" s="118" t="e">
        <f aca="false">CEILING(D245/12;1)</f>
        <v>#VALUE!</v>
      </c>
      <c r="F245" s="118" t="e">
        <f aca="false">E245*$F$1</f>
        <v>#VALUE!</v>
      </c>
    </row>
    <row r="246" customFormat="false" ht="14.25" hidden="false" customHeight="true" outlineLevel="0" collapsed="false">
      <c r="A246" s="118" t="s">
        <v>1005</v>
      </c>
      <c r="B246" s="118" t="str">
        <f aca="false">CONCATENATE(C246&amp;D246)</f>
        <v>3"245</v>
      </c>
      <c r="C246" s="118" t="s">
        <v>51</v>
      </c>
      <c r="D246" s="152" t="n">
        <f aca="false">D245+1</f>
        <v>245</v>
      </c>
      <c r="E246" s="118" t="e">
        <f aca="false">CEILING(D246/12;1)</f>
        <v>#VALUE!</v>
      </c>
      <c r="F246" s="118" t="e">
        <f aca="false">E246*$F$1</f>
        <v>#VALUE!</v>
      </c>
    </row>
    <row r="247" customFormat="false" ht="14.25" hidden="false" customHeight="true" outlineLevel="0" collapsed="false">
      <c r="A247" s="118" t="s">
        <v>1005</v>
      </c>
      <c r="B247" s="118" t="str">
        <f aca="false">CONCATENATE(C247&amp;D247)</f>
        <v>3"246</v>
      </c>
      <c r="C247" s="118" t="s">
        <v>51</v>
      </c>
      <c r="D247" s="152" t="n">
        <f aca="false">D246+1</f>
        <v>246</v>
      </c>
      <c r="E247" s="118" t="e">
        <f aca="false">CEILING(D247/12;1)</f>
        <v>#VALUE!</v>
      </c>
      <c r="F247" s="118" t="e">
        <f aca="false">E247*$F$1</f>
        <v>#VALUE!</v>
      </c>
    </row>
    <row r="248" customFormat="false" ht="14.25" hidden="false" customHeight="true" outlineLevel="0" collapsed="false">
      <c r="A248" s="118" t="s">
        <v>1005</v>
      </c>
      <c r="B248" s="118" t="str">
        <f aca="false">CONCATENATE(C248&amp;D248)</f>
        <v>3"247</v>
      </c>
      <c r="C248" s="118" t="s">
        <v>51</v>
      </c>
      <c r="D248" s="152" t="n">
        <f aca="false">D247+1</f>
        <v>247</v>
      </c>
      <c r="E248" s="118" t="e">
        <f aca="false">CEILING(D248/12;1)</f>
        <v>#VALUE!</v>
      </c>
      <c r="F248" s="118" t="e">
        <f aca="false">E248*$F$1</f>
        <v>#VALUE!</v>
      </c>
    </row>
    <row r="249" customFormat="false" ht="14.25" hidden="false" customHeight="true" outlineLevel="0" collapsed="false">
      <c r="A249" s="118" t="s">
        <v>1005</v>
      </c>
      <c r="B249" s="118" t="str">
        <f aca="false">CONCATENATE(C249&amp;D249)</f>
        <v>3"248</v>
      </c>
      <c r="C249" s="118" t="s">
        <v>51</v>
      </c>
      <c r="D249" s="152" t="n">
        <f aca="false">D248+1</f>
        <v>248</v>
      </c>
      <c r="E249" s="118" t="e">
        <f aca="false">CEILING(D249/12;1)</f>
        <v>#VALUE!</v>
      </c>
      <c r="F249" s="118" t="e">
        <f aca="false">E249*$F$1</f>
        <v>#VALUE!</v>
      </c>
    </row>
    <row r="250" customFormat="false" ht="14.25" hidden="false" customHeight="true" outlineLevel="0" collapsed="false">
      <c r="A250" s="118" t="s">
        <v>1005</v>
      </c>
      <c r="B250" s="118" t="str">
        <f aca="false">CONCATENATE(C250&amp;D250)</f>
        <v>3"249</v>
      </c>
      <c r="C250" s="118" t="s">
        <v>51</v>
      </c>
      <c r="D250" s="152" t="n">
        <f aca="false">D249+1</f>
        <v>249</v>
      </c>
      <c r="E250" s="118" t="e">
        <f aca="false">CEILING(D250/12;1)</f>
        <v>#VALUE!</v>
      </c>
      <c r="F250" s="118" t="e">
        <f aca="false">E250*$F$1</f>
        <v>#VALUE!</v>
      </c>
    </row>
    <row r="251" customFormat="false" ht="14.25" hidden="false" customHeight="true" outlineLevel="0" collapsed="false">
      <c r="A251" s="118" t="s">
        <v>1005</v>
      </c>
      <c r="B251" s="118" t="str">
        <f aca="false">CONCATENATE(C251&amp;D251)</f>
        <v>3"250</v>
      </c>
      <c r="C251" s="118" t="s">
        <v>51</v>
      </c>
      <c r="D251" s="152" t="n">
        <f aca="false">D250+1</f>
        <v>250</v>
      </c>
      <c r="E251" s="118" t="e">
        <f aca="false">CEILING(D251/12;1)</f>
        <v>#VALUE!</v>
      </c>
      <c r="F251" s="118" t="e">
        <f aca="false">E251*$F$1</f>
        <v>#VALUE!</v>
      </c>
    </row>
    <row r="252" customFormat="false" ht="14.25" hidden="false" customHeight="true" outlineLevel="0" collapsed="false">
      <c r="A252" s="118" t="s">
        <v>1005</v>
      </c>
      <c r="B252" s="118" t="str">
        <f aca="false">CONCATENATE(C252&amp;D252)</f>
        <v>3"251</v>
      </c>
      <c r="C252" s="118" t="s">
        <v>51</v>
      </c>
      <c r="D252" s="152" t="n">
        <f aca="false">D251+1</f>
        <v>251</v>
      </c>
      <c r="E252" s="118" t="e">
        <f aca="false">CEILING(D252/12;1)</f>
        <v>#VALUE!</v>
      </c>
      <c r="F252" s="118" t="e">
        <f aca="false">E252*$F$1</f>
        <v>#VALUE!</v>
      </c>
    </row>
    <row r="253" customFormat="false" ht="14.25" hidden="false" customHeight="true" outlineLevel="0" collapsed="false">
      <c r="A253" s="118" t="s">
        <v>1005</v>
      </c>
      <c r="B253" s="118" t="str">
        <f aca="false">CONCATENATE(C253&amp;D253)</f>
        <v>3"252</v>
      </c>
      <c r="C253" s="118" t="s">
        <v>51</v>
      </c>
      <c r="D253" s="152" t="n">
        <f aca="false">D252+1</f>
        <v>252</v>
      </c>
      <c r="E253" s="118" t="e">
        <f aca="false">CEILING(D253/12;1)</f>
        <v>#VALUE!</v>
      </c>
      <c r="F253" s="118" t="e">
        <f aca="false">E253*$F$1</f>
        <v>#VALUE!</v>
      </c>
    </row>
    <row r="254" customFormat="false" ht="14.25" hidden="false" customHeight="true" outlineLevel="0" collapsed="false">
      <c r="A254" s="118" t="s">
        <v>1005</v>
      </c>
      <c r="B254" s="118" t="str">
        <f aca="false">CONCATENATE(C254&amp;D254)</f>
        <v>3"253</v>
      </c>
      <c r="C254" s="118" t="s">
        <v>51</v>
      </c>
      <c r="D254" s="152" t="n">
        <f aca="false">D253+1</f>
        <v>253</v>
      </c>
      <c r="E254" s="118" t="e">
        <f aca="false">CEILING(D254/12;1)</f>
        <v>#VALUE!</v>
      </c>
      <c r="F254" s="118" t="e">
        <f aca="false">E254*$F$1</f>
        <v>#VALUE!</v>
      </c>
    </row>
    <row r="255" customFormat="false" ht="14.25" hidden="false" customHeight="true" outlineLevel="0" collapsed="false">
      <c r="A255" s="118" t="s">
        <v>1005</v>
      </c>
      <c r="B255" s="118" t="str">
        <f aca="false">CONCATENATE(C255&amp;D255)</f>
        <v>3"254</v>
      </c>
      <c r="C255" s="118" t="s">
        <v>51</v>
      </c>
      <c r="D255" s="152" t="n">
        <f aca="false">D254+1</f>
        <v>254</v>
      </c>
      <c r="E255" s="118" t="e">
        <f aca="false">CEILING(D255/12;1)</f>
        <v>#VALUE!</v>
      </c>
      <c r="F255" s="118" t="e">
        <f aca="false">E255*$F$1</f>
        <v>#VALUE!</v>
      </c>
    </row>
    <row r="256" customFormat="false" ht="14.25" hidden="false" customHeight="true" outlineLevel="0" collapsed="false">
      <c r="A256" s="118" t="s">
        <v>1005</v>
      </c>
      <c r="B256" s="118" t="str">
        <f aca="false">CONCATENATE(C256&amp;D256)</f>
        <v>3"255</v>
      </c>
      <c r="C256" s="118" t="s">
        <v>51</v>
      </c>
      <c r="D256" s="152" t="n">
        <f aca="false">D255+1</f>
        <v>255</v>
      </c>
      <c r="E256" s="118" t="e">
        <f aca="false">CEILING(D256/12;1)</f>
        <v>#VALUE!</v>
      </c>
      <c r="F256" s="118" t="e">
        <f aca="false">E256*$F$1</f>
        <v>#VALUE!</v>
      </c>
    </row>
    <row r="257" customFormat="false" ht="14.25" hidden="false" customHeight="true" outlineLevel="0" collapsed="false">
      <c r="A257" s="118" t="s">
        <v>1005</v>
      </c>
      <c r="B257" s="118" t="str">
        <f aca="false">CONCATENATE(C257&amp;D257)</f>
        <v>3"256</v>
      </c>
      <c r="C257" s="118" t="s">
        <v>51</v>
      </c>
      <c r="D257" s="152" t="n">
        <f aca="false">D256+1</f>
        <v>256</v>
      </c>
      <c r="E257" s="118" t="e">
        <f aca="false">CEILING(D257/12;1)</f>
        <v>#VALUE!</v>
      </c>
      <c r="F257" s="118" t="e">
        <f aca="false">E257*$F$1</f>
        <v>#VALUE!</v>
      </c>
    </row>
    <row r="258" customFormat="false" ht="14.25" hidden="false" customHeight="true" outlineLevel="0" collapsed="false">
      <c r="A258" s="118" t="s">
        <v>1005</v>
      </c>
      <c r="B258" s="118" t="str">
        <f aca="false">CONCATENATE(C258&amp;D258)</f>
        <v>3"257</v>
      </c>
      <c r="C258" s="118" t="s">
        <v>51</v>
      </c>
      <c r="D258" s="152" t="n">
        <f aca="false">D257+1</f>
        <v>257</v>
      </c>
      <c r="E258" s="118" t="e">
        <f aca="false">CEILING(D258/12;1)</f>
        <v>#VALUE!</v>
      </c>
      <c r="F258" s="118" t="e">
        <f aca="false">E258*$F$1</f>
        <v>#VALUE!</v>
      </c>
    </row>
    <row r="259" customFormat="false" ht="14.25" hidden="false" customHeight="true" outlineLevel="0" collapsed="false">
      <c r="A259" s="118" t="s">
        <v>1005</v>
      </c>
      <c r="B259" s="118" t="str">
        <f aca="false">CONCATENATE(C259&amp;D259)</f>
        <v>3"258</v>
      </c>
      <c r="C259" s="118" t="s">
        <v>51</v>
      </c>
      <c r="D259" s="152" t="n">
        <f aca="false">D258+1</f>
        <v>258</v>
      </c>
      <c r="E259" s="118" t="e">
        <f aca="false">CEILING(D259/12;1)</f>
        <v>#VALUE!</v>
      </c>
      <c r="F259" s="118" t="e">
        <f aca="false">E259*$F$1</f>
        <v>#VALUE!</v>
      </c>
    </row>
    <row r="260" customFormat="false" ht="14.25" hidden="false" customHeight="true" outlineLevel="0" collapsed="false">
      <c r="A260" s="118" t="s">
        <v>1005</v>
      </c>
      <c r="B260" s="118" t="str">
        <f aca="false">CONCATENATE(C260&amp;D260)</f>
        <v>3"259</v>
      </c>
      <c r="C260" s="118" t="s">
        <v>51</v>
      </c>
      <c r="D260" s="152" t="n">
        <f aca="false">D259+1</f>
        <v>259</v>
      </c>
      <c r="E260" s="118" t="e">
        <f aca="false">CEILING(D260/12;1)</f>
        <v>#VALUE!</v>
      </c>
      <c r="F260" s="118" t="e">
        <f aca="false">E260*$F$1</f>
        <v>#VALUE!</v>
      </c>
    </row>
    <row r="261" customFormat="false" ht="14.25" hidden="false" customHeight="true" outlineLevel="0" collapsed="false">
      <c r="A261" s="118" t="s">
        <v>1005</v>
      </c>
      <c r="B261" s="118" t="str">
        <f aca="false">CONCATENATE(C261&amp;D261)</f>
        <v>3"260</v>
      </c>
      <c r="C261" s="118" t="s">
        <v>51</v>
      </c>
      <c r="D261" s="152" t="n">
        <f aca="false">D260+1</f>
        <v>260</v>
      </c>
      <c r="E261" s="118" t="e">
        <f aca="false">CEILING(D261/12;1)</f>
        <v>#VALUE!</v>
      </c>
      <c r="F261" s="118" t="e">
        <f aca="false">E261*$F$1</f>
        <v>#VALUE!</v>
      </c>
    </row>
    <row r="262" customFormat="false" ht="14.25" hidden="false" customHeight="true" outlineLevel="0" collapsed="false">
      <c r="A262" s="118" t="s">
        <v>1005</v>
      </c>
      <c r="B262" s="118" t="str">
        <f aca="false">CONCATENATE(C262&amp;D262)</f>
        <v>3"261</v>
      </c>
      <c r="C262" s="118" t="s">
        <v>51</v>
      </c>
      <c r="D262" s="152" t="n">
        <f aca="false">D261+1</f>
        <v>261</v>
      </c>
      <c r="E262" s="118" t="e">
        <f aca="false">CEILING(D262/12;1)</f>
        <v>#VALUE!</v>
      </c>
      <c r="F262" s="118" t="e">
        <f aca="false">E262*$F$1</f>
        <v>#VALUE!</v>
      </c>
    </row>
    <row r="263" customFormat="false" ht="14.25" hidden="false" customHeight="true" outlineLevel="0" collapsed="false">
      <c r="A263" s="118" t="s">
        <v>1005</v>
      </c>
      <c r="B263" s="118" t="str">
        <f aca="false">CONCATENATE(C263&amp;D263)</f>
        <v>3"262</v>
      </c>
      <c r="C263" s="118" t="s">
        <v>51</v>
      </c>
      <c r="D263" s="152" t="n">
        <f aca="false">D262+1</f>
        <v>262</v>
      </c>
      <c r="E263" s="118" t="e">
        <f aca="false">CEILING(D263/12;1)</f>
        <v>#VALUE!</v>
      </c>
      <c r="F263" s="118" t="e">
        <f aca="false">E263*$F$1</f>
        <v>#VALUE!</v>
      </c>
    </row>
    <row r="264" customFormat="false" ht="14.25" hidden="false" customHeight="true" outlineLevel="0" collapsed="false">
      <c r="A264" s="118" t="s">
        <v>1005</v>
      </c>
      <c r="B264" s="118" t="str">
        <f aca="false">CONCATENATE(C264&amp;D264)</f>
        <v>3"263</v>
      </c>
      <c r="C264" s="118" t="s">
        <v>51</v>
      </c>
      <c r="D264" s="152" t="n">
        <f aca="false">D263+1</f>
        <v>263</v>
      </c>
      <c r="E264" s="118" t="e">
        <f aca="false">CEILING(D264/12;1)</f>
        <v>#VALUE!</v>
      </c>
      <c r="F264" s="118" t="e">
        <f aca="false">E264*$F$1</f>
        <v>#VALUE!</v>
      </c>
    </row>
    <row r="265" customFormat="false" ht="14.25" hidden="false" customHeight="true" outlineLevel="0" collapsed="false">
      <c r="A265" s="118" t="s">
        <v>1005</v>
      </c>
      <c r="B265" s="118" t="str">
        <f aca="false">CONCATENATE(C265&amp;D265)</f>
        <v>3"264</v>
      </c>
      <c r="C265" s="118" t="s">
        <v>51</v>
      </c>
      <c r="D265" s="152" t="n">
        <f aca="false">D264+1</f>
        <v>264</v>
      </c>
      <c r="E265" s="118" t="e">
        <f aca="false">CEILING(D265/12;1)</f>
        <v>#VALUE!</v>
      </c>
      <c r="F265" s="118" t="e">
        <f aca="false">E265*$F$1</f>
        <v>#VALUE!</v>
      </c>
    </row>
    <row r="266" customFormat="false" ht="14.25" hidden="false" customHeight="true" outlineLevel="0" collapsed="false">
      <c r="A266" s="118" t="s">
        <v>1005</v>
      </c>
      <c r="B266" s="118" t="str">
        <f aca="false">CONCATENATE(C266&amp;D266)</f>
        <v>3"265</v>
      </c>
      <c r="C266" s="118" t="s">
        <v>51</v>
      </c>
      <c r="D266" s="152" t="n">
        <f aca="false">D265+1</f>
        <v>265</v>
      </c>
      <c r="E266" s="118" t="e">
        <f aca="false">CEILING(D266/12;1)</f>
        <v>#VALUE!</v>
      </c>
      <c r="F266" s="118" t="e">
        <f aca="false">E266*$F$1</f>
        <v>#VALUE!</v>
      </c>
    </row>
    <row r="267" customFormat="false" ht="14.25" hidden="false" customHeight="true" outlineLevel="0" collapsed="false">
      <c r="A267" s="118" t="s">
        <v>1005</v>
      </c>
      <c r="B267" s="118" t="str">
        <f aca="false">CONCATENATE(C267&amp;D267)</f>
        <v>3"266</v>
      </c>
      <c r="C267" s="118" t="s">
        <v>51</v>
      </c>
      <c r="D267" s="152" t="n">
        <f aca="false">D266+1</f>
        <v>266</v>
      </c>
      <c r="E267" s="118" t="e">
        <f aca="false">CEILING(D267/12;1)</f>
        <v>#VALUE!</v>
      </c>
      <c r="F267" s="118" t="e">
        <f aca="false">E267*$F$1</f>
        <v>#VALUE!</v>
      </c>
    </row>
    <row r="268" customFormat="false" ht="14.25" hidden="false" customHeight="true" outlineLevel="0" collapsed="false">
      <c r="A268" s="118" t="s">
        <v>1005</v>
      </c>
      <c r="B268" s="118" t="str">
        <f aca="false">CONCATENATE(C268&amp;D268)</f>
        <v>3"267</v>
      </c>
      <c r="C268" s="118" t="s">
        <v>51</v>
      </c>
      <c r="D268" s="152" t="n">
        <f aca="false">D267+1</f>
        <v>267</v>
      </c>
      <c r="E268" s="118" t="e">
        <f aca="false">CEILING(D268/12;1)</f>
        <v>#VALUE!</v>
      </c>
      <c r="F268" s="118" t="e">
        <f aca="false">E268*$F$1</f>
        <v>#VALUE!</v>
      </c>
    </row>
    <row r="269" customFormat="false" ht="14.25" hidden="false" customHeight="true" outlineLevel="0" collapsed="false">
      <c r="A269" s="118" t="s">
        <v>1005</v>
      </c>
      <c r="B269" s="118" t="str">
        <f aca="false">CONCATENATE(C269&amp;D269)</f>
        <v>3"268</v>
      </c>
      <c r="C269" s="118" t="s">
        <v>51</v>
      </c>
      <c r="D269" s="152" t="n">
        <f aca="false">D268+1</f>
        <v>268</v>
      </c>
      <c r="E269" s="118" t="e">
        <f aca="false">CEILING(D269/12;1)</f>
        <v>#VALUE!</v>
      </c>
      <c r="F269" s="118" t="e">
        <f aca="false">E269*$F$1</f>
        <v>#VALUE!</v>
      </c>
    </row>
    <row r="270" customFormat="false" ht="14.25" hidden="false" customHeight="true" outlineLevel="0" collapsed="false">
      <c r="A270" s="118" t="s">
        <v>1005</v>
      </c>
      <c r="B270" s="118" t="str">
        <f aca="false">CONCATENATE(C270&amp;D270)</f>
        <v>3"269</v>
      </c>
      <c r="C270" s="118" t="s">
        <v>51</v>
      </c>
      <c r="D270" s="152" t="n">
        <f aca="false">D269+1</f>
        <v>269</v>
      </c>
      <c r="E270" s="118" t="e">
        <f aca="false">CEILING(D270/12;1)</f>
        <v>#VALUE!</v>
      </c>
      <c r="F270" s="118" t="e">
        <f aca="false">E270*$F$1</f>
        <v>#VALUE!</v>
      </c>
    </row>
    <row r="271" customFormat="false" ht="14.25" hidden="false" customHeight="true" outlineLevel="0" collapsed="false">
      <c r="A271" s="118" t="s">
        <v>1005</v>
      </c>
      <c r="B271" s="118" t="str">
        <f aca="false">CONCATENATE(C271&amp;D271)</f>
        <v>3"270</v>
      </c>
      <c r="C271" s="118" t="s">
        <v>51</v>
      </c>
      <c r="D271" s="152" t="n">
        <f aca="false">D270+1</f>
        <v>270</v>
      </c>
      <c r="E271" s="118" t="e">
        <f aca="false">CEILING(D271/12;1)</f>
        <v>#VALUE!</v>
      </c>
      <c r="F271" s="118" t="e">
        <f aca="false">E271*$F$1</f>
        <v>#VALUE!</v>
      </c>
    </row>
    <row r="272" customFormat="false" ht="14.25" hidden="false" customHeight="true" outlineLevel="0" collapsed="false">
      <c r="A272" s="118" t="s">
        <v>1005</v>
      </c>
      <c r="B272" s="118" t="str">
        <f aca="false">CONCATENATE(C272&amp;D272)</f>
        <v>3"271</v>
      </c>
      <c r="C272" s="118" t="s">
        <v>51</v>
      </c>
      <c r="D272" s="152" t="n">
        <f aca="false">D271+1</f>
        <v>271</v>
      </c>
      <c r="E272" s="118" t="e">
        <f aca="false">CEILING(D272/12;1)</f>
        <v>#VALUE!</v>
      </c>
      <c r="F272" s="118" t="e">
        <f aca="false">E272*$F$1</f>
        <v>#VALUE!</v>
      </c>
    </row>
    <row r="273" customFormat="false" ht="14.25" hidden="false" customHeight="true" outlineLevel="0" collapsed="false">
      <c r="A273" s="118" t="s">
        <v>1005</v>
      </c>
      <c r="B273" s="118" t="str">
        <f aca="false">CONCATENATE(C273&amp;D273)</f>
        <v>3"272</v>
      </c>
      <c r="C273" s="118" t="s">
        <v>51</v>
      </c>
      <c r="D273" s="152" t="n">
        <f aca="false">D272+1</f>
        <v>272</v>
      </c>
      <c r="E273" s="118" t="e">
        <f aca="false">CEILING(D273/12;1)</f>
        <v>#VALUE!</v>
      </c>
      <c r="F273" s="118" t="e">
        <f aca="false">E273*$F$1</f>
        <v>#VALUE!</v>
      </c>
    </row>
    <row r="274" customFormat="false" ht="14.25" hidden="false" customHeight="true" outlineLevel="0" collapsed="false">
      <c r="A274" s="118" t="s">
        <v>1005</v>
      </c>
      <c r="B274" s="118" t="str">
        <f aca="false">CONCATENATE(C274&amp;D274)</f>
        <v>3"273</v>
      </c>
      <c r="C274" s="118" t="s">
        <v>51</v>
      </c>
      <c r="D274" s="152" t="n">
        <f aca="false">D273+1</f>
        <v>273</v>
      </c>
      <c r="E274" s="118" t="e">
        <f aca="false">CEILING(D274/12;1)</f>
        <v>#VALUE!</v>
      </c>
      <c r="F274" s="118" t="e">
        <f aca="false">E274*$F$1</f>
        <v>#VALUE!</v>
      </c>
    </row>
    <row r="275" customFormat="false" ht="14.25" hidden="false" customHeight="true" outlineLevel="0" collapsed="false">
      <c r="A275" s="118" t="s">
        <v>1005</v>
      </c>
      <c r="B275" s="118" t="str">
        <f aca="false">CONCATENATE(C275&amp;D275)</f>
        <v>3"274</v>
      </c>
      <c r="C275" s="118" t="s">
        <v>51</v>
      </c>
      <c r="D275" s="152" t="n">
        <f aca="false">D274+1</f>
        <v>274</v>
      </c>
      <c r="E275" s="118" t="e">
        <f aca="false">CEILING(D275/12;1)</f>
        <v>#VALUE!</v>
      </c>
      <c r="F275" s="118" t="e">
        <f aca="false">E275*$F$1</f>
        <v>#VALUE!</v>
      </c>
    </row>
    <row r="276" customFormat="false" ht="14.25" hidden="false" customHeight="true" outlineLevel="0" collapsed="false">
      <c r="A276" s="118" t="s">
        <v>1005</v>
      </c>
      <c r="B276" s="118" t="str">
        <f aca="false">CONCATENATE(C276&amp;D276)</f>
        <v>3"275</v>
      </c>
      <c r="C276" s="118" t="s">
        <v>51</v>
      </c>
      <c r="D276" s="152" t="n">
        <f aca="false">D275+1</f>
        <v>275</v>
      </c>
      <c r="E276" s="118" t="e">
        <f aca="false">CEILING(D276/12;1)</f>
        <v>#VALUE!</v>
      </c>
      <c r="F276" s="118" t="e">
        <f aca="false">E276*$F$1</f>
        <v>#VALUE!</v>
      </c>
    </row>
    <row r="277" customFormat="false" ht="14.25" hidden="false" customHeight="true" outlineLevel="0" collapsed="false">
      <c r="A277" s="118" t="s">
        <v>1005</v>
      </c>
      <c r="B277" s="118" t="str">
        <f aca="false">CONCATENATE(C277&amp;D277)</f>
        <v>3"276</v>
      </c>
      <c r="C277" s="118" t="s">
        <v>51</v>
      </c>
      <c r="D277" s="152" t="n">
        <f aca="false">D276+1</f>
        <v>276</v>
      </c>
      <c r="E277" s="118" t="e">
        <f aca="false">CEILING(D277/12;1)</f>
        <v>#VALUE!</v>
      </c>
      <c r="F277" s="118" t="e">
        <f aca="false">E277*$F$1</f>
        <v>#VALUE!</v>
      </c>
    </row>
    <row r="278" customFormat="false" ht="14.25" hidden="false" customHeight="true" outlineLevel="0" collapsed="false">
      <c r="A278" s="118" t="s">
        <v>1005</v>
      </c>
      <c r="B278" s="118" t="str">
        <f aca="false">CONCATENATE(C278&amp;D278)</f>
        <v>3"277</v>
      </c>
      <c r="C278" s="118" t="s">
        <v>51</v>
      </c>
      <c r="D278" s="152" t="n">
        <f aca="false">D277+1</f>
        <v>277</v>
      </c>
      <c r="E278" s="118" t="e">
        <f aca="false">CEILING(D278/12;1)</f>
        <v>#VALUE!</v>
      </c>
      <c r="F278" s="118" t="e">
        <f aca="false">E278*$F$1</f>
        <v>#VALUE!</v>
      </c>
    </row>
    <row r="279" customFormat="false" ht="14.25" hidden="false" customHeight="true" outlineLevel="0" collapsed="false">
      <c r="A279" s="118" t="s">
        <v>1005</v>
      </c>
      <c r="B279" s="118" t="str">
        <f aca="false">CONCATENATE(C279&amp;D279)</f>
        <v>3"278</v>
      </c>
      <c r="C279" s="118" t="s">
        <v>51</v>
      </c>
      <c r="D279" s="152" t="n">
        <f aca="false">D278+1</f>
        <v>278</v>
      </c>
      <c r="E279" s="118" t="e">
        <f aca="false">CEILING(D279/12;1)</f>
        <v>#VALUE!</v>
      </c>
      <c r="F279" s="118" t="e">
        <f aca="false">E279*$F$1</f>
        <v>#VALUE!</v>
      </c>
    </row>
    <row r="280" customFormat="false" ht="14.25" hidden="false" customHeight="true" outlineLevel="0" collapsed="false">
      <c r="A280" s="118" t="s">
        <v>1005</v>
      </c>
      <c r="B280" s="118" t="str">
        <f aca="false">CONCATENATE(C280&amp;D280)</f>
        <v>3"279</v>
      </c>
      <c r="C280" s="118" t="s">
        <v>51</v>
      </c>
      <c r="D280" s="152" t="n">
        <f aca="false">D279+1</f>
        <v>279</v>
      </c>
      <c r="E280" s="118" t="e">
        <f aca="false">CEILING(D280/12;1)</f>
        <v>#VALUE!</v>
      </c>
      <c r="F280" s="118" t="e">
        <f aca="false">E280*$F$1</f>
        <v>#VALUE!</v>
      </c>
    </row>
    <row r="281" customFormat="false" ht="14.25" hidden="false" customHeight="true" outlineLevel="0" collapsed="false">
      <c r="A281" s="118" t="s">
        <v>1005</v>
      </c>
      <c r="B281" s="118" t="str">
        <f aca="false">CONCATENATE(C281&amp;D281)</f>
        <v>3"280</v>
      </c>
      <c r="C281" s="118" t="s">
        <v>51</v>
      </c>
      <c r="D281" s="152" t="n">
        <f aca="false">D280+1</f>
        <v>280</v>
      </c>
      <c r="E281" s="118" t="e">
        <f aca="false">CEILING(D281/12;1)</f>
        <v>#VALUE!</v>
      </c>
      <c r="F281" s="118" t="e">
        <f aca="false">E281*$F$1</f>
        <v>#VALUE!</v>
      </c>
    </row>
    <row r="282" customFormat="false" ht="14.25" hidden="false" customHeight="true" outlineLevel="0" collapsed="false">
      <c r="A282" s="118" t="s">
        <v>1005</v>
      </c>
      <c r="B282" s="118" t="str">
        <f aca="false">CONCATENATE(C282&amp;D282)</f>
        <v>3"281</v>
      </c>
      <c r="C282" s="118" t="s">
        <v>51</v>
      </c>
      <c r="D282" s="152" t="n">
        <f aca="false">D281+1</f>
        <v>281</v>
      </c>
      <c r="E282" s="118" t="e">
        <f aca="false">CEILING(D282/12;1)</f>
        <v>#VALUE!</v>
      </c>
      <c r="F282" s="118" t="e">
        <f aca="false">E282*$F$1</f>
        <v>#VALUE!</v>
      </c>
    </row>
    <row r="283" customFormat="false" ht="14.25" hidden="false" customHeight="true" outlineLevel="0" collapsed="false">
      <c r="A283" s="118" t="s">
        <v>1005</v>
      </c>
      <c r="B283" s="118" t="str">
        <f aca="false">CONCATENATE(C283&amp;D283)</f>
        <v>3"282</v>
      </c>
      <c r="C283" s="118" t="s">
        <v>51</v>
      </c>
      <c r="D283" s="152" t="n">
        <f aca="false">D282+1</f>
        <v>282</v>
      </c>
      <c r="E283" s="118" t="e">
        <f aca="false">CEILING(D283/12;1)</f>
        <v>#VALUE!</v>
      </c>
      <c r="F283" s="118" t="e">
        <f aca="false">E283*$F$1</f>
        <v>#VALUE!</v>
      </c>
    </row>
    <row r="284" customFormat="false" ht="14.25" hidden="false" customHeight="true" outlineLevel="0" collapsed="false">
      <c r="A284" s="118" t="s">
        <v>1005</v>
      </c>
      <c r="B284" s="118" t="str">
        <f aca="false">CONCATENATE(C284&amp;D284)</f>
        <v>3"283</v>
      </c>
      <c r="C284" s="118" t="s">
        <v>51</v>
      </c>
      <c r="D284" s="152" t="n">
        <f aca="false">D283+1</f>
        <v>283</v>
      </c>
      <c r="E284" s="118" t="e">
        <f aca="false">CEILING(D284/12;1)</f>
        <v>#VALUE!</v>
      </c>
      <c r="F284" s="118" t="e">
        <f aca="false">E284*$F$1</f>
        <v>#VALUE!</v>
      </c>
    </row>
    <row r="285" customFormat="false" ht="14.25" hidden="false" customHeight="true" outlineLevel="0" collapsed="false">
      <c r="A285" s="118" t="s">
        <v>1005</v>
      </c>
      <c r="B285" s="118" t="str">
        <f aca="false">CONCATENATE(C285&amp;D285)</f>
        <v>3"284</v>
      </c>
      <c r="C285" s="118" t="s">
        <v>51</v>
      </c>
      <c r="D285" s="152" t="n">
        <f aca="false">D284+1</f>
        <v>284</v>
      </c>
      <c r="E285" s="118" t="e">
        <f aca="false">CEILING(D285/12;1)</f>
        <v>#VALUE!</v>
      </c>
      <c r="F285" s="118" t="e">
        <f aca="false">E285*$F$1</f>
        <v>#VALUE!</v>
      </c>
    </row>
    <row r="286" customFormat="false" ht="14.25" hidden="false" customHeight="true" outlineLevel="0" collapsed="false">
      <c r="A286" s="118" t="s">
        <v>1005</v>
      </c>
      <c r="B286" s="118" t="str">
        <f aca="false">CONCATENATE(C286&amp;D286)</f>
        <v>3"285</v>
      </c>
      <c r="C286" s="118" t="s">
        <v>51</v>
      </c>
      <c r="D286" s="152" t="n">
        <f aca="false">D285+1</f>
        <v>285</v>
      </c>
      <c r="E286" s="118" t="e">
        <f aca="false">CEILING(D286/12;1)</f>
        <v>#VALUE!</v>
      </c>
      <c r="F286" s="118" t="e">
        <f aca="false">E286*$F$1</f>
        <v>#VALUE!</v>
      </c>
    </row>
    <row r="287" customFormat="false" ht="14.25" hidden="false" customHeight="true" outlineLevel="0" collapsed="false">
      <c r="A287" s="118" t="s">
        <v>1005</v>
      </c>
      <c r="B287" s="118" t="str">
        <f aca="false">CONCATENATE(C287&amp;D287)</f>
        <v>3"286</v>
      </c>
      <c r="C287" s="118" t="s">
        <v>51</v>
      </c>
      <c r="D287" s="152" t="n">
        <f aca="false">D286+1</f>
        <v>286</v>
      </c>
      <c r="E287" s="118" t="e">
        <f aca="false">CEILING(D287/12;1)</f>
        <v>#VALUE!</v>
      </c>
      <c r="F287" s="118" t="e">
        <f aca="false">E287*$F$1</f>
        <v>#VALUE!</v>
      </c>
    </row>
    <row r="288" customFormat="false" ht="14.25" hidden="false" customHeight="true" outlineLevel="0" collapsed="false">
      <c r="A288" s="118" t="s">
        <v>1005</v>
      </c>
      <c r="B288" s="118" t="str">
        <f aca="false">CONCATENATE(C288&amp;D288)</f>
        <v>3"287</v>
      </c>
      <c r="C288" s="118" t="s">
        <v>51</v>
      </c>
      <c r="D288" s="152" t="n">
        <f aca="false">D287+1</f>
        <v>287</v>
      </c>
      <c r="E288" s="118" t="e">
        <f aca="false">CEILING(D288/12;1)</f>
        <v>#VALUE!</v>
      </c>
      <c r="F288" s="118" t="e">
        <f aca="false">E288*$F$1</f>
        <v>#VALUE!</v>
      </c>
    </row>
    <row r="289" customFormat="false" ht="14.25" hidden="false" customHeight="true" outlineLevel="0" collapsed="false">
      <c r="A289" s="118" t="s">
        <v>1005</v>
      </c>
      <c r="B289" s="118" t="str">
        <f aca="false">CONCATENATE(C289&amp;D289)</f>
        <v>3"288</v>
      </c>
      <c r="C289" s="118" t="s">
        <v>51</v>
      </c>
      <c r="D289" s="152" t="n">
        <f aca="false">D288+1</f>
        <v>288</v>
      </c>
      <c r="E289" s="118" t="e">
        <f aca="false">CEILING(D289/12;1)</f>
        <v>#VALUE!</v>
      </c>
      <c r="F289" s="118" t="e">
        <f aca="false">E289*$F$1</f>
        <v>#VALUE!</v>
      </c>
    </row>
    <row r="290" customFormat="false" ht="14.25" hidden="false" customHeight="true" outlineLevel="0" collapsed="false">
      <c r="A290" s="118" t="s">
        <v>1005</v>
      </c>
      <c r="B290" s="118" t="str">
        <f aca="false">CONCATENATE(C290&amp;D290)</f>
        <v>3"289</v>
      </c>
      <c r="C290" s="118" t="s">
        <v>51</v>
      </c>
      <c r="D290" s="152" t="n">
        <f aca="false">D289+1</f>
        <v>289</v>
      </c>
      <c r="E290" s="118" t="e">
        <f aca="false">CEILING(D290/12;1)</f>
        <v>#VALUE!</v>
      </c>
      <c r="F290" s="118" t="e">
        <f aca="false">E290*$F$1</f>
        <v>#VALUE!</v>
      </c>
    </row>
    <row r="291" customFormat="false" ht="14.25" hidden="false" customHeight="true" outlineLevel="0" collapsed="false">
      <c r="A291" s="118" t="s">
        <v>1005</v>
      </c>
      <c r="B291" s="118" t="str">
        <f aca="false">CONCATENATE(C291&amp;D291)</f>
        <v>3"290</v>
      </c>
      <c r="C291" s="118" t="s">
        <v>51</v>
      </c>
      <c r="D291" s="152" t="n">
        <f aca="false">D290+1</f>
        <v>290</v>
      </c>
      <c r="E291" s="118" t="e">
        <f aca="false">CEILING(D291/12;1)</f>
        <v>#VALUE!</v>
      </c>
      <c r="F291" s="118" t="e">
        <f aca="false">E291*$F$1</f>
        <v>#VALUE!</v>
      </c>
    </row>
    <row r="292" customFormat="false" ht="14.25" hidden="false" customHeight="true" outlineLevel="0" collapsed="false">
      <c r="A292" s="118" t="s">
        <v>1005</v>
      </c>
      <c r="B292" s="118" t="str">
        <f aca="false">CONCATENATE(C292&amp;D292)</f>
        <v>3"291</v>
      </c>
      <c r="C292" s="118" t="s">
        <v>51</v>
      </c>
      <c r="D292" s="152" t="n">
        <f aca="false">D291+1</f>
        <v>291</v>
      </c>
      <c r="E292" s="118" t="e">
        <f aca="false">CEILING(D292/12;1)</f>
        <v>#VALUE!</v>
      </c>
      <c r="F292" s="118" t="e">
        <f aca="false">E292*$F$1</f>
        <v>#VALUE!</v>
      </c>
    </row>
    <row r="293" customFormat="false" ht="14.25" hidden="false" customHeight="true" outlineLevel="0" collapsed="false">
      <c r="A293" s="118" t="s">
        <v>1005</v>
      </c>
      <c r="B293" s="118" t="str">
        <f aca="false">CONCATENATE(C293&amp;D293)</f>
        <v>3"292</v>
      </c>
      <c r="C293" s="118" t="s">
        <v>51</v>
      </c>
      <c r="D293" s="152" t="n">
        <f aca="false">D292+1</f>
        <v>292</v>
      </c>
      <c r="E293" s="118" t="e">
        <f aca="false">CEILING(D293/12;1)</f>
        <v>#VALUE!</v>
      </c>
      <c r="F293" s="118" t="e">
        <f aca="false">E293*$F$1</f>
        <v>#VALUE!</v>
      </c>
    </row>
    <row r="294" customFormat="false" ht="14.25" hidden="false" customHeight="true" outlineLevel="0" collapsed="false">
      <c r="A294" s="118" t="s">
        <v>1005</v>
      </c>
      <c r="B294" s="118" t="str">
        <f aca="false">CONCATENATE(C294&amp;D294)</f>
        <v>3"293</v>
      </c>
      <c r="C294" s="118" t="s">
        <v>51</v>
      </c>
      <c r="D294" s="152" t="n">
        <f aca="false">D293+1</f>
        <v>293</v>
      </c>
      <c r="E294" s="118" t="e">
        <f aca="false">CEILING(D294/12;1)</f>
        <v>#VALUE!</v>
      </c>
      <c r="F294" s="118" t="e">
        <f aca="false">E294*$F$1</f>
        <v>#VALUE!</v>
      </c>
    </row>
    <row r="295" customFormat="false" ht="14.25" hidden="false" customHeight="true" outlineLevel="0" collapsed="false">
      <c r="A295" s="118" t="s">
        <v>1005</v>
      </c>
      <c r="B295" s="118" t="str">
        <f aca="false">CONCATENATE(C295&amp;D295)</f>
        <v>3"294</v>
      </c>
      <c r="C295" s="118" t="s">
        <v>51</v>
      </c>
      <c r="D295" s="152" t="n">
        <f aca="false">D294+1</f>
        <v>294</v>
      </c>
      <c r="E295" s="118" t="e">
        <f aca="false">CEILING(D295/12;1)</f>
        <v>#VALUE!</v>
      </c>
      <c r="F295" s="118" t="e">
        <f aca="false">E295*$F$1</f>
        <v>#VALUE!</v>
      </c>
    </row>
    <row r="296" customFormat="false" ht="14.25" hidden="false" customHeight="true" outlineLevel="0" collapsed="false">
      <c r="A296" s="118" t="s">
        <v>1005</v>
      </c>
      <c r="B296" s="118" t="str">
        <f aca="false">CONCATENATE(C296&amp;D296)</f>
        <v>3"295</v>
      </c>
      <c r="C296" s="118" t="s">
        <v>51</v>
      </c>
      <c r="D296" s="152" t="n">
        <f aca="false">D295+1</f>
        <v>295</v>
      </c>
      <c r="E296" s="118" t="e">
        <f aca="false">CEILING(D296/12;1)</f>
        <v>#VALUE!</v>
      </c>
      <c r="F296" s="118" t="e">
        <f aca="false">E296*$F$1</f>
        <v>#VALUE!</v>
      </c>
    </row>
    <row r="297" customFormat="false" ht="14.25" hidden="false" customHeight="true" outlineLevel="0" collapsed="false">
      <c r="A297" s="118" t="s">
        <v>1005</v>
      </c>
      <c r="B297" s="118" t="str">
        <f aca="false">CONCATENATE(C297&amp;D297)</f>
        <v>3"296</v>
      </c>
      <c r="C297" s="118" t="s">
        <v>51</v>
      </c>
      <c r="D297" s="152" t="n">
        <f aca="false">D296+1</f>
        <v>296</v>
      </c>
      <c r="E297" s="118" t="e">
        <f aca="false">CEILING(D297/12;1)</f>
        <v>#VALUE!</v>
      </c>
      <c r="F297" s="118" t="e">
        <f aca="false">E297*$F$1</f>
        <v>#VALUE!</v>
      </c>
    </row>
    <row r="298" customFormat="false" ht="14.25" hidden="false" customHeight="true" outlineLevel="0" collapsed="false">
      <c r="A298" s="118" t="s">
        <v>1005</v>
      </c>
      <c r="B298" s="118" t="str">
        <f aca="false">CONCATENATE(C298&amp;D298)</f>
        <v>3"297</v>
      </c>
      <c r="C298" s="118" t="s">
        <v>51</v>
      </c>
      <c r="D298" s="152" t="n">
        <f aca="false">D297+1</f>
        <v>297</v>
      </c>
      <c r="E298" s="118" t="e">
        <f aca="false">CEILING(D298/12;1)</f>
        <v>#VALUE!</v>
      </c>
      <c r="F298" s="118" t="e">
        <f aca="false">E298*$F$1</f>
        <v>#VALUE!</v>
      </c>
    </row>
    <row r="299" customFormat="false" ht="14.25" hidden="false" customHeight="true" outlineLevel="0" collapsed="false">
      <c r="A299" s="118" t="s">
        <v>1005</v>
      </c>
      <c r="B299" s="118" t="str">
        <f aca="false">CONCATENATE(C299&amp;D299)</f>
        <v>3"298</v>
      </c>
      <c r="C299" s="118" t="s">
        <v>51</v>
      </c>
      <c r="D299" s="152" t="n">
        <f aca="false">D298+1</f>
        <v>298</v>
      </c>
      <c r="E299" s="118" t="e">
        <f aca="false">CEILING(D299/12;1)</f>
        <v>#VALUE!</v>
      </c>
      <c r="F299" s="118" t="e">
        <f aca="false">E299*$F$1</f>
        <v>#VALUE!</v>
      </c>
    </row>
    <row r="300" customFormat="false" ht="14.25" hidden="false" customHeight="true" outlineLevel="0" collapsed="false">
      <c r="A300" s="118" t="s">
        <v>1005</v>
      </c>
      <c r="B300" s="118" t="str">
        <f aca="false">CONCATENATE(C300&amp;D300)</f>
        <v>3"299</v>
      </c>
      <c r="C300" s="118" t="s">
        <v>51</v>
      </c>
      <c r="D300" s="152" t="n">
        <f aca="false">D299+1</f>
        <v>299</v>
      </c>
      <c r="E300" s="118" t="e">
        <f aca="false">CEILING(D300/12;1)</f>
        <v>#VALUE!</v>
      </c>
      <c r="F300" s="118" t="e">
        <f aca="false">E300*$F$1</f>
        <v>#VALUE!</v>
      </c>
    </row>
    <row r="301" customFormat="false" ht="14.25" hidden="false" customHeight="true" outlineLevel="0" collapsed="false">
      <c r="A301" s="118" t="s">
        <v>1005</v>
      </c>
      <c r="B301" s="118" t="str">
        <f aca="false">CONCATENATE(C301&amp;D301)</f>
        <v>3"300</v>
      </c>
      <c r="C301" s="118" t="s">
        <v>51</v>
      </c>
      <c r="D301" s="152" t="n">
        <f aca="false">D300+1</f>
        <v>300</v>
      </c>
      <c r="E301" s="118" t="e">
        <f aca="false">CEILING(D301/12;1)</f>
        <v>#VALUE!</v>
      </c>
      <c r="F301" s="118" t="e">
        <f aca="false">E301*$F$1</f>
        <v>#VALUE!</v>
      </c>
    </row>
    <row r="302" customFormat="false" ht="14.25" hidden="false" customHeight="true" outlineLevel="0" collapsed="false">
      <c r="A302" s="118" t="s">
        <v>1005</v>
      </c>
      <c r="B302" s="118" t="str">
        <f aca="false">CONCATENATE(C302&amp;D302)</f>
        <v>3"301</v>
      </c>
      <c r="C302" s="118" t="s">
        <v>51</v>
      </c>
      <c r="D302" s="152" t="n">
        <f aca="false">D301+1</f>
        <v>301</v>
      </c>
      <c r="E302" s="118" t="e">
        <f aca="false">CEILING(D302/12;1)</f>
        <v>#VALUE!</v>
      </c>
      <c r="F302" s="118" t="e">
        <f aca="false">E302*$F$1</f>
        <v>#VALUE!</v>
      </c>
    </row>
    <row r="303" customFormat="false" ht="14.25" hidden="false" customHeight="true" outlineLevel="0" collapsed="false">
      <c r="A303" s="118" t="s">
        <v>1005</v>
      </c>
      <c r="B303" s="118" t="str">
        <f aca="false">CONCATENATE(C303&amp;D303)</f>
        <v>3"302</v>
      </c>
      <c r="C303" s="118" t="s">
        <v>51</v>
      </c>
      <c r="D303" s="152" t="n">
        <f aca="false">D302+1</f>
        <v>302</v>
      </c>
      <c r="E303" s="118" t="e">
        <f aca="false">CEILING(D303/12;1)</f>
        <v>#VALUE!</v>
      </c>
      <c r="F303" s="118" t="e">
        <f aca="false">E303*$F$1</f>
        <v>#VALUE!</v>
      </c>
    </row>
    <row r="304" customFormat="false" ht="14.25" hidden="false" customHeight="true" outlineLevel="0" collapsed="false">
      <c r="A304" s="118" t="s">
        <v>1005</v>
      </c>
      <c r="B304" s="118" t="str">
        <f aca="false">CONCATENATE(C304&amp;D304)</f>
        <v>3"303</v>
      </c>
      <c r="C304" s="118" t="s">
        <v>51</v>
      </c>
      <c r="D304" s="152" t="n">
        <f aca="false">D303+1</f>
        <v>303</v>
      </c>
      <c r="E304" s="118" t="e">
        <f aca="false">CEILING(D304/12;1)</f>
        <v>#VALUE!</v>
      </c>
      <c r="F304" s="118" t="e">
        <f aca="false">E304*$F$1</f>
        <v>#VALUE!</v>
      </c>
    </row>
    <row r="305" customFormat="false" ht="14.25" hidden="false" customHeight="true" outlineLevel="0" collapsed="false">
      <c r="A305" s="118" t="s">
        <v>1005</v>
      </c>
      <c r="B305" s="118" t="str">
        <f aca="false">CONCATENATE(C305&amp;D305)</f>
        <v>3"304</v>
      </c>
      <c r="C305" s="118" t="s">
        <v>51</v>
      </c>
      <c r="D305" s="152" t="n">
        <f aca="false">D304+1</f>
        <v>304</v>
      </c>
      <c r="E305" s="118" t="e">
        <f aca="false">CEILING(D305/12;1)</f>
        <v>#VALUE!</v>
      </c>
      <c r="F305" s="118" t="e">
        <f aca="false">E305*$F$1</f>
        <v>#VALUE!</v>
      </c>
    </row>
    <row r="306" customFormat="false" ht="14.25" hidden="false" customHeight="true" outlineLevel="0" collapsed="false">
      <c r="A306" s="118" t="s">
        <v>1005</v>
      </c>
      <c r="B306" s="118" t="str">
        <f aca="false">CONCATENATE(C306&amp;D306)</f>
        <v>3"305</v>
      </c>
      <c r="C306" s="118" t="s">
        <v>51</v>
      </c>
      <c r="D306" s="152" t="n">
        <f aca="false">D305+1</f>
        <v>305</v>
      </c>
      <c r="E306" s="118" t="e">
        <f aca="false">CEILING(D306/12;1)</f>
        <v>#VALUE!</v>
      </c>
      <c r="F306" s="118" t="e">
        <f aca="false">E306*$F$1</f>
        <v>#VALUE!</v>
      </c>
    </row>
    <row r="307" customFormat="false" ht="14.25" hidden="false" customHeight="true" outlineLevel="0" collapsed="false">
      <c r="A307" s="118" t="s">
        <v>1005</v>
      </c>
      <c r="B307" s="118" t="str">
        <f aca="false">CONCATENATE(C307&amp;D307)</f>
        <v>3"306</v>
      </c>
      <c r="C307" s="118" t="s">
        <v>51</v>
      </c>
      <c r="D307" s="152" t="n">
        <f aca="false">D306+1</f>
        <v>306</v>
      </c>
      <c r="E307" s="118" t="e">
        <f aca="false">CEILING(D307/12;1)</f>
        <v>#VALUE!</v>
      </c>
      <c r="F307" s="118" t="e">
        <f aca="false">E307*$F$1</f>
        <v>#VALUE!</v>
      </c>
    </row>
    <row r="308" customFormat="false" ht="14.25" hidden="false" customHeight="true" outlineLevel="0" collapsed="false">
      <c r="A308" s="118" t="s">
        <v>1005</v>
      </c>
      <c r="B308" s="118" t="str">
        <f aca="false">CONCATENATE(C308&amp;D308)</f>
        <v>3"307</v>
      </c>
      <c r="C308" s="118" t="s">
        <v>51</v>
      </c>
      <c r="D308" s="152" t="n">
        <f aca="false">D307+1</f>
        <v>307</v>
      </c>
      <c r="E308" s="118" t="e">
        <f aca="false">CEILING(D308/12;1)</f>
        <v>#VALUE!</v>
      </c>
      <c r="F308" s="118" t="e">
        <f aca="false">E308*$F$1</f>
        <v>#VALUE!</v>
      </c>
    </row>
    <row r="309" customFormat="false" ht="14.25" hidden="false" customHeight="true" outlineLevel="0" collapsed="false">
      <c r="A309" s="118" t="s">
        <v>1005</v>
      </c>
      <c r="B309" s="118" t="str">
        <f aca="false">CONCATENATE(C309&amp;D309)</f>
        <v>3"308</v>
      </c>
      <c r="C309" s="118" t="s">
        <v>51</v>
      </c>
      <c r="D309" s="152" t="n">
        <f aca="false">D308+1</f>
        <v>308</v>
      </c>
      <c r="E309" s="118" t="e">
        <f aca="false">CEILING(D309/12;1)</f>
        <v>#VALUE!</v>
      </c>
      <c r="F309" s="118" t="e">
        <f aca="false">E309*$F$1</f>
        <v>#VALUE!</v>
      </c>
    </row>
    <row r="310" customFormat="false" ht="14.25" hidden="false" customHeight="true" outlineLevel="0" collapsed="false">
      <c r="A310" s="118" t="s">
        <v>1005</v>
      </c>
      <c r="B310" s="118" t="str">
        <f aca="false">CONCATENATE(C310&amp;D310)</f>
        <v>3"309</v>
      </c>
      <c r="C310" s="118" t="s">
        <v>51</v>
      </c>
      <c r="D310" s="152" t="n">
        <f aca="false">D309+1</f>
        <v>309</v>
      </c>
      <c r="E310" s="118" t="e">
        <f aca="false">CEILING(D310/12;1)</f>
        <v>#VALUE!</v>
      </c>
      <c r="F310" s="118" t="e">
        <f aca="false">E310*$F$1</f>
        <v>#VALUE!</v>
      </c>
    </row>
    <row r="311" customFormat="false" ht="14.25" hidden="false" customHeight="true" outlineLevel="0" collapsed="false">
      <c r="A311" s="118" t="s">
        <v>1005</v>
      </c>
      <c r="B311" s="118" t="str">
        <f aca="false">CONCATENATE(C311&amp;D311)</f>
        <v>3"310</v>
      </c>
      <c r="C311" s="118" t="s">
        <v>51</v>
      </c>
      <c r="D311" s="152" t="n">
        <f aca="false">D310+1</f>
        <v>310</v>
      </c>
      <c r="E311" s="118" t="e">
        <f aca="false">CEILING(D311/12;1)</f>
        <v>#VALUE!</v>
      </c>
      <c r="F311" s="118" t="e">
        <f aca="false">E311*$F$1</f>
        <v>#VALUE!</v>
      </c>
    </row>
    <row r="312" customFormat="false" ht="14.25" hidden="false" customHeight="true" outlineLevel="0" collapsed="false">
      <c r="A312" s="118" t="s">
        <v>1005</v>
      </c>
      <c r="B312" s="118" t="str">
        <f aca="false">CONCATENATE(C312&amp;D312)</f>
        <v>3"311</v>
      </c>
      <c r="C312" s="118" t="s">
        <v>51</v>
      </c>
      <c r="D312" s="152" t="n">
        <f aca="false">D311+1</f>
        <v>311</v>
      </c>
      <c r="E312" s="118" t="e">
        <f aca="false">CEILING(D312/12;1)</f>
        <v>#VALUE!</v>
      </c>
      <c r="F312" s="118" t="e">
        <f aca="false">E312*$F$1</f>
        <v>#VALUE!</v>
      </c>
    </row>
    <row r="313" customFormat="false" ht="14.25" hidden="false" customHeight="true" outlineLevel="0" collapsed="false">
      <c r="A313" s="118" t="s">
        <v>1005</v>
      </c>
      <c r="B313" s="118" t="str">
        <f aca="false">CONCATENATE(C313&amp;D313)</f>
        <v>3"312</v>
      </c>
      <c r="C313" s="118" t="s">
        <v>51</v>
      </c>
      <c r="D313" s="152" t="n">
        <f aca="false">D312+1</f>
        <v>312</v>
      </c>
      <c r="E313" s="118" t="e">
        <f aca="false">CEILING(D313/12;1)</f>
        <v>#VALUE!</v>
      </c>
      <c r="F313" s="118" t="e">
        <f aca="false">E313*$F$1</f>
        <v>#VALUE!</v>
      </c>
    </row>
    <row r="314" customFormat="false" ht="14.25" hidden="false" customHeight="true" outlineLevel="0" collapsed="false">
      <c r="A314" s="118" t="s">
        <v>1005</v>
      </c>
      <c r="B314" s="118" t="str">
        <f aca="false">CONCATENATE(C314&amp;D314)</f>
        <v>3"313</v>
      </c>
      <c r="C314" s="118" t="s">
        <v>51</v>
      </c>
      <c r="D314" s="152" t="n">
        <f aca="false">D313+1</f>
        <v>313</v>
      </c>
      <c r="E314" s="118" t="e">
        <f aca="false">CEILING(D314/12;1)</f>
        <v>#VALUE!</v>
      </c>
      <c r="F314" s="118" t="e">
        <f aca="false">E314*$F$1</f>
        <v>#VALUE!</v>
      </c>
    </row>
    <row r="315" customFormat="false" ht="14.25" hidden="false" customHeight="true" outlineLevel="0" collapsed="false">
      <c r="A315" s="118" t="s">
        <v>1005</v>
      </c>
      <c r="B315" s="118" t="str">
        <f aca="false">CONCATENATE(C315&amp;D315)</f>
        <v>3"314</v>
      </c>
      <c r="C315" s="118" t="s">
        <v>51</v>
      </c>
      <c r="D315" s="152" t="n">
        <f aca="false">D314+1</f>
        <v>314</v>
      </c>
      <c r="E315" s="118" t="e">
        <f aca="false">CEILING(D315/12;1)</f>
        <v>#VALUE!</v>
      </c>
      <c r="F315" s="118" t="e">
        <f aca="false">E315*$F$1</f>
        <v>#VALUE!</v>
      </c>
    </row>
    <row r="316" customFormat="false" ht="14.25" hidden="false" customHeight="true" outlineLevel="0" collapsed="false">
      <c r="A316" s="118" t="s">
        <v>1005</v>
      </c>
      <c r="B316" s="118" t="str">
        <f aca="false">CONCATENATE(C316&amp;D316)</f>
        <v>3"315</v>
      </c>
      <c r="C316" s="118" t="s">
        <v>51</v>
      </c>
      <c r="D316" s="152" t="n">
        <f aca="false">D315+1</f>
        <v>315</v>
      </c>
      <c r="E316" s="118" t="e">
        <f aca="false">CEILING(D316/12;1)</f>
        <v>#VALUE!</v>
      </c>
      <c r="F316" s="118" t="e">
        <f aca="false">E316*$F$1</f>
        <v>#VALUE!</v>
      </c>
    </row>
    <row r="317" customFormat="false" ht="14.25" hidden="false" customHeight="true" outlineLevel="0" collapsed="false">
      <c r="A317" s="118" t="s">
        <v>1005</v>
      </c>
      <c r="B317" s="118" t="str">
        <f aca="false">CONCATENATE(C317&amp;D317)</f>
        <v>3"316</v>
      </c>
      <c r="C317" s="118" t="s">
        <v>51</v>
      </c>
      <c r="D317" s="152" t="n">
        <f aca="false">D316+1</f>
        <v>316</v>
      </c>
      <c r="E317" s="118" t="e">
        <f aca="false">CEILING(D317/12;1)</f>
        <v>#VALUE!</v>
      </c>
      <c r="F317" s="118" t="e">
        <f aca="false">E317*$F$1</f>
        <v>#VALUE!</v>
      </c>
    </row>
    <row r="318" customFormat="false" ht="14.25" hidden="false" customHeight="true" outlineLevel="0" collapsed="false">
      <c r="A318" s="118" t="s">
        <v>1005</v>
      </c>
      <c r="B318" s="118" t="str">
        <f aca="false">CONCATENATE(C318&amp;D318)</f>
        <v>3"317</v>
      </c>
      <c r="C318" s="118" t="s">
        <v>51</v>
      </c>
      <c r="D318" s="152" t="n">
        <f aca="false">D317+1</f>
        <v>317</v>
      </c>
      <c r="E318" s="118" t="e">
        <f aca="false">CEILING(D318/12;1)</f>
        <v>#VALUE!</v>
      </c>
      <c r="F318" s="118" t="e">
        <f aca="false">E318*$F$1</f>
        <v>#VALUE!</v>
      </c>
    </row>
    <row r="319" customFormat="false" ht="14.25" hidden="false" customHeight="true" outlineLevel="0" collapsed="false">
      <c r="A319" s="118" t="s">
        <v>1005</v>
      </c>
      <c r="B319" s="118" t="str">
        <f aca="false">CONCATENATE(C319&amp;D319)</f>
        <v>3"318</v>
      </c>
      <c r="C319" s="118" t="s">
        <v>51</v>
      </c>
      <c r="D319" s="152" t="n">
        <f aca="false">D318+1</f>
        <v>318</v>
      </c>
      <c r="E319" s="118" t="e">
        <f aca="false">CEILING(D319/12;1)</f>
        <v>#VALUE!</v>
      </c>
      <c r="F319" s="118" t="e">
        <f aca="false">E319*$F$1</f>
        <v>#VALUE!</v>
      </c>
    </row>
    <row r="320" customFormat="false" ht="14.25" hidden="false" customHeight="true" outlineLevel="0" collapsed="false">
      <c r="A320" s="118" t="s">
        <v>1005</v>
      </c>
      <c r="B320" s="118" t="str">
        <f aca="false">CONCATENATE(C320&amp;D320)</f>
        <v>3"319</v>
      </c>
      <c r="C320" s="118" t="s">
        <v>51</v>
      </c>
      <c r="D320" s="152" t="n">
        <f aca="false">D319+1</f>
        <v>319</v>
      </c>
      <c r="E320" s="118" t="e">
        <f aca="false">CEILING(D320/12;1)</f>
        <v>#VALUE!</v>
      </c>
      <c r="F320" s="118" t="e">
        <f aca="false">E320*$F$1</f>
        <v>#VALUE!</v>
      </c>
    </row>
    <row r="321" customFormat="false" ht="14.25" hidden="false" customHeight="true" outlineLevel="0" collapsed="false">
      <c r="A321" s="118" t="s">
        <v>1005</v>
      </c>
      <c r="B321" s="118" t="str">
        <f aca="false">CONCATENATE(C321&amp;D321)</f>
        <v>3"320</v>
      </c>
      <c r="C321" s="118" t="s">
        <v>51</v>
      </c>
      <c r="D321" s="152" t="n">
        <f aca="false">D320+1</f>
        <v>320</v>
      </c>
      <c r="E321" s="118" t="e">
        <f aca="false">CEILING(D321/12;1)</f>
        <v>#VALUE!</v>
      </c>
      <c r="F321" s="118" t="e">
        <f aca="false">E321*$F$1</f>
        <v>#VALUE!</v>
      </c>
    </row>
    <row r="322" customFormat="false" ht="14.25" hidden="false" customHeight="true" outlineLevel="0" collapsed="false">
      <c r="A322" s="118" t="s">
        <v>1005</v>
      </c>
      <c r="B322" s="118" t="str">
        <f aca="false">CONCATENATE(C322&amp;D322)</f>
        <v>3"321</v>
      </c>
      <c r="C322" s="118" t="s">
        <v>51</v>
      </c>
      <c r="D322" s="152" t="n">
        <f aca="false">D321+1</f>
        <v>321</v>
      </c>
      <c r="E322" s="118" t="e">
        <f aca="false">CEILING(D322/12;1)</f>
        <v>#VALUE!</v>
      </c>
      <c r="F322" s="118" t="e">
        <f aca="false">E322*$F$1</f>
        <v>#VALUE!</v>
      </c>
    </row>
    <row r="323" customFormat="false" ht="14.25" hidden="false" customHeight="true" outlineLevel="0" collapsed="false">
      <c r="A323" s="118" t="s">
        <v>1005</v>
      </c>
      <c r="B323" s="118" t="str">
        <f aca="false">CONCATENATE(C323&amp;D323)</f>
        <v>3"322</v>
      </c>
      <c r="C323" s="118" t="s">
        <v>51</v>
      </c>
      <c r="D323" s="152" t="n">
        <f aca="false">D322+1</f>
        <v>322</v>
      </c>
      <c r="E323" s="118" t="e">
        <f aca="false">CEILING(D323/12;1)</f>
        <v>#VALUE!</v>
      </c>
      <c r="F323" s="118" t="e">
        <f aca="false">E323*$F$1</f>
        <v>#VALUE!</v>
      </c>
    </row>
    <row r="324" customFormat="false" ht="14.25" hidden="false" customHeight="true" outlineLevel="0" collapsed="false">
      <c r="A324" s="118" t="s">
        <v>1005</v>
      </c>
      <c r="B324" s="118" t="str">
        <f aca="false">CONCATENATE(C324&amp;D324)</f>
        <v>3"323</v>
      </c>
      <c r="C324" s="118" t="s">
        <v>51</v>
      </c>
      <c r="D324" s="152" t="n">
        <f aca="false">D323+1</f>
        <v>323</v>
      </c>
      <c r="E324" s="118" t="e">
        <f aca="false">CEILING(D324/12;1)</f>
        <v>#VALUE!</v>
      </c>
      <c r="F324" s="118" t="e">
        <f aca="false">E324*$F$1</f>
        <v>#VALUE!</v>
      </c>
    </row>
    <row r="325" customFormat="false" ht="14.25" hidden="false" customHeight="true" outlineLevel="0" collapsed="false">
      <c r="A325" s="118" t="s">
        <v>1005</v>
      </c>
      <c r="B325" s="118" t="str">
        <f aca="false">CONCATENATE(C325&amp;D325)</f>
        <v>3"324</v>
      </c>
      <c r="C325" s="118" t="s">
        <v>51</v>
      </c>
      <c r="D325" s="152" t="n">
        <f aca="false">D324+1</f>
        <v>324</v>
      </c>
      <c r="E325" s="118" t="e">
        <f aca="false">CEILING(D325/12;1)</f>
        <v>#VALUE!</v>
      </c>
      <c r="F325" s="118" t="e">
        <f aca="false">E325*$F$1</f>
        <v>#VALUE!</v>
      </c>
    </row>
    <row r="326" customFormat="false" ht="14.25" hidden="false" customHeight="true" outlineLevel="0" collapsed="false">
      <c r="A326" s="118" t="s">
        <v>1005</v>
      </c>
      <c r="B326" s="118" t="str">
        <f aca="false">CONCATENATE(C326&amp;D326)</f>
        <v>3"325</v>
      </c>
      <c r="C326" s="118" t="s">
        <v>51</v>
      </c>
      <c r="D326" s="152" t="n">
        <f aca="false">D325+1</f>
        <v>325</v>
      </c>
      <c r="E326" s="118" t="e">
        <f aca="false">CEILING(D326/12;1)</f>
        <v>#VALUE!</v>
      </c>
      <c r="F326" s="118" t="e">
        <f aca="false">E326*$F$1</f>
        <v>#VALUE!</v>
      </c>
    </row>
    <row r="327" customFormat="false" ht="14.25" hidden="false" customHeight="true" outlineLevel="0" collapsed="false">
      <c r="A327" s="118" t="s">
        <v>1005</v>
      </c>
      <c r="B327" s="118" t="str">
        <f aca="false">CONCATENATE(C327&amp;D327)</f>
        <v>3"326</v>
      </c>
      <c r="C327" s="118" t="s">
        <v>51</v>
      </c>
      <c r="D327" s="152" t="n">
        <f aca="false">D326+1</f>
        <v>326</v>
      </c>
      <c r="E327" s="118" t="e">
        <f aca="false">CEILING(D327/12;1)</f>
        <v>#VALUE!</v>
      </c>
      <c r="F327" s="118" t="e">
        <f aca="false">E327*$F$1</f>
        <v>#VALUE!</v>
      </c>
    </row>
    <row r="328" customFormat="false" ht="14.25" hidden="false" customHeight="true" outlineLevel="0" collapsed="false">
      <c r="A328" s="118" t="s">
        <v>1005</v>
      </c>
      <c r="B328" s="118" t="str">
        <f aca="false">CONCATENATE(C328&amp;D328)</f>
        <v>3"327</v>
      </c>
      <c r="C328" s="118" t="s">
        <v>51</v>
      </c>
      <c r="D328" s="152" t="n">
        <f aca="false">D327+1</f>
        <v>327</v>
      </c>
      <c r="E328" s="118" t="e">
        <f aca="false">CEILING(D328/12;1)</f>
        <v>#VALUE!</v>
      </c>
      <c r="F328" s="118" t="e">
        <f aca="false">E328*$F$1</f>
        <v>#VALUE!</v>
      </c>
    </row>
    <row r="329" customFormat="false" ht="14.25" hidden="false" customHeight="true" outlineLevel="0" collapsed="false">
      <c r="A329" s="118" t="s">
        <v>1005</v>
      </c>
      <c r="B329" s="118" t="str">
        <f aca="false">CONCATENATE(C329&amp;D329)</f>
        <v>3"328</v>
      </c>
      <c r="C329" s="118" t="s">
        <v>51</v>
      </c>
      <c r="D329" s="152" t="n">
        <f aca="false">D328+1</f>
        <v>328</v>
      </c>
      <c r="E329" s="118" t="e">
        <f aca="false">CEILING(D329/12;1)</f>
        <v>#VALUE!</v>
      </c>
      <c r="F329" s="118" t="e">
        <f aca="false">E329*$F$1</f>
        <v>#VALUE!</v>
      </c>
    </row>
    <row r="330" customFormat="false" ht="14.25" hidden="false" customHeight="true" outlineLevel="0" collapsed="false">
      <c r="A330" s="118" t="s">
        <v>1005</v>
      </c>
      <c r="B330" s="118" t="str">
        <f aca="false">CONCATENATE(C330&amp;D330)</f>
        <v>3"329</v>
      </c>
      <c r="C330" s="118" t="s">
        <v>51</v>
      </c>
      <c r="D330" s="152" t="n">
        <f aca="false">D329+1</f>
        <v>329</v>
      </c>
      <c r="E330" s="118" t="e">
        <f aca="false">CEILING(D330/12;1)</f>
        <v>#VALUE!</v>
      </c>
      <c r="F330" s="118" t="e">
        <f aca="false">E330*$F$1</f>
        <v>#VALUE!</v>
      </c>
    </row>
    <row r="331" customFormat="false" ht="14.25" hidden="false" customHeight="true" outlineLevel="0" collapsed="false">
      <c r="A331" s="118" t="s">
        <v>1005</v>
      </c>
      <c r="B331" s="118" t="str">
        <f aca="false">CONCATENATE(C331&amp;D331)</f>
        <v>3"330</v>
      </c>
      <c r="C331" s="118" t="s">
        <v>51</v>
      </c>
      <c r="D331" s="152" t="n">
        <f aca="false">D330+1</f>
        <v>330</v>
      </c>
      <c r="E331" s="118" t="e">
        <f aca="false">CEILING(D331/12;1)</f>
        <v>#VALUE!</v>
      </c>
      <c r="F331" s="118" t="e">
        <f aca="false">E331*$F$1</f>
        <v>#VALUE!</v>
      </c>
    </row>
    <row r="332" customFormat="false" ht="14.25" hidden="false" customHeight="true" outlineLevel="0" collapsed="false">
      <c r="A332" s="118" t="s">
        <v>1005</v>
      </c>
      <c r="B332" s="118" t="str">
        <f aca="false">CONCATENATE(C332&amp;D332)</f>
        <v>3"331</v>
      </c>
      <c r="C332" s="118" t="s">
        <v>51</v>
      </c>
      <c r="D332" s="152" t="n">
        <f aca="false">D331+1</f>
        <v>331</v>
      </c>
      <c r="E332" s="118" t="e">
        <f aca="false">CEILING(D332/12;1)</f>
        <v>#VALUE!</v>
      </c>
      <c r="F332" s="118" t="e">
        <f aca="false">E332*$F$1</f>
        <v>#VALUE!</v>
      </c>
    </row>
    <row r="333" customFormat="false" ht="14.25" hidden="false" customHeight="true" outlineLevel="0" collapsed="false">
      <c r="A333" s="118" t="s">
        <v>1005</v>
      </c>
      <c r="B333" s="118" t="str">
        <f aca="false">CONCATENATE(C333&amp;D333)</f>
        <v>3"332</v>
      </c>
      <c r="C333" s="118" t="s">
        <v>51</v>
      </c>
      <c r="D333" s="152" t="n">
        <f aca="false">D332+1</f>
        <v>332</v>
      </c>
      <c r="E333" s="118" t="e">
        <f aca="false">CEILING(D333/12;1)</f>
        <v>#VALUE!</v>
      </c>
      <c r="F333" s="118" t="e">
        <f aca="false">E333*$F$1</f>
        <v>#VALUE!</v>
      </c>
    </row>
    <row r="334" customFormat="false" ht="14.25" hidden="false" customHeight="true" outlineLevel="0" collapsed="false">
      <c r="A334" s="118" t="s">
        <v>1005</v>
      </c>
      <c r="B334" s="118" t="str">
        <f aca="false">CONCATENATE(C334&amp;D334)</f>
        <v>3"333</v>
      </c>
      <c r="C334" s="118" t="s">
        <v>51</v>
      </c>
      <c r="D334" s="152" t="n">
        <f aca="false">D333+1</f>
        <v>333</v>
      </c>
      <c r="E334" s="118" t="e">
        <f aca="false">CEILING(D334/12;1)</f>
        <v>#VALUE!</v>
      </c>
      <c r="F334" s="118" t="e">
        <f aca="false">E334*$F$1</f>
        <v>#VALUE!</v>
      </c>
    </row>
    <row r="335" customFormat="false" ht="14.25" hidden="false" customHeight="true" outlineLevel="0" collapsed="false">
      <c r="A335" s="118" t="s">
        <v>1005</v>
      </c>
      <c r="B335" s="118" t="str">
        <f aca="false">CONCATENATE(C335&amp;D335)</f>
        <v>3"334</v>
      </c>
      <c r="C335" s="118" t="s">
        <v>51</v>
      </c>
      <c r="D335" s="152" t="n">
        <f aca="false">D334+1</f>
        <v>334</v>
      </c>
      <c r="E335" s="118" t="e">
        <f aca="false">CEILING(D335/12;1)</f>
        <v>#VALUE!</v>
      </c>
      <c r="F335" s="118" t="e">
        <f aca="false">E335*$F$1</f>
        <v>#VALUE!</v>
      </c>
    </row>
    <row r="336" customFormat="false" ht="14.25" hidden="false" customHeight="true" outlineLevel="0" collapsed="false">
      <c r="A336" s="118" t="s">
        <v>1005</v>
      </c>
      <c r="B336" s="118" t="str">
        <f aca="false">CONCATENATE(C336&amp;D336)</f>
        <v>3"335</v>
      </c>
      <c r="C336" s="118" t="s">
        <v>51</v>
      </c>
      <c r="D336" s="152" t="n">
        <f aca="false">D335+1</f>
        <v>335</v>
      </c>
      <c r="E336" s="118" t="e">
        <f aca="false">CEILING(D336/12;1)</f>
        <v>#VALUE!</v>
      </c>
      <c r="F336" s="118" t="e">
        <f aca="false">E336*$F$1</f>
        <v>#VALUE!</v>
      </c>
    </row>
    <row r="337" customFormat="false" ht="14.25" hidden="false" customHeight="true" outlineLevel="0" collapsed="false">
      <c r="A337" s="118" t="s">
        <v>1005</v>
      </c>
      <c r="B337" s="118" t="str">
        <f aca="false">CONCATENATE(C337&amp;D337)</f>
        <v>3"336</v>
      </c>
      <c r="C337" s="118" t="s">
        <v>51</v>
      </c>
      <c r="D337" s="152" t="n">
        <f aca="false">D336+1</f>
        <v>336</v>
      </c>
      <c r="E337" s="118" t="e">
        <f aca="false">CEILING(D337/12;1)</f>
        <v>#VALUE!</v>
      </c>
      <c r="F337" s="118" t="e">
        <f aca="false">E337*$F$1</f>
        <v>#VALUE!</v>
      </c>
    </row>
    <row r="338" customFormat="false" ht="14.25" hidden="false" customHeight="true" outlineLevel="0" collapsed="false">
      <c r="A338" s="118" t="s">
        <v>1005</v>
      </c>
      <c r="B338" s="118" t="str">
        <f aca="false">CONCATENATE(C338&amp;D338)</f>
        <v>3"337</v>
      </c>
      <c r="C338" s="118" t="s">
        <v>51</v>
      </c>
      <c r="D338" s="152" t="n">
        <f aca="false">D337+1</f>
        <v>337</v>
      </c>
      <c r="E338" s="118" t="e">
        <f aca="false">CEILING(D338/12;1)</f>
        <v>#VALUE!</v>
      </c>
      <c r="F338" s="118" t="e">
        <f aca="false">E338*$F$1</f>
        <v>#VALUE!</v>
      </c>
    </row>
    <row r="339" customFormat="false" ht="14.25" hidden="false" customHeight="true" outlineLevel="0" collapsed="false">
      <c r="A339" s="118" t="s">
        <v>1005</v>
      </c>
      <c r="B339" s="118" t="str">
        <f aca="false">CONCATENATE(C339&amp;D339)</f>
        <v>3"338</v>
      </c>
      <c r="C339" s="118" t="s">
        <v>51</v>
      </c>
      <c r="D339" s="152" t="n">
        <f aca="false">D338+1</f>
        <v>338</v>
      </c>
      <c r="E339" s="118" t="e">
        <f aca="false">CEILING(D339/12;1)</f>
        <v>#VALUE!</v>
      </c>
      <c r="F339" s="118" t="e">
        <f aca="false">E339*$F$1</f>
        <v>#VALUE!</v>
      </c>
    </row>
    <row r="340" customFormat="false" ht="14.25" hidden="false" customHeight="true" outlineLevel="0" collapsed="false">
      <c r="A340" s="118" t="s">
        <v>1005</v>
      </c>
      <c r="B340" s="118" t="str">
        <f aca="false">CONCATENATE(C340&amp;D340)</f>
        <v>3"339</v>
      </c>
      <c r="C340" s="118" t="s">
        <v>51</v>
      </c>
      <c r="D340" s="152" t="n">
        <f aca="false">D339+1</f>
        <v>339</v>
      </c>
      <c r="E340" s="118" t="e">
        <f aca="false">CEILING(D340/12;1)</f>
        <v>#VALUE!</v>
      </c>
      <c r="F340" s="118" t="e">
        <f aca="false">E340*$F$1</f>
        <v>#VALUE!</v>
      </c>
    </row>
    <row r="341" customFormat="false" ht="14.25" hidden="false" customHeight="true" outlineLevel="0" collapsed="false">
      <c r="A341" s="118" t="s">
        <v>1005</v>
      </c>
      <c r="B341" s="118" t="str">
        <f aca="false">CONCATENATE(C341&amp;D341)</f>
        <v>3"340</v>
      </c>
      <c r="C341" s="118" t="s">
        <v>51</v>
      </c>
      <c r="D341" s="152" t="n">
        <f aca="false">D340+1</f>
        <v>340</v>
      </c>
      <c r="E341" s="118" t="e">
        <f aca="false">CEILING(D341/12;1)</f>
        <v>#VALUE!</v>
      </c>
      <c r="F341" s="118" t="e">
        <f aca="false">E341*$F$1</f>
        <v>#VALUE!</v>
      </c>
    </row>
    <row r="342" customFormat="false" ht="14.25" hidden="false" customHeight="true" outlineLevel="0" collapsed="false">
      <c r="A342" s="118" t="s">
        <v>1005</v>
      </c>
      <c r="B342" s="118" t="str">
        <f aca="false">CONCATENATE(C342&amp;D342)</f>
        <v>3"341</v>
      </c>
      <c r="C342" s="118" t="s">
        <v>51</v>
      </c>
      <c r="D342" s="152" t="n">
        <f aca="false">D341+1</f>
        <v>341</v>
      </c>
      <c r="E342" s="118" t="e">
        <f aca="false">CEILING(D342/12;1)</f>
        <v>#VALUE!</v>
      </c>
      <c r="F342" s="118" t="e">
        <f aca="false">E342*$F$1</f>
        <v>#VALUE!</v>
      </c>
    </row>
    <row r="343" customFormat="false" ht="14.25" hidden="false" customHeight="true" outlineLevel="0" collapsed="false">
      <c r="A343" s="118" t="s">
        <v>1005</v>
      </c>
      <c r="B343" s="118" t="str">
        <f aca="false">CONCATENATE(C343&amp;D343)</f>
        <v>3"342</v>
      </c>
      <c r="C343" s="118" t="s">
        <v>51</v>
      </c>
      <c r="D343" s="152" t="n">
        <f aca="false">D342+1</f>
        <v>342</v>
      </c>
      <c r="E343" s="118" t="e">
        <f aca="false">CEILING(D343/12;1)</f>
        <v>#VALUE!</v>
      </c>
      <c r="F343" s="118" t="e">
        <f aca="false">E343*$F$1</f>
        <v>#VALUE!</v>
      </c>
    </row>
    <row r="344" customFormat="false" ht="14.25" hidden="false" customHeight="true" outlineLevel="0" collapsed="false">
      <c r="A344" s="118" t="s">
        <v>1005</v>
      </c>
      <c r="B344" s="118" t="str">
        <f aca="false">CONCATENATE(C344&amp;D344)</f>
        <v>3"343</v>
      </c>
      <c r="C344" s="118" t="s">
        <v>51</v>
      </c>
      <c r="D344" s="152" t="n">
        <f aca="false">D343+1</f>
        <v>343</v>
      </c>
      <c r="E344" s="118" t="e">
        <f aca="false">CEILING(D344/12;1)</f>
        <v>#VALUE!</v>
      </c>
      <c r="F344" s="118" t="e">
        <f aca="false">E344*$F$1</f>
        <v>#VALUE!</v>
      </c>
    </row>
    <row r="345" customFormat="false" ht="14.25" hidden="false" customHeight="true" outlineLevel="0" collapsed="false">
      <c r="A345" s="118" t="s">
        <v>1005</v>
      </c>
      <c r="B345" s="118" t="str">
        <f aca="false">CONCATENATE(C345&amp;D345)</f>
        <v>3"344</v>
      </c>
      <c r="C345" s="118" t="s">
        <v>51</v>
      </c>
      <c r="D345" s="152" t="n">
        <f aca="false">D344+1</f>
        <v>344</v>
      </c>
      <c r="E345" s="118" t="e">
        <f aca="false">CEILING(D345/12;1)</f>
        <v>#VALUE!</v>
      </c>
      <c r="F345" s="118" t="e">
        <f aca="false">E345*$F$1</f>
        <v>#VALUE!</v>
      </c>
    </row>
    <row r="346" customFormat="false" ht="14.25" hidden="false" customHeight="true" outlineLevel="0" collapsed="false">
      <c r="A346" s="118" t="s">
        <v>1005</v>
      </c>
      <c r="B346" s="118" t="str">
        <f aca="false">CONCATENATE(C346&amp;D346)</f>
        <v>3"345</v>
      </c>
      <c r="C346" s="118" t="s">
        <v>51</v>
      </c>
      <c r="D346" s="152" t="n">
        <f aca="false">D345+1</f>
        <v>345</v>
      </c>
      <c r="E346" s="118" t="e">
        <f aca="false">CEILING(D346/12;1)</f>
        <v>#VALUE!</v>
      </c>
      <c r="F346" s="118" t="e">
        <f aca="false">E346*$F$1</f>
        <v>#VALUE!</v>
      </c>
    </row>
    <row r="347" customFormat="false" ht="14.25" hidden="false" customHeight="true" outlineLevel="0" collapsed="false">
      <c r="A347" s="118" t="s">
        <v>1005</v>
      </c>
      <c r="B347" s="118" t="str">
        <f aca="false">CONCATENATE(C347&amp;D347)</f>
        <v>3"346</v>
      </c>
      <c r="C347" s="118" t="s">
        <v>51</v>
      </c>
      <c r="D347" s="152" t="n">
        <f aca="false">D346+1</f>
        <v>346</v>
      </c>
      <c r="E347" s="118" t="e">
        <f aca="false">CEILING(D347/12;1)</f>
        <v>#VALUE!</v>
      </c>
      <c r="F347" s="118" t="e">
        <f aca="false">E347*$F$1</f>
        <v>#VALUE!</v>
      </c>
    </row>
    <row r="348" customFormat="false" ht="14.25" hidden="false" customHeight="true" outlineLevel="0" collapsed="false">
      <c r="A348" s="118" t="s">
        <v>1005</v>
      </c>
      <c r="B348" s="118" t="str">
        <f aca="false">CONCATENATE(C348&amp;D348)</f>
        <v>3"347</v>
      </c>
      <c r="C348" s="118" t="s">
        <v>51</v>
      </c>
      <c r="D348" s="152" t="n">
        <f aca="false">D347+1</f>
        <v>347</v>
      </c>
      <c r="E348" s="118" t="e">
        <f aca="false">CEILING(D348/12;1)</f>
        <v>#VALUE!</v>
      </c>
      <c r="F348" s="118" t="e">
        <f aca="false">E348*$F$1</f>
        <v>#VALUE!</v>
      </c>
    </row>
    <row r="349" customFormat="false" ht="14.25" hidden="false" customHeight="true" outlineLevel="0" collapsed="false">
      <c r="A349" s="118" t="s">
        <v>1005</v>
      </c>
      <c r="B349" s="118" t="str">
        <f aca="false">CONCATENATE(C349&amp;D349)</f>
        <v>3"348</v>
      </c>
      <c r="C349" s="118" t="s">
        <v>51</v>
      </c>
      <c r="D349" s="152" t="n">
        <f aca="false">D348+1</f>
        <v>348</v>
      </c>
      <c r="E349" s="118" t="e">
        <f aca="false">CEILING(D349/12;1)</f>
        <v>#VALUE!</v>
      </c>
      <c r="F349" s="118" t="e">
        <f aca="false">E349*$F$1</f>
        <v>#VALUE!</v>
      </c>
    </row>
    <row r="350" customFormat="false" ht="14.25" hidden="false" customHeight="true" outlineLevel="0" collapsed="false">
      <c r="A350" s="118" t="s">
        <v>1005</v>
      </c>
      <c r="B350" s="118" t="str">
        <f aca="false">CONCATENATE(C350&amp;D350)</f>
        <v>3"349</v>
      </c>
      <c r="C350" s="118" t="s">
        <v>51</v>
      </c>
      <c r="D350" s="152" t="n">
        <f aca="false">D349+1</f>
        <v>349</v>
      </c>
      <c r="E350" s="118" t="e">
        <f aca="false">CEILING(D350/12;1)</f>
        <v>#VALUE!</v>
      </c>
      <c r="F350" s="118" t="e">
        <f aca="false">E350*$F$1</f>
        <v>#VALUE!</v>
      </c>
    </row>
    <row r="351" customFormat="false" ht="14.25" hidden="false" customHeight="true" outlineLevel="0" collapsed="false">
      <c r="A351" s="118" t="s">
        <v>1005</v>
      </c>
      <c r="B351" s="118" t="str">
        <f aca="false">CONCATENATE(C351&amp;D351)</f>
        <v>3"350</v>
      </c>
      <c r="C351" s="118" t="s">
        <v>51</v>
      </c>
      <c r="D351" s="152" t="n">
        <f aca="false">D350+1</f>
        <v>350</v>
      </c>
      <c r="E351" s="118" t="e">
        <f aca="false">CEILING(D351/12;1)</f>
        <v>#VALUE!</v>
      </c>
      <c r="F351" s="118" t="e">
        <f aca="false">E351*$F$1</f>
        <v>#VALUE!</v>
      </c>
    </row>
    <row r="352" customFormat="false" ht="14.25" hidden="false" customHeight="true" outlineLevel="0" collapsed="false">
      <c r="A352" s="118" t="s">
        <v>1005</v>
      </c>
      <c r="B352" s="118" t="str">
        <f aca="false">CONCATENATE(C352&amp;D352)</f>
        <v>3"351</v>
      </c>
      <c r="C352" s="118" t="s">
        <v>51</v>
      </c>
      <c r="D352" s="152" t="n">
        <f aca="false">D351+1</f>
        <v>351</v>
      </c>
      <c r="E352" s="118" t="e">
        <f aca="false">CEILING(D352/12;1)</f>
        <v>#VALUE!</v>
      </c>
      <c r="F352" s="118" t="e">
        <f aca="false">E352*$F$1</f>
        <v>#VALUE!</v>
      </c>
    </row>
    <row r="353" customFormat="false" ht="14.25" hidden="false" customHeight="true" outlineLevel="0" collapsed="false">
      <c r="A353" s="118" t="s">
        <v>1005</v>
      </c>
      <c r="B353" s="118" t="str">
        <f aca="false">CONCATENATE(C353&amp;D353)</f>
        <v>3"352</v>
      </c>
      <c r="C353" s="118" t="s">
        <v>51</v>
      </c>
      <c r="D353" s="152" t="n">
        <f aca="false">D352+1</f>
        <v>352</v>
      </c>
      <c r="E353" s="118" t="e">
        <f aca="false">CEILING(D353/12;1)</f>
        <v>#VALUE!</v>
      </c>
      <c r="F353" s="118" t="e">
        <f aca="false">E353*$F$1</f>
        <v>#VALUE!</v>
      </c>
    </row>
    <row r="354" customFormat="false" ht="14.25" hidden="false" customHeight="true" outlineLevel="0" collapsed="false">
      <c r="A354" s="118" t="s">
        <v>1005</v>
      </c>
      <c r="B354" s="118" t="str">
        <f aca="false">CONCATENATE(C354&amp;D354)</f>
        <v>3"353</v>
      </c>
      <c r="C354" s="118" t="s">
        <v>51</v>
      </c>
      <c r="D354" s="152" t="n">
        <f aca="false">D353+1</f>
        <v>353</v>
      </c>
      <c r="E354" s="118" t="e">
        <f aca="false">CEILING(D354/12;1)</f>
        <v>#VALUE!</v>
      </c>
      <c r="F354" s="118" t="e">
        <f aca="false">E354*$F$1</f>
        <v>#VALUE!</v>
      </c>
    </row>
    <row r="355" customFormat="false" ht="14.25" hidden="false" customHeight="true" outlineLevel="0" collapsed="false">
      <c r="A355" s="118" t="s">
        <v>1005</v>
      </c>
      <c r="B355" s="118" t="str">
        <f aca="false">CONCATENATE(C355&amp;D355)</f>
        <v>3"354</v>
      </c>
      <c r="C355" s="118" t="s">
        <v>51</v>
      </c>
      <c r="D355" s="152" t="n">
        <f aca="false">D354+1</f>
        <v>354</v>
      </c>
      <c r="E355" s="118" t="e">
        <f aca="false">CEILING(D355/12;1)</f>
        <v>#VALUE!</v>
      </c>
      <c r="F355" s="118" t="e">
        <f aca="false">E355*$F$1</f>
        <v>#VALUE!</v>
      </c>
    </row>
    <row r="356" customFormat="false" ht="14.25" hidden="false" customHeight="true" outlineLevel="0" collapsed="false">
      <c r="A356" s="118" t="s">
        <v>1005</v>
      </c>
      <c r="B356" s="118" t="str">
        <f aca="false">CONCATENATE(C356&amp;D356)</f>
        <v>3"355</v>
      </c>
      <c r="C356" s="118" t="s">
        <v>51</v>
      </c>
      <c r="D356" s="152" t="n">
        <f aca="false">D355+1</f>
        <v>355</v>
      </c>
      <c r="E356" s="118" t="e">
        <f aca="false">CEILING(D356/12;1)</f>
        <v>#VALUE!</v>
      </c>
      <c r="F356" s="118" t="e">
        <f aca="false">E356*$F$1</f>
        <v>#VALUE!</v>
      </c>
    </row>
    <row r="357" customFormat="false" ht="14.25" hidden="false" customHeight="true" outlineLevel="0" collapsed="false">
      <c r="A357" s="118" t="s">
        <v>1005</v>
      </c>
      <c r="B357" s="118" t="str">
        <f aca="false">CONCATENATE(C357&amp;D357)</f>
        <v>3"356</v>
      </c>
      <c r="C357" s="118" t="s">
        <v>51</v>
      </c>
      <c r="D357" s="152" t="n">
        <f aca="false">D356+1</f>
        <v>356</v>
      </c>
      <c r="E357" s="118" t="e">
        <f aca="false">CEILING(D357/12;1)</f>
        <v>#VALUE!</v>
      </c>
      <c r="F357" s="118" t="e">
        <f aca="false">E357*$F$1</f>
        <v>#VALUE!</v>
      </c>
    </row>
    <row r="358" customFormat="false" ht="14.25" hidden="false" customHeight="true" outlineLevel="0" collapsed="false">
      <c r="A358" s="118" t="s">
        <v>1005</v>
      </c>
      <c r="B358" s="118" t="str">
        <f aca="false">CONCATENATE(C358&amp;D358)</f>
        <v>3"357</v>
      </c>
      <c r="C358" s="118" t="s">
        <v>51</v>
      </c>
      <c r="D358" s="152" t="n">
        <f aca="false">D357+1</f>
        <v>357</v>
      </c>
      <c r="E358" s="118" t="e">
        <f aca="false">CEILING(D358/12;1)</f>
        <v>#VALUE!</v>
      </c>
      <c r="F358" s="118" t="e">
        <f aca="false">E358*$F$1</f>
        <v>#VALUE!</v>
      </c>
    </row>
    <row r="359" customFormat="false" ht="14.25" hidden="false" customHeight="true" outlineLevel="0" collapsed="false">
      <c r="A359" s="118" t="s">
        <v>1005</v>
      </c>
      <c r="B359" s="118" t="str">
        <f aca="false">CONCATENATE(C359&amp;D359)</f>
        <v>3"358</v>
      </c>
      <c r="C359" s="118" t="s">
        <v>51</v>
      </c>
      <c r="D359" s="152" t="n">
        <f aca="false">D358+1</f>
        <v>358</v>
      </c>
      <c r="E359" s="118" t="e">
        <f aca="false">CEILING(D359/12;1)</f>
        <v>#VALUE!</v>
      </c>
      <c r="F359" s="118" t="e">
        <f aca="false">E359*$F$1</f>
        <v>#VALUE!</v>
      </c>
    </row>
    <row r="360" customFormat="false" ht="14.25" hidden="false" customHeight="true" outlineLevel="0" collapsed="false">
      <c r="A360" s="118" t="s">
        <v>1005</v>
      </c>
      <c r="B360" s="118" t="str">
        <f aca="false">CONCATENATE(C360&amp;D360)</f>
        <v>3"359</v>
      </c>
      <c r="C360" s="118" t="s">
        <v>51</v>
      </c>
      <c r="D360" s="152" t="n">
        <f aca="false">D359+1</f>
        <v>359</v>
      </c>
      <c r="E360" s="118" t="e">
        <f aca="false">CEILING(D360/12;1)</f>
        <v>#VALUE!</v>
      </c>
      <c r="F360" s="118" t="e">
        <f aca="false">E360*$F$1</f>
        <v>#VALUE!</v>
      </c>
    </row>
    <row r="361" customFormat="false" ht="14.25" hidden="false" customHeight="true" outlineLevel="0" collapsed="false">
      <c r="A361" s="118" t="s">
        <v>1005</v>
      </c>
      <c r="B361" s="118" t="str">
        <f aca="false">CONCATENATE(C361&amp;D361)</f>
        <v>3"360</v>
      </c>
      <c r="C361" s="118" t="s">
        <v>51</v>
      </c>
      <c r="D361" s="152" t="n">
        <f aca="false">D360+1</f>
        <v>360</v>
      </c>
      <c r="E361" s="118" t="e">
        <f aca="false">CEILING(D361/12;1)</f>
        <v>#VALUE!</v>
      </c>
      <c r="F361" s="118" t="e">
        <f aca="false">E361*$F$1</f>
        <v>#VALUE!</v>
      </c>
    </row>
    <row r="362" customFormat="false" ht="14.25" hidden="false" customHeight="true" outlineLevel="0" collapsed="false">
      <c r="A362" s="118" t="s">
        <v>1005</v>
      </c>
      <c r="B362" s="118" t="str">
        <f aca="false">CONCATENATE(C362&amp;D362)</f>
        <v>3"361</v>
      </c>
      <c r="C362" s="118" t="s">
        <v>51</v>
      </c>
      <c r="D362" s="152" t="n">
        <f aca="false">D361+1</f>
        <v>361</v>
      </c>
      <c r="E362" s="118" t="e">
        <f aca="false">CEILING(D362/12;1)</f>
        <v>#VALUE!</v>
      </c>
      <c r="F362" s="118" t="e">
        <f aca="false">E362*$F$1</f>
        <v>#VALUE!</v>
      </c>
    </row>
    <row r="363" customFormat="false" ht="14.25" hidden="false" customHeight="true" outlineLevel="0" collapsed="false">
      <c r="A363" s="118" t="s">
        <v>1005</v>
      </c>
      <c r="B363" s="118" t="str">
        <f aca="false">CONCATENATE(C363&amp;D363)</f>
        <v>3"362</v>
      </c>
      <c r="C363" s="118" t="s">
        <v>51</v>
      </c>
      <c r="D363" s="152" t="n">
        <f aca="false">D362+1</f>
        <v>362</v>
      </c>
      <c r="E363" s="118" t="e">
        <f aca="false">CEILING(D363/12;1)</f>
        <v>#VALUE!</v>
      </c>
      <c r="F363" s="118" t="e">
        <f aca="false">E363*$F$1</f>
        <v>#VALUE!</v>
      </c>
    </row>
    <row r="364" customFormat="false" ht="14.25" hidden="false" customHeight="true" outlineLevel="0" collapsed="false">
      <c r="A364" s="118" t="s">
        <v>1005</v>
      </c>
      <c r="B364" s="118" t="str">
        <f aca="false">CONCATENATE(C364&amp;D364)</f>
        <v>3"363</v>
      </c>
      <c r="C364" s="118" t="s">
        <v>51</v>
      </c>
      <c r="D364" s="152" t="n">
        <f aca="false">D363+1</f>
        <v>363</v>
      </c>
      <c r="E364" s="118" t="e">
        <f aca="false">CEILING(D364/12;1)</f>
        <v>#VALUE!</v>
      </c>
      <c r="F364" s="118" t="e">
        <f aca="false">E364*$F$1</f>
        <v>#VALUE!</v>
      </c>
    </row>
    <row r="365" customFormat="false" ht="14.25" hidden="false" customHeight="true" outlineLevel="0" collapsed="false">
      <c r="A365" s="118" t="s">
        <v>1005</v>
      </c>
      <c r="B365" s="118" t="str">
        <f aca="false">CONCATENATE(C365&amp;D365)</f>
        <v>3"364</v>
      </c>
      <c r="C365" s="118" t="s">
        <v>51</v>
      </c>
      <c r="D365" s="152" t="n">
        <f aca="false">D364+1</f>
        <v>364</v>
      </c>
      <c r="E365" s="118" t="e">
        <f aca="false">CEILING(D365/12;1)</f>
        <v>#VALUE!</v>
      </c>
      <c r="F365" s="118" t="e">
        <f aca="false">E365*$F$1</f>
        <v>#VALUE!</v>
      </c>
    </row>
    <row r="366" customFormat="false" ht="14.25" hidden="false" customHeight="true" outlineLevel="0" collapsed="false">
      <c r="A366" s="118" t="s">
        <v>1005</v>
      </c>
      <c r="B366" s="118" t="str">
        <f aca="false">CONCATENATE(C366&amp;D366)</f>
        <v>3"365</v>
      </c>
      <c r="C366" s="118" t="s">
        <v>51</v>
      </c>
      <c r="D366" s="152" t="n">
        <f aca="false">D365+1</f>
        <v>365</v>
      </c>
      <c r="E366" s="118" t="e">
        <f aca="false">CEILING(D366/12;1)</f>
        <v>#VALUE!</v>
      </c>
      <c r="F366" s="118" t="e">
        <f aca="false">E366*$F$1</f>
        <v>#VALUE!</v>
      </c>
    </row>
    <row r="367" customFormat="false" ht="14.25" hidden="false" customHeight="true" outlineLevel="0" collapsed="false">
      <c r="A367" s="118" t="s">
        <v>1005</v>
      </c>
      <c r="B367" s="118" t="str">
        <f aca="false">CONCATENATE(C367&amp;D367)</f>
        <v>3"366</v>
      </c>
      <c r="C367" s="118" t="s">
        <v>51</v>
      </c>
      <c r="D367" s="152" t="n">
        <f aca="false">D366+1</f>
        <v>366</v>
      </c>
      <c r="E367" s="118" t="e">
        <f aca="false">CEILING(D367/12;1)</f>
        <v>#VALUE!</v>
      </c>
      <c r="F367" s="118" t="e">
        <f aca="false">E367*$F$1</f>
        <v>#VALUE!</v>
      </c>
    </row>
    <row r="368" customFormat="false" ht="14.25" hidden="false" customHeight="true" outlineLevel="0" collapsed="false">
      <c r="A368" s="118" t="s">
        <v>1005</v>
      </c>
      <c r="B368" s="118" t="str">
        <f aca="false">CONCATENATE(C368&amp;D368)</f>
        <v>3"367</v>
      </c>
      <c r="C368" s="118" t="s">
        <v>51</v>
      </c>
      <c r="D368" s="152" t="n">
        <f aca="false">D367+1</f>
        <v>367</v>
      </c>
      <c r="E368" s="118" t="e">
        <f aca="false">CEILING(D368/12;1)</f>
        <v>#VALUE!</v>
      </c>
      <c r="F368" s="118" t="e">
        <f aca="false">E368*$F$1</f>
        <v>#VALUE!</v>
      </c>
    </row>
    <row r="369" customFormat="false" ht="14.25" hidden="false" customHeight="true" outlineLevel="0" collapsed="false">
      <c r="A369" s="118" t="s">
        <v>1005</v>
      </c>
      <c r="B369" s="118" t="str">
        <f aca="false">CONCATENATE(C369&amp;D369)</f>
        <v>3"368</v>
      </c>
      <c r="C369" s="118" t="s">
        <v>51</v>
      </c>
      <c r="D369" s="152" t="n">
        <f aca="false">D368+1</f>
        <v>368</v>
      </c>
      <c r="E369" s="118" t="e">
        <f aca="false">CEILING(D369/12;1)</f>
        <v>#VALUE!</v>
      </c>
      <c r="F369" s="118" t="e">
        <f aca="false">E369*$F$1</f>
        <v>#VALUE!</v>
      </c>
    </row>
    <row r="370" customFormat="false" ht="14.25" hidden="false" customHeight="true" outlineLevel="0" collapsed="false">
      <c r="A370" s="118" t="s">
        <v>1005</v>
      </c>
      <c r="B370" s="118" t="str">
        <f aca="false">CONCATENATE(C370&amp;D370)</f>
        <v>3"369</v>
      </c>
      <c r="C370" s="118" t="s">
        <v>51</v>
      </c>
      <c r="D370" s="152" t="n">
        <f aca="false">D369+1</f>
        <v>369</v>
      </c>
      <c r="E370" s="118" t="e">
        <f aca="false">CEILING(D370/12;1)</f>
        <v>#VALUE!</v>
      </c>
      <c r="F370" s="118" t="e">
        <f aca="false">E370*$F$1</f>
        <v>#VALUE!</v>
      </c>
    </row>
    <row r="371" customFormat="false" ht="14.25" hidden="false" customHeight="true" outlineLevel="0" collapsed="false">
      <c r="A371" s="118" t="s">
        <v>1005</v>
      </c>
      <c r="B371" s="118" t="str">
        <f aca="false">CONCATENATE(C371&amp;D371)</f>
        <v>3"370</v>
      </c>
      <c r="C371" s="118" t="s">
        <v>51</v>
      </c>
      <c r="D371" s="152" t="n">
        <f aca="false">D370+1</f>
        <v>370</v>
      </c>
      <c r="E371" s="118" t="e">
        <f aca="false">CEILING(D371/12;1)</f>
        <v>#VALUE!</v>
      </c>
      <c r="F371" s="118" t="e">
        <f aca="false">E371*$F$1</f>
        <v>#VALUE!</v>
      </c>
    </row>
    <row r="372" customFormat="false" ht="14.25" hidden="false" customHeight="true" outlineLevel="0" collapsed="false">
      <c r="A372" s="118" t="s">
        <v>1005</v>
      </c>
      <c r="B372" s="118" t="str">
        <f aca="false">CONCATENATE(C372&amp;D372)</f>
        <v>3"371</v>
      </c>
      <c r="C372" s="118" t="s">
        <v>51</v>
      </c>
      <c r="D372" s="152" t="n">
        <f aca="false">D371+1</f>
        <v>371</v>
      </c>
      <c r="E372" s="118" t="e">
        <f aca="false">CEILING(D372/12;1)</f>
        <v>#VALUE!</v>
      </c>
      <c r="F372" s="118" t="e">
        <f aca="false">E372*$F$1</f>
        <v>#VALUE!</v>
      </c>
    </row>
    <row r="373" customFormat="false" ht="14.25" hidden="false" customHeight="true" outlineLevel="0" collapsed="false">
      <c r="A373" s="118" t="s">
        <v>1005</v>
      </c>
      <c r="B373" s="118" t="str">
        <f aca="false">CONCATENATE(C373&amp;D373)</f>
        <v>3"372</v>
      </c>
      <c r="C373" s="118" t="s">
        <v>51</v>
      </c>
      <c r="D373" s="152" t="n">
        <f aca="false">D372+1</f>
        <v>372</v>
      </c>
      <c r="E373" s="118" t="e">
        <f aca="false">CEILING(D373/12;1)</f>
        <v>#VALUE!</v>
      </c>
      <c r="F373" s="118" t="e">
        <f aca="false">E373*$F$1</f>
        <v>#VALUE!</v>
      </c>
    </row>
    <row r="374" customFormat="false" ht="14.25" hidden="false" customHeight="true" outlineLevel="0" collapsed="false">
      <c r="A374" s="118" t="s">
        <v>1005</v>
      </c>
      <c r="B374" s="118" t="str">
        <f aca="false">CONCATENATE(C374&amp;D374)</f>
        <v>3"373</v>
      </c>
      <c r="C374" s="118" t="s">
        <v>51</v>
      </c>
      <c r="D374" s="152" t="n">
        <f aca="false">D373+1</f>
        <v>373</v>
      </c>
      <c r="E374" s="118" t="e">
        <f aca="false">CEILING(D374/12;1)</f>
        <v>#VALUE!</v>
      </c>
      <c r="F374" s="118" t="e">
        <f aca="false">E374*$F$1</f>
        <v>#VALUE!</v>
      </c>
    </row>
    <row r="375" customFormat="false" ht="14.25" hidden="false" customHeight="true" outlineLevel="0" collapsed="false">
      <c r="A375" s="118" t="s">
        <v>1005</v>
      </c>
      <c r="B375" s="118" t="str">
        <f aca="false">CONCATENATE(C375&amp;D375)</f>
        <v>3"374</v>
      </c>
      <c r="C375" s="118" t="s">
        <v>51</v>
      </c>
      <c r="D375" s="152" t="n">
        <f aca="false">D374+1</f>
        <v>374</v>
      </c>
      <c r="E375" s="118" t="e">
        <f aca="false">CEILING(D375/12;1)</f>
        <v>#VALUE!</v>
      </c>
      <c r="F375" s="118" t="e">
        <f aca="false">E375*$F$1</f>
        <v>#VALUE!</v>
      </c>
    </row>
    <row r="376" customFormat="false" ht="14.25" hidden="false" customHeight="true" outlineLevel="0" collapsed="false">
      <c r="A376" s="118" t="s">
        <v>1005</v>
      </c>
      <c r="B376" s="118" t="str">
        <f aca="false">CONCATENATE(C376&amp;D376)</f>
        <v>3"375</v>
      </c>
      <c r="C376" s="118" t="s">
        <v>51</v>
      </c>
      <c r="D376" s="152" t="n">
        <f aca="false">D375+1</f>
        <v>375</v>
      </c>
      <c r="E376" s="118" t="e">
        <f aca="false">CEILING(D376/12;1)</f>
        <v>#VALUE!</v>
      </c>
      <c r="F376" s="118" t="e">
        <f aca="false">E376*$F$1</f>
        <v>#VALUE!</v>
      </c>
    </row>
    <row r="377" customFormat="false" ht="14.25" hidden="false" customHeight="true" outlineLevel="0" collapsed="false">
      <c r="A377" s="118" t="s">
        <v>1005</v>
      </c>
      <c r="B377" s="118" t="str">
        <f aca="false">CONCATENATE(C377&amp;D377)</f>
        <v>3"376</v>
      </c>
      <c r="C377" s="118" t="s">
        <v>51</v>
      </c>
      <c r="D377" s="152" t="n">
        <f aca="false">D376+1</f>
        <v>376</v>
      </c>
      <c r="E377" s="118" t="e">
        <f aca="false">CEILING(D377/12;1)</f>
        <v>#VALUE!</v>
      </c>
      <c r="F377" s="118" t="e">
        <f aca="false">E377*$F$1</f>
        <v>#VALUE!</v>
      </c>
    </row>
    <row r="378" customFormat="false" ht="14.25" hidden="false" customHeight="true" outlineLevel="0" collapsed="false">
      <c r="A378" s="118" t="s">
        <v>1005</v>
      </c>
      <c r="B378" s="118" t="str">
        <f aca="false">CONCATENATE(C378&amp;D378)</f>
        <v>3"377</v>
      </c>
      <c r="C378" s="118" t="s">
        <v>51</v>
      </c>
      <c r="D378" s="152" t="n">
        <f aca="false">D377+1</f>
        <v>377</v>
      </c>
      <c r="E378" s="118" t="e">
        <f aca="false">CEILING(D378/12;1)</f>
        <v>#VALUE!</v>
      </c>
      <c r="F378" s="118" t="e">
        <f aca="false">E378*$F$1</f>
        <v>#VALUE!</v>
      </c>
    </row>
    <row r="379" customFormat="false" ht="14.25" hidden="false" customHeight="true" outlineLevel="0" collapsed="false">
      <c r="A379" s="118" t="s">
        <v>1005</v>
      </c>
      <c r="B379" s="118" t="str">
        <f aca="false">CONCATENATE(C379&amp;D379)</f>
        <v>3"378</v>
      </c>
      <c r="C379" s="118" t="s">
        <v>51</v>
      </c>
      <c r="D379" s="152" t="n">
        <f aca="false">D378+1</f>
        <v>378</v>
      </c>
      <c r="E379" s="118" t="e">
        <f aca="false">CEILING(D379/12;1)</f>
        <v>#VALUE!</v>
      </c>
      <c r="F379" s="118" t="e">
        <f aca="false">E379*$F$1</f>
        <v>#VALUE!</v>
      </c>
    </row>
    <row r="380" customFormat="false" ht="14.25" hidden="false" customHeight="true" outlineLevel="0" collapsed="false">
      <c r="A380" s="118" t="s">
        <v>1005</v>
      </c>
      <c r="B380" s="118" t="str">
        <f aca="false">CONCATENATE(C380&amp;D380)</f>
        <v>3"379</v>
      </c>
      <c r="C380" s="118" t="s">
        <v>51</v>
      </c>
      <c r="D380" s="152" t="n">
        <f aca="false">D379+1</f>
        <v>379</v>
      </c>
      <c r="E380" s="118" t="e">
        <f aca="false">CEILING(D380/12;1)</f>
        <v>#VALUE!</v>
      </c>
      <c r="F380" s="118" t="e">
        <f aca="false">E380*$F$1</f>
        <v>#VALUE!</v>
      </c>
    </row>
    <row r="381" customFormat="false" ht="14.25" hidden="false" customHeight="true" outlineLevel="0" collapsed="false">
      <c r="A381" s="118" t="s">
        <v>1005</v>
      </c>
      <c r="B381" s="118" t="str">
        <f aca="false">CONCATENATE(C381&amp;D381)</f>
        <v>3"380</v>
      </c>
      <c r="C381" s="118" t="s">
        <v>51</v>
      </c>
      <c r="D381" s="152" t="n">
        <f aca="false">D380+1</f>
        <v>380</v>
      </c>
      <c r="E381" s="118" t="e">
        <f aca="false">CEILING(D381/12;1)</f>
        <v>#VALUE!</v>
      </c>
      <c r="F381" s="118" t="e">
        <f aca="false">E381*$F$1</f>
        <v>#VALUE!</v>
      </c>
    </row>
    <row r="382" customFormat="false" ht="14.25" hidden="false" customHeight="true" outlineLevel="0" collapsed="false">
      <c r="A382" s="118" t="s">
        <v>1005</v>
      </c>
      <c r="B382" s="118" t="str">
        <f aca="false">CONCATENATE(C382&amp;D382)</f>
        <v>3"381</v>
      </c>
      <c r="C382" s="118" t="s">
        <v>51</v>
      </c>
      <c r="D382" s="152" t="n">
        <f aca="false">D381+1</f>
        <v>381</v>
      </c>
      <c r="E382" s="118" t="e">
        <f aca="false">CEILING(D382/12;1)</f>
        <v>#VALUE!</v>
      </c>
      <c r="F382" s="118" t="e">
        <f aca="false">E382*$F$1</f>
        <v>#VALUE!</v>
      </c>
    </row>
    <row r="383" customFormat="false" ht="14.25" hidden="false" customHeight="true" outlineLevel="0" collapsed="false">
      <c r="A383" s="118" t="s">
        <v>1005</v>
      </c>
      <c r="B383" s="118" t="str">
        <f aca="false">CONCATENATE(C383&amp;D383)</f>
        <v>3"382</v>
      </c>
      <c r="C383" s="118" t="s">
        <v>51</v>
      </c>
      <c r="D383" s="152" t="n">
        <f aca="false">D382+1</f>
        <v>382</v>
      </c>
      <c r="E383" s="118" t="e">
        <f aca="false">CEILING(D383/12;1)</f>
        <v>#VALUE!</v>
      </c>
      <c r="F383" s="118" t="e">
        <f aca="false">E383*$F$1</f>
        <v>#VALUE!</v>
      </c>
    </row>
    <row r="384" customFormat="false" ht="14.25" hidden="false" customHeight="true" outlineLevel="0" collapsed="false">
      <c r="A384" s="118" t="s">
        <v>1005</v>
      </c>
      <c r="B384" s="118" t="str">
        <f aca="false">CONCATENATE(C384&amp;D384)</f>
        <v>3"383</v>
      </c>
      <c r="C384" s="118" t="s">
        <v>51</v>
      </c>
      <c r="D384" s="152" t="n">
        <f aca="false">D383+1</f>
        <v>383</v>
      </c>
      <c r="E384" s="118" t="e">
        <f aca="false">CEILING(D384/12;1)</f>
        <v>#VALUE!</v>
      </c>
      <c r="F384" s="118" t="e">
        <f aca="false">E384*$F$1</f>
        <v>#VALUE!</v>
      </c>
    </row>
    <row r="385" customFormat="false" ht="14.25" hidden="false" customHeight="true" outlineLevel="0" collapsed="false">
      <c r="A385" s="118" t="s">
        <v>1005</v>
      </c>
      <c r="B385" s="118" t="str">
        <f aca="false">CONCATENATE(C385&amp;D385)</f>
        <v>3"384</v>
      </c>
      <c r="C385" s="118" t="s">
        <v>51</v>
      </c>
      <c r="D385" s="152" t="n">
        <f aca="false">D384+1</f>
        <v>384</v>
      </c>
      <c r="E385" s="118" t="e">
        <f aca="false">CEILING(D385/12;1)</f>
        <v>#VALUE!</v>
      </c>
      <c r="F385" s="118" t="e">
        <f aca="false">E385*$F$1</f>
        <v>#VALUE!</v>
      </c>
    </row>
    <row r="386" customFormat="false" ht="14.25" hidden="false" customHeight="true" outlineLevel="0" collapsed="false">
      <c r="A386" s="118" t="s">
        <v>1005</v>
      </c>
      <c r="B386" s="118" t="str">
        <f aca="false">CONCATENATE(C386&amp;D386)</f>
        <v>1"1</v>
      </c>
      <c r="C386" s="118" t="s">
        <v>967</v>
      </c>
      <c r="D386" s="153" t="n">
        <v>1</v>
      </c>
      <c r="E386" s="118" t="n">
        <v>1</v>
      </c>
      <c r="F386" s="118" t="n">
        <f aca="false">E386*$F$1</f>
        <v>5</v>
      </c>
    </row>
    <row r="387" customFormat="false" ht="14.25" hidden="false" customHeight="true" outlineLevel="0" collapsed="false">
      <c r="A387" s="118" t="s">
        <v>1005</v>
      </c>
      <c r="B387" s="118" t="str">
        <f aca="false">CONCATENATE(C387&amp;D387)</f>
        <v>1"2</v>
      </c>
      <c r="C387" s="118" t="s">
        <v>967</v>
      </c>
      <c r="D387" s="153" t="n">
        <f aca="false">D386+1</f>
        <v>2</v>
      </c>
      <c r="E387" s="118" t="e">
        <f aca="false">CEILING(D387/20;1)</f>
        <v>#VALUE!</v>
      </c>
      <c r="F387" s="118" t="e">
        <f aca="false">E387*$F$1</f>
        <v>#VALUE!</v>
      </c>
    </row>
    <row r="388" customFormat="false" ht="14.25" hidden="false" customHeight="true" outlineLevel="0" collapsed="false">
      <c r="A388" s="118" t="s">
        <v>1005</v>
      </c>
      <c r="B388" s="118" t="str">
        <f aca="false">CONCATENATE(C388&amp;D388)</f>
        <v>1"3</v>
      </c>
      <c r="C388" s="118" t="s">
        <v>967</v>
      </c>
      <c r="D388" s="153" t="n">
        <f aca="false">D387+1</f>
        <v>3</v>
      </c>
      <c r="E388" s="118" t="e">
        <f aca="false">CEILING(D388/20;1)</f>
        <v>#VALUE!</v>
      </c>
      <c r="F388" s="118" t="e">
        <f aca="false">E388*$F$1</f>
        <v>#VALUE!</v>
      </c>
    </row>
    <row r="389" customFormat="false" ht="14.25" hidden="false" customHeight="true" outlineLevel="0" collapsed="false">
      <c r="A389" s="118" t="s">
        <v>1005</v>
      </c>
      <c r="B389" s="118" t="str">
        <f aca="false">CONCATENATE(C389&amp;D389)</f>
        <v>1"4</v>
      </c>
      <c r="C389" s="118" t="s">
        <v>967</v>
      </c>
      <c r="D389" s="153" t="n">
        <f aca="false">D388+1</f>
        <v>4</v>
      </c>
      <c r="E389" s="118" t="e">
        <f aca="false">CEILING(D389/20;1)</f>
        <v>#VALUE!</v>
      </c>
      <c r="F389" s="118" t="e">
        <f aca="false">E389*$F$1</f>
        <v>#VALUE!</v>
      </c>
    </row>
    <row r="390" customFormat="false" ht="14.25" hidden="false" customHeight="true" outlineLevel="0" collapsed="false">
      <c r="A390" s="118" t="s">
        <v>1005</v>
      </c>
      <c r="B390" s="118" t="str">
        <f aca="false">CONCATENATE(C390&amp;D390)</f>
        <v>1"5</v>
      </c>
      <c r="C390" s="118" t="s">
        <v>967</v>
      </c>
      <c r="D390" s="153" t="n">
        <f aca="false">D389+1</f>
        <v>5</v>
      </c>
      <c r="E390" s="118" t="e">
        <f aca="false">CEILING(D390/20;1)</f>
        <v>#VALUE!</v>
      </c>
      <c r="F390" s="118" t="e">
        <f aca="false">E390*$F$1</f>
        <v>#VALUE!</v>
      </c>
    </row>
    <row r="391" customFormat="false" ht="14.25" hidden="false" customHeight="true" outlineLevel="0" collapsed="false">
      <c r="A391" s="118" t="s">
        <v>1005</v>
      </c>
      <c r="B391" s="118" t="str">
        <f aca="false">CONCATENATE(C391&amp;D391)</f>
        <v>1"6</v>
      </c>
      <c r="C391" s="118" t="s">
        <v>967</v>
      </c>
      <c r="D391" s="153" t="n">
        <f aca="false">D390+1</f>
        <v>6</v>
      </c>
      <c r="E391" s="118" t="e">
        <f aca="false">CEILING(D391/20;1)</f>
        <v>#VALUE!</v>
      </c>
      <c r="F391" s="118" t="e">
        <f aca="false">E391*$F$1</f>
        <v>#VALUE!</v>
      </c>
    </row>
    <row r="392" customFormat="false" ht="14.25" hidden="false" customHeight="true" outlineLevel="0" collapsed="false">
      <c r="A392" s="118" t="s">
        <v>1005</v>
      </c>
      <c r="B392" s="118" t="str">
        <f aca="false">CONCATENATE(C392&amp;D392)</f>
        <v>1"7</v>
      </c>
      <c r="C392" s="118" t="s">
        <v>967</v>
      </c>
      <c r="D392" s="153" t="n">
        <f aca="false">D391+1</f>
        <v>7</v>
      </c>
      <c r="E392" s="118" t="e">
        <f aca="false">CEILING(D392/20;1)</f>
        <v>#VALUE!</v>
      </c>
      <c r="F392" s="118" t="e">
        <f aca="false">E392*$F$1</f>
        <v>#VALUE!</v>
      </c>
    </row>
    <row r="393" customFormat="false" ht="14.25" hidden="false" customHeight="true" outlineLevel="0" collapsed="false">
      <c r="A393" s="118" t="s">
        <v>1005</v>
      </c>
      <c r="B393" s="118" t="str">
        <f aca="false">CONCATENATE(C393&amp;D393)</f>
        <v>1"8</v>
      </c>
      <c r="C393" s="118" t="s">
        <v>967</v>
      </c>
      <c r="D393" s="153" t="n">
        <f aca="false">D392+1</f>
        <v>8</v>
      </c>
      <c r="E393" s="118" t="e">
        <f aca="false">CEILING(D393/20;1)</f>
        <v>#VALUE!</v>
      </c>
      <c r="F393" s="118" t="e">
        <f aca="false">E393*$F$1</f>
        <v>#VALUE!</v>
      </c>
    </row>
    <row r="394" customFormat="false" ht="14.25" hidden="false" customHeight="true" outlineLevel="0" collapsed="false">
      <c r="A394" s="118" t="s">
        <v>1005</v>
      </c>
      <c r="B394" s="118" t="str">
        <f aca="false">CONCATENATE(C394&amp;D394)</f>
        <v>1"9</v>
      </c>
      <c r="C394" s="118" t="s">
        <v>967</v>
      </c>
      <c r="D394" s="153" t="n">
        <f aca="false">D393+1</f>
        <v>9</v>
      </c>
      <c r="E394" s="118" t="e">
        <f aca="false">CEILING(D394/20;1)</f>
        <v>#VALUE!</v>
      </c>
      <c r="F394" s="118" t="e">
        <f aca="false">E394*$F$1</f>
        <v>#VALUE!</v>
      </c>
    </row>
    <row r="395" customFormat="false" ht="14.25" hidden="false" customHeight="true" outlineLevel="0" collapsed="false">
      <c r="A395" s="118" t="s">
        <v>1005</v>
      </c>
      <c r="B395" s="118" t="str">
        <f aca="false">CONCATENATE(C395&amp;D395)</f>
        <v>1"10</v>
      </c>
      <c r="C395" s="118" t="s">
        <v>967</v>
      </c>
      <c r="D395" s="153" t="n">
        <f aca="false">D394+1</f>
        <v>10</v>
      </c>
      <c r="E395" s="118" t="e">
        <f aca="false">CEILING(D395/20;1)</f>
        <v>#VALUE!</v>
      </c>
      <c r="F395" s="118" t="e">
        <f aca="false">E395*$F$1</f>
        <v>#VALUE!</v>
      </c>
    </row>
    <row r="396" customFormat="false" ht="14.25" hidden="false" customHeight="true" outlineLevel="0" collapsed="false">
      <c r="A396" s="118" t="s">
        <v>1005</v>
      </c>
      <c r="B396" s="118" t="str">
        <f aca="false">CONCATENATE(C396&amp;D396)</f>
        <v>1"11</v>
      </c>
      <c r="C396" s="118" t="s">
        <v>967</v>
      </c>
      <c r="D396" s="153" t="n">
        <f aca="false">D395+1</f>
        <v>11</v>
      </c>
      <c r="E396" s="118" t="e">
        <f aca="false">CEILING(D396/20;1)</f>
        <v>#VALUE!</v>
      </c>
      <c r="F396" s="118" t="e">
        <f aca="false">E396*$F$1</f>
        <v>#VALUE!</v>
      </c>
    </row>
    <row r="397" customFormat="false" ht="14.25" hidden="false" customHeight="true" outlineLevel="0" collapsed="false">
      <c r="A397" s="118" t="s">
        <v>1005</v>
      </c>
      <c r="B397" s="118" t="str">
        <f aca="false">CONCATENATE(C397&amp;D397)</f>
        <v>1"12</v>
      </c>
      <c r="C397" s="118" t="s">
        <v>967</v>
      </c>
      <c r="D397" s="153" t="n">
        <f aca="false">D396+1</f>
        <v>12</v>
      </c>
      <c r="E397" s="118" t="e">
        <f aca="false">CEILING(D397/20;1)</f>
        <v>#VALUE!</v>
      </c>
      <c r="F397" s="118" t="e">
        <f aca="false">E397*$F$1</f>
        <v>#VALUE!</v>
      </c>
    </row>
    <row r="398" customFormat="false" ht="14.25" hidden="false" customHeight="true" outlineLevel="0" collapsed="false">
      <c r="A398" s="118" t="s">
        <v>1005</v>
      </c>
      <c r="B398" s="118" t="str">
        <f aca="false">CONCATENATE(C398&amp;D398)</f>
        <v>1"13</v>
      </c>
      <c r="C398" s="118" t="s">
        <v>967</v>
      </c>
      <c r="D398" s="153" t="n">
        <f aca="false">D397+1</f>
        <v>13</v>
      </c>
      <c r="E398" s="118" t="e">
        <f aca="false">CEILING(D398/20;1)</f>
        <v>#VALUE!</v>
      </c>
      <c r="F398" s="118" t="e">
        <f aca="false">E398*$F$1</f>
        <v>#VALUE!</v>
      </c>
    </row>
    <row r="399" customFormat="false" ht="14.25" hidden="false" customHeight="true" outlineLevel="0" collapsed="false">
      <c r="A399" s="118" t="s">
        <v>1005</v>
      </c>
      <c r="B399" s="118" t="str">
        <f aca="false">CONCATENATE(C399&amp;D399)</f>
        <v>1"14</v>
      </c>
      <c r="C399" s="118" t="s">
        <v>967</v>
      </c>
      <c r="D399" s="153" t="n">
        <f aca="false">D398+1</f>
        <v>14</v>
      </c>
      <c r="E399" s="118" t="e">
        <f aca="false">CEILING(D399/20;1)</f>
        <v>#VALUE!</v>
      </c>
      <c r="F399" s="118" t="e">
        <f aca="false">E399*$F$1</f>
        <v>#VALUE!</v>
      </c>
    </row>
    <row r="400" customFormat="false" ht="14.25" hidden="false" customHeight="true" outlineLevel="0" collapsed="false">
      <c r="A400" s="118" t="s">
        <v>1005</v>
      </c>
      <c r="B400" s="118" t="str">
        <f aca="false">CONCATENATE(C400&amp;D400)</f>
        <v>1"15</v>
      </c>
      <c r="C400" s="118" t="s">
        <v>967</v>
      </c>
      <c r="D400" s="153" t="n">
        <f aca="false">D399+1</f>
        <v>15</v>
      </c>
      <c r="E400" s="118" t="e">
        <f aca="false">CEILING(D400/20;1)</f>
        <v>#VALUE!</v>
      </c>
      <c r="F400" s="118" t="e">
        <f aca="false">E400*$F$1</f>
        <v>#VALUE!</v>
      </c>
    </row>
    <row r="401" customFormat="false" ht="14.25" hidden="false" customHeight="true" outlineLevel="0" collapsed="false">
      <c r="A401" s="118" t="s">
        <v>1005</v>
      </c>
      <c r="B401" s="118" t="str">
        <f aca="false">CONCATENATE(C401&amp;D401)</f>
        <v>1"16</v>
      </c>
      <c r="C401" s="118" t="s">
        <v>967</v>
      </c>
      <c r="D401" s="153" t="n">
        <f aca="false">D400+1</f>
        <v>16</v>
      </c>
      <c r="E401" s="118" t="e">
        <f aca="false">CEILING(D401/20;1)</f>
        <v>#VALUE!</v>
      </c>
      <c r="F401" s="118" t="e">
        <f aca="false">E401*$F$1</f>
        <v>#VALUE!</v>
      </c>
    </row>
    <row r="402" customFormat="false" ht="14.25" hidden="false" customHeight="true" outlineLevel="0" collapsed="false">
      <c r="A402" s="118" t="s">
        <v>1005</v>
      </c>
      <c r="B402" s="118" t="str">
        <f aca="false">CONCATENATE(C402&amp;D402)</f>
        <v>1"17</v>
      </c>
      <c r="C402" s="118" t="s">
        <v>967</v>
      </c>
      <c r="D402" s="153" t="n">
        <f aca="false">D401+1</f>
        <v>17</v>
      </c>
      <c r="E402" s="118" t="e">
        <f aca="false">CEILING(D402/20;1)</f>
        <v>#VALUE!</v>
      </c>
      <c r="F402" s="118" t="e">
        <f aca="false">E402*$F$1</f>
        <v>#VALUE!</v>
      </c>
    </row>
    <row r="403" customFormat="false" ht="14.25" hidden="false" customHeight="true" outlineLevel="0" collapsed="false">
      <c r="A403" s="118" t="s">
        <v>1005</v>
      </c>
      <c r="B403" s="118" t="str">
        <f aca="false">CONCATENATE(C403&amp;D403)</f>
        <v>1"18</v>
      </c>
      <c r="C403" s="118" t="s">
        <v>967</v>
      </c>
      <c r="D403" s="153" t="n">
        <f aca="false">D402+1</f>
        <v>18</v>
      </c>
      <c r="E403" s="118" t="e">
        <f aca="false">CEILING(D403/20;1)</f>
        <v>#VALUE!</v>
      </c>
      <c r="F403" s="118" t="e">
        <f aca="false">E403*$F$1</f>
        <v>#VALUE!</v>
      </c>
    </row>
    <row r="404" customFormat="false" ht="14.25" hidden="false" customHeight="true" outlineLevel="0" collapsed="false">
      <c r="A404" s="118" t="s">
        <v>1005</v>
      </c>
      <c r="B404" s="118" t="str">
        <f aca="false">CONCATENATE(C404&amp;D404)</f>
        <v>1"19</v>
      </c>
      <c r="C404" s="118" t="s">
        <v>967</v>
      </c>
      <c r="D404" s="153" t="n">
        <f aca="false">D403+1</f>
        <v>19</v>
      </c>
      <c r="E404" s="118" t="e">
        <f aca="false">CEILING(D404/20;1)</f>
        <v>#VALUE!</v>
      </c>
      <c r="F404" s="118" t="e">
        <f aca="false">E404*$F$1</f>
        <v>#VALUE!</v>
      </c>
    </row>
    <row r="405" customFormat="false" ht="14.25" hidden="false" customHeight="true" outlineLevel="0" collapsed="false">
      <c r="A405" s="118" t="s">
        <v>1005</v>
      </c>
      <c r="B405" s="118" t="str">
        <f aca="false">CONCATENATE(C405&amp;D405)</f>
        <v>1"20</v>
      </c>
      <c r="C405" s="118" t="s">
        <v>967</v>
      </c>
      <c r="D405" s="152" t="n">
        <f aca="false">D404+1</f>
        <v>20</v>
      </c>
      <c r="E405" s="118" t="e">
        <f aca="false">CEILING(D405/20;1)</f>
        <v>#VALUE!</v>
      </c>
      <c r="F405" s="118" t="e">
        <f aca="false">E405*$F$1</f>
        <v>#VALUE!</v>
      </c>
    </row>
    <row r="406" customFormat="false" ht="14.25" hidden="false" customHeight="true" outlineLevel="0" collapsed="false">
      <c r="A406" s="118" t="s">
        <v>1005</v>
      </c>
      <c r="B406" s="118" t="str">
        <f aca="false">CONCATENATE(C406&amp;D406)</f>
        <v>1"21</v>
      </c>
      <c r="C406" s="118" t="s">
        <v>967</v>
      </c>
      <c r="D406" s="153" t="n">
        <f aca="false">D405+1</f>
        <v>21</v>
      </c>
      <c r="E406" s="118" t="e">
        <f aca="false">CEILING(D406/20;1)</f>
        <v>#VALUE!</v>
      </c>
      <c r="F406" s="118" t="e">
        <f aca="false">E406*$F$1</f>
        <v>#VALUE!</v>
      </c>
    </row>
    <row r="407" customFormat="false" ht="14.25" hidden="false" customHeight="true" outlineLevel="0" collapsed="false">
      <c r="A407" s="118" t="s">
        <v>1005</v>
      </c>
      <c r="B407" s="118" t="str">
        <f aca="false">CONCATENATE(C407&amp;D407)</f>
        <v>1"22</v>
      </c>
      <c r="C407" s="118" t="s">
        <v>967</v>
      </c>
      <c r="D407" s="153" t="n">
        <f aca="false">D406+1</f>
        <v>22</v>
      </c>
      <c r="E407" s="118" t="e">
        <f aca="false">CEILING(D407/20;1)</f>
        <v>#VALUE!</v>
      </c>
      <c r="F407" s="118" t="e">
        <f aca="false">E407*$F$1</f>
        <v>#VALUE!</v>
      </c>
    </row>
    <row r="408" customFormat="false" ht="14.25" hidden="false" customHeight="true" outlineLevel="0" collapsed="false">
      <c r="A408" s="118" t="s">
        <v>1005</v>
      </c>
      <c r="B408" s="118" t="str">
        <f aca="false">CONCATENATE(C408&amp;D408)</f>
        <v>1"23</v>
      </c>
      <c r="C408" s="118" t="s">
        <v>967</v>
      </c>
      <c r="D408" s="153" t="n">
        <f aca="false">D407+1</f>
        <v>23</v>
      </c>
      <c r="E408" s="118" t="e">
        <f aca="false">CEILING(D408/20;1)</f>
        <v>#VALUE!</v>
      </c>
      <c r="F408" s="118" t="e">
        <f aca="false">E408*$F$1</f>
        <v>#VALUE!</v>
      </c>
    </row>
    <row r="409" customFormat="false" ht="14.25" hidden="false" customHeight="true" outlineLevel="0" collapsed="false">
      <c r="A409" s="118" t="s">
        <v>1005</v>
      </c>
      <c r="B409" s="118" t="str">
        <f aca="false">CONCATENATE(C409&amp;D409)</f>
        <v>1"24</v>
      </c>
      <c r="C409" s="118" t="s">
        <v>967</v>
      </c>
      <c r="D409" s="153" t="n">
        <f aca="false">D408+1</f>
        <v>24</v>
      </c>
      <c r="E409" s="118" t="e">
        <f aca="false">CEILING(D409/20;1)</f>
        <v>#VALUE!</v>
      </c>
      <c r="F409" s="118" t="e">
        <f aca="false">E409*$F$1</f>
        <v>#VALUE!</v>
      </c>
    </row>
    <row r="410" customFormat="false" ht="14.25" hidden="false" customHeight="true" outlineLevel="0" collapsed="false">
      <c r="A410" s="118" t="s">
        <v>1005</v>
      </c>
      <c r="B410" s="118" t="str">
        <f aca="false">CONCATENATE(C410&amp;D410)</f>
        <v>1"25</v>
      </c>
      <c r="C410" s="118" t="s">
        <v>967</v>
      </c>
      <c r="D410" s="153" t="n">
        <f aca="false">D409+1</f>
        <v>25</v>
      </c>
      <c r="E410" s="118" t="e">
        <f aca="false">CEILING(D410/20;1)</f>
        <v>#VALUE!</v>
      </c>
      <c r="F410" s="118" t="e">
        <f aca="false">E410*$F$1</f>
        <v>#VALUE!</v>
      </c>
    </row>
    <row r="411" customFormat="false" ht="14.25" hidden="false" customHeight="true" outlineLevel="0" collapsed="false">
      <c r="A411" s="118" t="s">
        <v>1005</v>
      </c>
      <c r="B411" s="118" t="str">
        <f aca="false">CONCATENATE(C411&amp;D411)</f>
        <v>1"26</v>
      </c>
      <c r="C411" s="118" t="s">
        <v>967</v>
      </c>
      <c r="D411" s="153" t="n">
        <f aca="false">D410+1</f>
        <v>26</v>
      </c>
      <c r="E411" s="118" t="e">
        <f aca="false">CEILING(D411/20;1)</f>
        <v>#VALUE!</v>
      </c>
      <c r="F411" s="118" t="e">
        <f aca="false">E411*$F$1</f>
        <v>#VALUE!</v>
      </c>
    </row>
    <row r="412" customFormat="false" ht="14.25" hidden="false" customHeight="true" outlineLevel="0" collapsed="false">
      <c r="A412" s="118" t="s">
        <v>1005</v>
      </c>
      <c r="B412" s="118" t="str">
        <f aca="false">CONCATENATE(C412&amp;D412)</f>
        <v>1"27</v>
      </c>
      <c r="C412" s="118" t="s">
        <v>967</v>
      </c>
      <c r="D412" s="153" t="n">
        <f aca="false">D411+1</f>
        <v>27</v>
      </c>
      <c r="E412" s="118" t="e">
        <f aca="false">CEILING(D412/20;1)</f>
        <v>#VALUE!</v>
      </c>
      <c r="F412" s="118" t="e">
        <f aca="false">E412*$F$1</f>
        <v>#VALUE!</v>
      </c>
    </row>
    <row r="413" customFormat="false" ht="14.25" hidden="false" customHeight="true" outlineLevel="0" collapsed="false">
      <c r="A413" s="118" t="s">
        <v>1005</v>
      </c>
      <c r="B413" s="118" t="str">
        <f aca="false">CONCATENATE(C413&amp;D413)</f>
        <v>1"28</v>
      </c>
      <c r="C413" s="118" t="s">
        <v>967</v>
      </c>
      <c r="D413" s="153" t="n">
        <f aca="false">D412+1</f>
        <v>28</v>
      </c>
      <c r="E413" s="118" t="e">
        <f aca="false">CEILING(D413/20;1)</f>
        <v>#VALUE!</v>
      </c>
      <c r="F413" s="118" t="e">
        <f aca="false">E413*$F$1</f>
        <v>#VALUE!</v>
      </c>
    </row>
    <row r="414" customFormat="false" ht="14.25" hidden="false" customHeight="true" outlineLevel="0" collapsed="false">
      <c r="A414" s="118" t="s">
        <v>1005</v>
      </c>
      <c r="B414" s="118" t="str">
        <f aca="false">CONCATENATE(C414&amp;D414)</f>
        <v>1"29</v>
      </c>
      <c r="C414" s="118" t="s">
        <v>967</v>
      </c>
      <c r="D414" s="153" t="n">
        <f aca="false">D413+1</f>
        <v>29</v>
      </c>
      <c r="E414" s="118" t="e">
        <f aca="false">CEILING(D414/20;1)</f>
        <v>#VALUE!</v>
      </c>
      <c r="F414" s="118" t="e">
        <f aca="false">E414*$F$1</f>
        <v>#VALUE!</v>
      </c>
    </row>
    <row r="415" customFormat="false" ht="14.25" hidden="false" customHeight="true" outlineLevel="0" collapsed="false">
      <c r="A415" s="118" t="s">
        <v>1005</v>
      </c>
      <c r="B415" s="118" t="str">
        <f aca="false">CONCATENATE(C415&amp;D415)</f>
        <v>1"30</v>
      </c>
      <c r="C415" s="118" t="s">
        <v>967</v>
      </c>
      <c r="D415" s="153" t="n">
        <f aca="false">D414+1</f>
        <v>30</v>
      </c>
      <c r="E415" s="118" t="e">
        <f aca="false">CEILING(D415/20;1)</f>
        <v>#VALUE!</v>
      </c>
      <c r="F415" s="118" t="e">
        <f aca="false">E415*$F$1</f>
        <v>#VALUE!</v>
      </c>
    </row>
    <row r="416" customFormat="false" ht="14.25" hidden="false" customHeight="true" outlineLevel="0" collapsed="false">
      <c r="A416" s="118" t="s">
        <v>1005</v>
      </c>
      <c r="B416" s="118" t="str">
        <f aca="false">CONCATENATE(C416&amp;D416)</f>
        <v>1"31</v>
      </c>
      <c r="C416" s="118" t="s">
        <v>967</v>
      </c>
      <c r="D416" s="153" t="n">
        <f aca="false">D415+1</f>
        <v>31</v>
      </c>
      <c r="E416" s="118" t="e">
        <f aca="false">CEILING(D416/20;1)</f>
        <v>#VALUE!</v>
      </c>
      <c r="F416" s="118" t="e">
        <f aca="false">E416*$F$1</f>
        <v>#VALUE!</v>
      </c>
    </row>
    <row r="417" customFormat="false" ht="14.25" hidden="false" customHeight="true" outlineLevel="0" collapsed="false">
      <c r="A417" s="118" t="s">
        <v>1005</v>
      </c>
      <c r="B417" s="118" t="str">
        <f aca="false">CONCATENATE(C417&amp;D417)</f>
        <v>1"32</v>
      </c>
      <c r="C417" s="118" t="s">
        <v>967</v>
      </c>
      <c r="D417" s="153" t="n">
        <f aca="false">D416+1</f>
        <v>32</v>
      </c>
      <c r="E417" s="118" t="e">
        <f aca="false">CEILING(D417/20;1)</f>
        <v>#VALUE!</v>
      </c>
      <c r="F417" s="118" t="e">
        <f aca="false">E417*$F$1</f>
        <v>#VALUE!</v>
      </c>
    </row>
    <row r="418" customFormat="false" ht="14.25" hidden="false" customHeight="true" outlineLevel="0" collapsed="false">
      <c r="A418" s="118" t="s">
        <v>1005</v>
      </c>
      <c r="B418" s="118" t="str">
        <f aca="false">CONCATENATE(C418&amp;D418)</f>
        <v>1"33</v>
      </c>
      <c r="C418" s="118" t="s">
        <v>967</v>
      </c>
      <c r="D418" s="153" t="n">
        <f aca="false">D417+1</f>
        <v>33</v>
      </c>
      <c r="E418" s="118" t="e">
        <f aca="false">CEILING(D418/20;1)</f>
        <v>#VALUE!</v>
      </c>
      <c r="F418" s="118" t="e">
        <f aca="false">E418*$F$1</f>
        <v>#VALUE!</v>
      </c>
    </row>
    <row r="419" customFormat="false" ht="14.25" hidden="false" customHeight="true" outlineLevel="0" collapsed="false">
      <c r="A419" s="118" t="s">
        <v>1005</v>
      </c>
      <c r="B419" s="118" t="str">
        <f aca="false">CONCATENATE(C419&amp;D419)</f>
        <v>1"34</v>
      </c>
      <c r="C419" s="118" t="s">
        <v>967</v>
      </c>
      <c r="D419" s="153" t="n">
        <f aca="false">D418+1</f>
        <v>34</v>
      </c>
      <c r="E419" s="118" t="e">
        <f aca="false">CEILING(D419/20;1)</f>
        <v>#VALUE!</v>
      </c>
      <c r="F419" s="118" t="e">
        <f aca="false">E419*$F$1</f>
        <v>#VALUE!</v>
      </c>
    </row>
    <row r="420" customFormat="false" ht="14.25" hidden="false" customHeight="true" outlineLevel="0" collapsed="false">
      <c r="A420" s="118" t="s">
        <v>1005</v>
      </c>
      <c r="B420" s="118" t="str">
        <f aca="false">CONCATENATE(C420&amp;D420)</f>
        <v>1"35</v>
      </c>
      <c r="C420" s="118" t="s">
        <v>967</v>
      </c>
      <c r="D420" s="153" t="n">
        <f aca="false">D419+1</f>
        <v>35</v>
      </c>
      <c r="E420" s="118" t="e">
        <f aca="false">CEILING(D420/20;1)</f>
        <v>#VALUE!</v>
      </c>
      <c r="F420" s="118" t="e">
        <f aca="false">E420*$F$1</f>
        <v>#VALUE!</v>
      </c>
    </row>
    <row r="421" customFormat="false" ht="14.25" hidden="false" customHeight="true" outlineLevel="0" collapsed="false">
      <c r="A421" s="118" t="s">
        <v>1005</v>
      </c>
      <c r="B421" s="118" t="str">
        <f aca="false">CONCATENATE(C421&amp;D421)</f>
        <v>1"36</v>
      </c>
      <c r="C421" s="118" t="s">
        <v>967</v>
      </c>
      <c r="D421" s="153" t="n">
        <f aca="false">D420+1</f>
        <v>36</v>
      </c>
      <c r="E421" s="118" t="e">
        <f aca="false">CEILING(D421/20;1)</f>
        <v>#VALUE!</v>
      </c>
      <c r="F421" s="118" t="e">
        <f aca="false">E421*$F$1</f>
        <v>#VALUE!</v>
      </c>
    </row>
    <row r="422" customFormat="false" ht="14.25" hidden="false" customHeight="true" outlineLevel="0" collapsed="false">
      <c r="A422" s="118" t="s">
        <v>1005</v>
      </c>
      <c r="B422" s="118" t="str">
        <f aca="false">CONCATENATE(C422&amp;D422)</f>
        <v>1"37</v>
      </c>
      <c r="C422" s="118" t="s">
        <v>967</v>
      </c>
      <c r="D422" s="153" t="n">
        <f aca="false">D421+1</f>
        <v>37</v>
      </c>
      <c r="E422" s="118" t="e">
        <f aca="false">CEILING(D422/20;1)</f>
        <v>#VALUE!</v>
      </c>
      <c r="F422" s="118" t="e">
        <f aca="false">E422*$F$1</f>
        <v>#VALUE!</v>
      </c>
    </row>
    <row r="423" customFormat="false" ht="14.25" hidden="false" customHeight="true" outlineLevel="0" collapsed="false">
      <c r="A423" s="118" t="s">
        <v>1005</v>
      </c>
      <c r="B423" s="118" t="str">
        <f aca="false">CONCATENATE(C423&amp;D423)</f>
        <v>1"38</v>
      </c>
      <c r="C423" s="118" t="s">
        <v>967</v>
      </c>
      <c r="D423" s="153" t="n">
        <f aca="false">D422+1</f>
        <v>38</v>
      </c>
      <c r="E423" s="118" t="e">
        <f aca="false">CEILING(D423/20;1)</f>
        <v>#VALUE!</v>
      </c>
      <c r="F423" s="118" t="e">
        <f aca="false">E423*$F$1</f>
        <v>#VALUE!</v>
      </c>
    </row>
    <row r="424" customFormat="false" ht="14.25" hidden="false" customHeight="true" outlineLevel="0" collapsed="false">
      <c r="A424" s="118" t="s">
        <v>1005</v>
      </c>
      <c r="B424" s="118" t="str">
        <f aca="false">CONCATENATE(C424&amp;D424)</f>
        <v>1"39</v>
      </c>
      <c r="C424" s="118" t="s">
        <v>967</v>
      </c>
      <c r="D424" s="153" t="n">
        <f aca="false">D423+1</f>
        <v>39</v>
      </c>
      <c r="E424" s="118" t="e">
        <f aca="false">CEILING(D424/20;1)</f>
        <v>#VALUE!</v>
      </c>
      <c r="F424" s="118" t="e">
        <f aca="false">E424*$F$1</f>
        <v>#VALUE!</v>
      </c>
    </row>
    <row r="425" customFormat="false" ht="14.25" hidden="false" customHeight="true" outlineLevel="0" collapsed="false">
      <c r="A425" s="118" t="s">
        <v>1005</v>
      </c>
      <c r="B425" s="118" t="str">
        <f aca="false">CONCATENATE(C425&amp;D425)</f>
        <v>1"40</v>
      </c>
      <c r="C425" s="118" t="s">
        <v>967</v>
      </c>
      <c r="D425" s="153" t="n">
        <f aca="false">D424+1</f>
        <v>40</v>
      </c>
      <c r="E425" s="118" t="e">
        <f aca="false">CEILING(D425/20;1)</f>
        <v>#VALUE!</v>
      </c>
      <c r="F425" s="118" t="e">
        <f aca="false">E425*$F$1</f>
        <v>#VALUE!</v>
      </c>
    </row>
    <row r="426" customFormat="false" ht="14.25" hidden="false" customHeight="true" outlineLevel="0" collapsed="false">
      <c r="A426" s="118" t="s">
        <v>1005</v>
      </c>
      <c r="B426" s="118" t="str">
        <f aca="false">CONCATENATE(C426&amp;D426)</f>
        <v>1"41</v>
      </c>
      <c r="C426" s="118" t="s">
        <v>967</v>
      </c>
      <c r="D426" s="153" t="n">
        <f aca="false">D425+1</f>
        <v>41</v>
      </c>
      <c r="E426" s="118" t="e">
        <f aca="false">CEILING(D426/20;1)</f>
        <v>#VALUE!</v>
      </c>
      <c r="F426" s="118" t="e">
        <f aca="false">E426*$F$1</f>
        <v>#VALUE!</v>
      </c>
    </row>
    <row r="427" customFormat="false" ht="14.25" hidden="false" customHeight="true" outlineLevel="0" collapsed="false">
      <c r="A427" s="118" t="s">
        <v>1005</v>
      </c>
      <c r="B427" s="118" t="str">
        <f aca="false">CONCATENATE(C427&amp;D427)</f>
        <v>1"42</v>
      </c>
      <c r="C427" s="118" t="s">
        <v>967</v>
      </c>
      <c r="D427" s="153" t="n">
        <f aca="false">D426+1</f>
        <v>42</v>
      </c>
      <c r="E427" s="118" t="e">
        <f aca="false">CEILING(D427/20;1)</f>
        <v>#VALUE!</v>
      </c>
      <c r="F427" s="118" t="e">
        <f aca="false">E427*$F$1</f>
        <v>#VALUE!</v>
      </c>
    </row>
    <row r="428" customFormat="false" ht="14.25" hidden="false" customHeight="true" outlineLevel="0" collapsed="false">
      <c r="A428" s="118" t="s">
        <v>1005</v>
      </c>
      <c r="B428" s="118" t="str">
        <f aca="false">CONCATENATE(C428&amp;D428)</f>
        <v>1"43</v>
      </c>
      <c r="C428" s="118" t="s">
        <v>967</v>
      </c>
      <c r="D428" s="153" t="n">
        <f aca="false">D427+1</f>
        <v>43</v>
      </c>
      <c r="E428" s="118" t="e">
        <f aca="false">CEILING(D428/20;1)</f>
        <v>#VALUE!</v>
      </c>
      <c r="F428" s="118" t="e">
        <f aca="false">E428*$F$1</f>
        <v>#VALUE!</v>
      </c>
    </row>
    <row r="429" customFormat="false" ht="14.25" hidden="false" customHeight="true" outlineLevel="0" collapsed="false">
      <c r="A429" s="118" t="s">
        <v>1005</v>
      </c>
      <c r="B429" s="118" t="str">
        <f aca="false">CONCATENATE(C429&amp;D429)</f>
        <v>1"44</v>
      </c>
      <c r="C429" s="118" t="s">
        <v>967</v>
      </c>
      <c r="D429" s="153" t="n">
        <f aca="false">D428+1</f>
        <v>44</v>
      </c>
      <c r="E429" s="118" t="e">
        <f aca="false">CEILING(D429/20;1)</f>
        <v>#VALUE!</v>
      </c>
      <c r="F429" s="118" t="e">
        <f aca="false">E429*$F$1</f>
        <v>#VALUE!</v>
      </c>
    </row>
    <row r="430" customFormat="false" ht="14.25" hidden="false" customHeight="true" outlineLevel="0" collapsed="false">
      <c r="A430" s="118" t="s">
        <v>1005</v>
      </c>
      <c r="B430" s="118" t="str">
        <f aca="false">CONCATENATE(C430&amp;D430)</f>
        <v>1"45</v>
      </c>
      <c r="C430" s="118" t="s">
        <v>967</v>
      </c>
      <c r="D430" s="153" t="n">
        <f aca="false">D429+1</f>
        <v>45</v>
      </c>
      <c r="E430" s="118" t="e">
        <f aca="false">CEILING(D430/20;1)</f>
        <v>#VALUE!</v>
      </c>
      <c r="F430" s="118" t="e">
        <f aca="false">E430*$F$1</f>
        <v>#VALUE!</v>
      </c>
    </row>
    <row r="431" customFormat="false" ht="14.25" hidden="false" customHeight="true" outlineLevel="0" collapsed="false">
      <c r="A431" s="118" t="s">
        <v>1005</v>
      </c>
      <c r="B431" s="118" t="str">
        <f aca="false">CONCATENATE(C431&amp;D431)</f>
        <v>1"46</v>
      </c>
      <c r="C431" s="118" t="s">
        <v>967</v>
      </c>
      <c r="D431" s="153" t="n">
        <f aca="false">D430+1</f>
        <v>46</v>
      </c>
      <c r="E431" s="118" t="e">
        <f aca="false">CEILING(D431/20;1)</f>
        <v>#VALUE!</v>
      </c>
      <c r="F431" s="118" t="e">
        <f aca="false">E431*$F$1</f>
        <v>#VALUE!</v>
      </c>
    </row>
    <row r="432" customFormat="false" ht="14.25" hidden="false" customHeight="true" outlineLevel="0" collapsed="false">
      <c r="A432" s="118" t="s">
        <v>1005</v>
      </c>
      <c r="B432" s="118" t="str">
        <f aca="false">CONCATENATE(C432&amp;D432)</f>
        <v>1"47</v>
      </c>
      <c r="C432" s="118" t="s">
        <v>967</v>
      </c>
      <c r="D432" s="153" t="n">
        <f aca="false">D431+1</f>
        <v>47</v>
      </c>
      <c r="E432" s="118" t="e">
        <f aca="false">CEILING(D432/20;1)</f>
        <v>#VALUE!</v>
      </c>
      <c r="F432" s="118" t="e">
        <f aca="false">E432*$F$1</f>
        <v>#VALUE!</v>
      </c>
    </row>
    <row r="433" customFormat="false" ht="14.25" hidden="false" customHeight="true" outlineLevel="0" collapsed="false">
      <c r="A433" s="118" t="s">
        <v>1005</v>
      </c>
      <c r="B433" s="118" t="str">
        <f aca="false">CONCATENATE(C433&amp;D433)</f>
        <v>1"48</v>
      </c>
      <c r="C433" s="118" t="s">
        <v>967</v>
      </c>
      <c r="D433" s="153" t="n">
        <f aca="false">D432+1</f>
        <v>48</v>
      </c>
      <c r="E433" s="118" t="e">
        <f aca="false">CEILING(D433/20;1)</f>
        <v>#VALUE!</v>
      </c>
      <c r="F433" s="118" t="e">
        <f aca="false">E433*$F$1</f>
        <v>#VALUE!</v>
      </c>
    </row>
    <row r="434" customFormat="false" ht="14.25" hidden="false" customHeight="true" outlineLevel="0" collapsed="false">
      <c r="A434" s="118" t="s">
        <v>1005</v>
      </c>
      <c r="B434" s="118" t="str">
        <f aca="false">CONCATENATE(C434&amp;D434)</f>
        <v>1"49</v>
      </c>
      <c r="C434" s="118" t="s">
        <v>967</v>
      </c>
      <c r="D434" s="153" t="n">
        <f aca="false">D433+1</f>
        <v>49</v>
      </c>
      <c r="E434" s="118" t="e">
        <f aca="false">CEILING(D434/20;1)</f>
        <v>#VALUE!</v>
      </c>
      <c r="F434" s="118" t="e">
        <f aca="false">E434*$F$1</f>
        <v>#VALUE!</v>
      </c>
    </row>
    <row r="435" customFormat="false" ht="14.25" hidden="false" customHeight="true" outlineLevel="0" collapsed="false">
      <c r="A435" s="118" t="s">
        <v>1005</v>
      </c>
      <c r="B435" s="118" t="str">
        <f aca="false">CONCATENATE(C435&amp;D435)</f>
        <v>1"50</v>
      </c>
      <c r="C435" s="118" t="s">
        <v>967</v>
      </c>
      <c r="D435" s="153" t="n">
        <f aca="false">D434+1</f>
        <v>50</v>
      </c>
      <c r="E435" s="118" t="e">
        <f aca="false">CEILING(D435/20;1)</f>
        <v>#VALUE!</v>
      </c>
      <c r="F435" s="118" t="e">
        <f aca="false">E435*$F$1</f>
        <v>#VALUE!</v>
      </c>
    </row>
    <row r="436" customFormat="false" ht="14.25" hidden="false" customHeight="true" outlineLevel="0" collapsed="false">
      <c r="A436" s="118" t="s">
        <v>1005</v>
      </c>
      <c r="B436" s="118" t="str">
        <f aca="false">CONCATENATE(C436&amp;D436)</f>
        <v>1"51</v>
      </c>
      <c r="C436" s="118" t="s">
        <v>967</v>
      </c>
      <c r="D436" s="153" t="n">
        <f aca="false">D435+1</f>
        <v>51</v>
      </c>
      <c r="E436" s="118" t="e">
        <f aca="false">CEILING(D436/20;1)</f>
        <v>#VALUE!</v>
      </c>
      <c r="F436" s="118" t="e">
        <f aca="false">E436*$F$1</f>
        <v>#VALUE!</v>
      </c>
    </row>
    <row r="437" customFormat="false" ht="14.25" hidden="false" customHeight="true" outlineLevel="0" collapsed="false">
      <c r="A437" s="118" t="s">
        <v>1005</v>
      </c>
      <c r="B437" s="118" t="str">
        <f aca="false">CONCATENATE(C437&amp;D437)</f>
        <v>1"52</v>
      </c>
      <c r="C437" s="118" t="s">
        <v>967</v>
      </c>
      <c r="D437" s="153" t="n">
        <f aca="false">D436+1</f>
        <v>52</v>
      </c>
      <c r="E437" s="118" t="e">
        <f aca="false">CEILING(D437/20;1)</f>
        <v>#VALUE!</v>
      </c>
      <c r="F437" s="118" t="e">
        <f aca="false">E437*$F$1</f>
        <v>#VALUE!</v>
      </c>
    </row>
    <row r="438" customFormat="false" ht="14.25" hidden="false" customHeight="true" outlineLevel="0" collapsed="false">
      <c r="A438" s="118" t="s">
        <v>1005</v>
      </c>
      <c r="B438" s="118" t="str">
        <f aca="false">CONCATENATE(C438&amp;D438)</f>
        <v>1"53</v>
      </c>
      <c r="C438" s="118" t="s">
        <v>967</v>
      </c>
      <c r="D438" s="153" t="n">
        <f aca="false">D437+1</f>
        <v>53</v>
      </c>
      <c r="E438" s="118" t="e">
        <f aca="false">CEILING(D438/20;1)</f>
        <v>#VALUE!</v>
      </c>
      <c r="F438" s="118" t="e">
        <f aca="false">E438*$F$1</f>
        <v>#VALUE!</v>
      </c>
    </row>
    <row r="439" customFormat="false" ht="14.25" hidden="false" customHeight="true" outlineLevel="0" collapsed="false">
      <c r="A439" s="118" t="s">
        <v>1005</v>
      </c>
      <c r="B439" s="118" t="str">
        <f aca="false">CONCATENATE(C439&amp;D439)</f>
        <v>1"54</v>
      </c>
      <c r="C439" s="118" t="s">
        <v>967</v>
      </c>
      <c r="D439" s="153" t="n">
        <f aca="false">D438+1</f>
        <v>54</v>
      </c>
      <c r="E439" s="118" t="e">
        <f aca="false">CEILING(D439/20;1)</f>
        <v>#VALUE!</v>
      </c>
      <c r="F439" s="118" t="e">
        <f aca="false">E439*$F$1</f>
        <v>#VALUE!</v>
      </c>
    </row>
    <row r="440" customFormat="false" ht="14.25" hidden="false" customHeight="true" outlineLevel="0" collapsed="false">
      <c r="A440" s="118" t="s">
        <v>1005</v>
      </c>
      <c r="B440" s="118" t="str">
        <f aca="false">CONCATENATE(C440&amp;D440)</f>
        <v>1"55</v>
      </c>
      <c r="C440" s="118" t="s">
        <v>967</v>
      </c>
      <c r="D440" s="153" t="n">
        <f aca="false">D439+1</f>
        <v>55</v>
      </c>
      <c r="E440" s="118" t="e">
        <f aca="false">CEILING(D440/20;1)</f>
        <v>#VALUE!</v>
      </c>
      <c r="F440" s="118" t="e">
        <f aca="false">E440*$F$1</f>
        <v>#VALUE!</v>
      </c>
    </row>
    <row r="441" customFormat="false" ht="14.25" hidden="false" customHeight="true" outlineLevel="0" collapsed="false">
      <c r="A441" s="118" t="s">
        <v>1005</v>
      </c>
      <c r="B441" s="118" t="str">
        <f aca="false">CONCATENATE(C441&amp;D441)</f>
        <v>1"56</v>
      </c>
      <c r="C441" s="118" t="s">
        <v>967</v>
      </c>
      <c r="D441" s="153" t="n">
        <f aca="false">D440+1</f>
        <v>56</v>
      </c>
      <c r="E441" s="118" t="e">
        <f aca="false">CEILING(D441/20;1)</f>
        <v>#VALUE!</v>
      </c>
      <c r="F441" s="118" t="e">
        <f aca="false">E441*$F$1</f>
        <v>#VALUE!</v>
      </c>
    </row>
    <row r="442" customFormat="false" ht="14.25" hidden="false" customHeight="true" outlineLevel="0" collapsed="false">
      <c r="A442" s="118" t="s">
        <v>1005</v>
      </c>
      <c r="B442" s="118" t="str">
        <f aca="false">CONCATENATE(C442&amp;D442)</f>
        <v>1"57</v>
      </c>
      <c r="C442" s="118" t="s">
        <v>967</v>
      </c>
      <c r="D442" s="153" t="n">
        <f aca="false">D441+1</f>
        <v>57</v>
      </c>
      <c r="E442" s="118" t="e">
        <f aca="false">CEILING(D442/20;1)</f>
        <v>#VALUE!</v>
      </c>
      <c r="F442" s="118" t="e">
        <f aca="false">E442*$F$1</f>
        <v>#VALUE!</v>
      </c>
    </row>
    <row r="443" customFormat="false" ht="14.25" hidden="false" customHeight="true" outlineLevel="0" collapsed="false">
      <c r="A443" s="118" t="s">
        <v>1005</v>
      </c>
      <c r="B443" s="118" t="str">
        <f aca="false">CONCATENATE(C443&amp;D443)</f>
        <v>1"58</v>
      </c>
      <c r="C443" s="118" t="s">
        <v>967</v>
      </c>
      <c r="D443" s="153" t="n">
        <f aca="false">D442+1</f>
        <v>58</v>
      </c>
      <c r="E443" s="118" t="e">
        <f aca="false">CEILING(D443/20;1)</f>
        <v>#VALUE!</v>
      </c>
      <c r="F443" s="118" t="e">
        <f aca="false">E443*$F$1</f>
        <v>#VALUE!</v>
      </c>
    </row>
    <row r="444" customFormat="false" ht="14.25" hidden="false" customHeight="true" outlineLevel="0" collapsed="false">
      <c r="A444" s="118" t="s">
        <v>1005</v>
      </c>
      <c r="B444" s="118" t="str">
        <f aca="false">CONCATENATE(C444&amp;D444)</f>
        <v>1"59</v>
      </c>
      <c r="C444" s="118" t="s">
        <v>967</v>
      </c>
      <c r="D444" s="153" t="n">
        <f aca="false">D443+1</f>
        <v>59</v>
      </c>
      <c r="E444" s="118" t="e">
        <f aca="false">CEILING(D444/20;1)</f>
        <v>#VALUE!</v>
      </c>
      <c r="F444" s="118" t="e">
        <f aca="false">E444*$F$1</f>
        <v>#VALUE!</v>
      </c>
    </row>
    <row r="445" customFormat="false" ht="14.25" hidden="false" customHeight="true" outlineLevel="0" collapsed="false">
      <c r="A445" s="118" t="s">
        <v>1005</v>
      </c>
      <c r="B445" s="118" t="str">
        <f aca="false">CONCATENATE(C445&amp;D445)</f>
        <v>1"60</v>
      </c>
      <c r="C445" s="118" t="s">
        <v>967</v>
      </c>
      <c r="D445" s="153" t="n">
        <f aca="false">D444+1</f>
        <v>60</v>
      </c>
      <c r="E445" s="118" t="e">
        <f aca="false">CEILING(D445/20;1)</f>
        <v>#VALUE!</v>
      </c>
      <c r="F445" s="118" t="e">
        <f aca="false">E445*$F$1</f>
        <v>#VALUE!</v>
      </c>
    </row>
    <row r="446" customFormat="false" ht="14.25" hidden="false" customHeight="true" outlineLevel="0" collapsed="false">
      <c r="A446" s="118" t="s">
        <v>1005</v>
      </c>
      <c r="B446" s="118" t="str">
        <f aca="false">CONCATENATE(C446&amp;D446)</f>
        <v>1"61</v>
      </c>
      <c r="C446" s="118" t="s">
        <v>967</v>
      </c>
      <c r="D446" s="153" t="n">
        <f aca="false">D445+1</f>
        <v>61</v>
      </c>
      <c r="E446" s="118" t="e">
        <f aca="false">CEILING(D446/20;1)</f>
        <v>#VALUE!</v>
      </c>
      <c r="F446" s="118" t="e">
        <f aca="false">E446*$F$1</f>
        <v>#VALUE!</v>
      </c>
    </row>
    <row r="447" customFormat="false" ht="14.25" hidden="false" customHeight="true" outlineLevel="0" collapsed="false">
      <c r="A447" s="118" t="s">
        <v>1005</v>
      </c>
      <c r="B447" s="118" t="str">
        <f aca="false">CONCATENATE(C447&amp;D447)</f>
        <v>1"62</v>
      </c>
      <c r="C447" s="118" t="s">
        <v>967</v>
      </c>
      <c r="D447" s="153" t="n">
        <f aca="false">D446+1</f>
        <v>62</v>
      </c>
      <c r="E447" s="118" t="e">
        <f aca="false">CEILING(D447/20;1)</f>
        <v>#VALUE!</v>
      </c>
      <c r="F447" s="118" t="e">
        <f aca="false">E447*$F$1</f>
        <v>#VALUE!</v>
      </c>
    </row>
    <row r="448" customFormat="false" ht="14.25" hidden="false" customHeight="true" outlineLevel="0" collapsed="false">
      <c r="A448" s="118" t="s">
        <v>1005</v>
      </c>
      <c r="B448" s="118" t="str">
        <f aca="false">CONCATENATE(C448&amp;D448)</f>
        <v>1"63</v>
      </c>
      <c r="C448" s="118" t="s">
        <v>967</v>
      </c>
      <c r="D448" s="153" t="n">
        <f aca="false">D447+1</f>
        <v>63</v>
      </c>
      <c r="E448" s="118" t="e">
        <f aca="false">CEILING(D448/20;1)</f>
        <v>#VALUE!</v>
      </c>
      <c r="F448" s="118" t="e">
        <f aca="false">E448*$F$1</f>
        <v>#VALUE!</v>
      </c>
    </row>
    <row r="449" customFormat="false" ht="14.25" hidden="false" customHeight="true" outlineLevel="0" collapsed="false">
      <c r="A449" s="118" t="s">
        <v>1005</v>
      </c>
      <c r="B449" s="118" t="str">
        <f aca="false">CONCATENATE(C449&amp;D449)</f>
        <v>1"64</v>
      </c>
      <c r="C449" s="118" t="s">
        <v>967</v>
      </c>
      <c r="D449" s="153" t="n">
        <f aca="false">D448+1</f>
        <v>64</v>
      </c>
      <c r="E449" s="118" t="e">
        <f aca="false">CEILING(D449/20;1)</f>
        <v>#VALUE!</v>
      </c>
      <c r="F449" s="118" t="e">
        <f aca="false">E449*$F$1</f>
        <v>#VALUE!</v>
      </c>
    </row>
    <row r="450" customFormat="false" ht="14.25" hidden="false" customHeight="true" outlineLevel="0" collapsed="false">
      <c r="A450" s="118" t="s">
        <v>1005</v>
      </c>
      <c r="B450" s="118" t="str">
        <f aca="false">CONCATENATE(C450&amp;D450)</f>
        <v>1"65</v>
      </c>
      <c r="C450" s="118" t="s">
        <v>967</v>
      </c>
      <c r="D450" s="153" t="n">
        <f aca="false">D449+1</f>
        <v>65</v>
      </c>
      <c r="E450" s="118" t="e">
        <f aca="false">CEILING(D450/20;1)</f>
        <v>#VALUE!</v>
      </c>
      <c r="F450" s="118" t="e">
        <f aca="false">E450*$F$1</f>
        <v>#VALUE!</v>
      </c>
    </row>
    <row r="451" customFormat="false" ht="14.25" hidden="false" customHeight="true" outlineLevel="0" collapsed="false">
      <c r="A451" s="118" t="s">
        <v>1005</v>
      </c>
      <c r="B451" s="118" t="str">
        <f aca="false">CONCATENATE(C451&amp;D451)</f>
        <v>1"66</v>
      </c>
      <c r="C451" s="118" t="s">
        <v>967</v>
      </c>
      <c r="D451" s="153" t="n">
        <f aca="false">D450+1</f>
        <v>66</v>
      </c>
      <c r="E451" s="118" t="e">
        <f aca="false">CEILING(D451/20;1)</f>
        <v>#VALUE!</v>
      </c>
      <c r="F451" s="118" t="e">
        <f aca="false">E451*$F$1</f>
        <v>#VALUE!</v>
      </c>
    </row>
    <row r="452" customFormat="false" ht="14.25" hidden="false" customHeight="true" outlineLevel="0" collapsed="false">
      <c r="A452" s="118" t="s">
        <v>1005</v>
      </c>
      <c r="B452" s="118" t="str">
        <f aca="false">CONCATENATE(C452&amp;D452)</f>
        <v>1"67</v>
      </c>
      <c r="C452" s="118" t="s">
        <v>967</v>
      </c>
      <c r="D452" s="153" t="n">
        <f aca="false">D451+1</f>
        <v>67</v>
      </c>
      <c r="E452" s="118" t="e">
        <f aca="false">CEILING(D452/20;1)</f>
        <v>#VALUE!</v>
      </c>
      <c r="F452" s="118" t="e">
        <f aca="false">E452*$F$1</f>
        <v>#VALUE!</v>
      </c>
    </row>
    <row r="453" customFormat="false" ht="14.25" hidden="false" customHeight="true" outlineLevel="0" collapsed="false">
      <c r="A453" s="118" t="s">
        <v>1005</v>
      </c>
      <c r="B453" s="118" t="str">
        <f aca="false">CONCATENATE(C453&amp;D453)</f>
        <v>1"68</v>
      </c>
      <c r="C453" s="118" t="s">
        <v>967</v>
      </c>
      <c r="D453" s="153" t="n">
        <f aca="false">D452+1</f>
        <v>68</v>
      </c>
      <c r="E453" s="118" t="e">
        <f aca="false">CEILING(D453/20;1)</f>
        <v>#VALUE!</v>
      </c>
      <c r="F453" s="118" t="e">
        <f aca="false">E453*$F$1</f>
        <v>#VALUE!</v>
      </c>
    </row>
    <row r="454" customFormat="false" ht="14.25" hidden="false" customHeight="true" outlineLevel="0" collapsed="false">
      <c r="A454" s="118" t="s">
        <v>1005</v>
      </c>
      <c r="B454" s="118" t="str">
        <f aca="false">CONCATENATE(C454&amp;D454)</f>
        <v>1"69</v>
      </c>
      <c r="C454" s="118" t="s">
        <v>967</v>
      </c>
      <c r="D454" s="153" t="n">
        <f aca="false">D453+1</f>
        <v>69</v>
      </c>
      <c r="E454" s="118" t="e">
        <f aca="false">CEILING(D454/20;1)</f>
        <v>#VALUE!</v>
      </c>
      <c r="F454" s="118" t="e">
        <f aca="false">E454*$F$1</f>
        <v>#VALUE!</v>
      </c>
    </row>
    <row r="455" customFormat="false" ht="14.25" hidden="false" customHeight="true" outlineLevel="0" collapsed="false">
      <c r="A455" s="118" t="s">
        <v>1005</v>
      </c>
      <c r="B455" s="118" t="str">
        <f aca="false">CONCATENATE(C455&amp;D455)</f>
        <v>1"70</v>
      </c>
      <c r="C455" s="118" t="s">
        <v>967</v>
      </c>
      <c r="D455" s="153" t="n">
        <f aca="false">D454+1</f>
        <v>70</v>
      </c>
      <c r="E455" s="118" t="e">
        <f aca="false">CEILING(D455/20;1)</f>
        <v>#VALUE!</v>
      </c>
      <c r="F455" s="118" t="e">
        <f aca="false">E455*$F$1</f>
        <v>#VALUE!</v>
      </c>
    </row>
    <row r="456" customFormat="false" ht="14.25" hidden="false" customHeight="true" outlineLevel="0" collapsed="false">
      <c r="A456" s="118" t="s">
        <v>1005</v>
      </c>
      <c r="B456" s="118" t="str">
        <f aca="false">CONCATENATE(C456&amp;D456)</f>
        <v>1"71</v>
      </c>
      <c r="C456" s="118" t="s">
        <v>967</v>
      </c>
      <c r="D456" s="153" t="n">
        <f aca="false">D455+1</f>
        <v>71</v>
      </c>
      <c r="E456" s="118" t="e">
        <f aca="false">CEILING(D456/20;1)</f>
        <v>#VALUE!</v>
      </c>
      <c r="F456" s="118" t="e">
        <f aca="false">E456*$F$1</f>
        <v>#VALUE!</v>
      </c>
    </row>
    <row r="457" customFormat="false" ht="14.25" hidden="false" customHeight="true" outlineLevel="0" collapsed="false">
      <c r="A457" s="118" t="s">
        <v>1005</v>
      </c>
      <c r="B457" s="118" t="str">
        <f aca="false">CONCATENATE(C457&amp;D457)</f>
        <v>1"72</v>
      </c>
      <c r="C457" s="118" t="s">
        <v>967</v>
      </c>
      <c r="D457" s="153" t="n">
        <f aca="false">D456+1</f>
        <v>72</v>
      </c>
      <c r="E457" s="118" t="e">
        <f aca="false">CEILING(D457/20;1)</f>
        <v>#VALUE!</v>
      </c>
      <c r="F457" s="118" t="e">
        <f aca="false">E457*$F$1</f>
        <v>#VALUE!</v>
      </c>
    </row>
    <row r="458" customFormat="false" ht="14.25" hidden="false" customHeight="true" outlineLevel="0" collapsed="false">
      <c r="A458" s="118" t="s">
        <v>1005</v>
      </c>
      <c r="B458" s="118" t="str">
        <f aca="false">CONCATENATE(C458&amp;D458)</f>
        <v>1"73</v>
      </c>
      <c r="C458" s="118" t="s">
        <v>967</v>
      </c>
      <c r="D458" s="153" t="n">
        <f aca="false">D457+1</f>
        <v>73</v>
      </c>
      <c r="E458" s="118" t="e">
        <f aca="false">CEILING(D458/20;1)</f>
        <v>#VALUE!</v>
      </c>
      <c r="F458" s="118" t="e">
        <f aca="false">E458*$F$1</f>
        <v>#VALUE!</v>
      </c>
    </row>
    <row r="459" customFormat="false" ht="14.25" hidden="false" customHeight="true" outlineLevel="0" collapsed="false">
      <c r="A459" s="118" t="s">
        <v>1005</v>
      </c>
      <c r="B459" s="118" t="str">
        <f aca="false">CONCATENATE(C459&amp;D459)</f>
        <v>1"74</v>
      </c>
      <c r="C459" s="118" t="s">
        <v>967</v>
      </c>
      <c r="D459" s="153" t="n">
        <f aca="false">D458+1</f>
        <v>74</v>
      </c>
      <c r="E459" s="118" t="e">
        <f aca="false">CEILING(D459/20;1)</f>
        <v>#VALUE!</v>
      </c>
      <c r="F459" s="118" t="e">
        <f aca="false">E459*$F$1</f>
        <v>#VALUE!</v>
      </c>
    </row>
    <row r="460" customFormat="false" ht="14.25" hidden="false" customHeight="true" outlineLevel="0" collapsed="false">
      <c r="A460" s="118" t="s">
        <v>1005</v>
      </c>
      <c r="B460" s="118" t="str">
        <f aca="false">CONCATENATE(C460&amp;D460)</f>
        <v>1"75</v>
      </c>
      <c r="C460" s="118" t="s">
        <v>967</v>
      </c>
      <c r="D460" s="153" t="n">
        <f aca="false">D459+1</f>
        <v>75</v>
      </c>
      <c r="E460" s="118" t="e">
        <f aca="false">CEILING(D460/20;1)</f>
        <v>#VALUE!</v>
      </c>
      <c r="F460" s="118" t="e">
        <f aca="false">E460*$F$1</f>
        <v>#VALUE!</v>
      </c>
    </row>
    <row r="461" customFormat="false" ht="14.25" hidden="false" customHeight="true" outlineLevel="0" collapsed="false">
      <c r="A461" s="118" t="s">
        <v>1005</v>
      </c>
      <c r="B461" s="118" t="str">
        <f aca="false">CONCATENATE(C461&amp;D461)</f>
        <v>1"76</v>
      </c>
      <c r="C461" s="118" t="s">
        <v>967</v>
      </c>
      <c r="D461" s="153" t="n">
        <f aca="false">D460+1</f>
        <v>76</v>
      </c>
      <c r="E461" s="118" t="e">
        <f aca="false">CEILING(D461/20;1)</f>
        <v>#VALUE!</v>
      </c>
      <c r="F461" s="118" t="e">
        <f aca="false">E461*$F$1</f>
        <v>#VALUE!</v>
      </c>
    </row>
    <row r="462" customFormat="false" ht="14.25" hidden="false" customHeight="true" outlineLevel="0" collapsed="false">
      <c r="A462" s="118" t="s">
        <v>1005</v>
      </c>
      <c r="B462" s="118" t="str">
        <f aca="false">CONCATENATE(C462&amp;D462)</f>
        <v>1"77</v>
      </c>
      <c r="C462" s="118" t="s">
        <v>967</v>
      </c>
      <c r="D462" s="153" t="n">
        <f aca="false">D461+1</f>
        <v>77</v>
      </c>
      <c r="E462" s="118" t="e">
        <f aca="false">CEILING(D462/20;1)</f>
        <v>#VALUE!</v>
      </c>
      <c r="F462" s="118" t="e">
        <f aca="false">E462*$F$1</f>
        <v>#VALUE!</v>
      </c>
    </row>
    <row r="463" customFormat="false" ht="14.25" hidden="false" customHeight="true" outlineLevel="0" collapsed="false">
      <c r="A463" s="118" t="s">
        <v>1005</v>
      </c>
      <c r="B463" s="118" t="str">
        <f aca="false">CONCATENATE(C463&amp;D463)</f>
        <v>1"78</v>
      </c>
      <c r="C463" s="118" t="s">
        <v>967</v>
      </c>
      <c r="D463" s="153" t="n">
        <f aca="false">D462+1</f>
        <v>78</v>
      </c>
      <c r="E463" s="118" t="e">
        <f aca="false">CEILING(D463/20;1)</f>
        <v>#VALUE!</v>
      </c>
      <c r="F463" s="118" t="e">
        <f aca="false">E463*$F$1</f>
        <v>#VALUE!</v>
      </c>
    </row>
    <row r="464" customFormat="false" ht="14.25" hidden="false" customHeight="true" outlineLevel="0" collapsed="false">
      <c r="A464" s="118" t="s">
        <v>1005</v>
      </c>
      <c r="B464" s="118" t="str">
        <f aca="false">CONCATENATE(C464&amp;D464)</f>
        <v>1"79</v>
      </c>
      <c r="C464" s="118" t="s">
        <v>967</v>
      </c>
      <c r="D464" s="153" t="n">
        <f aca="false">D463+1</f>
        <v>79</v>
      </c>
      <c r="E464" s="118" t="e">
        <f aca="false">CEILING(D464/20;1)</f>
        <v>#VALUE!</v>
      </c>
      <c r="F464" s="118" t="e">
        <f aca="false">E464*$F$1</f>
        <v>#VALUE!</v>
      </c>
    </row>
    <row r="465" customFormat="false" ht="14.25" hidden="false" customHeight="true" outlineLevel="0" collapsed="false">
      <c r="A465" s="118" t="s">
        <v>1005</v>
      </c>
      <c r="B465" s="118" t="str">
        <f aca="false">CONCATENATE(C465&amp;D465)</f>
        <v>1"80</v>
      </c>
      <c r="C465" s="118" t="s">
        <v>967</v>
      </c>
      <c r="D465" s="153" t="n">
        <f aca="false">D464+1</f>
        <v>80</v>
      </c>
      <c r="E465" s="118" t="e">
        <f aca="false">CEILING(D465/20;1)</f>
        <v>#VALUE!</v>
      </c>
      <c r="F465" s="118" t="e">
        <f aca="false">E465*$F$1</f>
        <v>#VALUE!</v>
      </c>
    </row>
    <row r="466" customFormat="false" ht="14.25" hidden="false" customHeight="true" outlineLevel="0" collapsed="false">
      <c r="A466" s="118" t="s">
        <v>1005</v>
      </c>
      <c r="B466" s="118" t="str">
        <f aca="false">CONCATENATE(C466&amp;D466)</f>
        <v>1"81</v>
      </c>
      <c r="C466" s="118" t="s">
        <v>967</v>
      </c>
      <c r="D466" s="153" t="n">
        <f aca="false">D465+1</f>
        <v>81</v>
      </c>
      <c r="E466" s="118" t="e">
        <f aca="false">CEILING(D466/20;1)</f>
        <v>#VALUE!</v>
      </c>
      <c r="F466" s="118" t="e">
        <f aca="false">E466*$F$1</f>
        <v>#VALUE!</v>
      </c>
    </row>
    <row r="467" customFormat="false" ht="14.25" hidden="false" customHeight="true" outlineLevel="0" collapsed="false">
      <c r="A467" s="118" t="s">
        <v>1005</v>
      </c>
      <c r="B467" s="118" t="str">
        <f aca="false">CONCATENATE(C467&amp;D467)</f>
        <v>1"82</v>
      </c>
      <c r="C467" s="118" t="s">
        <v>967</v>
      </c>
      <c r="D467" s="153" t="n">
        <f aca="false">D466+1</f>
        <v>82</v>
      </c>
      <c r="E467" s="118" t="e">
        <f aca="false">CEILING(D467/20;1)</f>
        <v>#VALUE!</v>
      </c>
      <c r="F467" s="118" t="e">
        <f aca="false">E467*$F$1</f>
        <v>#VALUE!</v>
      </c>
    </row>
    <row r="468" customFormat="false" ht="14.25" hidden="false" customHeight="true" outlineLevel="0" collapsed="false">
      <c r="A468" s="118" t="s">
        <v>1005</v>
      </c>
      <c r="B468" s="118" t="str">
        <f aca="false">CONCATENATE(C468&amp;D468)</f>
        <v>1"83</v>
      </c>
      <c r="C468" s="118" t="s">
        <v>967</v>
      </c>
      <c r="D468" s="153" t="n">
        <f aca="false">D467+1</f>
        <v>83</v>
      </c>
      <c r="E468" s="118" t="e">
        <f aca="false">CEILING(D468/20;1)</f>
        <v>#VALUE!</v>
      </c>
      <c r="F468" s="118" t="e">
        <f aca="false">E468*$F$1</f>
        <v>#VALUE!</v>
      </c>
    </row>
    <row r="469" customFormat="false" ht="14.25" hidden="false" customHeight="true" outlineLevel="0" collapsed="false">
      <c r="A469" s="118" t="s">
        <v>1005</v>
      </c>
      <c r="B469" s="118" t="str">
        <f aca="false">CONCATENATE(C469&amp;D469)</f>
        <v>1"84</v>
      </c>
      <c r="C469" s="118" t="s">
        <v>967</v>
      </c>
      <c r="D469" s="153" t="n">
        <f aca="false">D468+1</f>
        <v>84</v>
      </c>
      <c r="E469" s="118" t="e">
        <f aca="false">CEILING(D469/20;1)</f>
        <v>#VALUE!</v>
      </c>
      <c r="F469" s="118" t="e">
        <f aca="false">E469*$F$1</f>
        <v>#VALUE!</v>
      </c>
    </row>
    <row r="470" customFormat="false" ht="14.25" hidden="false" customHeight="true" outlineLevel="0" collapsed="false">
      <c r="A470" s="118" t="s">
        <v>1005</v>
      </c>
      <c r="B470" s="118" t="str">
        <f aca="false">CONCATENATE(C470&amp;D470)</f>
        <v>1"85</v>
      </c>
      <c r="C470" s="118" t="s">
        <v>967</v>
      </c>
      <c r="D470" s="153" t="n">
        <f aca="false">D469+1</f>
        <v>85</v>
      </c>
      <c r="E470" s="118" t="e">
        <f aca="false">CEILING(D470/20;1)</f>
        <v>#VALUE!</v>
      </c>
      <c r="F470" s="118" t="e">
        <f aca="false">E470*$F$1</f>
        <v>#VALUE!</v>
      </c>
    </row>
    <row r="471" customFormat="false" ht="14.25" hidden="false" customHeight="true" outlineLevel="0" collapsed="false">
      <c r="A471" s="118" t="s">
        <v>1005</v>
      </c>
      <c r="B471" s="118" t="str">
        <f aca="false">CONCATENATE(C471&amp;D471)</f>
        <v>1"86</v>
      </c>
      <c r="C471" s="118" t="s">
        <v>967</v>
      </c>
      <c r="D471" s="153" t="n">
        <f aca="false">D470+1</f>
        <v>86</v>
      </c>
      <c r="E471" s="118" t="e">
        <f aca="false">CEILING(D471/20;1)</f>
        <v>#VALUE!</v>
      </c>
      <c r="F471" s="118" t="e">
        <f aca="false">E471*$F$1</f>
        <v>#VALUE!</v>
      </c>
    </row>
    <row r="472" customFormat="false" ht="14.25" hidden="false" customHeight="true" outlineLevel="0" collapsed="false">
      <c r="A472" s="118" t="s">
        <v>1005</v>
      </c>
      <c r="B472" s="118" t="str">
        <f aca="false">CONCATENATE(C472&amp;D472)</f>
        <v>1"87</v>
      </c>
      <c r="C472" s="118" t="s">
        <v>967</v>
      </c>
      <c r="D472" s="153" t="n">
        <f aca="false">D471+1</f>
        <v>87</v>
      </c>
      <c r="E472" s="118" t="e">
        <f aca="false">CEILING(D472/20;1)</f>
        <v>#VALUE!</v>
      </c>
      <c r="F472" s="118" t="e">
        <f aca="false">E472*$F$1</f>
        <v>#VALUE!</v>
      </c>
    </row>
    <row r="473" customFormat="false" ht="14.25" hidden="false" customHeight="true" outlineLevel="0" collapsed="false">
      <c r="A473" s="118" t="s">
        <v>1005</v>
      </c>
      <c r="B473" s="118" t="str">
        <f aca="false">CONCATENATE(C473&amp;D473)</f>
        <v>1"88</v>
      </c>
      <c r="C473" s="118" t="s">
        <v>967</v>
      </c>
      <c r="D473" s="153" t="n">
        <f aca="false">D472+1</f>
        <v>88</v>
      </c>
      <c r="E473" s="118" t="e">
        <f aca="false">CEILING(D473/20;1)</f>
        <v>#VALUE!</v>
      </c>
      <c r="F473" s="118" t="e">
        <f aca="false">E473*$F$1</f>
        <v>#VALUE!</v>
      </c>
    </row>
    <row r="474" customFormat="false" ht="14.25" hidden="false" customHeight="true" outlineLevel="0" collapsed="false">
      <c r="A474" s="118" t="s">
        <v>1005</v>
      </c>
      <c r="B474" s="118" t="str">
        <f aca="false">CONCATENATE(C474&amp;D474)</f>
        <v>1"89</v>
      </c>
      <c r="C474" s="118" t="s">
        <v>967</v>
      </c>
      <c r="D474" s="153" t="n">
        <f aca="false">D473+1</f>
        <v>89</v>
      </c>
      <c r="E474" s="118" t="e">
        <f aca="false">CEILING(D474/20;1)</f>
        <v>#VALUE!</v>
      </c>
      <c r="F474" s="118" t="e">
        <f aca="false">E474*$F$1</f>
        <v>#VALUE!</v>
      </c>
    </row>
    <row r="475" customFormat="false" ht="14.25" hidden="false" customHeight="true" outlineLevel="0" collapsed="false">
      <c r="A475" s="118" t="s">
        <v>1005</v>
      </c>
      <c r="B475" s="118" t="str">
        <f aca="false">CONCATENATE(C475&amp;D475)</f>
        <v>1"90</v>
      </c>
      <c r="C475" s="118" t="s">
        <v>967</v>
      </c>
      <c r="D475" s="153" t="n">
        <f aca="false">D474+1</f>
        <v>90</v>
      </c>
      <c r="E475" s="118" t="e">
        <f aca="false">CEILING(D475/20;1)</f>
        <v>#VALUE!</v>
      </c>
      <c r="F475" s="118" t="e">
        <f aca="false">E475*$F$1</f>
        <v>#VALUE!</v>
      </c>
    </row>
    <row r="476" customFormat="false" ht="14.25" hidden="false" customHeight="true" outlineLevel="0" collapsed="false">
      <c r="A476" s="118" t="s">
        <v>1005</v>
      </c>
      <c r="B476" s="118" t="str">
        <f aca="false">CONCATENATE(C476&amp;D476)</f>
        <v>1"91</v>
      </c>
      <c r="C476" s="118" t="s">
        <v>967</v>
      </c>
      <c r="D476" s="153" t="n">
        <f aca="false">D475+1</f>
        <v>91</v>
      </c>
      <c r="E476" s="118" t="e">
        <f aca="false">CEILING(D476/20;1)</f>
        <v>#VALUE!</v>
      </c>
      <c r="F476" s="118" t="e">
        <f aca="false">E476*$F$1</f>
        <v>#VALUE!</v>
      </c>
    </row>
    <row r="477" customFormat="false" ht="14.25" hidden="false" customHeight="true" outlineLevel="0" collapsed="false">
      <c r="A477" s="118" t="s">
        <v>1005</v>
      </c>
      <c r="B477" s="118" t="str">
        <f aca="false">CONCATENATE(C477&amp;D477)</f>
        <v>1"92</v>
      </c>
      <c r="C477" s="118" t="s">
        <v>967</v>
      </c>
      <c r="D477" s="153" t="n">
        <f aca="false">D476+1</f>
        <v>92</v>
      </c>
      <c r="E477" s="118" t="e">
        <f aca="false">CEILING(D477/20;1)</f>
        <v>#VALUE!</v>
      </c>
      <c r="F477" s="118" t="e">
        <f aca="false">E477*$F$1</f>
        <v>#VALUE!</v>
      </c>
    </row>
    <row r="478" customFormat="false" ht="14.25" hidden="false" customHeight="true" outlineLevel="0" collapsed="false">
      <c r="A478" s="118" t="s">
        <v>1005</v>
      </c>
      <c r="B478" s="118" t="str">
        <f aca="false">CONCATENATE(C478&amp;D478)</f>
        <v>1"93</v>
      </c>
      <c r="C478" s="118" t="s">
        <v>967</v>
      </c>
      <c r="D478" s="153" t="n">
        <f aca="false">D477+1</f>
        <v>93</v>
      </c>
      <c r="E478" s="118" t="e">
        <f aca="false">CEILING(D478/20;1)</f>
        <v>#VALUE!</v>
      </c>
      <c r="F478" s="118" t="e">
        <f aca="false">E478*$F$1</f>
        <v>#VALUE!</v>
      </c>
    </row>
    <row r="479" customFormat="false" ht="14.25" hidden="false" customHeight="true" outlineLevel="0" collapsed="false">
      <c r="A479" s="118" t="s">
        <v>1005</v>
      </c>
      <c r="B479" s="118" t="str">
        <f aca="false">CONCATENATE(C479&amp;D479)</f>
        <v>1"94</v>
      </c>
      <c r="C479" s="118" t="s">
        <v>967</v>
      </c>
      <c r="D479" s="153" t="n">
        <f aca="false">D478+1</f>
        <v>94</v>
      </c>
      <c r="E479" s="118" t="e">
        <f aca="false">CEILING(D479/20;1)</f>
        <v>#VALUE!</v>
      </c>
      <c r="F479" s="118" t="e">
        <f aca="false">E479*$F$1</f>
        <v>#VALUE!</v>
      </c>
    </row>
    <row r="480" customFormat="false" ht="14.25" hidden="false" customHeight="true" outlineLevel="0" collapsed="false">
      <c r="A480" s="118" t="s">
        <v>1005</v>
      </c>
      <c r="B480" s="118" t="str">
        <f aca="false">CONCATENATE(C480&amp;D480)</f>
        <v>1"95</v>
      </c>
      <c r="C480" s="118" t="s">
        <v>967</v>
      </c>
      <c r="D480" s="153" t="n">
        <f aca="false">D479+1</f>
        <v>95</v>
      </c>
      <c r="E480" s="118" t="e">
        <f aca="false">CEILING(D480/20;1)</f>
        <v>#VALUE!</v>
      </c>
      <c r="F480" s="118" t="e">
        <f aca="false">E480*$F$1</f>
        <v>#VALUE!</v>
      </c>
    </row>
    <row r="481" customFormat="false" ht="14.25" hidden="false" customHeight="true" outlineLevel="0" collapsed="false">
      <c r="A481" s="118" t="s">
        <v>1005</v>
      </c>
      <c r="B481" s="118" t="str">
        <f aca="false">CONCATENATE(C481&amp;D481)</f>
        <v>1"96</v>
      </c>
      <c r="C481" s="118" t="s">
        <v>967</v>
      </c>
      <c r="D481" s="153" t="n">
        <f aca="false">D480+1</f>
        <v>96</v>
      </c>
      <c r="E481" s="118" t="e">
        <f aca="false">CEILING(D481/20;1)</f>
        <v>#VALUE!</v>
      </c>
      <c r="F481" s="118" t="e">
        <f aca="false">E481*$F$1</f>
        <v>#VALUE!</v>
      </c>
    </row>
    <row r="482" customFormat="false" ht="14.25" hidden="false" customHeight="true" outlineLevel="0" collapsed="false">
      <c r="A482" s="118" t="s">
        <v>1005</v>
      </c>
      <c r="B482" s="118" t="str">
        <f aca="false">CONCATENATE(C482&amp;D482)</f>
        <v>1"97</v>
      </c>
      <c r="C482" s="118" t="s">
        <v>967</v>
      </c>
      <c r="D482" s="153" t="n">
        <f aca="false">D481+1</f>
        <v>97</v>
      </c>
      <c r="E482" s="118" t="e">
        <f aca="false">CEILING(D482/20;1)</f>
        <v>#VALUE!</v>
      </c>
      <c r="F482" s="118" t="e">
        <f aca="false">E482*$F$1</f>
        <v>#VALUE!</v>
      </c>
    </row>
    <row r="483" customFormat="false" ht="14.25" hidden="false" customHeight="true" outlineLevel="0" collapsed="false">
      <c r="A483" s="118" t="s">
        <v>1005</v>
      </c>
      <c r="B483" s="118" t="str">
        <f aca="false">CONCATENATE(C483&amp;D483)</f>
        <v>1"98</v>
      </c>
      <c r="C483" s="118" t="s">
        <v>967</v>
      </c>
      <c r="D483" s="153" t="n">
        <f aca="false">D482+1</f>
        <v>98</v>
      </c>
      <c r="E483" s="118" t="e">
        <f aca="false">CEILING(D483/20;1)</f>
        <v>#VALUE!</v>
      </c>
      <c r="F483" s="118" t="e">
        <f aca="false">E483*$F$1</f>
        <v>#VALUE!</v>
      </c>
    </row>
    <row r="484" customFormat="false" ht="14.25" hidden="false" customHeight="true" outlineLevel="0" collapsed="false">
      <c r="A484" s="118" t="s">
        <v>1005</v>
      </c>
      <c r="B484" s="118" t="str">
        <f aca="false">CONCATENATE(C484&amp;D484)</f>
        <v>1"99</v>
      </c>
      <c r="C484" s="118" t="s">
        <v>967</v>
      </c>
      <c r="D484" s="153" t="n">
        <f aca="false">D483+1</f>
        <v>99</v>
      </c>
      <c r="E484" s="118" t="e">
        <f aca="false">CEILING(D484/20;1)</f>
        <v>#VALUE!</v>
      </c>
      <c r="F484" s="118" t="e">
        <f aca="false">E484*$F$1</f>
        <v>#VALUE!</v>
      </c>
    </row>
    <row r="485" customFormat="false" ht="14.25" hidden="false" customHeight="true" outlineLevel="0" collapsed="false">
      <c r="A485" s="118" t="s">
        <v>1005</v>
      </c>
      <c r="B485" s="118" t="str">
        <f aca="false">CONCATENATE(C485&amp;D485)</f>
        <v>1"100</v>
      </c>
      <c r="C485" s="118" t="s">
        <v>967</v>
      </c>
      <c r="D485" s="153" t="n">
        <f aca="false">D484+1</f>
        <v>100</v>
      </c>
      <c r="E485" s="118" t="e">
        <f aca="false">CEILING(D485/20;1)</f>
        <v>#VALUE!</v>
      </c>
      <c r="F485" s="118" t="e">
        <f aca="false">E485*$F$1</f>
        <v>#VALUE!</v>
      </c>
    </row>
    <row r="486" customFormat="false" ht="14.25" hidden="false" customHeight="true" outlineLevel="0" collapsed="false">
      <c r="A486" s="118" t="s">
        <v>1005</v>
      </c>
      <c r="B486" s="118" t="str">
        <f aca="false">CONCATENATE(C486&amp;D486)</f>
        <v>1"101</v>
      </c>
      <c r="C486" s="118" t="s">
        <v>967</v>
      </c>
      <c r="D486" s="153" t="n">
        <f aca="false">D485+1</f>
        <v>101</v>
      </c>
      <c r="E486" s="118" t="e">
        <f aca="false">CEILING(D486/20;1)</f>
        <v>#VALUE!</v>
      </c>
      <c r="F486" s="118" t="e">
        <f aca="false">E486*$F$1</f>
        <v>#VALUE!</v>
      </c>
    </row>
    <row r="487" customFormat="false" ht="14.25" hidden="false" customHeight="true" outlineLevel="0" collapsed="false">
      <c r="A487" s="118" t="s">
        <v>1005</v>
      </c>
      <c r="B487" s="118" t="str">
        <f aca="false">CONCATENATE(C487&amp;D487)</f>
        <v>1"102</v>
      </c>
      <c r="C487" s="118" t="s">
        <v>967</v>
      </c>
      <c r="D487" s="153" t="n">
        <f aca="false">D486+1</f>
        <v>102</v>
      </c>
      <c r="E487" s="118" t="e">
        <f aca="false">CEILING(D487/20;1)</f>
        <v>#VALUE!</v>
      </c>
      <c r="F487" s="118" t="e">
        <f aca="false">E487*$F$1</f>
        <v>#VALUE!</v>
      </c>
    </row>
    <row r="488" customFormat="false" ht="14.25" hidden="false" customHeight="true" outlineLevel="0" collapsed="false">
      <c r="A488" s="118" t="s">
        <v>1005</v>
      </c>
      <c r="B488" s="118" t="str">
        <f aca="false">CONCATENATE(C488&amp;D488)</f>
        <v>1"103</v>
      </c>
      <c r="C488" s="118" t="s">
        <v>967</v>
      </c>
      <c r="D488" s="153" t="n">
        <f aca="false">D487+1</f>
        <v>103</v>
      </c>
      <c r="E488" s="118" t="e">
        <f aca="false">CEILING(D488/20;1)</f>
        <v>#VALUE!</v>
      </c>
      <c r="F488" s="118" t="e">
        <f aca="false">E488*$F$1</f>
        <v>#VALUE!</v>
      </c>
    </row>
    <row r="489" customFormat="false" ht="14.25" hidden="false" customHeight="true" outlineLevel="0" collapsed="false">
      <c r="A489" s="118" t="s">
        <v>1005</v>
      </c>
      <c r="B489" s="118" t="str">
        <f aca="false">CONCATENATE(C489&amp;D489)</f>
        <v>1"104</v>
      </c>
      <c r="C489" s="118" t="s">
        <v>967</v>
      </c>
      <c r="D489" s="153" t="n">
        <f aca="false">D488+1</f>
        <v>104</v>
      </c>
      <c r="E489" s="118" t="e">
        <f aca="false">CEILING(D489/20;1)</f>
        <v>#VALUE!</v>
      </c>
      <c r="F489" s="118" t="e">
        <f aca="false">E489*$F$1</f>
        <v>#VALUE!</v>
      </c>
    </row>
    <row r="490" customFormat="false" ht="14.25" hidden="false" customHeight="true" outlineLevel="0" collapsed="false">
      <c r="A490" s="118" t="s">
        <v>1005</v>
      </c>
      <c r="B490" s="118" t="str">
        <f aca="false">CONCATENATE(C490&amp;D490)</f>
        <v>1"105</v>
      </c>
      <c r="C490" s="118" t="s">
        <v>967</v>
      </c>
      <c r="D490" s="153" t="n">
        <f aca="false">D489+1</f>
        <v>105</v>
      </c>
      <c r="E490" s="118" t="e">
        <f aca="false">CEILING(D490/20;1)</f>
        <v>#VALUE!</v>
      </c>
      <c r="F490" s="118" t="e">
        <f aca="false">E490*$F$1</f>
        <v>#VALUE!</v>
      </c>
    </row>
    <row r="491" customFormat="false" ht="14.25" hidden="false" customHeight="true" outlineLevel="0" collapsed="false">
      <c r="A491" s="118" t="s">
        <v>1005</v>
      </c>
      <c r="B491" s="118" t="str">
        <f aca="false">CONCATENATE(C491&amp;D491)</f>
        <v>1"106</v>
      </c>
      <c r="C491" s="118" t="s">
        <v>967</v>
      </c>
      <c r="D491" s="153" t="n">
        <f aca="false">D490+1</f>
        <v>106</v>
      </c>
      <c r="E491" s="118" t="e">
        <f aca="false">CEILING(D491/20;1)</f>
        <v>#VALUE!</v>
      </c>
      <c r="F491" s="118" t="e">
        <f aca="false">E491*$F$1</f>
        <v>#VALUE!</v>
      </c>
    </row>
    <row r="492" customFormat="false" ht="14.25" hidden="false" customHeight="true" outlineLevel="0" collapsed="false">
      <c r="A492" s="118" t="s">
        <v>1005</v>
      </c>
      <c r="B492" s="118" t="str">
        <f aca="false">CONCATENATE(C492&amp;D492)</f>
        <v>1"107</v>
      </c>
      <c r="C492" s="118" t="s">
        <v>967</v>
      </c>
      <c r="D492" s="153" t="n">
        <f aca="false">D491+1</f>
        <v>107</v>
      </c>
      <c r="E492" s="118" t="e">
        <f aca="false">CEILING(D492/20;1)</f>
        <v>#VALUE!</v>
      </c>
      <c r="F492" s="118" t="e">
        <f aca="false">E492*$F$1</f>
        <v>#VALUE!</v>
      </c>
    </row>
    <row r="493" customFormat="false" ht="14.25" hidden="false" customHeight="true" outlineLevel="0" collapsed="false">
      <c r="A493" s="118" t="s">
        <v>1005</v>
      </c>
      <c r="B493" s="118" t="str">
        <f aca="false">CONCATENATE(C493&amp;D493)</f>
        <v>1"108</v>
      </c>
      <c r="C493" s="118" t="s">
        <v>967</v>
      </c>
      <c r="D493" s="153" t="n">
        <f aca="false">D492+1</f>
        <v>108</v>
      </c>
      <c r="E493" s="118" t="e">
        <f aca="false">CEILING(D493/20;1)</f>
        <v>#VALUE!</v>
      </c>
      <c r="F493" s="118" t="e">
        <f aca="false">E493*$F$1</f>
        <v>#VALUE!</v>
      </c>
    </row>
    <row r="494" customFormat="false" ht="14.25" hidden="false" customHeight="true" outlineLevel="0" collapsed="false">
      <c r="A494" s="118" t="s">
        <v>1005</v>
      </c>
      <c r="B494" s="118" t="str">
        <f aca="false">CONCATENATE(C494&amp;D494)</f>
        <v>1"109</v>
      </c>
      <c r="C494" s="118" t="s">
        <v>967</v>
      </c>
      <c r="D494" s="153" t="n">
        <f aca="false">D493+1</f>
        <v>109</v>
      </c>
      <c r="E494" s="118" t="e">
        <f aca="false">CEILING(D494/20;1)</f>
        <v>#VALUE!</v>
      </c>
      <c r="F494" s="118" t="e">
        <f aca="false">E494*$F$1</f>
        <v>#VALUE!</v>
      </c>
    </row>
    <row r="495" customFormat="false" ht="14.25" hidden="false" customHeight="true" outlineLevel="0" collapsed="false">
      <c r="A495" s="118" t="s">
        <v>1005</v>
      </c>
      <c r="B495" s="118" t="str">
        <f aca="false">CONCATENATE(C495&amp;D495)</f>
        <v>1"110</v>
      </c>
      <c r="C495" s="118" t="s">
        <v>967</v>
      </c>
      <c r="D495" s="153" t="n">
        <f aca="false">D494+1</f>
        <v>110</v>
      </c>
      <c r="E495" s="118" t="e">
        <f aca="false">CEILING(D495/20;1)</f>
        <v>#VALUE!</v>
      </c>
      <c r="F495" s="118" t="e">
        <f aca="false">E495*$F$1</f>
        <v>#VALUE!</v>
      </c>
    </row>
    <row r="496" customFormat="false" ht="14.25" hidden="false" customHeight="true" outlineLevel="0" collapsed="false">
      <c r="A496" s="118" t="s">
        <v>1005</v>
      </c>
      <c r="B496" s="118" t="str">
        <f aca="false">CONCATENATE(C496&amp;D496)</f>
        <v>1"111</v>
      </c>
      <c r="C496" s="118" t="s">
        <v>967</v>
      </c>
      <c r="D496" s="153" t="n">
        <f aca="false">D495+1</f>
        <v>111</v>
      </c>
      <c r="E496" s="118" t="e">
        <f aca="false">CEILING(D496/20;1)</f>
        <v>#VALUE!</v>
      </c>
      <c r="F496" s="118" t="e">
        <f aca="false">E496*$F$1</f>
        <v>#VALUE!</v>
      </c>
    </row>
    <row r="497" customFormat="false" ht="14.25" hidden="false" customHeight="true" outlineLevel="0" collapsed="false">
      <c r="A497" s="118" t="s">
        <v>1005</v>
      </c>
      <c r="B497" s="118" t="str">
        <f aca="false">CONCATENATE(C497&amp;D497)</f>
        <v>1"112</v>
      </c>
      <c r="C497" s="118" t="s">
        <v>967</v>
      </c>
      <c r="D497" s="153" t="n">
        <f aca="false">D496+1</f>
        <v>112</v>
      </c>
      <c r="E497" s="118" t="e">
        <f aca="false">CEILING(D497/20;1)</f>
        <v>#VALUE!</v>
      </c>
      <c r="F497" s="118" t="e">
        <f aca="false">E497*$F$1</f>
        <v>#VALUE!</v>
      </c>
    </row>
    <row r="498" customFormat="false" ht="14.25" hidden="false" customHeight="true" outlineLevel="0" collapsed="false">
      <c r="A498" s="118" t="s">
        <v>1005</v>
      </c>
      <c r="B498" s="118" t="str">
        <f aca="false">CONCATENATE(C498&amp;D498)</f>
        <v>1"113</v>
      </c>
      <c r="C498" s="118" t="s">
        <v>967</v>
      </c>
      <c r="D498" s="153" t="n">
        <f aca="false">D497+1</f>
        <v>113</v>
      </c>
      <c r="E498" s="118" t="e">
        <f aca="false">CEILING(D498/20;1)</f>
        <v>#VALUE!</v>
      </c>
      <c r="F498" s="118" t="e">
        <f aca="false">E498*$F$1</f>
        <v>#VALUE!</v>
      </c>
    </row>
    <row r="499" customFormat="false" ht="14.25" hidden="false" customHeight="true" outlineLevel="0" collapsed="false">
      <c r="A499" s="118" t="s">
        <v>1005</v>
      </c>
      <c r="B499" s="118" t="str">
        <f aca="false">CONCATENATE(C499&amp;D499)</f>
        <v>1"114</v>
      </c>
      <c r="C499" s="118" t="s">
        <v>967</v>
      </c>
      <c r="D499" s="153" t="n">
        <f aca="false">D498+1</f>
        <v>114</v>
      </c>
      <c r="E499" s="118" t="e">
        <f aca="false">CEILING(D499/20;1)</f>
        <v>#VALUE!</v>
      </c>
      <c r="F499" s="118" t="e">
        <f aca="false">E499*$F$1</f>
        <v>#VALUE!</v>
      </c>
    </row>
    <row r="500" customFormat="false" ht="14.25" hidden="false" customHeight="true" outlineLevel="0" collapsed="false">
      <c r="A500" s="118" t="s">
        <v>1005</v>
      </c>
      <c r="B500" s="118" t="str">
        <f aca="false">CONCATENATE(C500&amp;D500)</f>
        <v>1"115</v>
      </c>
      <c r="C500" s="118" t="s">
        <v>967</v>
      </c>
      <c r="D500" s="153" t="n">
        <f aca="false">D499+1</f>
        <v>115</v>
      </c>
      <c r="E500" s="118" t="e">
        <f aca="false">CEILING(D500/20;1)</f>
        <v>#VALUE!</v>
      </c>
      <c r="F500" s="118" t="e">
        <f aca="false">E500*$F$1</f>
        <v>#VALUE!</v>
      </c>
    </row>
    <row r="501" customFormat="false" ht="14.25" hidden="false" customHeight="true" outlineLevel="0" collapsed="false">
      <c r="A501" s="118" t="s">
        <v>1005</v>
      </c>
      <c r="B501" s="118" t="str">
        <f aca="false">CONCATENATE(C501&amp;D501)</f>
        <v>1"116</v>
      </c>
      <c r="C501" s="118" t="s">
        <v>967</v>
      </c>
      <c r="D501" s="153" t="n">
        <f aca="false">D500+1</f>
        <v>116</v>
      </c>
      <c r="E501" s="118" t="e">
        <f aca="false">CEILING(D501/20;1)</f>
        <v>#VALUE!</v>
      </c>
      <c r="F501" s="118" t="e">
        <f aca="false">E501*$F$1</f>
        <v>#VALUE!</v>
      </c>
    </row>
    <row r="502" customFormat="false" ht="14.25" hidden="false" customHeight="true" outlineLevel="0" collapsed="false">
      <c r="A502" s="118" t="s">
        <v>1005</v>
      </c>
      <c r="B502" s="118" t="str">
        <f aca="false">CONCATENATE(C502&amp;D502)</f>
        <v>1"117</v>
      </c>
      <c r="C502" s="118" t="s">
        <v>967</v>
      </c>
      <c r="D502" s="153" t="n">
        <f aca="false">D501+1</f>
        <v>117</v>
      </c>
      <c r="E502" s="118" t="e">
        <f aca="false">CEILING(D502/20;1)</f>
        <v>#VALUE!</v>
      </c>
      <c r="F502" s="118" t="e">
        <f aca="false">E502*$F$1</f>
        <v>#VALUE!</v>
      </c>
    </row>
    <row r="503" customFormat="false" ht="14.25" hidden="false" customHeight="true" outlineLevel="0" collapsed="false">
      <c r="A503" s="118" t="s">
        <v>1005</v>
      </c>
      <c r="B503" s="118" t="str">
        <f aca="false">CONCATENATE(C503&amp;D503)</f>
        <v>1"118</v>
      </c>
      <c r="C503" s="118" t="s">
        <v>967</v>
      </c>
      <c r="D503" s="153" t="n">
        <f aca="false">D502+1</f>
        <v>118</v>
      </c>
      <c r="E503" s="118" t="e">
        <f aca="false">CEILING(D503/20;1)</f>
        <v>#VALUE!</v>
      </c>
      <c r="F503" s="118" t="e">
        <f aca="false">E503*$F$1</f>
        <v>#VALUE!</v>
      </c>
    </row>
    <row r="504" customFormat="false" ht="14.25" hidden="false" customHeight="true" outlineLevel="0" collapsed="false">
      <c r="A504" s="118" t="s">
        <v>1005</v>
      </c>
      <c r="B504" s="118" t="str">
        <f aca="false">CONCATENATE(C504&amp;D504)</f>
        <v>1"119</v>
      </c>
      <c r="C504" s="118" t="s">
        <v>967</v>
      </c>
      <c r="D504" s="153" t="n">
        <f aca="false">D503+1</f>
        <v>119</v>
      </c>
      <c r="E504" s="118" t="e">
        <f aca="false">CEILING(D504/20;1)</f>
        <v>#VALUE!</v>
      </c>
      <c r="F504" s="118" t="e">
        <f aca="false">E504*$F$1</f>
        <v>#VALUE!</v>
      </c>
    </row>
    <row r="505" customFormat="false" ht="14.25" hidden="false" customHeight="true" outlineLevel="0" collapsed="false">
      <c r="A505" s="118" t="s">
        <v>1005</v>
      </c>
      <c r="B505" s="118" t="str">
        <f aca="false">CONCATENATE(C505&amp;D505)</f>
        <v>1"120</v>
      </c>
      <c r="C505" s="118" t="s">
        <v>967</v>
      </c>
      <c r="D505" s="153" t="n">
        <f aca="false">D504+1</f>
        <v>120</v>
      </c>
      <c r="E505" s="118" t="e">
        <f aca="false">CEILING(D505/20;1)</f>
        <v>#VALUE!</v>
      </c>
      <c r="F505" s="118" t="e">
        <f aca="false">E505*$F$1</f>
        <v>#VALUE!</v>
      </c>
    </row>
    <row r="506" customFormat="false" ht="14.25" hidden="false" customHeight="true" outlineLevel="0" collapsed="false">
      <c r="A506" s="118" t="s">
        <v>1005</v>
      </c>
      <c r="B506" s="118" t="str">
        <f aca="false">CONCATENATE(C506&amp;D506)</f>
        <v>1"121</v>
      </c>
      <c r="C506" s="118" t="s">
        <v>967</v>
      </c>
      <c r="D506" s="153" t="n">
        <f aca="false">D505+1</f>
        <v>121</v>
      </c>
      <c r="E506" s="118" t="e">
        <f aca="false">CEILING(D506/20;1)</f>
        <v>#VALUE!</v>
      </c>
      <c r="F506" s="118" t="e">
        <f aca="false">E506*$F$1</f>
        <v>#VALUE!</v>
      </c>
    </row>
    <row r="507" customFormat="false" ht="14.25" hidden="false" customHeight="true" outlineLevel="0" collapsed="false">
      <c r="A507" s="118" t="s">
        <v>1005</v>
      </c>
      <c r="B507" s="118" t="str">
        <f aca="false">CONCATENATE(C507&amp;D507)</f>
        <v>1"122</v>
      </c>
      <c r="C507" s="118" t="s">
        <v>967</v>
      </c>
      <c r="D507" s="153" t="n">
        <f aca="false">D506+1</f>
        <v>122</v>
      </c>
      <c r="E507" s="118" t="e">
        <f aca="false">CEILING(D507/20;1)</f>
        <v>#VALUE!</v>
      </c>
      <c r="F507" s="118" t="e">
        <f aca="false">E507*$F$1</f>
        <v>#VALUE!</v>
      </c>
    </row>
    <row r="508" customFormat="false" ht="14.25" hidden="false" customHeight="true" outlineLevel="0" collapsed="false">
      <c r="A508" s="118" t="s">
        <v>1005</v>
      </c>
      <c r="B508" s="118" t="str">
        <f aca="false">CONCATENATE(C508&amp;D508)</f>
        <v>1"123</v>
      </c>
      <c r="C508" s="118" t="s">
        <v>967</v>
      </c>
      <c r="D508" s="153" t="n">
        <f aca="false">D507+1</f>
        <v>123</v>
      </c>
      <c r="E508" s="118" t="e">
        <f aca="false">CEILING(D508/20;1)</f>
        <v>#VALUE!</v>
      </c>
      <c r="F508" s="118" t="e">
        <f aca="false">E508*$F$1</f>
        <v>#VALUE!</v>
      </c>
    </row>
    <row r="509" customFormat="false" ht="14.25" hidden="false" customHeight="true" outlineLevel="0" collapsed="false">
      <c r="A509" s="118" t="s">
        <v>1005</v>
      </c>
      <c r="B509" s="118" t="str">
        <f aca="false">CONCATENATE(C509&amp;D509)</f>
        <v>1"124</v>
      </c>
      <c r="C509" s="118" t="s">
        <v>967</v>
      </c>
      <c r="D509" s="153" t="n">
        <f aca="false">D508+1</f>
        <v>124</v>
      </c>
      <c r="E509" s="118" t="e">
        <f aca="false">CEILING(D509/20;1)</f>
        <v>#VALUE!</v>
      </c>
      <c r="F509" s="118" t="e">
        <f aca="false">E509*$F$1</f>
        <v>#VALUE!</v>
      </c>
    </row>
    <row r="510" customFormat="false" ht="14.25" hidden="false" customHeight="true" outlineLevel="0" collapsed="false">
      <c r="A510" s="118" t="s">
        <v>1005</v>
      </c>
      <c r="B510" s="118" t="str">
        <f aca="false">CONCATENATE(C510&amp;D510)</f>
        <v>1"125</v>
      </c>
      <c r="C510" s="118" t="s">
        <v>967</v>
      </c>
      <c r="D510" s="153" t="n">
        <f aca="false">D509+1</f>
        <v>125</v>
      </c>
      <c r="E510" s="118" t="e">
        <f aca="false">CEILING(D510/20;1)</f>
        <v>#VALUE!</v>
      </c>
      <c r="F510" s="118" t="e">
        <f aca="false">E510*$F$1</f>
        <v>#VALUE!</v>
      </c>
    </row>
    <row r="511" customFormat="false" ht="14.25" hidden="false" customHeight="true" outlineLevel="0" collapsed="false">
      <c r="A511" s="118" t="s">
        <v>1005</v>
      </c>
      <c r="B511" s="118" t="str">
        <f aca="false">CONCATENATE(C511&amp;D511)</f>
        <v>1"126</v>
      </c>
      <c r="C511" s="118" t="s">
        <v>967</v>
      </c>
      <c r="D511" s="153" t="n">
        <f aca="false">D510+1</f>
        <v>126</v>
      </c>
      <c r="E511" s="118" t="e">
        <f aca="false">CEILING(D511/20;1)</f>
        <v>#VALUE!</v>
      </c>
      <c r="F511" s="118" t="e">
        <f aca="false">E511*$F$1</f>
        <v>#VALUE!</v>
      </c>
    </row>
    <row r="512" customFormat="false" ht="14.25" hidden="false" customHeight="true" outlineLevel="0" collapsed="false">
      <c r="A512" s="118" t="s">
        <v>1005</v>
      </c>
      <c r="B512" s="118" t="str">
        <f aca="false">CONCATENATE(C512&amp;D512)</f>
        <v>1"127</v>
      </c>
      <c r="C512" s="118" t="s">
        <v>967</v>
      </c>
      <c r="D512" s="153" t="n">
        <f aca="false">D511+1</f>
        <v>127</v>
      </c>
      <c r="E512" s="118" t="e">
        <f aca="false">CEILING(D512/20;1)</f>
        <v>#VALUE!</v>
      </c>
      <c r="F512" s="118" t="e">
        <f aca="false">E512*$F$1</f>
        <v>#VALUE!</v>
      </c>
    </row>
    <row r="513" customFormat="false" ht="14.25" hidden="false" customHeight="true" outlineLevel="0" collapsed="false">
      <c r="A513" s="118" t="s">
        <v>1005</v>
      </c>
      <c r="B513" s="118" t="str">
        <f aca="false">CONCATENATE(C513&amp;D513)</f>
        <v>1"128</v>
      </c>
      <c r="C513" s="118" t="s">
        <v>967</v>
      </c>
      <c r="D513" s="153" t="n">
        <f aca="false">D512+1</f>
        <v>128</v>
      </c>
      <c r="E513" s="118" t="e">
        <f aca="false">CEILING(D513/20;1)</f>
        <v>#VALUE!</v>
      </c>
      <c r="F513" s="118" t="e">
        <f aca="false">E513*$F$1</f>
        <v>#VALUE!</v>
      </c>
    </row>
    <row r="514" customFormat="false" ht="14.25" hidden="false" customHeight="true" outlineLevel="0" collapsed="false">
      <c r="A514" s="118" t="s">
        <v>1005</v>
      </c>
      <c r="B514" s="118" t="str">
        <f aca="false">CONCATENATE(C514&amp;D514)</f>
        <v>1"129</v>
      </c>
      <c r="C514" s="118" t="s">
        <v>967</v>
      </c>
      <c r="D514" s="153" t="n">
        <f aca="false">D513+1</f>
        <v>129</v>
      </c>
      <c r="E514" s="118" t="e">
        <f aca="false">CEILING(D514/20;1)</f>
        <v>#VALUE!</v>
      </c>
      <c r="F514" s="118" t="e">
        <f aca="false">E514*$F$1</f>
        <v>#VALUE!</v>
      </c>
    </row>
    <row r="515" customFormat="false" ht="14.25" hidden="false" customHeight="true" outlineLevel="0" collapsed="false">
      <c r="A515" s="118" t="s">
        <v>1005</v>
      </c>
      <c r="B515" s="118" t="str">
        <f aca="false">CONCATENATE(C515&amp;D515)</f>
        <v>1"130</v>
      </c>
      <c r="C515" s="118" t="s">
        <v>967</v>
      </c>
      <c r="D515" s="153" t="n">
        <f aca="false">D514+1</f>
        <v>130</v>
      </c>
      <c r="E515" s="118" t="e">
        <f aca="false">CEILING(D515/20;1)</f>
        <v>#VALUE!</v>
      </c>
      <c r="F515" s="118" t="e">
        <f aca="false">E515*$F$1</f>
        <v>#VALUE!</v>
      </c>
    </row>
    <row r="516" customFormat="false" ht="14.25" hidden="false" customHeight="true" outlineLevel="0" collapsed="false">
      <c r="A516" s="118" t="s">
        <v>1005</v>
      </c>
      <c r="B516" s="118" t="str">
        <f aca="false">CONCATENATE(C516&amp;D516)</f>
        <v>1"131</v>
      </c>
      <c r="C516" s="118" t="s">
        <v>967</v>
      </c>
      <c r="D516" s="153" t="n">
        <f aca="false">D515+1</f>
        <v>131</v>
      </c>
      <c r="E516" s="118" t="e">
        <f aca="false">CEILING(D516/20;1)</f>
        <v>#VALUE!</v>
      </c>
      <c r="F516" s="118" t="e">
        <f aca="false">E516*$F$1</f>
        <v>#VALUE!</v>
      </c>
    </row>
    <row r="517" customFormat="false" ht="14.25" hidden="false" customHeight="true" outlineLevel="0" collapsed="false">
      <c r="A517" s="118" t="s">
        <v>1005</v>
      </c>
      <c r="B517" s="118" t="str">
        <f aca="false">CONCATENATE(C517&amp;D517)</f>
        <v>1"132</v>
      </c>
      <c r="C517" s="118" t="s">
        <v>967</v>
      </c>
      <c r="D517" s="153" t="n">
        <f aca="false">D516+1</f>
        <v>132</v>
      </c>
      <c r="E517" s="118" t="e">
        <f aca="false">CEILING(D517/20;1)</f>
        <v>#VALUE!</v>
      </c>
      <c r="F517" s="118" t="e">
        <f aca="false">E517*$F$1</f>
        <v>#VALUE!</v>
      </c>
    </row>
    <row r="518" customFormat="false" ht="14.25" hidden="false" customHeight="true" outlineLevel="0" collapsed="false">
      <c r="A518" s="118" t="s">
        <v>1005</v>
      </c>
      <c r="B518" s="118" t="str">
        <f aca="false">CONCATENATE(C518&amp;D518)</f>
        <v>1"133</v>
      </c>
      <c r="C518" s="118" t="s">
        <v>967</v>
      </c>
      <c r="D518" s="153" t="n">
        <f aca="false">D517+1</f>
        <v>133</v>
      </c>
      <c r="E518" s="118" t="e">
        <f aca="false">CEILING(D518/20;1)</f>
        <v>#VALUE!</v>
      </c>
      <c r="F518" s="118" t="e">
        <f aca="false">E518*$F$1</f>
        <v>#VALUE!</v>
      </c>
    </row>
    <row r="519" customFormat="false" ht="14.25" hidden="false" customHeight="true" outlineLevel="0" collapsed="false">
      <c r="A519" s="118" t="s">
        <v>1005</v>
      </c>
      <c r="B519" s="118" t="str">
        <f aca="false">CONCATENATE(C519&amp;D519)</f>
        <v>1"134</v>
      </c>
      <c r="C519" s="118" t="s">
        <v>967</v>
      </c>
      <c r="D519" s="153" t="n">
        <f aca="false">D518+1</f>
        <v>134</v>
      </c>
      <c r="E519" s="118" t="e">
        <f aca="false">CEILING(D519/20;1)</f>
        <v>#VALUE!</v>
      </c>
      <c r="F519" s="118" t="e">
        <f aca="false">E519*$F$1</f>
        <v>#VALUE!</v>
      </c>
    </row>
    <row r="520" customFormat="false" ht="14.25" hidden="false" customHeight="true" outlineLevel="0" collapsed="false">
      <c r="A520" s="118" t="s">
        <v>1005</v>
      </c>
      <c r="B520" s="118" t="str">
        <f aca="false">CONCATENATE(C520&amp;D520)</f>
        <v>1"135</v>
      </c>
      <c r="C520" s="118" t="s">
        <v>967</v>
      </c>
      <c r="D520" s="153" t="n">
        <f aca="false">D519+1</f>
        <v>135</v>
      </c>
      <c r="E520" s="118" t="e">
        <f aca="false">CEILING(D520/20;1)</f>
        <v>#VALUE!</v>
      </c>
      <c r="F520" s="118" t="e">
        <f aca="false">E520*$F$1</f>
        <v>#VALUE!</v>
      </c>
    </row>
    <row r="521" customFormat="false" ht="14.25" hidden="false" customHeight="true" outlineLevel="0" collapsed="false">
      <c r="A521" s="118" t="s">
        <v>1005</v>
      </c>
      <c r="B521" s="118" t="str">
        <f aca="false">CONCATENATE(C521&amp;D521)</f>
        <v>1"136</v>
      </c>
      <c r="C521" s="118" t="s">
        <v>967</v>
      </c>
      <c r="D521" s="153" t="n">
        <f aca="false">D520+1</f>
        <v>136</v>
      </c>
      <c r="E521" s="118" t="e">
        <f aca="false">CEILING(D521/20;1)</f>
        <v>#VALUE!</v>
      </c>
      <c r="F521" s="118" t="e">
        <f aca="false">E521*$F$1</f>
        <v>#VALUE!</v>
      </c>
    </row>
    <row r="522" customFormat="false" ht="14.25" hidden="false" customHeight="true" outlineLevel="0" collapsed="false">
      <c r="A522" s="118" t="s">
        <v>1005</v>
      </c>
      <c r="B522" s="118" t="str">
        <f aca="false">CONCATENATE(C522&amp;D522)</f>
        <v>1"137</v>
      </c>
      <c r="C522" s="118" t="s">
        <v>967</v>
      </c>
      <c r="D522" s="153" t="n">
        <f aca="false">D521+1</f>
        <v>137</v>
      </c>
      <c r="E522" s="118" t="e">
        <f aca="false">CEILING(D522/20;1)</f>
        <v>#VALUE!</v>
      </c>
      <c r="F522" s="118" t="e">
        <f aca="false">E522*$F$1</f>
        <v>#VALUE!</v>
      </c>
    </row>
    <row r="523" customFormat="false" ht="14.25" hidden="false" customHeight="true" outlineLevel="0" collapsed="false">
      <c r="A523" s="118" t="s">
        <v>1005</v>
      </c>
      <c r="B523" s="118" t="str">
        <f aca="false">CONCATENATE(C523&amp;D523)</f>
        <v>1"138</v>
      </c>
      <c r="C523" s="118" t="s">
        <v>967</v>
      </c>
      <c r="D523" s="153" t="n">
        <f aca="false">D522+1</f>
        <v>138</v>
      </c>
      <c r="E523" s="118" t="e">
        <f aca="false">CEILING(D523/20;1)</f>
        <v>#VALUE!</v>
      </c>
      <c r="F523" s="118" t="e">
        <f aca="false">E523*$F$1</f>
        <v>#VALUE!</v>
      </c>
    </row>
    <row r="524" customFormat="false" ht="14.25" hidden="false" customHeight="true" outlineLevel="0" collapsed="false">
      <c r="A524" s="118" t="s">
        <v>1005</v>
      </c>
      <c r="B524" s="118" t="str">
        <f aca="false">CONCATENATE(C524&amp;D524)</f>
        <v>1"139</v>
      </c>
      <c r="C524" s="118" t="s">
        <v>967</v>
      </c>
      <c r="D524" s="153" t="n">
        <f aca="false">D523+1</f>
        <v>139</v>
      </c>
      <c r="E524" s="118" t="e">
        <f aca="false">CEILING(D524/20;1)</f>
        <v>#VALUE!</v>
      </c>
      <c r="F524" s="118" t="e">
        <f aca="false">E524*$F$1</f>
        <v>#VALUE!</v>
      </c>
    </row>
    <row r="525" customFormat="false" ht="14.25" hidden="false" customHeight="true" outlineLevel="0" collapsed="false">
      <c r="A525" s="118" t="s">
        <v>1005</v>
      </c>
      <c r="B525" s="118" t="str">
        <f aca="false">CONCATENATE(C525&amp;D525)</f>
        <v>1"140</v>
      </c>
      <c r="C525" s="118" t="s">
        <v>967</v>
      </c>
      <c r="D525" s="153" t="n">
        <f aca="false">D524+1</f>
        <v>140</v>
      </c>
      <c r="E525" s="118" t="e">
        <f aca="false">CEILING(D525/20;1)</f>
        <v>#VALUE!</v>
      </c>
      <c r="F525" s="118" t="e">
        <f aca="false">E525*$F$1</f>
        <v>#VALUE!</v>
      </c>
    </row>
    <row r="526" customFormat="false" ht="14.25" hidden="false" customHeight="true" outlineLevel="0" collapsed="false">
      <c r="A526" s="118" t="s">
        <v>1005</v>
      </c>
      <c r="B526" s="118" t="str">
        <f aca="false">CONCATENATE(C526&amp;D526)</f>
        <v>1"141</v>
      </c>
      <c r="C526" s="118" t="s">
        <v>967</v>
      </c>
      <c r="D526" s="153" t="n">
        <f aca="false">D525+1</f>
        <v>141</v>
      </c>
      <c r="E526" s="118" t="e">
        <f aca="false">CEILING(D526/20;1)</f>
        <v>#VALUE!</v>
      </c>
      <c r="F526" s="118" t="e">
        <f aca="false">E526*$F$1</f>
        <v>#VALUE!</v>
      </c>
    </row>
    <row r="527" customFormat="false" ht="14.25" hidden="false" customHeight="true" outlineLevel="0" collapsed="false">
      <c r="A527" s="118" t="s">
        <v>1005</v>
      </c>
      <c r="B527" s="118" t="str">
        <f aca="false">CONCATENATE(C527&amp;D527)</f>
        <v>1"142</v>
      </c>
      <c r="C527" s="118" t="s">
        <v>967</v>
      </c>
      <c r="D527" s="153" t="n">
        <f aca="false">D526+1</f>
        <v>142</v>
      </c>
      <c r="E527" s="118" t="e">
        <f aca="false">CEILING(D527/20;1)</f>
        <v>#VALUE!</v>
      </c>
      <c r="F527" s="118" t="e">
        <f aca="false">E527*$F$1</f>
        <v>#VALUE!</v>
      </c>
    </row>
    <row r="528" customFormat="false" ht="14.25" hidden="false" customHeight="true" outlineLevel="0" collapsed="false">
      <c r="A528" s="118" t="s">
        <v>1005</v>
      </c>
      <c r="B528" s="118" t="str">
        <f aca="false">CONCATENATE(C528&amp;D528)</f>
        <v>1"143</v>
      </c>
      <c r="C528" s="118" t="s">
        <v>967</v>
      </c>
      <c r="D528" s="153" t="n">
        <f aca="false">D527+1</f>
        <v>143</v>
      </c>
      <c r="E528" s="118" t="e">
        <f aca="false">CEILING(D528/20;1)</f>
        <v>#VALUE!</v>
      </c>
      <c r="F528" s="118" t="e">
        <f aca="false">E528*$F$1</f>
        <v>#VALUE!</v>
      </c>
    </row>
    <row r="529" customFormat="false" ht="14.25" hidden="false" customHeight="true" outlineLevel="0" collapsed="false">
      <c r="A529" s="118" t="s">
        <v>1005</v>
      </c>
      <c r="B529" s="118" t="str">
        <f aca="false">CONCATENATE(C529&amp;D529)</f>
        <v>1"144</v>
      </c>
      <c r="C529" s="118" t="s">
        <v>967</v>
      </c>
      <c r="D529" s="153" t="n">
        <f aca="false">D528+1</f>
        <v>144</v>
      </c>
      <c r="E529" s="118" t="e">
        <f aca="false">CEILING(D529/20;1)</f>
        <v>#VALUE!</v>
      </c>
      <c r="F529" s="118" t="e">
        <f aca="false">E529*$F$1</f>
        <v>#VALUE!</v>
      </c>
    </row>
    <row r="530" customFormat="false" ht="14.25" hidden="false" customHeight="true" outlineLevel="0" collapsed="false">
      <c r="A530" s="118" t="s">
        <v>1005</v>
      </c>
      <c r="B530" s="118" t="str">
        <f aca="false">CONCATENATE(C530&amp;D530)</f>
        <v>1"145</v>
      </c>
      <c r="C530" s="118" t="s">
        <v>967</v>
      </c>
      <c r="D530" s="153" t="n">
        <f aca="false">D529+1</f>
        <v>145</v>
      </c>
      <c r="E530" s="118" t="e">
        <f aca="false">CEILING(D530/20;1)</f>
        <v>#VALUE!</v>
      </c>
      <c r="F530" s="118" t="e">
        <f aca="false">E530*$F$1</f>
        <v>#VALUE!</v>
      </c>
    </row>
    <row r="531" customFormat="false" ht="14.25" hidden="false" customHeight="true" outlineLevel="0" collapsed="false">
      <c r="A531" s="118" t="s">
        <v>1005</v>
      </c>
      <c r="B531" s="118" t="str">
        <f aca="false">CONCATENATE(C531&amp;D531)</f>
        <v>1"146</v>
      </c>
      <c r="C531" s="118" t="s">
        <v>967</v>
      </c>
      <c r="D531" s="153" t="n">
        <f aca="false">D530+1</f>
        <v>146</v>
      </c>
      <c r="E531" s="118" t="e">
        <f aca="false">CEILING(D531/20;1)</f>
        <v>#VALUE!</v>
      </c>
      <c r="F531" s="118" t="e">
        <f aca="false">E531*$F$1</f>
        <v>#VALUE!</v>
      </c>
    </row>
    <row r="532" customFormat="false" ht="14.25" hidden="false" customHeight="true" outlineLevel="0" collapsed="false">
      <c r="A532" s="118" t="s">
        <v>1005</v>
      </c>
      <c r="B532" s="118" t="str">
        <f aca="false">CONCATENATE(C532&amp;D532)</f>
        <v>1"147</v>
      </c>
      <c r="C532" s="118" t="s">
        <v>967</v>
      </c>
      <c r="D532" s="153" t="n">
        <f aca="false">D531+1</f>
        <v>147</v>
      </c>
      <c r="E532" s="118" t="e">
        <f aca="false">CEILING(D532/20;1)</f>
        <v>#VALUE!</v>
      </c>
      <c r="F532" s="118" t="e">
        <f aca="false">E532*$F$1</f>
        <v>#VALUE!</v>
      </c>
    </row>
    <row r="533" customFormat="false" ht="14.25" hidden="false" customHeight="true" outlineLevel="0" collapsed="false">
      <c r="A533" s="118" t="s">
        <v>1005</v>
      </c>
      <c r="B533" s="118" t="str">
        <f aca="false">CONCATENATE(C533&amp;D533)</f>
        <v>1"148</v>
      </c>
      <c r="C533" s="118" t="s">
        <v>967</v>
      </c>
      <c r="D533" s="153" t="n">
        <f aca="false">D532+1</f>
        <v>148</v>
      </c>
      <c r="E533" s="118" t="e">
        <f aca="false">CEILING(D533/20;1)</f>
        <v>#VALUE!</v>
      </c>
      <c r="F533" s="118" t="e">
        <f aca="false">E533*$F$1</f>
        <v>#VALUE!</v>
      </c>
    </row>
    <row r="534" customFormat="false" ht="14.25" hidden="false" customHeight="true" outlineLevel="0" collapsed="false">
      <c r="A534" s="118" t="s">
        <v>1005</v>
      </c>
      <c r="B534" s="118" t="str">
        <f aca="false">CONCATENATE(C534&amp;D534)</f>
        <v>1"149</v>
      </c>
      <c r="C534" s="118" t="s">
        <v>967</v>
      </c>
      <c r="D534" s="153" t="n">
        <f aca="false">D533+1</f>
        <v>149</v>
      </c>
      <c r="E534" s="118" t="e">
        <f aca="false">CEILING(D534/20;1)</f>
        <v>#VALUE!</v>
      </c>
      <c r="F534" s="118" t="e">
        <f aca="false">E534*$F$1</f>
        <v>#VALUE!</v>
      </c>
    </row>
    <row r="535" customFormat="false" ht="14.25" hidden="false" customHeight="true" outlineLevel="0" collapsed="false">
      <c r="A535" s="118" t="s">
        <v>1005</v>
      </c>
      <c r="B535" s="118" t="str">
        <f aca="false">CONCATENATE(C535&amp;D535)</f>
        <v>1"150</v>
      </c>
      <c r="C535" s="118" t="s">
        <v>967</v>
      </c>
      <c r="D535" s="153" t="n">
        <f aca="false">D534+1</f>
        <v>150</v>
      </c>
      <c r="E535" s="118" t="e">
        <f aca="false">CEILING(D535/20;1)</f>
        <v>#VALUE!</v>
      </c>
      <c r="F535" s="118" t="e">
        <f aca="false">E535*$F$1</f>
        <v>#VALUE!</v>
      </c>
    </row>
    <row r="536" customFormat="false" ht="14.25" hidden="false" customHeight="true" outlineLevel="0" collapsed="false">
      <c r="A536" s="118" t="s">
        <v>1005</v>
      </c>
      <c r="B536" s="118" t="str">
        <f aca="false">CONCATENATE(C536&amp;D536)</f>
        <v>1"151</v>
      </c>
      <c r="C536" s="118" t="s">
        <v>967</v>
      </c>
      <c r="D536" s="153" t="n">
        <f aca="false">D535+1</f>
        <v>151</v>
      </c>
      <c r="E536" s="118" t="e">
        <f aca="false">CEILING(D536/20;1)</f>
        <v>#VALUE!</v>
      </c>
      <c r="F536" s="118" t="e">
        <f aca="false">E536*$F$1</f>
        <v>#VALUE!</v>
      </c>
    </row>
    <row r="537" customFormat="false" ht="14.25" hidden="false" customHeight="true" outlineLevel="0" collapsed="false">
      <c r="A537" s="118" t="s">
        <v>1005</v>
      </c>
      <c r="B537" s="118" t="str">
        <f aca="false">CONCATENATE(C537&amp;D537)</f>
        <v>1"152</v>
      </c>
      <c r="C537" s="118" t="s">
        <v>967</v>
      </c>
      <c r="D537" s="153" t="n">
        <f aca="false">D536+1</f>
        <v>152</v>
      </c>
      <c r="E537" s="118" t="e">
        <f aca="false">CEILING(D537/20;1)</f>
        <v>#VALUE!</v>
      </c>
      <c r="F537" s="118" t="e">
        <f aca="false">E537*$F$1</f>
        <v>#VALUE!</v>
      </c>
    </row>
    <row r="538" customFormat="false" ht="14.25" hidden="false" customHeight="true" outlineLevel="0" collapsed="false">
      <c r="A538" s="118" t="s">
        <v>1005</v>
      </c>
      <c r="B538" s="118" t="str">
        <f aca="false">CONCATENATE(C538&amp;D538)</f>
        <v>1"153</v>
      </c>
      <c r="C538" s="118" t="s">
        <v>967</v>
      </c>
      <c r="D538" s="153" t="n">
        <f aca="false">D537+1</f>
        <v>153</v>
      </c>
      <c r="E538" s="118" t="e">
        <f aca="false">CEILING(D538/20;1)</f>
        <v>#VALUE!</v>
      </c>
      <c r="F538" s="118" t="e">
        <f aca="false">E538*$F$1</f>
        <v>#VALUE!</v>
      </c>
    </row>
    <row r="539" customFormat="false" ht="14.25" hidden="false" customHeight="true" outlineLevel="0" collapsed="false">
      <c r="A539" s="118" t="s">
        <v>1005</v>
      </c>
      <c r="B539" s="118" t="str">
        <f aca="false">CONCATENATE(C539&amp;D539)</f>
        <v>1"154</v>
      </c>
      <c r="C539" s="118" t="s">
        <v>967</v>
      </c>
      <c r="D539" s="153" t="n">
        <f aca="false">D538+1</f>
        <v>154</v>
      </c>
      <c r="E539" s="118" t="e">
        <f aca="false">CEILING(D539/20;1)</f>
        <v>#VALUE!</v>
      </c>
      <c r="F539" s="118" t="e">
        <f aca="false">E539*$F$1</f>
        <v>#VALUE!</v>
      </c>
    </row>
    <row r="540" customFormat="false" ht="14.25" hidden="false" customHeight="true" outlineLevel="0" collapsed="false">
      <c r="A540" s="118" t="s">
        <v>1005</v>
      </c>
      <c r="B540" s="118" t="str">
        <f aca="false">CONCATENATE(C540&amp;D540)</f>
        <v>1"155</v>
      </c>
      <c r="C540" s="118" t="s">
        <v>967</v>
      </c>
      <c r="D540" s="153" t="n">
        <f aca="false">D539+1</f>
        <v>155</v>
      </c>
      <c r="E540" s="118" t="e">
        <f aca="false">CEILING(D540/20;1)</f>
        <v>#VALUE!</v>
      </c>
      <c r="F540" s="118" t="e">
        <f aca="false">E540*$F$1</f>
        <v>#VALUE!</v>
      </c>
    </row>
    <row r="541" customFormat="false" ht="14.25" hidden="false" customHeight="true" outlineLevel="0" collapsed="false">
      <c r="A541" s="118" t="s">
        <v>1005</v>
      </c>
      <c r="B541" s="118" t="str">
        <f aca="false">CONCATENATE(C541&amp;D541)</f>
        <v>1"156</v>
      </c>
      <c r="C541" s="118" t="s">
        <v>967</v>
      </c>
      <c r="D541" s="153" t="n">
        <f aca="false">D540+1</f>
        <v>156</v>
      </c>
      <c r="E541" s="118" t="e">
        <f aca="false">CEILING(D541/20;1)</f>
        <v>#VALUE!</v>
      </c>
      <c r="F541" s="118" t="e">
        <f aca="false">E541*$F$1</f>
        <v>#VALUE!</v>
      </c>
    </row>
    <row r="542" customFormat="false" ht="14.25" hidden="false" customHeight="true" outlineLevel="0" collapsed="false">
      <c r="A542" s="118" t="s">
        <v>1005</v>
      </c>
      <c r="B542" s="118" t="str">
        <f aca="false">CONCATENATE(C542&amp;D542)</f>
        <v>1"157</v>
      </c>
      <c r="C542" s="118" t="s">
        <v>967</v>
      </c>
      <c r="D542" s="153" t="n">
        <f aca="false">D541+1</f>
        <v>157</v>
      </c>
      <c r="E542" s="118" t="e">
        <f aca="false">CEILING(D542/20;1)</f>
        <v>#VALUE!</v>
      </c>
      <c r="F542" s="118" t="e">
        <f aca="false">E542*$F$1</f>
        <v>#VALUE!</v>
      </c>
    </row>
    <row r="543" customFormat="false" ht="14.25" hidden="false" customHeight="true" outlineLevel="0" collapsed="false">
      <c r="A543" s="118" t="s">
        <v>1005</v>
      </c>
      <c r="B543" s="118" t="str">
        <f aca="false">CONCATENATE(C543&amp;D543)</f>
        <v>1"158</v>
      </c>
      <c r="C543" s="118" t="s">
        <v>967</v>
      </c>
      <c r="D543" s="153" t="n">
        <f aca="false">D542+1</f>
        <v>158</v>
      </c>
      <c r="E543" s="118" t="e">
        <f aca="false">CEILING(D543/20;1)</f>
        <v>#VALUE!</v>
      </c>
      <c r="F543" s="118" t="e">
        <f aca="false">E543*$F$1</f>
        <v>#VALUE!</v>
      </c>
    </row>
    <row r="544" customFormat="false" ht="14.25" hidden="false" customHeight="true" outlineLevel="0" collapsed="false">
      <c r="A544" s="118" t="s">
        <v>1005</v>
      </c>
      <c r="B544" s="118" t="str">
        <f aca="false">CONCATENATE(C544&amp;D544)</f>
        <v>1"159</v>
      </c>
      <c r="C544" s="118" t="s">
        <v>967</v>
      </c>
      <c r="D544" s="153" t="n">
        <f aca="false">D543+1</f>
        <v>159</v>
      </c>
      <c r="E544" s="118" t="e">
        <f aca="false">CEILING(D544/20;1)</f>
        <v>#VALUE!</v>
      </c>
      <c r="F544" s="118" t="e">
        <f aca="false">E544*$F$1</f>
        <v>#VALUE!</v>
      </c>
    </row>
    <row r="545" customFormat="false" ht="14.25" hidden="false" customHeight="true" outlineLevel="0" collapsed="false">
      <c r="A545" s="118" t="s">
        <v>1005</v>
      </c>
      <c r="B545" s="118" t="str">
        <f aca="false">CONCATENATE(C545&amp;D545)</f>
        <v>1"160</v>
      </c>
      <c r="C545" s="118" t="s">
        <v>967</v>
      </c>
      <c r="D545" s="153" t="n">
        <f aca="false">D544+1</f>
        <v>160</v>
      </c>
      <c r="E545" s="118" t="e">
        <f aca="false">CEILING(D545/20;1)</f>
        <v>#VALUE!</v>
      </c>
      <c r="F545" s="118" t="e">
        <f aca="false">E545*$F$1</f>
        <v>#VALUE!</v>
      </c>
    </row>
    <row r="546" customFormat="false" ht="14.25" hidden="false" customHeight="true" outlineLevel="0" collapsed="false">
      <c r="A546" s="118" t="s">
        <v>1005</v>
      </c>
      <c r="B546" s="118" t="str">
        <f aca="false">CONCATENATE(C546&amp;D546)</f>
        <v>1"161</v>
      </c>
      <c r="C546" s="118" t="s">
        <v>967</v>
      </c>
      <c r="D546" s="153" t="n">
        <f aca="false">D545+1</f>
        <v>161</v>
      </c>
      <c r="E546" s="118" t="e">
        <f aca="false">CEILING(D546/20;1)</f>
        <v>#VALUE!</v>
      </c>
      <c r="F546" s="118" t="e">
        <f aca="false">E546*$F$1</f>
        <v>#VALUE!</v>
      </c>
    </row>
    <row r="547" customFormat="false" ht="14.25" hidden="false" customHeight="true" outlineLevel="0" collapsed="false">
      <c r="A547" s="118" t="s">
        <v>1005</v>
      </c>
      <c r="B547" s="118" t="str">
        <f aca="false">CONCATENATE(C547&amp;D547)</f>
        <v>1"162</v>
      </c>
      <c r="C547" s="118" t="s">
        <v>967</v>
      </c>
      <c r="D547" s="153" t="n">
        <f aca="false">D546+1</f>
        <v>162</v>
      </c>
      <c r="E547" s="118" t="e">
        <f aca="false">CEILING(D547/20;1)</f>
        <v>#VALUE!</v>
      </c>
      <c r="F547" s="118" t="e">
        <f aca="false">E547*$F$1</f>
        <v>#VALUE!</v>
      </c>
    </row>
    <row r="548" customFormat="false" ht="14.25" hidden="false" customHeight="true" outlineLevel="0" collapsed="false">
      <c r="A548" s="118" t="s">
        <v>1005</v>
      </c>
      <c r="B548" s="118" t="str">
        <f aca="false">CONCATENATE(C548&amp;D548)</f>
        <v>1"163</v>
      </c>
      <c r="C548" s="118" t="s">
        <v>967</v>
      </c>
      <c r="D548" s="153" t="n">
        <f aca="false">D547+1</f>
        <v>163</v>
      </c>
      <c r="E548" s="118" t="e">
        <f aca="false">CEILING(D548/20;1)</f>
        <v>#VALUE!</v>
      </c>
      <c r="F548" s="118" t="e">
        <f aca="false">E548*$F$1</f>
        <v>#VALUE!</v>
      </c>
    </row>
    <row r="549" customFormat="false" ht="14.25" hidden="false" customHeight="true" outlineLevel="0" collapsed="false">
      <c r="A549" s="118" t="s">
        <v>1005</v>
      </c>
      <c r="B549" s="118" t="str">
        <f aca="false">CONCATENATE(C549&amp;D549)</f>
        <v>1"164</v>
      </c>
      <c r="C549" s="118" t="s">
        <v>967</v>
      </c>
      <c r="D549" s="153" t="n">
        <f aca="false">D548+1</f>
        <v>164</v>
      </c>
      <c r="E549" s="118" t="e">
        <f aca="false">CEILING(D549/20;1)</f>
        <v>#VALUE!</v>
      </c>
      <c r="F549" s="118" t="e">
        <f aca="false">E549*$F$1</f>
        <v>#VALUE!</v>
      </c>
    </row>
    <row r="550" customFormat="false" ht="14.25" hidden="false" customHeight="true" outlineLevel="0" collapsed="false">
      <c r="A550" s="118" t="s">
        <v>1005</v>
      </c>
      <c r="B550" s="118" t="str">
        <f aca="false">CONCATENATE(C550&amp;D550)</f>
        <v>1"165</v>
      </c>
      <c r="C550" s="118" t="s">
        <v>967</v>
      </c>
      <c r="D550" s="153" t="n">
        <f aca="false">D549+1</f>
        <v>165</v>
      </c>
      <c r="E550" s="118" t="e">
        <f aca="false">CEILING(D550/20;1)</f>
        <v>#VALUE!</v>
      </c>
      <c r="F550" s="118" t="e">
        <f aca="false">E550*$F$1</f>
        <v>#VALUE!</v>
      </c>
    </row>
    <row r="551" customFormat="false" ht="14.25" hidden="false" customHeight="true" outlineLevel="0" collapsed="false">
      <c r="A551" s="118" t="s">
        <v>1005</v>
      </c>
      <c r="B551" s="118" t="str">
        <f aca="false">CONCATENATE(C551&amp;D551)</f>
        <v>1"166</v>
      </c>
      <c r="C551" s="118" t="s">
        <v>967</v>
      </c>
      <c r="D551" s="153" t="n">
        <f aca="false">D550+1</f>
        <v>166</v>
      </c>
      <c r="E551" s="118" t="e">
        <f aca="false">CEILING(D551/20;1)</f>
        <v>#VALUE!</v>
      </c>
      <c r="F551" s="118" t="e">
        <f aca="false">E551*$F$1</f>
        <v>#VALUE!</v>
      </c>
    </row>
    <row r="552" customFormat="false" ht="14.25" hidden="false" customHeight="true" outlineLevel="0" collapsed="false">
      <c r="A552" s="118" t="s">
        <v>1005</v>
      </c>
      <c r="B552" s="118" t="str">
        <f aca="false">CONCATENATE(C552&amp;D552)</f>
        <v>1"167</v>
      </c>
      <c r="C552" s="118" t="s">
        <v>967</v>
      </c>
      <c r="D552" s="153" t="n">
        <f aca="false">D551+1</f>
        <v>167</v>
      </c>
      <c r="E552" s="118" t="e">
        <f aca="false">CEILING(D552/20;1)</f>
        <v>#VALUE!</v>
      </c>
      <c r="F552" s="118" t="e">
        <f aca="false">E552*$F$1</f>
        <v>#VALUE!</v>
      </c>
    </row>
    <row r="553" customFormat="false" ht="14.25" hidden="false" customHeight="true" outlineLevel="0" collapsed="false">
      <c r="A553" s="118" t="s">
        <v>1005</v>
      </c>
      <c r="B553" s="118" t="str">
        <f aca="false">CONCATENATE(C553&amp;D553)</f>
        <v>1"168</v>
      </c>
      <c r="C553" s="118" t="s">
        <v>967</v>
      </c>
      <c r="D553" s="153" t="n">
        <f aca="false">D552+1</f>
        <v>168</v>
      </c>
      <c r="E553" s="118" t="e">
        <f aca="false">CEILING(D553/20;1)</f>
        <v>#VALUE!</v>
      </c>
      <c r="F553" s="118" t="e">
        <f aca="false">E553*$F$1</f>
        <v>#VALUE!</v>
      </c>
    </row>
    <row r="554" customFormat="false" ht="14.25" hidden="false" customHeight="true" outlineLevel="0" collapsed="false">
      <c r="A554" s="118" t="s">
        <v>1005</v>
      </c>
      <c r="B554" s="118" t="str">
        <f aca="false">CONCATENATE(C554&amp;D554)</f>
        <v>1"169</v>
      </c>
      <c r="C554" s="118" t="s">
        <v>967</v>
      </c>
      <c r="D554" s="153" t="n">
        <f aca="false">D553+1</f>
        <v>169</v>
      </c>
      <c r="E554" s="118" t="e">
        <f aca="false">CEILING(D554/20;1)</f>
        <v>#VALUE!</v>
      </c>
      <c r="F554" s="118" t="e">
        <f aca="false">E554*$F$1</f>
        <v>#VALUE!</v>
      </c>
    </row>
    <row r="555" customFormat="false" ht="14.25" hidden="false" customHeight="true" outlineLevel="0" collapsed="false">
      <c r="A555" s="118" t="s">
        <v>1005</v>
      </c>
      <c r="B555" s="118" t="str">
        <f aca="false">CONCATENATE(C555&amp;D555)</f>
        <v>1"170</v>
      </c>
      <c r="C555" s="118" t="s">
        <v>967</v>
      </c>
      <c r="D555" s="153" t="n">
        <f aca="false">D554+1</f>
        <v>170</v>
      </c>
      <c r="E555" s="118" t="e">
        <f aca="false">CEILING(D555/20;1)</f>
        <v>#VALUE!</v>
      </c>
      <c r="F555" s="118" t="e">
        <f aca="false">E555*$F$1</f>
        <v>#VALUE!</v>
      </c>
    </row>
    <row r="556" customFormat="false" ht="14.25" hidden="false" customHeight="true" outlineLevel="0" collapsed="false">
      <c r="A556" s="118" t="s">
        <v>1005</v>
      </c>
      <c r="B556" s="118" t="str">
        <f aca="false">CONCATENATE(C556&amp;D556)</f>
        <v>1"171</v>
      </c>
      <c r="C556" s="118" t="s">
        <v>967</v>
      </c>
      <c r="D556" s="153" t="n">
        <f aca="false">D555+1</f>
        <v>171</v>
      </c>
      <c r="E556" s="118" t="e">
        <f aca="false">CEILING(D556/20;1)</f>
        <v>#VALUE!</v>
      </c>
      <c r="F556" s="118" t="e">
        <f aca="false">E556*$F$1</f>
        <v>#VALUE!</v>
      </c>
    </row>
    <row r="557" customFormat="false" ht="14.25" hidden="false" customHeight="true" outlineLevel="0" collapsed="false">
      <c r="A557" s="118" t="s">
        <v>1005</v>
      </c>
      <c r="B557" s="118" t="str">
        <f aca="false">CONCATENATE(C557&amp;D557)</f>
        <v>1"172</v>
      </c>
      <c r="C557" s="118" t="s">
        <v>967</v>
      </c>
      <c r="D557" s="153" t="n">
        <f aca="false">D556+1</f>
        <v>172</v>
      </c>
      <c r="E557" s="118" t="e">
        <f aca="false">CEILING(D557/20;1)</f>
        <v>#VALUE!</v>
      </c>
      <c r="F557" s="118" t="e">
        <f aca="false">E557*$F$1</f>
        <v>#VALUE!</v>
      </c>
    </row>
    <row r="558" customFormat="false" ht="14.25" hidden="false" customHeight="true" outlineLevel="0" collapsed="false">
      <c r="A558" s="118" t="s">
        <v>1005</v>
      </c>
      <c r="B558" s="118" t="str">
        <f aca="false">CONCATENATE(C558&amp;D558)</f>
        <v>1"173</v>
      </c>
      <c r="C558" s="118" t="s">
        <v>967</v>
      </c>
      <c r="D558" s="153" t="n">
        <f aca="false">D557+1</f>
        <v>173</v>
      </c>
      <c r="E558" s="118" t="e">
        <f aca="false">CEILING(D558/20;1)</f>
        <v>#VALUE!</v>
      </c>
      <c r="F558" s="118" t="e">
        <f aca="false">E558*$F$1</f>
        <v>#VALUE!</v>
      </c>
    </row>
    <row r="559" customFormat="false" ht="14.25" hidden="false" customHeight="true" outlineLevel="0" collapsed="false">
      <c r="A559" s="118" t="s">
        <v>1005</v>
      </c>
      <c r="B559" s="118" t="str">
        <f aca="false">CONCATENATE(C559&amp;D559)</f>
        <v>1"174</v>
      </c>
      <c r="C559" s="118" t="s">
        <v>967</v>
      </c>
      <c r="D559" s="153" t="n">
        <f aca="false">D558+1</f>
        <v>174</v>
      </c>
      <c r="E559" s="118" t="e">
        <f aca="false">CEILING(D559/20;1)</f>
        <v>#VALUE!</v>
      </c>
      <c r="F559" s="118" t="e">
        <f aca="false">E559*$F$1</f>
        <v>#VALUE!</v>
      </c>
    </row>
    <row r="560" customFormat="false" ht="14.25" hidden="false" customHeight="true" outlineLevel="0" collapsed="false">
      <c r="A560" s="118" t="s">
        <v>1005</v>
      </c>
      <c r="B560" s="118" t="str">
        <f aca="false">CONCATENATE(C560&amp;D560)</f>
        <v>1"175</v>
      </c>
      <c r="C560" s="118" t="s">
        <v>967</v>
      </c>
      <c r="D560" s="153" t="n">
        <f aca="false">D559+1</f>
        <v>175</v>
      </c>
      <c r="E560" s="118" t="e">
        <f aca="false">CEILING(D560/20;1)</f>
        <v>#VALUE!</v>
      </c>
      <c r="F560" s="118" t="e">
        <f aca="false">E560*$F$1</f>
        <v>#VALUE!</v>
      </c>
    </row>
    <row r="561" customFormat="false" ht="14.25" hidden="false" customHeight="true" outlineLevel="0" collapsed="false">
      <c r="A561" s="118" t="s">
        <v>1005</v>
      </c>
      <c r="B561" s="118" t="str">
        <f aca="false">CONCATENATE(C561&amp;D561)</f>
        <v>1"176</v>
      </c>
      <c r="C561" s="118" t="s">
        <v>967</v>
      </c>
      <c r="D561" s="153" t="n">
        <f aca="false">D560+1</f>
        <v>176</v>
      </c>
      <c r="E561" s="118" t="e">
        <f aca="false">CEILING(D561/20;1)</f>
        <v>#VALUE!</v>
      </c>
      <c r="F561" s="118" t="e">
        <f aca="false">E561*$F$1</f>
        <v>#VALUE!</v>
      </c>
    </row>
    <row r="562" customFormat="false" ht="14.25" hidden="false" customHeight="true" outlineLevel="0" collapsed="false">
      <c r="A562" s="118" t="s">
        <v>1005</v>
      </c>
      <c r="B562" s="118" t="str">
        <f aca="false">CONCATENATE(C562&amp;D562)</f>
        <v>1"177</v>
      </c>
      <c r="C562" s="118" t="s">
        <v>967</v>
      </c>
      <c r="D562" s="153" t="n">
        <f aca="false">D561+1</f>
        <v>177</v>
      </c>
      <c r="E562" s="118" t="e">
        <f aca="false">CEILING(D562/20;1)</f>
        <v>#VALUE!</v>
      </c>
      <c r="F562" s="118" t="e">
        <f aca="false">E562*$F$1</f>
        <v>#VALUE!</v>
      </c>
    </row>
    <row r="563" customFormat="false" ht="14.25" hidden="false" customHeight="true" outlineLevel="0" collapsed="false">
      <c r="A563" s="118" t="s">
        <v>1005</v>
      </c>
      <c r="B563" s="118" t="str">
        <f aca="false">CONCATENATE(C563&amp;D563)</f>
        <v>1"178</v>
      </c>
      <c r="C563" s="118" t="s">
        <v>967</v>
      </c>
      <c r="D563" s="153" t="n">
        <f aca="false">D562+1</f>
        <v>178</v>
      </c>
      <c r="E563" s="118" t="e">
        <f aca="false">CEILING(D563/20;1)</f>
        <v>#VALUE!</v>
      </c>
      <c r="F563" s="118" t="e">
        <f aca="false">E563*$F$1</f>
        <v>#VALUE!</v>
      </c>
    </row>
    <row r="564" customFormat="false" ht="14.25" hidden="false" customHeight="true" outlineLevel="0" collapsed="false">
      <c r="A564" s="118" t="s">
        <v>1005</v>
      </c>
      <c r="B564" s="118" t="str">
        <f aca="false">CONCATENATE(C564&amp;D564)</f>
        <v>1"179</v>
      </c>
      <c r="C564" s="118" t="s">
        <v>967</v>
      </c>
      <c r="D564" s="153" t="n">
        <f aca="false">D563+1</f>
        <v>179</v>
      </c>
      <c r="E564" s="118" t="e">
        <f aca="false">CEILING(D564/20;1)</f>
        <v>#VALUE!</v>
      </c>
      <c r="F564" s="118" t="e">
        <f aca="false">E564*$F$1</f>
        <v>#VALUE!</v>
      </c>
    </row>
    <row r="565" customFormat="false" ht="14.25" hidden="false" customHeight="true" outlineLevel="0" collapsed="false">
      <c r="A565" s="118" t="s">
        <v>1005</v>
      </c>
      <c r="B565" s="118" t="str">
        <f aca="false">CONCATENATE(C565&amp;D565)</f>
        <v>1"180</v>
      </c>
      <c r="C565" s="118" t="s">
        <v>967</v>
      </c>
      <c r="D565" s="153" t="n">
        <f aca="false">D564+1</f>
        <v>180</v>
      </c>
      <c r="E565" s="118" t="e">
        <f aca="false">CEILING(D565/20;1)</f>
        <v>#VALUE!</v>
      </c>
      <c r="F565" s="118" t="e">
        <f aca="false">E565*$F$1</f>
        <v>#VALUE!</v>
      </c>
    </row>
    <row r="566" customFormat="false" ht="14.25" hidden="false" customHeight="true" outlineLevel="0" collapsed="false">
      <c r="A566" s="118" t="s">
        <v>1005</v>
      </c>
      <c r="B566" s="118" t="str">
        <f aca="false">CONCATENATE(C566&amp;D566)</f>
        <v>1"181</v>
      </c>
      <c r="C566" s="118" t="s">
        <v>967</v>
      </c>
      <c r="D566" s="153" t="n">
        <f aca="false">D565+1</f>
        <v>181</v>
      </c>
      <c r="E566" s="118" t="e">
        <f aca="false">CEILING(D566/20;1)</f>
        <v>#VALUE!</v>
      </c>
      <c r="F566" s="118" t="e">
        <f aca="false">E566*$F$1</f>
        <v>#VALUE!</v>
      </c>
    </row>
    <row r="567" customFormat="false" ht="14.25" hidden="false" customHeight="true" outlineLevel="0" collapsed="false">
      <c r="A567" s="118" t="s">
        <v>1005</v>
      </c>
      <c r="B567" s="118" t="str">
        <f aca="false">CONCATENATE(C567&amp;D567)</f>
        <v>1"182</v>
      </c>
      <c r="C567" s="118" t="s">
        <v>967</v>
      </c>
      <c r="D567" s="153" t="n">
        <f aca="false">D566+1</f>
        <v>182</v>
      </c>
      <c r="E567" s="118" t="e">
        <f aca="false">CEILING(D567/20;1)</f>
        <v>#VALUE!</v>
      </c>
      <c r="F567" s="118" t="e">
        <f aca="false">E567*$F$1</f>
        <v>#VALUE!</v>
      </c>
    </row>
    <row r="568" customFormat="false" ht="14.25" hidden="false" customHeight="true" outlineLevel="0" collapsed="false">
      <c r="A568" s="118" t="s">
        <v>1005</v>
      </c>
      <c r="B568" s="118" t="str">
        <f aca="false">CONCATENATE(C568&amp;D568)</f>
        <v>1"183</v>
      </c>
      <c r="C568" s="118" t="s">
        <v>967</v>
      </c>
      <c r="D568" s="153" t="n">
        <f aca="false">D567+1</f>
        <v>183</v>
      </c>
      <c r="E568" s="118" t="e">
        <f aca="false">CEILING(D568/20;1)</f>
        <v>#VALUE!</v>
      </c>
      <c r="F568" s="118" t="e">
        <f aca="false">E568*$F$1</f>
        <v>#VALUE!</v>
      </c>
    </row>
    <row r="569" customFormat="false" ht="14.25" hidden="false" customHeight="true" outlineLevel="0" collapsed="false">
      <c r="A569" s="118" t="s">
        <v>1005</v>
      </c>
      <c r="B569" s="118" t="str">
        <f aca="false">CONCATENATE(C569&amp;D569)</f>
        <v>1"184</v>
      </c>
      <c r="C569" s="118" t="s">
        <v>967</v>
      </c>
      <c r="D569" s="153" t="n">
        <f aca="false">D568+1</f>
        <v>184</v>
      </c>
      <c r="E569" s="118" t="e">
        <f aca="false">CEILING(D569/20;1)</f>
        <v>#VALUE!</v>
      </c>
      <c r="F569" s="118" t="e">
        <f aca="false">E569*$F$1</f>
        <v>#VALUE!</v>
      </c>
    </row>
    <row r="570" customFormat="false" ht="14.25" hidden="false" customHeight="true" outlineLevel="0" collapsed="false">
      <c r="A570" s="118" t="s">
        <v>1005</v>
      </c>
      <c r="B570" s="118" t="str">
        <f aca="false">CONCATENATE(C570&amp;D570)</f>
        <v>1"185</v>
      </c>
      <c r="C570" s="118" t="s">
        <v>967</v>
      </c>
      <c r="D570" s="153" t="n">
        <f aca="false">D569+1</f>
        <v>185</v>
      </c>
      <c r="E570" s="118" t="e">
        <f aca="false">CEILING(D570/20;1)</f>
        <v>#VALUE!</v>
      </c>
      <c r="F570" s="118" t="e">
        <f aca="false">E570*$F$1</f>
        <v>#VALUE!</v>
      </c>
    </row>
    <row r="571" customFormat="false" ht="14.25" hidden="false" customHeight="true" outlineLevel="0" collapsed="false">
      <c r="A571" s="118" t="s">
        <v>1005</v>
      </c>
      <c r="B571" s="118" t="str">
        <f aca="false">CONCATENATE(C571&amp;D571)</f>
        <v>1"186</v>
      </c>
      <c r="C571" s="118" t="s">
        <v>967</v>
      </c>
      <c r="D571" s="153" t="n">
        <f aca="false">D570+1</f>
        <v>186</v>
      </c>
      <c r="E571" s="118" t="e">
        <f aca="false">CEILING(D571/20;1)</f>
        <v>#VALUE!</v>
      </c>
      <c r="F571" s="118" t="e">
        <f aca="false">E571*$F$1</f>
        <v>#VALUE!</v>
      </c>
    </row>
    <row r="572" customFormat="false" ht="14.25" hidden="false" customHeight="true" outlineLevel="0" collapsed="false">
      <c r="A572" s="118" t="s">
        <v>1005</v>
      </c>
      <c r="B572" s="118" t="str">
        <f aca="false">CONCATENATE(C572&amp;D572)</f>
        <v>1"187</v>
      </c>
      <c r="C572" s="118" t="s">
        <v>967</v>
      </c>
      <c r="D572" s="153" t="n">
        <f aca="false">D571+1</f>
        <v>187</v>
      </c>
      <c r="E572" s="118" t="e">
        <f aca="false">CEILING(D572/20;1)</f>
        <v>#VALUE!</v>
      </c>
      <c r="F572" s="118" t="e">
        <f aca="false">E572*$F$1</f>
        <v>#VALUE!</v>
      </c>
    </row>
    <row r="573" customFormat="false" ht="14.25" hidden="false" customHeight="true" outlineLevel="0" collapsed="false">
      <c r="A573" s="118" t="s">
        <v>1005</v>
      </c>
      <c r="B573" s="118" t="str">
        <f aca="false">CONCATENATE(C573&amp;D573)</f>
        <v>1"188</v>
      </c>
      <c r="C573" s="118" t="s">
        <v>967</v>
      </c>
      <c r="D573" s="153" t="n">
        <f aca="false">D572+1</f>
        <v>188</v>
      </c>
      <c r="E573" s="118" t="e">
        <f aca="false">CEILING(D573/20;1)</f>
        <v>#VALUE!</v>
      </c>
      <c r="F573" s="118" t="e">
        <f aca="false">E573*$F$1</f>
        <v>#VALUE!</v>
      </c>
    </row>
    <row r="574" customFormat="false" ht="14.25" hidden="false" customHeight="true" outlineLevel="0" collapsed="false">
      <c r="A574" s="118" t="s">
        <v>1005</v>
      </c>
      <c r="B574" s="118" t="str">
        <f aca="false">CONCATENATE(C574&amp;D574)</f>
        <v>1"189</v>
      </c>
      <c r="C574" s="118" t="s">
        <v>967</v>
      </c>
      <c r="D574" s="153" t="n">
        <f aca="false">D573+1</f>
        <v>189</v>
      </c>
      <c r="E574" s="118" t="e">
        <f aca="false">CEILING(D574/20;1)</f>
        <v>#VALUE!</v>
      </c>
      <c r="F574" s="118" t="e">
        <f aca="false">E574*$F$1</f>
        <v>#VALUE!</v>
      </c>
    </row>
    <row r="575" customFormat="false" ht="14.25" hidden="false" customHeight="true" outlineLevel="0" collapsed="false">
      <c r="A575" s="118" t="s">
        <v>1005</v>
      </c>
      <c r="B575" s="118" t="str">
        <f aca="false">CONCATENATE(C575&amp;D575)</f>
        <v>1"190</v>
      </c>
      <c r="C575" s="118" t="s">
        <v>967</v>
      </c>
      <c r="D575" s="153" t="n">
        <f aca="false">D574+1</f>
        <v>190</v>
      </c>
      <c r="E575" s="118" t="e">
        <f aca="false">CEILING(D575/20;1)</f>
        <v>#VALUE!</v>
      </c>
      <c r="F575" s="118" t="e">
        <f aca="false">E575*$F$1</f>
        <v>#VALUE!</v>
      </c>
    </row>
    <row r="576" customFormat="false" ht="14.25" hidden="false" customHeight="true" outlineLevel="0" collapsed="false">
      <c r="A576" s="118" t="s">
        <v>1005</v>
      </c>
      <c r="B576" s="118" t="str">
        <f aca="false">CONCATENATE(C576&amp;D576)</f>
        <v>1"191</v>
      </c>
      <c r="C576" s="118" t="s">
        <v>967</v>
      </c>
      <c r="D576" s="153" t="n">
        <f aca="false">D575+1</f>
        <v>191</v>
      </c>
      <c r="E576" s="118" t="e">
        <f aca="false">CEILING(D576/20;1)</f>
        <v>#VALUE!</v>
      </c>
      <c r="F576" s="118" t="e">
        <f aca="false">E576*$F$1</f>
        <v>#VALUE!</v>
      </c>
    </row>
    <row r="577" customFormat="false" ht="14.25" hidden="false" customHeight="true" outlineLevel="0" collapsed="false">
      <c r="A577" s="118" t="s">
        <v>1005</v>
      </c>
      <c r="B577" s="118" t="str">
        <f aca="false">CONCATENATE(C577&amp;D577)</f>
        <v>1"192</v>
      </c>
      <c r="C577" s="118" t="s">
        <v>967</v>
      </c>
      <c r="D577" s="153" t="n">
        <f aca="false">D576+1</f>
        <v>192</v>
      </c>
      <c r="E577" s="118" t="e">
        <f aca="false">CEILING(D577/20;1)</f>
        <v>#VALUE!</v>
      </c>
      <c r="F577" s="118" t="e">
        <f aca="false">E577*$F$1</f>
        <v>#VALUE!</v>
      </c>
    </row>
    <row r="578" customFormat="false" ht="14.25" hidden="false" customHeight="true" outlineLevel="0" collapsed="false">
      <c r="A578" s="118" t="s">
        <v>1005</v>
      </c>
      <c r="B578" s="118" t="str">
        <f aca="false">CONCATENATE(C578&amp;D578)</f>
        <v>1"193</v>
      </c>
      <c r="C578" s="118" t="s">
        <v>967</v>
      </c>
      <c r="D578" s="153" t="n">
        <f aca="false">D577+1</f>
        <v>193</v>
      </c>
      <c r="E578" s="118" t="e">
        <f aca="false">CEILING(D578/20;1)</f>
        <v>#VALUE!</v>
      </c>
      <c r="F578" s="118" t="e">
        <f aca="false">E578*$F$1</f>
        <v>#VALUE!</v>
      </c>
    </row>
    <row r="579" customFormat="false" ht="14.25" hidden="false" customHeight="true" outlineLevel="0" collapsed="false">
      <c r="A579" s="118" t="s">
        <v>1005</v>
      </c>
      <c r="B579" s="118" t="str">
        <f aca="false">CONCATENATE(C579&amp;D579)</f>
        <v>1"194</v>
      </c>
      <c r="C579" s="118" t="s">
        <v>967</v>
      </c>
      <c r="D579" s="153" t="n">
        <f aca="false">D578+1</f>
        <v>194</v>
      </c>
      <c r="E579" s="118" t="e">
        <f aca="false">CEILING(D579/20;1)</f>
        <v>#VALUE!</v>
      </c>
      <c r="F579" s="118" t="e">
        <f aca="false">E579*$F$1</f>
        <v>#VALUE!</v>
      </c>
    </row>
    <row r="580" customFormat="false" ht="14.25" hidden="false" customHeight="true" outlineLevel="0" collapsed="false">
      <c r="A580" s="118" t="s">
        <v>1005</v>
      </c>
      <c r="B580" s="118" t="str">
        <f aca="false">CONCATENATE(C580&amp;D580)</f>
        <v>1"195</v>
      </c>
      <c r="C580" s="118" t="s">
        <v>967</v>
      </c>
      <c r="D580" s="153" t="n">
        <f aca="false">D579+1</f>
        <v>195</v>
      </c>
      <c r="E580" s="118" t="e">
        <f aca="false">CEILING(D580/20;1)</f>
        <v>#VALUE!</v>
      </c>
      <c r="F580" s="118" t="e">
        <f aca="false">E580*$F$1</f>
        <v>#VALUE!</v>
      </c>
    </row>
    <row r="581" customFormat="false" ht="14.25" hidden="false" customHeight="true" outlineLevel="0" collapsed="false">
      <c r="A581" s="118" t="s">
        <v>1005</v>
      </c>
      <c r="B581" s="118" t="str">
        <f aca="false">CONCATENATE(C581&amp;D581)</f>
        <v>1"196</v>
      </c>
      <c r="C581" s="118" t="s">
        <v>967</v>
      </c>
      <c r="D581" s="153" t="n">
        <f aca="false">D580+1</f>
        <v>196</v>
      </c>
      <c r="E581" s="118" t="e">
        <f aca="false">CEILING(D581/20;1)</f>
        <v>#VALUE!</v>
      </c>
      <c r="F581" s="118" t="e">
        <f aca="false">E581*$F$1</f>
        <v>#VALUE!</v>
      </c>
    </row>
    <row r="582" customFormat="false" ht="14.25" hidden="false" customHeight="true" outlineLevel="0" collapsed="false">
      <c r="A582" s="118" t="s">
        <v>1005</v>
      </c>
      <c r="B582" s="118" t="str">
        <f aca="false">CONCATENATE(C582&amp;D582)</f>
        <v>1"197</v>
      </c>
      <c r="C582" s="118" t="s">
        <v>967</v>
      </c>
      <c r="D582" s="153" t="n">
        <f aca="false">D581+1</f>
        <v>197</v>
      </c>
      <c r="E582" s="118" t="e">
        <f aca="false">CEILING(D582/20;1)</f>
        <v>#VALUE!</v>
      </c>
      <c r="F582" s="118" t="e">
        <f aca="false">E582*$F$1</f>
        <v>#VALUE!</v>
      </c>
    </row>
    <row r="583" customFormat="false" ht="14.25" hidden="false" customHeight="true" outlineLevel="0" collapsed="false">
      <c r="A583" s="118" t="s">
        <v>1005</v>
      </c>
      <c r="B583" s="118" t="str">
        <f aca="false">CONCATENATE(C583&amp;D583)</f>
        <v>1"198</v>
      </c>
      <c r="C583" s="118" t="s">
        <v>967</v>
      </c>
      <c r="D583" s="153" t="n">
        <f aca="false">D582+1</f>
        <v>198</v>
      </c>
      <c r="E583" s="118" t="e">
        <f aca="false">CEILING(D583/20;1)</f>
        <v>#VALUE!</v>
      </c>
      <c r="F583" s="118" t="e">
        <f aca="false">E583*$F$1</f>
        <v>#VALUE!</v>
      </c>
    </row>
    <row r="584" customFormat="false" ht="14.25" hidden="false" customHeight="true" outlineLevel="0" collapsed="false">
      <c r="A584" s="118" t="s">
        <v>1005</v>
      </c>
      <c r="B584" s="118" t="str">
        <f aca="false">CONCATENATE(C584&amp;D584)</f>
        <v>1"199</v>
      </c>
      <c r="C584" s="118" t="s">
        <v>967</v>
      </c>
      <c r="D584" s="153" t="n">
        <f aca="false">D583+1</f>
        <v>199</v>
      </c>
      <c r="E584" s="118" t="e">
        <f aca="false">CEILING(D584/20;1)</f>
        <v>#VALUE!</v>
      </c>
      <c r="F584" s="118" t="e">
        <f aca="false">E584*$F$1</f>
        <v>#VALUE!</v>
      </c>
    </row>
    <row r="585" customFormat="false" ht="14.25" hidden="false" customHeight="true" outlineLevel="0" collapsed="false">
      <c r="A585" s="118" t="s">
        <v>1005</v>
      </c>
      <c r="B585" s="118" t="str">
        <f aca="false">CONCATENATE(C585&amp;D585)</f>
        <v>1"200</v>
      </c>
      <c r="C585" s="118" t="s">
        <v>967</v>
      </c>
      <c r="D585" s="153" t="n">
        <f aca="false">D584+1</f>
        <v>200</v>
      </c>
      <c r="E585" s="118" t="e">
        <f aca="false">CEILING(D585/20;1)</f>
        <v>#VALUE!</v>
      </c>
      <c r="F585" s="118" t="e">
        <f aca="false">E585*$F$1</f>
        <v>#VALUE!</v>
      </c>
    </row>
    <row r="586" customFormat="false" ht="14.25" hidden="false" customHeight="true" outlineLevel="0" collapsed="false">
      <c r="A586" s="118" t="s">
        <v>1005</v>
      </c>
      <c r="B586" s="118" t="str">
        <f aca="false">CONCATENATE(C586&amp;D586)</f>
        <v>1"201</v>
      </c>
      <c r="C586" s="118" t="s">
        <v>967</v>
      </c>
      <c r="D586" s="153" t="n">
        <f aca="false">D585+1</f>
        <v>201</v>
      </c>
      <c r="E586" s="118" t="e">
        <f aca="false">CEILING(D586/20;1)</f>
        <v>#VALUE!</v>
      </c>
      <c r="F586" s="118" t="e">
        <f aca="false">E586*$F$1</f>
        <v>#VALUE!</v>
      </c>
    </row>
    <row r="587" customFormat="false" ht="14.25" hidden="false" customHeight="true" outlineLevel="0" collapsed="false">
      <c r="A587" s="118" t="s">
        <v>1005</v>
      </c>
      <c r="B587" s="118" t="str">
        <f aca="false">CONCATENATE(C587&amp;D587)</f>
        <v>1"202</v>
      </c>
      <c r="C587" s="118" t="s">
        <v>967</v>
      </c>
      <c r="D587" s="153" t="n">
        <f aca="false">D586+1</f>
        <v>202</v>
      </c>
      <c r="E587" s="118" t="e">
        <f aca="false">CEILING(D587/20;1)</f>
        <v>#VALUE!</v>
      </c>
      <c r="F587" s="118" t="e">
        <f aca="false">E587*$F$1</f>
        <v>#VALUE!</v>
      </c>
    </row>
    <row r="588" customFormat="false" ht="14.25" hidden="false" customHeight="true" outlineLevel="0" collapsed="false">
      <c r="A588" s="118" t="s">
        <v>1005</v>
      </c>
      <c r="B588" s="118" t="str">
        <f aca="false">CONCATENATE(C588&amp;D588)</f>
        <v>1"203</v>
      </c>
      <c r="C588" s="118" t="s">
        <v>967</v>
      </c>
      <c r="D588" s="153" t="n">
        <f aca="false">D587+1</f>
        <v>203</v>
      </c>
      <c r="E588" s="118" t="e">
        <f aca="false">CEILING(D588/20;1)</f>
        <v>#VALUE!</v>
      </c>
      <c r="F588" s="118" t="e">
        <f aca="false">E588*$F$1</f>
        <v>#VALUE!</v>
      </c>
    </row>
    <row r="589" customFormat="false" ht="14.25" hidden="false" customHeight="true" outlineLevel="0" collapsed="false">
      <c r="A589" s="118" t="s">
        <v>1005</v>
      </c>
      <c r="B589" s="118" t="str">
        <f aca="false">CONCATENATE(C589&amp;D589)</f>
        <v>1"204</v>
      </c>
      <c r="C589" s="118" t="s">
        <v>967</v>
      </c>
      <c r="D589" s="153" t="n">
        <f aca="false">D588+1</f>
        <v>204</v>
      </c>
      <c r="E589" s="118" t="e">
        <f aca="false">CEILING(D589/20;1)</f>
        <v>#VALUE!</v>
      </c>
      <c r="F589" s="118" t="e">
        <f aca="false">E589*$F$1</f>
        <v>#VALUE!</v>
      </c>
    </row>
    <row r="590" customFormat="false" ht="14.25" hidden="false" customHeight="true" outlineLevel="0" collapsed="false">
      <c r="A590" s="118" t="s">
        <v>1005</v>
      </c>
      <c r="B590" s="118" t="str">
        <f aca="false">CONCATENATE(C590&amp;D590)</f>
        <v>1"205</v>
      </c>
      <c r="C590" s="118" t="s">
        <v>967</v>
      </c>
      <c r="D590" s="153" t="n">
        <f aca="false">D589+1</f>
        <v>205</v>
      </c>
      <c r="E590" s="118" t="e">
        <f aca="false">CEILING(D590/20;1)</f>
        <v>#VALUE!</v>
      </c>
      <c r="F590" s="118" t="e">
        <f aca="false">E590*$F$1</f>
        <v>#VALUE!</v>
      </c>
    </row>
    <row r="591" customFormat="false" ht="14.25" hidden="false" customHeight="true" outlineLevel="0" collapsed="false">
      <c r="A591" s="118" t="s">
        <v>1005</v>
      </c>
      <c r="B591" s="118" t="str">
        <f aca="false">CONCATENATE(C591&amp;D591)</f>
        <v>1"206</v>
      </c>
      <c r="C591" s="118" t="s">
        <v>967</v>
      </c>
      <c r="D591" s="153" t="n">
        <f aca="false">D590+1</f>
        <v>206</v>
      </c>
      <c r="E591" s="118" t="e">
        <f aca="false">CEILING(D591/20;1)</f>
        <v>#VALUE!</v>
      </c>
      <c r="F591" s="118" t="e">
        <f aca="false">E591*$F$1</f>
        <v>#VALUE!</v>
      </c>
    </row>
    <row r="592" customFormat="false" ht="14.25" hidden="false" customHeight="true" outlineLevel="0" collapsed="false">
      <c r="A592" s="118" t="s">
        <v>1005</v>
      </c>
      <c r="B592" s="118" t="str">
        <f aca="false">CONCATENATE(C592&amp;D592)</f>
        <v>1"207</v>
      </c>
      <c r="C592" s="118" t="s">
        <v>967</v>
      </c>
      <c r="D592" s="153" t="n">
        <f aca="false">D591+1</f>
        <v>207</v>
      </c>
      <c r="E592" s="118" t="e">
        <f aca="false">CEILING(D592/20;1)</f>
        <v>#VALUE!</v>
      </c>
      <c r="F592" s="118" t="e">
        <f aca="false">E592*$F$1</f>
        <v>#VALUE!</v>
      </c>
    </row>
    <row r="593" customFormat="false" ht="14.25" hidden="false" customHeight="true" outlineLevel="0" collapsed="false">
      <c r="A593" s="118" t="s">
        <v>1005</v>
      </c>
      <c r="B593" s="118" t="str">
        <f aca="false">CONCATENATE(C593&amp;D593)</f>
        <v>1"208</v>
      </c>
      <c r="C593" s="118" t="s">
        <v>967</v>
      </c>
      <c r="D593" s="153" t="n">
        <f aca="false">D592+1</f>
        <v>208</v>
      </c>
      <c r="E593" s="118" t="e">
        <f aca="false">CEILING(D593/20;1)</f>
        <v>#VALUE!</v>
      </c>
      <c r="F593" s="118" t="e">
        <f aca="false">E593*$F$1</f>
        <v>#VALUE!</v>
      </c>
    </row>
    <row r="594" customFormat="false" ht="14.25" hidden="false" customHeight="true" outlineLevel="0" collapsed="false">
      <c r="A594" s="118" t="s">
        <v>1005</v>
      </c>
      <c r="B594" s="118" t="str">
        <f aca="false">CONCATENATE(C594&amp;D594)</f>
        <v>1"209</v>
      </c>
      <c r="C594" s="118" t="s">
        <v>967</v>
      </c>
      <c r="D594" s="153" t="n">
        <f aca="false">D593+1</f>
        <v>209</v>
      </c>
      <c r="E594" s="118" t="e">
        <f aca="false">CEILING(D594/20;1)</f>
        <v>#VALUE!</v>
      </c>
      <c r="F594" s="118" t="e">
        <f aca="false">E594*$F$1</f>
        <v>#VALUE!</v>
      </c>
    </row>
    <row r="595" customFormat="false" ht="14.25" hidden="false" customHeight="true" outlineLevel="0" collapsed="false">
      <c r="A595" s="118" t="s">
        <v>1005</v>
      </c>
      <c r="B595" s="118" t="str">
        <f aca="false">CONCATENATE(C595&amp;D595)</f>
        <v>1"210</v>
      </c>
      <c r="C595" s="118" t="s">
        <v>967</v>
      </c>
      <c r="D595" s="153" t="n">
        <f aca="false">D594+1</f>
        <v>210</v>
      </c>
      <c r="E595" s="118" t="e">
        <f aca="false">CEILING(D595/20;1)</f>
        <v>#VALUE!</v>
      </c>
      <c r="F595" s="118" t="e">
        <f aca="false">E595*$F$1</f>
        <v>#VALUE!</v>
      </c>
    </row>
    <row r="596" customFormat="false" ht="14.25" hidden="false" customHeight="true" outlineLevel="0" collapsed="false">
      <c r="A596" s="118" t="s">
        <v>1005</v>
      </c>
      <c r="B596" s="118" t="str">
        <f aca="false">CONCATENATE(C596&amp;D596)</f>
        <v>1"211</v>
      </c>
      <c r="C596" s="118" t="s">
        <v>967</v>
      </c>
      <c r="D596" s="153" t="n">
        <f aca="false">D595+1</f>
        <v>211</v>
      </c>
      <c r="E596" s="118" t="e">
        <f aca="false">CEILING(D596/20;1)</f>
        <v>#VALUE!</v>
      </c>
      <c r="F596" s="118" t="e">
        <f aca="false">E596*$F$1</f>
        <v>#VALUE!</v>
      </c>
    </row>
    <row r="597" customFormat="false" ht="14.25" hidden="false" customHeight="true" outlineLevel="0" collapsed="false">
      <c r="A597" s="118" t="s">
        <v>1005</v>
      </c>
      <c r="B597" s="118" t="str">
        <f aca="false">CONCATENATE(C597&amp;D597)</f>
        <v>1"212</v>
      </c>
      <c r="C597" s="118" t="s">
        <v>967</v>
      </c>
      <c r="D597" s="153" t="n">
        <f aca="false">D596+1</f>
        <v>212</v>
      </c>
      <c r="E597" s="118" t="e">
        <f aca="false">CEILING(D597/20;1)</f>
        <v>#VALUE!</v>
      </c>
      <c r="F597" s="118" t="e">
        <f aca="false">E597*$F$1</f>
        <v>#VALUE!</v>
      </c>
    </row>
    <row r="598" customFormat="false" ht="14.25" hidden="false" customHeight="true" outlineLevel="0" collapsed="false">
      <c r="A598" s="118" t="s">
        <v>1005</v>
      </c>
      <c r="B598" s="118" t="str">
        <f aca="false">CONCATENATE(C598&amp;D598)</f>
        <v>1"213</v>
      </c>
      <c r="C598" s="118" t="s">
        <v>967</v>
      </c>
      <c r="D598" s="153" t="n">
        <f aca="false">D597+1</f>
        <v>213</v>
      </c>
      <c r="E598" s="118" t="e">
        <f aca="false">CEILING(D598/20;1)</f>
        <v>#VALUE!</v>
      </c>
      <c r="F598" s="118" t="e">
        <f aca="false">E598*$F$1</f>
        <v>#VALUE!</v>
      </c>
    </row>
    <row r="599" customFormat="false" ht="14.25" hidden="false" customHeight="true" outlineLevel="0" collapsed="false">
      <c r="A599" s="118" t="s">
        <v>1005</v>
      </c>
      <c r="B599" s="118" t="str">
        <f aca="false">CONCATENATE(C599&amp;D599)</f>
        <v>1"214</v>
      </c>
      <c r="C599" s="118" t="s">
        <v>967</v>
      </c>
      <c r="D599" s="153" t="n">
        <f aca="false">D598+1</f>
        <v>214</v>
      </c>
      <c r="E599" s="118" t="e">
        <f aca="false">CEILING(D599/20;1)</f>
        <v>#VALUE!</v>
      </c>
      <c r="F599" s="118" t="e">
        <f aca="false">E599*$F$1</f>
        <v>#VALUE!</v>
      </c>
    </row>
    <row r="600" customFormat="false" ht="14.25" hidden="false" customHeight="true" outlineLevel="0" collapsed="false">
      <c r="A600" s="118" t="s">
        <v>1005</v>
      </c>
      <c r="B600" s="118" t="str">
        <f aca="false">CONCATENATE(C600&amp;D600)</f>
        <v>1"215</v>
      </c>
      <c r="C600" s="118" t="s">
        <v>967</v>
      </c>
      <c r="D600" s="153" t="n">
        <f aca="false">D599+1</f>
        <v>215</v>
      </c>
      <c r="E600" s="118" t="e">
        <f aca="false">CEILING(D600/20;1)</f>
        <v>#VALUE!</v>
      </c>
      <c r="F600" s="118" t="e">
        <f aca="false">E600*$F$1</f>
        <v>#VALUE!</v>
      </c>
    </row>
    <row r="601" customFormat="false" ht="14.25" hidden="false" customHeight="true" outlineLevel="0" collapsed="false">
      <c r="A601" s="118" t="s">
        <v>1005</v>
      </c>
      <c r="B601" s="118" t="str">
        <f aca="false">CONCATENATE(C601&amp;D601)</f>
        <v>1"216</v>
      </c>
      <c r="C601" s="118" t="s">
        <v>967</v>
      </c>
      <c r="D601" s="153" t="n">
        <f aca="false">D600+1</f>
        <v>216</v>
      </c>
      <c r="E601" s="118" t="e">
        <f aca="false">CEILING(D601/20;1)</f>
        <v>#VALUE!</v>
      </c>
      <c r="F601" s="118" t="e">
        <f aca="false">E601*$F$1</f>
        <v>#VALUE!</v>
      </c>
    </row>
    <row r="602" customFormat="false" ht="14.25" hidden="false" customHeight="true" outlineLevel="0" collapsed="false">
      <c r="A602" s="118" t="s">
        <v>1005</v>
      </c>
      <c r="B602" s="118" t="str">
        <f aca="false">CONCATENATE(C602&amp;D602)</f>
        <v>1"217</v>
      </c>
      <c r="C602" s="118" t="s">
        <v>967</v>
      </c>
      <c r="D602" s="153" t="n">
        <f aca="false">D601+1</f>
        <v>217</v>
      </c>
      <c r="E602" s="118" t="e">
        <f aca="false">CEILING(D602/20;1)</f>
        <v>#VALUE!</v>
      </c>
      <c r="F602" s="118" t="e">
        <f aca="false">E602*$F$1</f>
        <v>#VALUE!</v>
      </c>
    </row>
    <row r="603" customFormat="false" ht="14.25" hidden="false" customHeight="true" outlineLevel="0" collapsed="false">
      <c r="A603" s="118" t="s">
        <v>1005</v>
      </c>
      <c r="B603" s="118" t="str">
        <f aca="false">CONCATENATE(C603&amp;D603)</f>
        <v>1"218</v>
      </c>
      <c r="C603" s="118" t="s">
        <v>967</v>
      </c>
      <c r="D603" s="153" t="n">
        <f aca="false">D602+1</f>
        <v>218</v>
      </c>
      <c r="E603" s="118" t="e">
        <f aca="false">CEILING(D603/20;1)</f>
        <v>#VALUE!</v>
      </c>
      <c r="F603" s="118" t="e">
        <f aca="false">E603*$F$1</f>
        <v>#VALUE!</v>
      </c>
    </row>
    <row r="604" customFormat="false" ht="14.25" hidden="false" customHeight="true" outlineLevel="0" collapsed="false">
      <c r="A604" s="118" t="s">
        <v>1005</v>
      </c>
      <c r="B604" s="118" t="str">
        <f aca="false">CONCATENATE(C604&amp;D604)</f>
        <v>1"219</v>
      </c>
      <c r="C604" s="118" t="s">
        <v>967</v>
      </c>
      <c r="D604" s="153" t="n">
        <f aca="false">D603+1</f>
        <v>219</v>
      </c>
      <c r="E604" s="118" t="e">
        <f aca="false">CEILING(D604/20;1)</f>
        <v>#VALUE!</v>
      </c>
      <c r="F604" s="118" t="e">
        <f aca="false">E604*$F$1</f>
        <v>#VALUE!</v>
      </c>
    </row>
    <row r="605" customFormat="false" ht="14.25" hidden="false" customHeight="true" outlineLevel="0" collapsed="false">
      <c r="A605" s="118" t="s">
        <v>1005</v>
      </c>
      <c r="B605" s="118" t="str">
        <f aca="false">CONCATENATE(C605&amp;D605)</f>
        <v>1"220</v>
      </c>
      <c r="C605" s="118" t="s">
        <v>967</v>
      </c>
      <c r="D605" s="153" t="n">
        <f aca="false">D604+1</f>
        <v>220</v>
      </c>
      <c r="E605" s="118" t="e">
        <f aca="false">CEILING(D605/20;1)</f>
        <v>#VALUE!</v>
      </c>
      <c r="F605" s="118" t="e">
        <f aca="false">E605*$F$1</f>
        <v>#VALUE!</v>
      </c>
    </row>
    <row r="606" customFormat="false" ht="14.25" hidden="false" customHeight="true" outlineLevel="0" collapsed="false">
      <c r="A606" s="118" t="s">
        <v>1005</v>
      </c>
      <c r="B606" s="118" t="str">
        <f aca="false">CONCATENATE(C606&amp;D606)</f>
        <v>1"221</v>
      </c>
      <c r="C606" s="118" t="s">
        <v>967</v>
      </c>
      <c r="D606" s="153" t="n">
        <f aca="false">D605+1</f>
        <v>221</v>
      </c>
      <c r="E606" s="118" t="e">
        <f aca="false">CEILING(D606/20;1)</f>
        <v>#VALUE!</v>
      </c>
      <c r="F606" s="118" t="e">
        <f aca="false">E606*$F$1</f>
        <v>#VALUE!</v>
      </c>
    </row>
    <row r="607" customFormat="false" ht="14.25" hidden="false" customHeight="true" outlineLevel="0" collapsed="false">
      <c r="A607" s="118" t="s">
        <v>1005</v>
      </c>
      <c r="B607" s="118" t="str">
        <f aca="false">CONCATENATE(C607&amp;D607)</f>
        <v>1"222</v>
      </c>
      <c r="C607" s="118" t="s">
        <v>967</v>
      </c>
      <c r="D607" s="153" t="n">
        <f aca="false">D606+1</f>
        <v>222</v>
      </c>
      <c r="E607" s="118" t="e">
        <f aca="false">CEILING(D607/20;1)</f>
        <v>#VALUE!</v>
      </c>
      <c r="F607" s="118" t="e">
        <f aca="false">E607*$F$1</f>
        <v>#VALUE!</v>
      </c>
    </row>
    <row r="608" customFormat="false" ht="14.25" hidden="false" customHeight="true" outlineLevel="0" collapsed="false">
      <c r="A608" s="118" t="s">
        <v>1005</v>
      </c>
      <c r="B608" s="118" t="str">
        <f aca="false">CONCATENATE(C608&amp;D608)</f>
        <v>1"223</v>
      </c>
      <c r="C608" s="118" t="s">
        <v>967</v>
      </c>
      <c r="D608" s="153" t="n">
        <f aca="false">D607+1</f>
        <v>223</v>
      </c>
      <c r="E608" s="118" t="e">
        <f aca="false">CEILING(D608/20;1)</f>
        <v>#VALUE!</v>
      </c>
      <c r="F608" s="118" t="e">
        <f aca="false">E608*$F$1</f>
        <v>#VALUE!</v>
      </c>
    </row>
    <row r="609" customFormat="false" ht="14.25" hidden="false" customHeight="true" outlineLevel="0" collapsed="false">
      <c r="A609" s="118" t="s">
        <v>1005</v>
      </c>
      <c r="B609" s="118" t="str">
        <f aca="false">CONCATENATE(C609&amp;D609)</f>
        <v>1"224</v>
      </c>
      <c r="C609" s="118" t="s">
        <v>967</v>
      </c>
      <c r="D609" s="153" t="n">
        <f aca="false">D608+1</f>
        <v>224</v>
      </c>
      <c r="E609" s="118" t="e">
        <f aca="false">CEILING(D609/20;1)</f>
        <v>#VALUE!</v>
      </c>
      <c r="F609" s="118" t="e">
        <f aca="false">E609*$F$1</f>
        <v>#VALUE!</v>
      </c>
    </row>
    <row r="610" customFormat="false" ht="14.25" hidden="false" customHeight="true" outlineLevel="0" collapsed="false">
      <c r="A610" s="118" t="s">
        <v>1005</v>
      </c>
      <c r="B610" s="118" t="str">
        <f aca="false">CONCATENATE(C610&amp;D610)</f>
        <v>1"225</v>
      </c>
      <c r="C610" s="118" t="s">
        <v>967</v>
      </c>
      <c r="D610" s="153" t="n">
        <f aca="false">D609+1</f>
        <v>225</v>
      </c>
      <c r="E610" s="118" t="e">
        <f aca="false">CEILING(D610/20;1)</f>
        <v>#VALUE!</v>
      </c>
      <c r="F610" s="118" t="e">
        <f aca="false">E610*$F$1</f>
        <v>#VALUE!</v>
      </c>
    </row>
    <row r="611" customFormat="false" ht="14.25" hidden="false" customHeight="true" outlineLevel="0" collapsed="false">
      <c r="A611" s="118" t="s">
        <v>1005</v>
      </c>
      <c r="B611" s="118" t="str">
        <f aca="false">CONCATENATE(C611&amp;D611)</f>
        <v>1"226</v>
      </c>
      <c r="C611" s="118" t="s">
        <v>967</v>
      </c>
      <c r="D611" s="153" t="n">
        <f aca="false">D610+1</f>
        <v>226</v>
      </c>
      <c r="E611" s="118" t="e">
        <f aca="false">CEILING(D611/20;1)</f>
        <v>#VALUE!</v>
      </c>
      <c r="F611" s="118" t="e">
        <f aca="false">E611*$F$1</f>
        <v>#VALUE!</v>
      </c>
    </row>
    <row r="612" customFormat="false" ht="14.25" hidden="false" customHeight="true" outlineLevel="0" collapsed="false">
      <c r="A612" s="118" t="s">
        <v>1005</v>
      </c>
      <c r="B612" s="118" t="str">
        <f aca="false">CONCATENATE(C612&amp;D612)</f>
        <v>1"227</v>
      </c>
      <c r="C612" s="118" t="s">
        <v>967</v>
      </c>
      <c r="D612" s="153" t="n">
        <f aca="false">D611+1</f>
        <v>227</v>
      </c>
      <c r="E612" s="118" t="e">
        <f aca="false">CEILING(D612/20;1)</f>
        <v>#VALUE!</v>
      </c>
      <c r="F612" s="118" t="e">
        <f aca="false">E612*$F$1</f>
        <v>#VALUE!</v>
      </c>
    </row>
    <row r="613" customFormat="false" ht="14.25" hidden="false" customHeight="true" outlineLevel="0" collapsed="false">
      <c r="A613" s="118" t="s">
        <v>1005</v>
      </c>
      <c r="B613" s="118" t="str">
        <f aca="false">CONCATENATE(C613&amp;D613)</f>
        <v>1"228</v>
      </c>
      <c r="C613" s="118" t="s">
        <v>967</v>
      </c>
      <c r="D613" s="153" t="n">
        <f aca="false">D612+1</f>
        <v>228</v>
      </c>
      <c r="E613" s="118" t="e">
        <f aca="false">CEILING(D613/20;1)</f>
        <v>#VALUE!</v>
      </c>
      <c r="F613" s="118" t="e">
        <f aca="false">E613*$F$1</f>
        <v>#VALUE!</v>
      </c>
    </row>
    <row r="614" customFormat="false" ht="14.25" hidden="false" customHeight="true" outlineLevel="0" collapsed="false">
      <c r="A614" s="118" t="s">
        <v>1005</v>
      </c>
      <c r="B614" s="118" t="str">
        <f aca="false">CONCATENATE(C614&amp;D614)</f>
        <v>1"229</v>
      </c>
      <c r="C614" s="118" t="s">
        <v>967</v>
      </c>
      <c r="D614" s="153" t="n">
        <f aca="false">D613+1</f>
        <v>229</v>
      </c>
      <c r="E614" s="118" t="e">
        <f aca="false">CEILING(D614/20;1)</f>
        <v>#VALUE!</v>
      </c>
      <c r="F614" s="118" t="e">
        <f aca="false">E614*$F$1</f>
        <v>#VALUE!</v>
      </c>
    </row>
    <row r="615" customFormat="false" ht="14.25" hidden="false" customHeight="true" outlineLevel="0" collapsed="false">
      <c r="A615" s="118" t="s">
        <v>1005</v>
      </c>
      <c r="B615" s="118" t="str">
        <f aca="false">CONCATENATE(C615&amp;D615)</f>
        <v>1"230</v>
      </c>
      <c r="C615" s="118" t="s">
        <v>967</v>
      </c>
      <c r="D615" s="153" t="n">
        <f aca="false">D614+1</f>
        <v>230</v>
      </c>
      <c r="E615" s="118" t="e">
        <f aca="false">CEILING(D615/20;1)</f>
        <v>#VALUE!</v>
      </c>
      <c r="F615" s="118" t="e">
        <f aca="false">E615*$F$1</f>
        <v>#VALUE!</v>
      </c>
    </row>
    <row r="616" customFormat="false" ht="14.25" hidden="false" customHeight="true" outlineLevel="0" collapsed="false">
      <c r="A616" s="118" t="s">
        <v>1005</v>
      </c>
      <c r="B616" s="118" t="str">
        <f aca="false">CONCATENATE(C616&amp;D616)</f>
        <v>1"231</v>
      </c>
      <c r="C616" s="118" t="s">
        <v>967</v>
      </c>
      <c r="D616" s="153" t="n">
        <f aca="false">D615+1</f>
        <v>231</v>
      </c>
      <c r="E616" s="118" t="e">
        <f aca="false">CEILING(D616/20;1)</f>
        <v>#VALUE!</v>
      </c>
      <c r="F616" s="118" t="e">
        <f aca="false">E616*$F$1</f>
        <v>#VALUE!</v>
      </c>
    </row>
    <row r="617" customFormat="false" ht="14.25" hidden="false" customHeight="true" outlineLevel="0" collapsed="false">
      <c r="A617" s="118" t="s">
        <v>1005</v>
      </c>
      <c r="B617" s="118" t="str">
        <f aca="false">CONCATENATE(C617&amp;D617)</f>
        <v>1"232</v>
      </c>
      <c r="C617" s="118" t="s">
        <v>967</v>
      </c>
      <c r="D617" s="153" t="n">
        <f aca="false">D616+1</f>
        <v>232</v>
      </c>
      <c r="E617" s="118" t="e">
        <f aca="false">CEILING(D617/20;1)</f>
        <v>#VALUE!</v>
      </c>
      <c r="F617" s="118" t="e">
        <f aca="false">E617*$F$1</f>
        <v>#VALUE!</v>
      </c>
    </row>
    <row r="618" customFormat="false" ht="14.25" hidden="false" customHeight="true" outlineLevel="0" collapsed="false">
      <c r="A618" s="118" t="s">
        <v>1005</v>
      </c>
      <c r="B618" s="118" t="str">
        <f aca="false">CONCATENATE(C618&amp;D618)</f>
        <v>1"233</v>
      </c>
      <c r="C618" s="118" t="s">
        <v>967</v>
      </c>
      <c r="D618" s="153" t="n">
        <f aca="false">D617+1</f>
        <v>233</v>
      </c>
      <c r="E618" s="118" t="e">
        <f aca="false">CEILING(D618/20;1)</f>
        <v>#VALUE!</v>
      </c>
      <c r="F618" s="118" t="e">
        <f aca="false">E618*$F$1</f>
        <v>#VALUE!</v>
      </c>
    </row>
    <row r="619" customFormat="false" ht="14.25" hidden="false" customHeight="true" outlineLevel="0" collapsed="false">
      <c r="A619" s="118" t="s">
        <v>1005</v>
      </c>
      <c r="B619" s="118" t="str">
        <f aca="false">CONCATENATE(C619&amp;D619)</f>
        <v>1"234</v>
      </c>
      <c r="C619" s="118" t="s">
        <v>967</v>
      </c>
      <c r="D619" s="153" t="n">
        <f aca="false">D618+1</f>
        <v>234</v>
      </c>
      <c r="E619" s="118" t="e">
        <f aca="false">CEILING(D619/20;1)</f>
        <v>#VALUE!</v>
      </c>
      <c r="F619" s="118" t="e">
        <f aca="false">E619*$F$1</f>
        <v>#VALUE!</v>
      </c>
    </row>
    <row r="620" customFormat="false" ht="14.25" hidden="false" customHeight="true" outlineLevel="0" collapsed="false">
      <c r="A620" s="118" t="s">
        <v>1005</v>
      </c>
      <c r="B620" s="118" t="str">
        <f aca="false">CONCATENATE(C620&amp;D620)</f>
        <v>1"235</v>
      </c>
      <c r="C620" s="118" t="s">
        <v>967</v>
      </c>
      <c r="D620" s="153" t="n">
        <f aca="false">D619+1</f>
        <v>235</v>
      </c>
      <c r="E620" s="118" t="e">
        <f aca="false">CEILING(D620/20;1)</f>
        <v>#VALUE!</v>
      </c>
      <c r="F620" s="118" t="e">
        <f aca="false">E620*$F$1</f>
        <v>#VALUE!</v>
      </c>
    </row>
    <row r="621" customFormat="false" ht="14.25" hidden="false" customHeight="true" outlineLevel="0" collapsed="false">
      <c r="A621" s="118" t="s">
        <v>1005</v>
      </c>
      <c r="B621" s="118" t="str">
        <f aca="false">CONCATENATE(C621&amp;D621)</f>
        <v>1"236</v>
      </c>
      <c r="C621" s="118" t="s">
        <v>967</v>
      </c>
      <c r="D621" s="153" t="n">
        <f aca="false">D620+1</f>
        <v>236</v>
      </c>
      <c r="E621" s="118" t="e">
        <f aca="false">CEILING(D621/20;1)</f>
        <v>#VALUE!</v>
      </c>
      <c r="F621" s="118" t="e">
        <f aca="false">E621*$F$1</f>
        <v>#VALUE!</v>
      </c>
    </row>
    <row r="622" customFormat="false" ht="14.25" hidden="false" customHeight="true" outlineLevel="0" collapsed="false">
      <c r="A622" s="118" t="s">
        <v>1005</v>
      </c>
      <c r="B622" s="118" t="str">
        <f aca="false">CONCATENATE(C622&amp;D622)</f>
        <v>1"237</v>
      </c>
      <c r="C622" s="118" t="s">
        <v>967</v>
      </c>
      <c r="D622" s="153" t="n">
        <f aca="false">D621+1</f>
        <v>237</v>
      </c>
      <c r="E622" s="118" t="e">
        <f aca="false">CEILING(D622/20;1)</f>
        <v>#VALUE!</v>
      </c>
      <c r="F622" s="118" t="e">
        <f aca="false">E622*$F$1</f>
        <v>#VALUE!</v>
      </c>
    </row>
    <row r="623" customFormat="false" ht="14.25" hidden="false" customHeight="true" outlineLevel="0" collapsed="false">
      <c r="A623" s="118" t="s">
        <v>1005</v>
      </c>
      <c r="B623" s="118" t="str">
        <f aca="false">CONCATENATE(C623&amp;D623)</f>
        <v>1"238</v>
      </c>
      <c r="C623" s="118" t="s">
        <v>967</v>
      </c>
      <c r="D623" s="153" t="n">
        <f aca="false">D622+1</f>
        <v>238</v>
      </c>
      <c r="E623" s="118" t="e">
        <f aca="false">CEILING(D623/20;1)</f>
        <v>#VALUE!</v>
      </c>
      <c r="F623" s="118" t="e">
        <f aca="false">E623*$F$1</f>
        <v>#VALUE!</v>
      </c>
    </row>
    <row r="624" customFormat="false" ht="14.25" hidden="false" customHeight="true" outlineLevel="0" collapsed="false">
      <c r="A624" s="118" t="s">
        <v>1005</v>
      </c>
      <c r="B624" s="118" t="str">
        <f aca="false">CONCATENATE(C624&amp;D624)</f>
        <v>1"239</v>
      </c>
      <c r="C624" s="118" t="s">
        <v>967</v>
      </c>
      <c r="D624" s="153" t="n">
        <f aca="false">D623+1</f>
        <v>239</v>
      </c>
      <c r="E624" s="118" t="e">
        <f aca="false">CEILING(D624/20;1)</f>
        <v>#VALUE!</v>
      </c>
      <c r="F624" s="118" t="e">
        <f aca="false">E624*$F$1</f>
        <v>#VALUE!</v>
      </c>
    </row>
    <row r="625" customFormat="false" ht="14.25" hidden="false" customHeight="true" outlineLevel="0" collapsed="false">
      <c r="A625" s="118" t="s">
        <v>1005</v>
      </c>
      <c r="B625" s="118" t="str">
        <f aca="false">CONCATENATE(C625&amp;D625)</f>
        <v>1"240</v>
      </c>
      <c r="C625" s="118" t="s">
        <v>967</v>
      </c>
      <c r="D625" s="153" t="n">
        <f aca="false">D624+1</f>
        <v>240</v>
      </c>
      <c r="E625" s="118" t="e">
        <f aca="false">CEILING(D625/20;1)</f>
        <v>#VALUE!</v>
      </c>
      <c r="F625" s="118" t="e">
        <f aca="false">E625*$F$1</f>
        <v>#VALUE!</v>
      </c>
    </row>
    <row r="626" customFormat="false" ht="14.25" hidden="false" customHeight="true" outlineLevel="0" collapsed="false">
      <c r="A626" s="118" t="s">
        <v>1005</v>
      </c>
      <c r="B626" s="118" t="str">
        <f aca="false">CONCATENATE(C626&amp;D626)</f>
        <v>1"241</v>
      </c>
      <c r="C626" s="118" t="s">
        <v>967</v>
      </c>
      <c r="D626" s="153" t="n">
        <f aca="false">D625+1</f>
        <v>241</v>
      </c>
      <c r="E626" s="118" t="e">
        <f aca="false">CEILING(D626/20;1)</f>
        <v>#VALUE!</v>
      </c>
      <c r="F626" s="118" t="e">
        <f aca="false">E626*$F$1</f>
        <v>#VALUE!</v>
      </c>
    </row>
    <row r="627" customFormat="false" ht="14.25" hidden="false" customHeight="true" outlineLevel="0" collapsed="false">
      <c r="A627" s="118" t="s">
        <v>1005</v>
      </c>
      <c r="B627" s="118" t="str">
        <f aca="false">CONCATENATE(C627&amp;D627)</f>
        <v>1"242</v>
      </c>
      <c r="C627" s="118" t="s">
        <v>967</v>
      </c>
      <c r="D627" s="153" t="n">
        <f aca="false">D626+1</f>
        <v>242</v>
      </c>
      <c r="E627" s="118" t="e">
        <f aca="false">CEILING(D627/20;1)</f>
        <v>#VALUE!</v>
      </c>
      <c r="F627" s="118" t="e">
        <f aca="false">E627*$F$1</f>
        <v>#VALUE!</v>
      </c>
    </row>
    <row r="628" customFormat="false" ht="14.25" hidden="false" customHeight="true" outlineLevel="0" collapsed="false">
      <c r="A628" s="118" t="s">
        <v>1005</v>
      </c>
      <c r="B628" s="118" t="str">
        <f aca="false">CONCATENATE(C628&amp;D628)</f>
        <v>1"243</v>
      </c>
      <c r="C628" s="118" t="s">
        <v>967</v>
      </c>
      <c r="D628" s="153" t="n">
        <f aca="false">D627+1</f>
        <v>243</v>
      </c>
      <c r="E628" s="118" t="e">
        <f aca="false">CEILING(D628/20;1)</f>
        <v>#VALUE!</v>
      </c>
      <c r="F628" s="118" t="e">
        <f aca="false">E628*$F$1</f>
        <v>#VALUE!</v>
      </c>
    </row>
    <row r="629" customFormat="false" ht="14.25" hidden="false" customHeight="true" outlineLevel="0" collapsed="false">
      <c r="A629" s="118" t="s">
        <v>1005</v>
      </c>
      <c r="B629" s="118" t="str">
        <f aca="false">CONCATENATE(C629&amp;D629)</f>
        <v>1"244</v>
      </c>
      <c r="C629" s="118" t="s">
        <v>967</v>
      </c>
      <c r="D629" s="153" t="n">
        <f aca="false">D628+1</f>
        <v>244</v>
      </c>
      <c r="E629" s="118" t="e">
        <f aca="false">CEILING(D629/20;1)</f>
        <v>#VALUE!</v>
      </c>
      <c r="F629" s="118" t="e">
        <f aca="false">E629*$F$1</f>
        <v>#VALUE!</v>
      </c>
    </row>
    <row r="630" customFormat="false" ht="14.25" hidden="false" customHeight="true" outlineLevel="0" collapsed="false">
      <c r="A630" s="118" t="s">
        <v>1005</v>
      </c>
      <c r="B630" s="118" t="str">
        <f aca="false">CONCATENATE(C630&amp;D630)</f>
        <v>1"245</v>
      </c>
      <c r="C630" s="118" t="s">
        <v>967</v>
      </c>
      <c r="D630" s="153" t="n">
        <f aca="false">D629+1</f>
        <v>245</v>
      </c>
      <c r="E630" s="118" t="e">
        <f aca="false">CEILING(D630/20;1)</f>
        <v>#VALUE!</v>
      </c>
      <c r="F630" s="118" t="e">
        <f aca="false">E630*$F$1</f>
        <v>#VALUE!</v>
      </c>
    </row>
    <row r="631" customFormat="false" ht="14.25" hidden="false" customHeight="true" outlineLevel="0" collapsed="false">
      <c r="A631" s="118" t="s">
        <v>1005</v>
      </c>
      <c r="B631" s="118" t="str">
        <f aca="false">CONCATENATE(C631&amp;D631)</f>
        <v>1"246</v>
      </c>
      <c r="C631" s="118" t="s">
        <v>967</v>
      </c>
      <c r="D631" s="153" t="n">
        <f aca="false">D630+1</f>
        <v>246</v>
      </c>
      <c r="E631" s="118" t="e">
        <f aca="false">CEILING(D631/20;1)</f>
        <v>#VALUE!</v>
      </c>
      <c r="F631" s="118" t="e">
        <f aca="false">E631*$F$1</f>
        <v>#VALUE!</v>
      </c>
    </row>
    <row r="632" customFormat="false" ht="14.25" hidden="false" customHeight="true" outlineLevel="0" collapsed="false">
      <c r="A632" s="118" t="s">
        <v>1005</v>
      </c>
      <c r="B632" s="118" t="str">
        <f aca="false">CONCATENATE(C632&amp;D632)</f>
        <v>1"247</v>
      </c>
      <c r="C632" s="118" t="s">
        <v>967</v>
      </c>
      <c r="D632" s="153" t="n">
        <f aca="false">D631+1</f>
        <v>247</v>
      </c>
      <c r="E632" s="118" t="e">
        <f aca="false">CEILING(D632/20;1)</f>
        <v>#VALUE!</v>
      </c>
      <c r="F632" s="118" t="e">
        <f aca="false">E632*$F$1</f>
        <v>#VALUE!</v>
      </c>
    </row>
    <row r="633" customFormat="false" ht="14.25" hidden="false" customHeight="true" outlineLevel="0" collapsed="false">
      <c r="A633" s="118" t="s">
        <v>1005</v>
      </c>
      <c r="B633" s="118" t="str">
        <f aca="false">CONCATENATE(C633&amp;D633)</f>
        <v>1"248</v>
      </c>
      <c r="C633" s="118" t="s">
        <v>967</v>
      </c>
      <c r="D633" s="153" t="n">
        <f aca="false">D632+1</f>
        <v>248</v>
      </c>
      <c r="E633" s="118" t="e">
        <f aca="false">CEILING(D633/20;1)</f>
        <v>#VALUE!</v>
      </c>
      <c r="F633" s="118" t="e">
        <f aca="false">E633*$F$1</f>
        <v>#VALUE!</v>
      </c>
    </row>
    <row r="634" customFormat="false" ht="14.25" hidden="false" customHeight="true" outlineLevel="0" collapsed="false">
      <c r="A634" s="118" t="s">
        <v>1005</v>
      </c>
      <c r="B634" s="118" t="str">
        <f aca="false">CONCATENATE(C634&amp;D634)</f>
        <v>1"249</v>
      </c>
      <c r="C634" s="118" t="s">
        <v>967</v>
      </c>
      <c r="D634" s="153" t="n">
        <f aca="false">D633+1</f>
        <v>249</v>
      </c>
      <c r="E634" s="118" t="e">
        <f aca="false">CEILING(D634/20;1)</f>
        <v>#VALUE!</v>
      </c>
      <c r="F634" s="118" t="e">
        <f aca="false">E634*$F$1</f>
        <v>#VALUE!</v>
      </c>
    </row>
    <row r="635" customFormat="false" ht="14.25" hidden="false" customHeight="true" outlineLevel="0" collapsed="false">
      <c r="A635" s="118" t="s">
        <v>1005</v>
      </c>
      <c r="B635" s="118" t="str">
        <f aca="false">CONCATENATE(C635&amp;D635)</f>
        <v>1"250</v>
      </c>
      <c r="C635" s="118" t="s">
        <v>967</v>
      </c>
      <c r="D635" s="153" t="n">
        <f aca="false">D634+1</f>
        <v>250</v>
      </c>
      <c r="E635" s="118" t="e">
        <f aca="false">CEILING(D635/20;1)</f>
        <v>#VALUE!</v>
      </c>
      <c r="F635" s="118" t="e">
        <f aca="false">E635*$F$1</f>
        <v>#VALUE!</v>
      </c>
    </row>
    <row r="636" customFormat="false" ht="14.25" hidden="false" customHeight="true" outlineLevel="0" collapsed="false">
      <c r="A636" s="118" t="s">
        <v>1005</v>
      </c>
      <c r="B636" s="118" t="str">
        <f aca="false">CONCATENATE(C636&amp;D636)</f>
        <v>1"251</v>
      </c>
      <c r="C636" s="118" t="s">
        <v>967</v>
      </c>
      <c r="D636" s="153" t="n">
        <f aca="false">D635+1</f>
        <v>251</v>
      </c>
      <c r="E636" s="118" t="e">
        <f aca="false">CEILING(D636/20;1)</f>
        <v>#VALUE!</v>
      </c>
      <c r="F636" s="118" t="e">
        <f aca="false">E636*$F$1</f>
        <v>#VALUE!</v>
      </c>
    </row>
    <row r="637" customFormat="false" ht="14.25" hidden="false" customHeight="true" outlineLevel="0" collapsed="false">
      <c r="A637" s="118" t="s">
        <v>1005</v>
      </c>
      <c r="B637" s="118" t="str">
        <f aca="false">CONCATENATE(C637&amp;D637)</f>
        <v>1"252</v>
      </c>
      <c r="C637" s="118" t="s">
        <v>967</v>
      </c>
      <c r="D637" s="153" t="n">
        <f aca="false">D636+1</f>
        <v>252</v>
      </c>
      <c r="E637" s="118" t="e">
        <f aca="false">CEILING(D637/20;1)</f>
        <v>#VALUE!</v>
      </c>
      <c r="F637" s="118" t="e">
        <f aca="false">E637*$F$1</f>
        <v>#VALUE!</v>
      </c>
    </row>
    <row r="638" customFormat="false" ht="14.25" hidden="false" customHeight="true" outlineLevel="0" collapsed="false">
      <c r="A638" s="118" t="s">
        <v>1005</v>
      </c>
      <c r="B638" s="118" t="str">
        <f aca="false">CONCATENATE(C638&amp;D638)</f>
        <v>1"253</v>
      </c>
      <c r="C638" s="118" t="s">
        <v>967</v>
      </c>
      <c r="D638" s="153" t="n">
        <f aca="false">D637+1</f>
        <v>253</v>
      </c>
      <c r="E638" s="118" t="e">
        <f aca="false">CEILING(D638/20;1)</f>
        <v>#VALUE!</v>
      </c>
      <c r="F638" s="118" t="e">
        <f aca="false">E638*$F$1</f>
        <v>#VALUE!</v>
      </c>
    </row>
    <row r="639" customFormat="false" ht="14.25" hidden="false" customHeight="true" outlineLevel="0" collapsed="false">
      <c r="A639" s="118" t="s">
        <v>1005</v>
      </c>
      <c r="B639" s="118" t="str">
        <f aca="false">CONCATENATE(C639&amp;D639)</f>
        <v>1"254</v>
      </c>
      <c r="C639" s="118" t="s">
        <v>967</v>
      </c>
      <c r="D639" s="153" t="n">
        <f aca="false">D638+1</f>
        <v>254</v>
      </c>
      <c r="E639" s="118" t="e">
        <f aca="false">CEILING(D639/20;1)</f>
        <v>#VALUE!</v>
      </c>
      <c r="F639" s="118" t="e">
        <f aca="false">E639*$F$1</f>
        <v>#VALUE!</v>
      </c>
    </row>
    <row r="640" customFormat="false" ht="14.25" hidden="false" customHeight="true" outlineLevel="0" collapsed="false">
      <c r="A640" s="118" t="s">
        <v>1005</v>
      </c>
      <c r="B640" s="118" t="str">
        <f aca="false">CONCATENATE(C640&amp;D640)</f>
        <v>1"255</v>
      </c>
      <c r="C640" s="118" t="s">
        <v>967</v>
      </c>
      <c r="D640" s="153" t="n">
        <f aca="false">D639+1</f>
        <v>255</v>
      </c>
      <c r="E640" s="118" t="e">
        <f aca="false">CEILING(D640/20;1)</f>
        <v>#VALUE!</v>
      </c>
      <c r="F640" s="118" t="e">
        <f aca="false">E640*$F$1</f>
        <v>#VALUE!</v>
      </c>
    </row>
    <row r="641" customFormat="false" ht="14.25" hidden="false" customHeight="true" outlineLevel="0" collapsed="false">
      <c r="A641" s="118" t="s">
        <v>1005</v>
      </c>
      <c r="B641" s="118" t="str">
        <f aca="false">CONCATENATE(C641&amp;D641)</f>
        <v>1"256</v>
      </c>
      <c r="C641" s="118" t="s">
        <v>967</v>
      </c>
      <c r="D641" s="153" t="n">
        <f aca="false">D640+1</f>
        <v>256</v>
      </c>
      <c r="E641" s="118" t="e">
        <f aca="false">CEILING(D641/20;1)</f>
        <v>#VALUE!</v>
      </c>
      <c r="F641" s="118" t="e">
        <f aca="false">E641*$F$1</f>
        <v>#VALUE!</v>
      </c>
    </row>
    <row r="642" customFormat="false" ht="14.25" hidden="false" customHeight="true" outlineLevel="0" collapsed="false">
      <c r="A642" s="118" t="s">
        <v>1005</v>
      </c>
      <c r="B642" s="118" t="str">
        <f aca="false">CONCATENATE(C642&amp;D642)</f>
        <v>1"257</v>
      </c>
      <c r="C642" s="118" t="s">
        <v>967</v>
      </c>
      <c r="D642" s="153" t="n">
        <f aca="false">D641+1</f>
        <v>257</v>
      </c>
      <c r="E642" s="118" t="e">
        <f aca="false">CEILING(D642/20;1)</f>
        <v>#VALUE!</v>
      </c>
      <c r="F642" s="118" t="e">
        <f aca="false">E642*$F$1</f>
        <v>#VALUE!</v>
      </c>
    </row>
    <row r="643" customFormat="false" ht="14.25" hidden="false" customHeight="true" outlineLevel="0" collapsed="false">
      <c r="A643" s="118" t="s">
        <v>1005</v>
      </c>
      <c r="B643" s="118" t="str">
        <f aca="false">CONCATENATE(C643&amp;D643)</f>
        <v>1"258</v>
      </c>
      <c r="C643" s="118" t="s">
        <v>967</v>
      </c>
      <c r="D643" s="153" t="n">
        <f aca="false">D642+1</f>
        <v>258</v>
      </c>
      <c r="E643" s="118" t="e">
        <f aca="false">CEILING(D643/20;1)</f>
        <v>#VALUE!</v>
      </c>
      <c r="F643" s="118" t="e">
        <f aca="false">E643*$F$1</f>
        <v>#VALUE!</v>
      </c>
    </row>
    <row r="644" customFormat="false" ht="14.25" hidden="false" customHeight="true" outlineLevel="0" collapsed="false">
      <c r="A644" s="118" t="s">
        <v>1005</v>
      </c>
      <c r="B644" s="118" t="str">
        <f aca="false">CONCATENATE(C644&amp;D644)</f>
        <v>1"259</v>
      </c>
      <c r="C644" s="118" t="s">
        <v>967</v>
      </c>
      <c r="D644" s="153" t="n">
        <f aca="false">D643+1</f>
        <v>259</v>
      </c>
      <c r="E644" s="118" t="e">
        <f aca="false">CEILING(D644/20;1)</f>
        <v>#VALUE!</v>
      </c>
      <c r="F644" s="118" t="e">
        <f aca="false">E644*$F$1</f>
        <v>#VALUE!</v>
      </c>
    </row>
    <row r="645" customFormat="false" ht="14.25" hidden="false" customHeight="true" outlineLevel="0" collapsed="false">
      <c r="A645" s="118" t="s">
        <v>1005</v>
      </c>
      <c r="B645" s="118" t="str">
        <f aca="false">CONCATENATE(C645&amp;D645)</f>
        <v>1"260</v>
      </c>
      <c r="C645" s="118" t="s">
        <v>967</v>
      </c>
      <c r="D645" s="153" t="n">
        <f aca="false">D644+1</f>
        <v>260</v>
      </c>
      <c r="E645" s="118" t="e">
        <f aca="false">CEILING(D645/20;1)</f>
        <v>#VALUE!</v>
      </c>
      <c r="F645" s="118" t="e">
        <f aca="false">E645*$F$1</f>
        <v>#VALUE!</v>
      </c>
    </row>
    <row r="646" customFormat="false" ht="14.25" hidden="false" customHeight="true" outlineLevel="0" collapsed="false">
      <c r="A646" s="118" t="s">
        <v>1005</v>
      </c>
      <c r="B646" s="118" t="str">
        <f aca="false">CONCATENATE(C646&amp;D646)</f>
        <v>1"261</v>
      </c>
      <c r="C646" s="118" t="s">
        <v>967</v>
      </c>
      <c r="D646" s="153" t="n">
        <f aca="false">D645+1</f>
        <v>261</v>
      </c>
      <c r="E646" s="118" t="e">
        <f aca="false">CEILING(D646/20;1)</f>
        <v>#VALUE!</v>
      </c>
      <c r="F646" s="118" t="e">
        <f aca="false">E646*$F$1</f>
        <v>#VALUE!</v>
      </c>
    </row>
    <row r="647" customFormat="false" ht="14.25" hidden="false" customHeight="true" outlineLevel="0" collapsed="false">
      <c r="A647" s="118" t="s">
        <v>1005</v>
      </c>
      <c r="B647" s="118" t="str">
        <f aca="false">CONCATENATE(C647&amp;D647)</f>
        <v>1"262</v>
      </c>
      <c r="C647" s="118" t="s">
        <v>967</v>
      </c>
      <c r="D647" s="153" t="n">
        <f aca="false">D646+1</f>
        <v>262</v>
      </c>
      <c r="E647" s="118" t="e">
        <f aca="false">CEILING(D647/20;1)</f>
        <v>#VALUE!</v>
      </c>
      <c r="F647" s="118" t="e">
        <f aca="false">E647*$F$1</f>
        <v>#VALUE!</v>
      </c>
    </row>
    <row r="648" customFormat="false" ht="14.25" hidden="false" customHeight="true" outlineLevel="0" collapsed="false">
      <c r="A648" s="118" t="s">
        <v>1005</v>
      </c>
      <c r="B648" s="118" t="str">
        <f aca="false">CONCATENATE(C648&amp;D648)</f>
        <v>1"263</v>
      </c>
      <c r="C648" s="118" t="s">
        <v>967</v>
      </c>
      <c r="D648" s="153" t="n">
        <f aca="false">D647+1</f>
        <v>263</v>
      </c>
      <c r="E648" s="118" t="e">
        <f aca="false">CEILING(D648/20;1)</f>
        <v>#VALUE!</v>
      </c>
      <c r="F648" s="118" t="e">
        <f aca="false">E648*$F$1</f>
        <v>#VALUE!</v>
      </c>
    </row>
    <row r="649" customFormat="false" ht="14.25" hidden="false" customHeight="true" outlineLevel="0" collapsed="false">
      <c r="A649" s="118" t="s">
        <v>1005</v>
      </c>
      <c r="B649" s="118" t="str">
        <f aca="false">CONCATENATE(C649&amp;D649)</f>
        <v>1"264</v>
      </c>
      <c r="C649" s="118" t="s">
        <v>967</v>
      </c>
      <c r="D649" s="153" t="n">
        <f aca="false">D648+1</f>
        <v>264</v>
      </c>
      <c r="E649" s="118" t="e">
        <f aca="false">CEILING(D649/20;1)</f>
        <v>#VALUE!</v>
      </c>
      <c r="F649" s="118" t="e">
        <f aca="false">E649*$F$1</f>
        <v>#VALUE!</v>
      </c>
    </row>
    <row r="650" customFormat="false" ht="14.25" hidden="false" customHeight="true" outlineLevel="0" collapsed="false">
      <c r="A650" s="118" t="s">
        <v>1005</v>
      </c>
      <c r="B650" s="118" t="str">
        <f aca="false">CONCATENATE(C650&amp;D650)</f>
        <v>1"265</v>
      </c>
      <c r="C650" s="118" t="s">
        <v>967</v>
      </c>
      <c r="D650" s="153" t="n">
        <f aca="false">D649+1</f>
        <v>265</v>
      </c>
      <c r="E650" s="118" t="e">
        <f aca="false">CEILING(D650/20;1)</f>
        <v>#VALUE!</v>
      </c>
      <c r="F650" s="118" t="e">
        <f aca="false">E650*$F$1</f>
        <v>#VALUE!</v>
      </c>
    </row>
    <row r="651" customFormat="false" ht="14.25" hidden="false" customHeight="true" outlineLevel="0" collapsed="false">
      <c r="A651" s="118" t="s">
        <v>1005</v>
      </c>
      <c r="B651" s="118" t="str">
        <f aca="false">CONCATENATE(C651&amp;D651)</f>
        <v>1"266</v>
      </c>
      <c r="C651" s="118" t="s">
        <v>967</v>
      </c>
      <c r="D651" s="153" t="n">
        <f aca="false">D650+1</f>
        <v>266</v>
      </c>
      <c r="E651" s="118" t="e">
        <f aca="false">CEILING(D651/20;1)</f>
        <v>#VALUE!</v>
      </c>
      <c r="F651" s="118" t="e">
        <f aca="false">E651*$F$1</f>
        <v>#VALUE!</v>
      </c>
    </row>
    <row r="652" customFormat="false" ht="14.25" hidden="false" customHeight="true" outlineLevel="0" collapsed="false">
      <c r="A652" s="118" t="s">
        <v>1005</v>
      </c>
      <c r="B652" s="118" t="str">
        <f aca="false">CONCATENATE(C652&amp;D652)</f>
        <v>1"267</v>
      </c>
      <c r="C652" s="118" t="s">
        <v>967</v>
      </c>
      <c r="D652" s="153" t="n">
        <f aca="false">D651+1</f>
        <v>267</v>
      </c>
      <c r="E652" s="118" t="e">
        <f aca="false">CEILING(D652/20;1)</f>
        <v>#VALUE!</v>
      </c>
      <c r="F652" s="118" t="e">
        <f aca="false">E652*$F$1</f>
        <v>#VALUE!</v>
      </c>
    </row>
    <row r="653" customFormat="false" ht="14.25" hidden="false" customHeight="true" outlineLevel="0" collapsed="false">
      <c r="A653" s="118" t="s">
        <v>1005</v>
      </c>
      <c r="B653" s="118" t="str">
        <f aca="false">CONCATENATE(C653&amp;D653)</f>
        <v>1"268</v>
      </c>
      <c r="C653" s="118" t="s">
        <v>967</v>
      </c>
      <c r="D653" s="153" t="n">
        <f aca="false">D652+1</f>
        <v>268</v>
      </c>
      <c r="E653" s="118" t="e">
        <f aca="false">CEILING(D653/20;1)</f>
        <v>#VALUE!</v>
      </c>
      <c r="F653" s="118" t="e">
        <f aca="false">E653*$F$1</f>
        <v>#VALUE!</v>
      </c>
    </row>
    <row r="654" customFormat="false" ht="14.25" hidden="false" customHeight="true" outlineLevel="0" collapsed="false">
      <c r="A654" s="118" t="s">
        <v>1005</v>
      </c>
      <c r="B654" s="118" t="str">
        <f aca="false">CONCATENATE(C654&amp;D654)</f>
        <v>1"269</v>
      </c>
      <c r="C654" s="118" t="s">
        <v>967</v>
      </c>
      <c r="D654" s="153" t="n">
        <f aca="false">D653+1</f>
        <v>269</v>
      </c>
      <c r="E654" s="118" t="e">
        <f aca="false">CEILING(D654/20;1)</f>
        <v>#VALUE!</v>
      </c>
      <c r="F654" s="118" t="e">
        <f aca="false">E654*$F$1</f>
        <v>#VALUE!</v>
      </c>
    </row>
    <row r="655" customFormat="false" ht="14.25" hidden="false" customHeight="true" outlineLevel="0" collapsed="false">
      <c r="A655" s="118" t="s">
        <v>1005</v>
      </c>
      <c r="B655" s="118" t="str">
        <f aca="false">CONCATENATE(C655&amp;D655)</f>
        <v>1"270</v>
      </c>
      <c r="C655" s="118" t="s">
        <v>967</v>
      </c>
      <c r="D655" s="153" t="n">
        <f aca="false">D654+1</f>
        <v>270</v>
      </c>
      <c r="E655" s="118" t="e">
        <f aca="false">CEILING(D655/20;1)</f>
        <v>#VALUE!</v>
      </c>
      <c r="F655" s="118" t="e">
        <f aca="false">E655*$F$1</f>
        <v>#VALUE!</v>
      </c>
    </row>
    <row r="656" customFormat="false" ht="14.25" hidden="false" customHeight="true" outlineLevel="0" collapsed="false">
      <c r="A656" s="118" t="s">
        <v>1005</v>
      </c>
      <c r="B656" s="118" t="str">
        <f aca="false">CONCATENATE(C656&amp;D656)</f>
        <v>1"271</v>
      </c>
      <c r="C656" s="118" t="s">
        <v>967</v>
      </c>
      <c r="D656" s="153" t="n">
        <f aca="false">D655+1</f>
        <v>271</v>
      </c>
      <c r="E656" s="118" t="e">
        <f aca="false">CEILING(D656/20;1)</f>
        <v>#VALUE!</v>
      </c>
      <c r="F656" s="118" t="e">
        <f aca="false">E656*$F$1</f>
        <v>#VALUE!</v>
      </c>
    </row>
    <row r="657" customFormat="false" ht="14.25" hidden="false" customHeight="true" outlineLevel="0" collapsed="false">
      <c r="A657" s="118" t="s">
        <v>1005</v>
      </c>
      <c r="B657" s="118" t="str">
        <f aca="false">CONCATENATE(C657&amp;D657)</f>
        <v>1"272</v>
      </c>
      <c r="C657" s="118" t="s">
        <v>967</v>
      </c>
      <c r="D657" s="153" t="n">
        <f aca="false">D656+1</f>
        <v>272</v>
      </c>
      <c r="E657" s="118" t="e">
        <f aca="false">CEILING(D657/20;1)</f>
        <v>#VALUE!</v>
      </c>
      <c r="F657" s="118" t="e">
        <f aca="false">E657*$F$1</f>
        <v>#VALUE!</v>
      </c>
    </row>
    <row r="658" customFormat="false" ht="14.25" hidden="false" customHeight="true" outlineLevel="0" collapsed="false">
      <c r="A658" s="118" t="s">
        <v>1005</v>
      </c>
      <c r="B658" s="118" t="str">
        <f aca="false">CONCATENATE(C658&amp;D658)</f>
        <v>1"273</v>
      </c>
      <c r="C658" s="118" t="s">
        <v>967</v>
      </c>
      <c r="D658" s="153" t="n">
        <f aca="false">D657+1</f>
        <v>273</v>
      </c>
      <c r="E658" s="118" t="e">
        <f aca="false">CEILING(D658/20;1)</f>
        <v>#VALUE!</v>
      </c>
      <c r="F658" s="118" t="e">
        <f aca="false">E658*$F$1</f>
        <v>#VALUE!</v>
      </c>
    </row>
    <row r="659" customFormat="false" ht="14.25" hidden="false" customHeight="true" outlineLevel="0" collapsed="false">
      <c r="A659" s="118" t="s">
        <v>1005</v>
      </c>
      <c r="B659" s="118" t="str">
        <f aca="false">CONCATENATE(C659&amp;D659)</f>
        <v>1"274</v>
      </c>
      <c r="C659" s="118" t="s">
        <v>967</v>
      </c>
      <c r="D659" s="153" t="n">
        <f aca="false">D658+1</f>
        <v>274</v>
      </c>
      <c r="E659" s="118" t="e">
        <f aca="false">CEILING(D659/20;1)</f>
        <v>#VALUE!</v>
      </c>
      <c r="F659" s="118" t="e">
        <f aca="false">E659*$F$1</f>
        <v>#VALUE!</v>
      </c>
    </row>
    <row r="660" customFormat="false" ht="14.25" hidden="false" customHeight="true" outlineLevel="0" collapsed="false">
      <c r="A660" s="118" t="s">
        <v>1005</v>
      </c>
      <c r="B660" s="118" t="str">
        <f aca="false">CONCATENATE(C660&amp;D660)</f>
        <v>1"275</v>
      </c>
      <c r="C660" s="118" t="s">
        <v>967</v>
      </c>
      <c r="D660" s="153" t="n">
        <f aca="false">D659+1</f>
        <v>275</v>
      </c>
      <c r="E660" s="118" t="e">
        <f aca="false">CEILING(D660/20;1)</f>
        <v>#VALUE!</v>
      </c>
      <c r="F660" s="118" t="e">
        <f aca="false">E660*$F$1</f>
        <v>#VALUE!</v>
      </c>
    </row>
    <row r="661" customFormat="false" ht="14.25" hidden="false" customHeight="true" outlineLevel="0" collapsed="false">
      <c r="A661" s="118" t="s">
        <v>1005</v>
      </c>
      <c r="B661" s="118" t="str">
        <f aca="false">CONCATENATE(C661&amp;D661)</f>
        <v>1"276</v>
      </c>
      <c r="C661" s="118" t="s">
        <v>967</v>
      </c>
      <c r="D661" s="153" t="n">
        <f aca="false">D660+1</f>
        <v>276</v>
      </c>
      <c r="E661" s="118" t="e">
        <f aca="false">CEILING(D661/20;1)</f>
        <v>#VALUE!</v>
      </c>
      <c r="F661" s="118" t="e">
        <f aca="false">E661*$F$1</f>
        <v>#VALUE!</v>
      </c>
    </row>
    <row r="662" customFormat="false" ht="14.25" hidden="false" customHeight="true" outlineLevel="0" collapsed="false">
      <c r="A662" s="118" t="s">
        <v>1005</v>
      </c>
      <c r="B662" s="118" t="str">
        <f aca="false">CONCATENATE(C662&amp;D662)</f>
        <v>1"277</v>
      </c>
      <c r="C662" s="118" t="s">
        <v>967</v>
      </c>
      <c r="D662" s="153" t="n">
        <f aca="false">D661+1</f>
        <v>277</v>
      </c>
      <c r="E662" s="118" t="e">
        <f aca="false">CEILING(D662/20;1)</f>
        <v>#VALUE!</v>
      </c>
      <c r="F662" s="118" t="e">
        <f aca="false">E662*$F$1</f>
        <v>#VALUE!</v>
      </c>
    </row>
    <row r="663" customFormat="false" ht="14.25" hidden="false" customHeight="true" outlineLevel="0" collapsed="false">
      <c r="A663" s="118" t="s">
        <v>1005</v>
      </c>
      <c r="B663" s="118" t="str">
        <f aca="false">CONCATENATE(C663&amp;D663)</f>
        <v>1"278</v>
      </c>
      <c r="C663" s="118" t="s">
        <v>967</v>
      </c>
      <c r="D663" s="153" t="n">
        <f aca="false">D662+1</f>
        <v>278</v>
      </c>
      <c r="E663" s="118" t="e">
        <f aca="false">CEILING(D663/20;1)</f>
        <v>#VALUE!</v>
      </c>
      <c r="F663" s="118" t="e">
        <f aca="false">E663*$F$1</f>
        <v>#VALUE!</v>
      </c>
    </row>
    <row r="664" customFormat="false" ht="14.25" hidden="false" customHeight="true" outlineLevel="0" collapsed="false">
      <c r="A664" s="118" t="s">
        <v>1005</v>
      </c>
      <c r="B664" s="118" t="str">
        <f aca="false">CONCATENATE(C664&amp;D664)</f>
        <v>1"279</v>
      </c>
      <c r="C664" s="118" t="s">
        <v>967</v>
      </c>
      <c r="D664" s="153" t="n">
        <f aca="false">D663+1</f>
        <v>279</v>
      </c>
      <c r="E664" s="118" t="e">
        <f aca="false">CEILING(D664/20;1)</f>
        <v>#VALUE!</v>
      </c>
      <c r="F664" s="118" t="e">
        <f aca="false">E664*$F$1</f>
        <v>#VALUE!</v>
      </c>
    </row>
    <row r="665" customFormat="false" ht="14.25" hidden="false" customHeight="true" outlineLevel="0" collapsed="false">
      <c r="A665" s="118" t="s">
        <v>1005</v>
      </c>
      <c r="B665" s="118" t="str">
        <f aca="false">CONCATENATE(C665&amp;D665)</f>
        <v>1"280</v>
      </c>
      <c r="C665" s="118" t="s">
        <v>967</v>
      </c>
      <c r="D665" s="153" t="n">
        <f aca="false">D664+1</f>
        <v>280</v>
      </c>
      <c r="E665" s="118" t="e">
        <f aca="false">CEILING(D665/20;1)</f>
        <v>#VALUE!</v>
      </c>
      <c r="F665" s="118" t="e">
        <f aca="false">E665*$F$1</f>
        <v>#VALUE!</v>
      </c>
    </row>
    <row r="666" customFormat="false" ht="14.25" hidden="false" customHeight="true" outlineLevel="0" collapsed="false">
      <c r="A666" s="118" t="s">
        <v>1005</v>
      </c>
      <c r="B666" s="118" t="str">
        <f aca="false">CONCATENATE(C666&amp;D666)</f>
        <v>1"281</v>
      </c>
      <c r="C666" s="118" t="s">
        <v>967</v>
      </c>
      <c r="D666" s="153" t="n">
        <f aca="false">D665+1</f>
        <v>281</v>
      </c>
      <c r="E666" s="118" t="e">
        <f aca="false">CEILING(D666/20;1)</f>
        <v>#VALUE!</v>
      </c>
      <c r="F666" s="118" t="e">
        <f aca="false">E666*$F$1</f>
        <v>#VALUE!</v>
      </c>
    </row>
    <row r="667" customFormat="false" ht="14.25" hidden="false" customHeight="true" outlineLevel="0" collapsed="false">
      <c r="A667" s="118" t="s">
        <v>1005</v>
      </c>
      <c r="B667" s="118" t="str">
        <f aca="false">CONCATENATE(C667&amp;D667)</f>
        <v>1"282</v>
      </c>
      <c r="C667" s="118" t="s">
        <v>967</v>
      </c>
      <c r="D667" s="153" t="n">
        <f aca="false">D666+1</f>
        <v>282</v>
      </c>
      <c r="E667" s="118" t="e">
        <f aca="false">CEILING(D667/20;1)</f>
        <v>#VALUE!</v>
      </c>
      <c r="F667" s="118" t="e">
        <f aca="false">E667*$F$1</f>
        <v>#VALUE!</v>
      </c>
    </row>
    <row r="668" customFormat="false" ht="14.25" hidden="false" customHeight="true" outlineLevel="0" collapsed="false">
      <c r="A668" s="118" t="s">
        <v>1005</v>
      </c>
      <c r="B668" s="118" t="str">
        <f aca="false">CONCATENATE(C668&amp;D668)</f>
        <v>1"283</v>
      </c>
      <c r="C668" s="118" t="s">
        <v>967</v>
      </c>
      <c r="D668" s="153" t="n">
        <f aca="false">D667+1</f>
        <v>283</v>
      </c>
      <c r="E668" s="118" t="e">
        <f aca="false">CEILING(D668/20;1)</f>
        <v>#VALUE!</v>
      </c>
      <c r="F668" s="118" t="e">
        <f aca="false">E668*$F$1</f>
        <v>#VALUE!</v>
      </c>
    </row>
    <row r="669" customFormat="false" ht="14.25" hidden="false" customHeight="true" outlineLevel="0" collapsed="false">
      <c r="A669" s="118" t="s">
        <v>1005</v>
      </c>
      <c r="B669" s="118" t="str">
        <f aca="false">CONCATENATE(C669&amp;D669)</f>
        <v>1"284</v>
      </c>
      <c r="C669" s="118" t="s">
        <v>967</v>
      </c>
      <c r="D669" s="153" t="n">
        <f aca="false">D668+1</f>
        <v>284</v>
      </c>
      <c r="E669" s="118" t="e">
        <f aca="false">CEILING(D669/20;1)</f>
        <v>#VALUE!</v>
      </c>
      <c r="F669" s="118" t="e">
        <f aca="false">E669*$F$1</f>
        <v>#VALUE!</v>
      </c>
    </row>
    <row r="670" customFormat="false" ht="14.25" hidden="false" customHeight="true" outlineLevel="0" collapsed="false">
      <c r="A670" s="118" t="s">
        <v>1005</v>
      </c>
      <c r="B670" s="118" t="str">
        <f aca="false">CONCATENATE(C670&amp;D670)</f>
        <v>1"285</v>
      </c>
      <c r="C670" s="118" t="s">
        <v>967</v>
      </c>
      <c r="D670" s="153" t="n">
        <f aca="false">D669+1</f>
        <v>285</v>
      </c>
      <c r="E670" s="118" t="e">
        <f aca="false">CEILING(D670/20;1)</f>
        <v>#VALUE!</v>
      </c>
      <c r="F670" s="118" t="e">
        <f aca="false">E670*$F$1</f>
        <v>#VALUE!</v>
      </c>
    </row>
    <row r="671" customFormat="false" ht="14.25" hidden="false" customHeight="true" outlineLevel="0" collapsed="false">
      <c r="A671" s="118" t="s">
        <v>1005</v>
      </c>
      <c r="B671" s="118" t="str">
        <f aca="false">CONCATENATE(C671&amp;D671)</f>
        <v>1"286</v>
      </c>
      <c r="C671" s="118" t="s">
        <v>967</v>
      </c>
      <c r="D671" s="153" t="n">
        <f aca="false">D670+1</f>
        <v>286</v>
      </c>
      <c r="E671" s="118" t="e">
        <f aca="false">CEILING(D671/20;1)</f>
        <v>#VALUE!</v>
      </c>
      <c r="F671" s="118" t="e">
        <f aca="false">E671*$F$1</f>
        <v>#VALUE!</v>
      </c>
    </row>
    <row r="672" customFormat="false" ht="14.25" hidden="false" customHeight="true" outlineLevel="0" collapsed="false">
      <c r="A672" s="118" t="s">
        <v>1005</v>
      </c>
      <c r="B672" s="118" t="str">
        <f aca="false">CONCATENATE(C672&amp;D672)</f>
        <v>1"287</v>
      </c>
      <c r="C672" s="118" t="s">
        <v>967</v>
      </c>
      <c r="D672" s="153" t="n">
        <f aca="false">D671+1</f>
        <v>287</v>
      </c>
      <c r="E672" s="118" t="e">
        <f aca="false">CEILING(D672/20;1)</f>
        <v>#VALUE!</v>
      </c>
      <c r="F672" s="118" t="e">
        <f aca="false">E672*$F$1</f>
        <v>#VALUE!</v>
      </c>
    </row>
    <row r="673" customFormat="false" ht="14.25" hidden="false" customHeight="true" outlineLevel="0" collapsed="false">
      <c r="A673" s="118" t="s">
        <v>1005</v>
      </c>
      <c r="B673" s="118" t="str">
        <f aca="false">CONCATENATE(C673&amp;D673)</f>
        <v>1"288</v>
      </c>
      <c r="C673" s="118" t="s">
        <v>967</v>
      </c>
      <c r="D673" s="153" t="n">
        <f aca="false">D672+1</f>
        <v>288</v>
      </c>
      <c r="E673" s="118" t="e">
        <f aca="false">CEILING(D673/20;1)</f>
        <v>#VALUE!</v>
      </c>
      <c r="F673" s="118" t="e">
        <f aca="false">E673*$F$1</f>
        <v>#VALUE!</v>
      </c>
    </row>
    <row r="674" customFormat="false" ht="14.25" hidden="false" customHeight="true" outlineLevel="0" collapsed="false">
      <c r="A674" s="118" t="s">
        <v>1005</v>
      </c>
      <c r="B674" s="118" t="str">
        <f aca="false">CONCATENATE(C674&amp;D674)</f>
        <v>1"289</v>
      </c>
      <c r="C674" s="118" t="s">
        <v>967</v>
      </c>
      <c r="D674" s="153" t="n">
        <f aca="false">D673+1</f>
        <v>289</v>
      </c>
      <c r="E674" s="118" t="e">
        <f aca="false">CEILING(D674/20;1)</f>
        <v>#VALUE!</v>
      </c>
      <c r="F674" s="118" t="e">
        <f aca="false">E674*$F$1</f>
        <v>#VALUE!</v>
      </c>
    </row>
    <row r="675" customFormat="false" ht="14.25" hidden="false" customHeight="true" outlineLevel="0" collapsed="false">
      <c r="A675" s="118" t="s">
        <v>1005</v>
      </c>
      <c r="B675" s="118" t="str">
        <f aca="false">CONCATENATE(C675&amp;D675)</f>
        <v>1"290</v>
      </c>
      <c r="C675" s="118" t="s">
        <v>967</v>
      </c>
      <c r="D675" s="153" t="n">
        <f aca="false">D674+1</f>
        <v>290</v>
      </c>
      <c r="E675" s="118" t="e">
        <f aca="false">CEILING(D675/20;1)</f>
        <v>#VALUE!</v>
      </c>
      <c r="F675" s="118" t="e">
        <f aca="false">E675*$F$1</f>
        <v>#VALUE!</v>
      </c>
    </row>
    <row r="676" customFormat="false" ht="14.25" hidden="false" customHeight="true" outlineLevel="0" collapsed="false">
      <c r="A676" s="118" t="s">
        <v>1005</v>
      </c>
      <c r="B676" s="118" t="str">
        <f aca="false">CONCATENATE(C676&amp;D676)</f>
        <v>1"291</v>
      </c>
      <c r="C676" s="118" t="s">
        <v>967</v>
      </c>
      <c r="D676" s="153" t="n">
        <f aca="false">D675+1</f>
        <v>291</v>
      </c>
      <c r="E676" s="118" t="e">
        <f aca="false">CEILING(D676/20;1)</f>
        <v>#VALUE!</v>
      </c>
      <c r="F676" s="118" t="e">
        <f aca="false">E676*$F$1</f>
        <v>#VALUE!</v>
      </c>
    </row>
    <row r="677" customFormat="false" ht="14.25" hidden="false" customHeight="true" outlineLevel="0" collapsed="false">
      <c r="A677" s="118" t="s">
        <v>1005</v>
      </c>
      <c r="B677" s="118" t="str">
        <f aca="false">CONCATENATE(C677&amp;D677)</f>
        <v>1"292</v>
      </c>
      <c r="C677" s="118" t="s">
        <v>967</v>
      </c>
      <c r="D677" s="153" t="n">
        <f aca="false">D676+1</f>
        <v>292</v>
      </c>
      <c r="E677" s="118" t="e">
        <f aca="false">CEILING(D677/20;1)</f>
        <v>#VALUE!</v>
      </c>
      <c r="F677" s="118" t="e">
        <f aca="false">E677*$F$1</f>
        <v>#VALUE!</v>
      </c>
    </row>
    <row r="678" customFormat="false" ht="14.25" hidden="false" customHeight="true" outlineLevel="0" collapsed="false">
      <c r="A678" s="118" t="s">
        <v>1005</v>
      </c>
      <c r="B678" s="118" t="str">
        <f aca="false">CONCATENATE(C678&amp;D678)</f>
        <v>1"293</v>
      </c>
      <c r="C678" s="118" t="s">
        <v>967</v>
      </c>
      <c r="D678" s="153" t="n">
        <f aca="false">D677+1</f>
        <v>293</v>
      </c>
      <c r="E678" s="118" t="e">
        <f aca="false">CEILING(D678/20;1)</f>
        <v>#VALUE!</v>
      </c>
      <c r="F678" s="118" t="e">
        <f aca="false">E678*$F$1</f>
        <v>#VALUE!</v>
      </c>
    </row>
    <row r="679" customFormat="false" ht="14.25" hidden="false" customHeight="true" outlineLevel="0" collapsed="false">
      <c r="A679" s="118" t="s">
        <v>1005</v>
      </c>
      <c r="B679" s="118" t="str">
        <f aca="false">CONCATENATE(C679&amp;D679)</f>
        <v>1"294</v>
      </c>
      <c r="C679" s="118" t="s">
        <v>967</v>
      </c>
      <c r="D679" s="153" t="n">
        <f aca="false">D678+1</f>
        <v>294</v>
      </c>
      <c r="E679" s="118" t="e">
        <f aca="false">CEILING(D679/20;1)</f>
        <v>#VALUE!</v>
      </c>
      <c r="F679" s="118" t="e">
        <f aca="false">E679*$F$1</f>
        <v>#VALUE!</v>
      </c>
    </row>
    <row r="680" customFormat="false" ht="14.25" hidden="false" customHeight="true" outlineLevel="0" collapsed="false">
      <c r="A680" s="118" t="s">
        <v>1005</v>
      </c>
      <c r="B680" s="118" t="str">
        <f aca="false">CONCATENATE(C680&amp;D680)</f>
        <v>1"295</v>
      </c>
      <c r="C680" s="118" t="s">
        <v>967</v>
      </c>
      <c r="D680" s="153" t="n">
        <f aca="false">D679+1</f>
        <v>295</v>
      </c>
      <c r="E680" s="118" t="e">
        <f aca="false">CEILING(D680/20;1)</f>
        <v>#VALUE!</v>
      </c>
      <c r="F680" s="118" t="e">
        <f aca="false">E680*$F$1</f>
        <v>#VALUE!</v>
      </c>
    </row>
    <row r="681" customFormat="false" ht="14.25" hidden="false" customHeight="true" outlineLevel="0" collapsed="false">
      <c r="A681" s="118" t="s">
        <v>1005</v>
      </c>
      <c r="B681" s="118" t="str">
        <f aca="false">CONCATENATE(C681&amp;D681)</f>
        <v>1"296</v>
      </c>
      <c r="C681" s="118" t="s">
        <v>967</v>
      </c>
      <c r="D681" s="153" t="n">
        <f aca="false">D680+1</f>
        <v>296</v>
      </c>
      <c r="E681" s="118" t="e">
        <f aca="false">CEILING(D681/20;1)</f>
        <v>#VALUE!</v>
      </c>
      <c r="F681" s="118" t="e">
        <f aca="false">E681*$F$1</f>
        <v>#VALUE!</v>
      </c>
    </row>
    <row r="682" customFormat="false" ht="14.25" hidden="false" customHeight="true" outlineLevel="0" collapsed="false">
      <c r="A682" s="118" t="s">
        <v>1005</v>
      </c>
      <c r="B682" s="118" t="str">
        <f aca="false">CONCATENATE(C682&amp;D682)</f>
        <v>1"297</v>
      </c>
      <c r="C682" s="118" t="s">
        <v>967</v>
      </c>
      <c r="D682" s="153" t="n">
        <f aca="false">D681+1</f>
        <v>297</v>
      </c>
      <c r="E682" s="118" t="e">
        <f aca="false">CEILING(D682/20;1)</f>
        <v>#VALUE!</v>
      </c>
      <c r="F682" s="118" t="e">
        <f aca="false">E682*$F$1</f>
        <v>#VALUE!</v>
      </c>
    </row>
    <row r="683" customFormat="false" ht="14.25" hidden="false" customHeight="true" outlineLevel="0" collapsed="false">
      <c r="A683" s="118" t="s">
        <v>1005</v>
      </c>
      <c r="B683" s="118" t="str">
        <f aca="false">CONCATENATE(C683&amp;D683)</f>
        <v>1"298</v>
      </c>
      <c r="C683" s="118" t="s">
        <v>967</v>
      </c>
      <c r="D683" s="153" t="n">
        <f aca="false">D682+1</f>
        <v>298</v>
      </c>
      <c r="E683" s="118" t="e">
        <f aca="false">CEILING(D683/20;1)</f>
        <v>#VALUE!</v>
      </c>
      <c r="F683" s="118" t="e">
        <f aca="false">E683*$F$1</f>
        <v>#VALUE!</v>
      </c>
    </row>
    <row r="684" customFormat="false" ht="14.25" hidden="false" customHeight="true" outlineLevel="0" collapsed="false">
      <c r="A684" s="118" t="s">
        <v>1005</v>
      </c>
      <c r="B684" s="118" t="str">
        <f aca="false">CONCATENATE(C684&amp;D684)</f>
        <v>1"299</v>
      </c>
      <c r="C684" s="118" t="s">
        <v>967</v>
      </c>
      <c r="D684" s="153" t="n">
        <f aca="false">D683+1</f>
        <v>299</v>
      </c>
      <c r="E684" s="118" t="e">
        <f aca="false">CEILING(D684/20;1)</f>
        <v>#VALUE!</v>
      </c>
      <c r="F684" s="118" t="e">
        <f aca="false">E684*$F$1</f>
        <v>#VALUE!</v>
      </c>
    </row>
    <row r="685" customFormat="false" ht="14.25" hidden="false" customHeight="true" outlineLevel="0" collapsed="false">
      <c r="A685" s="118" t="s">
        <v>1005</v>
      </c>
      <c r="B685" s="118" t="str">
        <f aca="false">CONCATENATE(C685&amp;D685)</f>
        <v>1"300</v>
      </c>
      <c r="C685" s="118" t="s">
        <v>967</v>
      </c>
      <c r="D685" s="153" t="n">
        <f aca="false">D684+1</f>
        <v>300</v>
      </c>
      <c r="E685" s="118" t="e">
        <f aca="false">CEILING(D685/20;1)</f>
        <v>#VALUE!</v>
      </c>
      <c r="F685" s="118" t="e">
        <f aca="false">E685*$F$1</f>
        <v>#VALUE!</v>
      </c>
    </row>
    <row r="686" customFormat="false" ht="14.25" hidden="false" customHeight="true" outlineLevel="0" collapsed="false">
      <c r="A686" s="118" t="s">
        <v>1005</v>
      </c>
      <c r="B686" s="118" t="str">
        <f aca="false">CONCATENATE(C686&amp;D686)</f>
        <v>1"301</v>
      </c>
      <c r="C686" s="118" t="s">
        <v>967</v>
      </c>
      <c r="D686" s="153" t="n">
        <f aca="false">D685+1</f>
        <v>301</v>
      </c>
      <c r="E686" s="118" t="e">
        <f aca="false">CEILING(D686/20;1)</f>
        <v>#VALUE!</v>
      </c>
      <c r="F686" s="118" t="e">
        <f aca="false">E686*$F$1</f>
        <v>#VALUE!</v>
      </c>
    </row>
    <row r="687" customFormat="false" ht="14.25" hidden="false" customHeight="true" outlineLevel="0" collapsed="false">
      <c r="A687" s="118" t="s">
        <v>1005</v>
      </c>
      <c r="B687" s="118" t="str">
        <f aca="false">CONCATENATE(C687&amp;D687)</f>
        <v>1"302</v>
      </c>
      <c r="C687" s="118" t="s">
        <v>967</v>
      </c>
      <c r="D687" s="153" t="n">
        <f aca="false">D686+1</f>
        <v>302</v>
      </c>
      <c r="E687" s="118" t="e">
        <f aca="false">CEILING(D687/20;1)</f>
        <v>#VALUE!</v>
      </c>
      <c r="F687" s="118" t="e">
        <f aca="false">E687*$F$1</f>
        <v>#VALUE!</v>
      </c>
    </row>
    <row r="688" customFormat="false" ht="14.25" hidden="false" customHeight="true" outlineLevel="0" collapsed="false">
      <c r="A688" s="118" t="s">
        <v>1005</v>
      </c>
      <c r="B688" s="118" t="str">
        <f aca="false">CONCATENATE(C688&amp;D688)</f>
        <v>1"303</v>
      </c>
      <c r="C688" s="118" t="s">
        <v>967</v>
      </c>
      <c r="D688" s="153" t="n">
        <f aca="false">D687+1</f>
        <v>303</v>
      </c>
      <c r="E688" s="118" t="e">
        <f aca="false">CEILING(D688/20;1)</f>
        <v>#VALUE!</v>
      </c>
      <c r="F688" s="118" t="e">
        <f aca="false">E688*$F$1</f>
        <v>#VALUE!</v>
      </c>
    </row>
    <row r="689" customFormat="false" ht="14.25" hidden="false" customHeight="true" outlineLevel="0" collapsed="false">
      <c r="A689" s="118" t="s">
        <v>1005</v>
      </c>
      <c r="B689" s="118" t="str">
        <f aca="false">CONCATENATE(C689&amp;D689)</f>
        <v>1"304</v>
      </c>
      <c r="C689" s="118" t="s">
        <v>967</v>
      </c>
      <c r="D689" s="153" t="n">
        <f aca="false">D688+1</f>
        <v>304</v>
      </c>
      <c r="E689" s="118" t="e">
        <f aca="false">CEILING(D689/20;1)</f>
        <v>#VALUE!</v>
      </c>
      <c r="F689" s="118" t="e">
        <f aca="false">E689*$F$1</f>
        <v>#VALUE!</v>
      </c>
    </row>
    <row r="690" customFormat="false" ht="14.25" hidden="false" customHeight="true" outlineLevel="0" collapsed="false">
      <c r="A690" s="118" t="s">
        <v>1005</v>
      </c>
      <c r="B690" s="118" t="str">
        <f aca="false">CONCATENATE(C690&amp;D690)</f>
        <v>1"305</v>
      </c>
      <c r="C690" s="118" t="s">
        <v>967</v>
      </c>
      <c r="D690" s="153" t="n">
        <f aca="false">D689+1</f>
        <v>305</v>
      </c>
      <c r="E690" s="118" t="e">
        <f aca="false">CEILING(D690/20;1)</f>
        <v>#VALUE!</v>
      </c>
      <c r="F690" s="118" t="e">
        <f aca="false">E690*$F$1</f>
        <v>#VALUE!</v>
      </c>
    </row>
    <row r="691" customFormat="false" ht="14.25" hidden="false" customHeight="true" outlineLevel="0" collapsed="false">
      <c r="A691" s="118" t="s">
        <v>1005</v>
      </c>
      <c r="B691" s="118" t="str">
        <f aca="false">CONCATENATE(C691&amp;D691)</f>
        <v>1"306</v>
      </c>
      <c r="C691" s="118" t="s">
        <v>967</v>
      </c>
      <c r="D691" s="153" t="n">
        <f aca="false">D690+1</f>
        <v>306</v>
      </c>
      <c r="E691" s="118" t="e">
        <f aca="false">CEILING(D691/20;1)</f>
        <v>#VALUE!</v>
      </c>
      <c r="F691" s="118" t="e">
        <f aca="false">E691*$F$1</f>
        <v>#VALUE!</v>
      </c>
    </row>
    <row r="692" customFormat="false" ht="14.25" hidden="false" customHeight="true" outlineLevel="0" collapsed="false">
      <c r="A692" s="118" t="s">
        <v>1005</v>
      </c>
      <c r="B692" s="118" t="str">
        <f aca="false">CONCATENATE(C692&amp;D692)</f>
        <v>1"307</v>
      </c>
      <c r="C692" s="118" t="s">
        <v>967</v>
      </c>
      <c r="D692" s="153" t="n">
        <f aca="false">D691+1</f>
        <v>307</v>
      </c>
      <c r="E692" s="118" t="e">
        <f aca="false">CEILING(D692/20;1)</f>
        <v>#VALUE!</v>
      </c>
      <c r="F692" s="118" t="e">
        <f aca="false">E692*$F$1</f>
        <v>#VALUE!</v>
      </c>
    </row>
    <row r="693" customFormat="false" ht="14.25" hidden="false" customHeight="true" outlineLevel="0" collapsed="false">
      <c r="A693" s="118" t="s">
        <v>1005</v>
      </c>
      <c r="B693" s="118" t="str">
        <f aca="false">CONCATENATE(C693&amp;D693)</f>
        <v>1"308</v>
      </c>
      <c r="C693" s="118" t="s">
        <v>967</v>
      </c>
      <c r="D693" s="153" t="n">
        <f aca="false">D692+1</f>
        <v>308</v>
      </c>
      <c r="E693" s="118" t="e">
        <f aca="false">CEILING(D693/20;1)</f>
        <v>#VALUE!</v>
      </c>
      <c r="F693" s="118" t="e">
        <f aca="false">E693*$F$1</f>
        <v>#VALUE!</v>
      </c>
    </row>
    <row r="694" customFormat="false" ht="14.25" hidden="false" customHeight="true" outlineLevel="0" collapsed="false">
      <c r="A694" s="118" t="s">
        <v>1005</v>
      </c>
      <c r="B694" s="118" t="str">
        <f aca="false">CONCATENATE(C694&amp;D694)</f>
        <v>1"309</v>
      </c>
      <c r="C694" s="118" t="s">
        <v>967</v>
      </c>
      <c r="D694" s="153" t="n">
        <f aca="false">D693+1</f>
        <v>309</v>
      </c>
      <c r="E694" s="118" t="e">
        <f aca="false">CEILING(D694/20;1)</f>
        <v>#VALUE!</v>
      </c>
      <c r="F694" s="118" t="e">
        <f aca="false">E694*$F$1</f>
        <v>#VALUE!</v>
      </c>
    </row>
    <row r="695" customFormat="false" ht="14.25" hidden="false" customHeight="true" outlineLevel="0" collapsed="false">
      <c r="A695" s="118" t="s">
        <v>1005</v>
      </c>
      <c r="B695" s="118" t="str">
        <f aca="false">CONCATENATE(C695&amp;D695)</f>
        <v>1"310</v>
      </c>
      <c r="C695" s="118" t="s">
        <v>967</v>
      </c>
      <c r="D695" s="153" t="n">
        <f aca="false">D694+1</f>
        <v>310</v>
      </c>
      <c r="E695" s="118" t="e">
        <f aca="false">CEILING(D695/20;1)</f>
        <v>#VALUE!</v>
      </c>
      <c r="F695" s="118" t="e">
        <f aca="false">E695*$F$1</f>
        <v>#VALUE!</v>
      </c>
    </row>
    <row r="696" customFormat="false" ht="14.25" hidden="false" customHeight="true" outlineLevel="0" collapsed="false">
      <c r="A696" s="118" t="s">
        <v>1005</v>
      </c>
      <c r="B696" s="118" t="str">
        <f aca="false">CONCATENATE(C696&amp;D696)</f>
        <v>1"311</v>
      </c>
      <c r="C696" s="118" t="s">
        <v>967</v>
      </c>
      <c r="D696" s="153" t="n">
        <f aca="false">D695+1</f>
        <v>311</v>
      </c>
      <c r="E696" s="118" t="e">
        <f aca="false">CEILING(D696/20;1)</f>
        <v>#VALUE!</v>
      </c>
      <c r="F696" s="118" t="e">
        <f aca="false">E696*$F$1</f>
        <v>#VALUE!</v>
      </c>
    </row>
    <row r="697" customFormat="false" ht="14.25" hidden="false" customHeight="true" outlineLevel="0" collapsed="false">
      <c r="A697" s="118" t="s">
        <v>1005</v>
      </c>
      <c r="B697" s="118" t="str">
        <f aca="false">CONCATENATE(C697&amp;D697)</f>
        <v>1"312</v>
      </c>
      <c r="C697" s="118" t="s">
        <v>967</v>
      </c>
      <c r="D697" s="153" t="n">
        <f aca="false">D696+1</f>
        <v>312</v>
      </c>
      <c r="E697" s="118" t="e">
        <f aca="false">CEILING(D697/20;1)</f>
        <v>#VALUE!</v>
      </c>
      <c r="F697" s="118" t="e">
        <f aca="false">E697*$F$1</f>
        <v>#VALUE!</v>
      </c>
    </row>
    <row r="698" customFormat="false" ht="14.25" hidden="false" customHeight="true" outlineLevel="0" collapsed="false">
      <c r="A698" s="118" t="s">
        <v>1005</v>
      </c>
      <c r="B698" s="118" t="str">
        <f aca="false">CONCATENATE(C698&amp;D698)</f>
        <v>1"313</v>
      </c>
      <c r="C698" s="118" t="s">
        <v>967</v>
      </c>
      <c r="D698" s="153" t="n">
        <f aca="false">D697+1</f>
        <v>313</v>
      </c>
      <c r="E698" s="118" t="e">
        <f aca="false">CEILING(D698/20;1)</f>
        <v>#VALUE!</v>
      </c>
      <c r="F698" s="118" t="e">
        <f aca="false">E698*$F$1</f>
        <v>#VALUE!</v>
      </c>
    </row>
    <row r="699" customFormat="false" ht="14.25" hidden="false" customHeight="true" outlineLevel="0" collapsed="false">
      <c r="A699" s="118" t="s">
        <v>1005</v>
      </c>
      <c r="B699" s="118" t="str">
        <f aca="false">CONCATENATE(C699&amp;D699)</f>
        <v>1"314</v>
      </c>
      <c r="C699" s="118" t="s">
        <v>967</v>
      </c>
      <c r="D699" s="153" t="n">
        <f aca="false">D698+1</f>
        <v>314</v>
      </c>
      <c r="E699" s="118" t="e">
        <f aca="false">CEILING(D699/20;1)</f>
        <v>#VALUE!</v>
      </c>
      <c r="F699" s="118" t="e">
        <f aca="false">E699*$F$1</f>
        <v>#VALUE!</v>
      </c>
    </row>
    <row r="700" customFormat="false" ht="14.25" hidden="false" customHeight="true" outlineLevel="0" collapsed="false">
      <c r="A700" s="118" t="s">
        <v>1005</v>
      </c>
      <c r="B700" s="118" t="str">
        <f aca="false">CONCATENATE(C700&amp;D700)</f>
        <v>1"315</v>
      </c>
      <c r="C700" s="118" t="s">
        <v>967</v>
      </c>
      <c r="D700" s="153" t="n">
        <f aca="false">D699+1</f>
        <v>315</v>
      </c>
      <c r="E700" s="118" t="e">
        <f aca="false">CEILING(D700/20;1)</f>
        <v>#VALUE!</v>
      </c>
      <c r="F700" s="118" t="e">
        <f aca="false">E700*$F$1</f>
        <v>#VALUE!</v>
      </c>
    </row>
    <row r="701" customFormat="false" ht="14.25" hidden="false" customHeight="true" outlineLevel="0" collapsed="false">
      <c r="A701" s="118" t="s">
        <v>1005</v>
      </c>
      <c r="B701" s="118" t="str">
        <f aca="false">CONCATENATE(C701&amp;D701)</f>
        <v>1"316</v>
      </c>
      <c r="C701" s="118" t="s">
        <v>967</v>
      </c>
      <c r="D701" s="153" t="n">
        <f aca="false">D700+1</f>
        <v>316</v>
      </c>
      <c r="E701" s="118" t="e">
        <f aca="false">CEILING(D701/20;1)</f>
        <v>#VALUE!</v>
      </c>
      <c r="F701" s="118" t="e">
        <f aca="false">E701*$F$1</f>
        <v>#VALUE!</v>
      </c>
    </row>
    <row r="702" customFormat="false" ht="14.25" hidden="false" customHeight="true" outlineLevel="0" collapsed="false">
      <c r="A702" s="118" t="s">
        <v>1005</v>
      </c>
      <c r="B702" s="118" t="str">
        <f aca="false">CONCATENATE(C702&amp;D702)</f>
        <v>1"317</v>
      </c>
      <c r="C702" s="118" t="s">
        <v>967</v>
      </c>
      <c r="D702" s="153" t="n">
        <f aca="false">D701+1</f>
        <v>317</v>
      </c>
      <c r="E702" s="118" t="e">
        <f aca="false">CEILING(D702/20;1)</f>
        <v>#VALUE!</v>
      </c>
      <c r="F702" s="118" t="e">
        <f aca="false">E702*$F$1</f>
        <v>#VALUE!</v>
      </c>
    </row>
    <row r="703" customFormat="false" ht="14.25" hidden="false" customHeight="true" outlineLevel="0" collapsed="false">
      <c r="A703" s="118" t="s">
        <v>1005</v>
      </c>
      <c r="B703" s="118" t="str">
        <f aca="false">CONCATENATE(C703&amp;D703)</f>
        <v>1"318</v>
      </c>
      <c r="C703" s="118" t="s">
        <v>967</v>
      </c>
      <c r="D703" s="153" t="n">
        <f aca="false">D702+1</f>
        <v>318</v>
      </c>
      <c r="E703" s="118" t="e">
        <f aca="false">CEILING(D703/20;1)</f>
        <v>#VALUE!</v>
      </c>
      <c r="F703" s="118" t="e">
        <f aca="false">E703*$F$1</f>
        <v>#VALUE!</v>
      </c>
    </row>
    <row r="704" customFormat="false" ht="14.25" hidden="false" customHeight="true" outlineLevel="0" collapsed="false">
      <c r="A704" s="118" t="s">
        <v>1005</v>
      </c>
      <c r="B704" s="118" t="str">
        <f aca="false">CONCATENATE(C704&amp;D704)</f>
        <v>1"319</v>
      </c>
      <c r="C704" s="118" t="s">
        <v>967</v>
      </c>
      <c r="D704" s="153" t="n">
        <f aca="false">D703+1</f>
        <v>319</v>
      </c>
      <c r="E704" s="118" t="e">
        <f aca="false">CEILING(D704/20;1)</f>
        <v>#VALUE!</v>
      </c>
      <c r="F704" s="118" t="e">
        <f aca="false">E704*$F$1</f>
        <v>#VALUE!</v>
      </c>
    </row>
    <row r="705" customFormat="false" ht="14.25" hidden="false" customHeight="true" outlineLevel="0" collapsed="false">
      <c r="A705" s="118" t="s">
        <v>1005</v>
      </c>
      <c r="B705" s="118" t="str">
        <f aca="false">CONCATENATE(C705&amp;D705)</f>
        <v>1"320</v>
      </c>
      <c r="C705" s="118" t="s">
        <v>967</v>
      </c>
      <c r="D705" s="153" t="n">
        <f aca="false">D704+1</f>
        <v>320</v>
      </c>
      <c r="E705" s="118" t="e">
        <f aca="false">CEILING(D705/20;1)</f>
        <v>#VALUE!</v>
      </c>
      <c r="F705" s="118" t="e">
        <f aca="false">E705*$F$1</f>
        <v>#VALUE!</v>
      </c>
    </row>
    <row r="706" customFormat="false" ht="14.25" hidden="false" customHeight="true" outlineLevel="0" collapsed="false">
      <c r="A706" s="118" t="s">
        <v>1005</v>
      </c>
      <c r="B706" s="118" t="str">
        <f aca="false">CONCATENATE(C706&amp;D706)</f>
        <v>1"321</v>
      </c>
      <c r="C706" s="118" t="s">
        <v>967</v>
      </c>
      <c r="D706" s="153" t="n">
        <f aca="false">D705+1</f>
        <v>321</v>
      </c>
      <c r="E706" s="118" t="e">
        <f aca="false">CEILING(D706/20;1)</f>
        <v>#VALUE!</v>
      </c>
      <c r="F706" s="118" t="e">
        <f aca="false">E706*$F$1</f>
        <v>#VALUE!</v>
      </c>
    </row>
    <row r="707" customFormat="false" ht="14.25" hidden="false" customHeight="true" outlineLevel="0" collapsed="false">
      <c r="A707" s="118" t="s">
        <v>1005</v>
      </c>
      <c r="B707" s="118" t="str">
        <f aca="false">CONCATENATE(C707&amp;D707)</f>
        <v>1"322</v>
      </c>
      <c r="C707" s="118" t="s">
        <v>967</v>
      </c>
      <c r="D707" s="153" t="n">
        <f aca="false">D706+1</f>
        <v>322</v>
      </c>
      <c r="E707" s="118" t="e">
        <f aca="false">CEILING(D707/20;1)</f>
        <v>#VALUE!</v>
      </c>
      <c r="F707" s="118" t="e">
        <f aca="false">E707*$F$1</f>
        <v>#VALUE!</v>
      </c>
    </row>
    <row r="708" customFormat="false" ht="14.25" hidden="false" customHeight="true" outlineLevel="0" collapsed="false">
      <c r="A708" s="118" t="s">
        <v>1005</v>
      </c>
      <c r="B708" s="118" t="str">
        <f aca="false">CONCATENATE(C708&amp;D708)</f>
        <v>1"323</v>
      </c>
      <c r="C708" s="118" t="s">
        <v>967</v>
      </c>
      <c r="D708" s="153" t="n">
        <f aca="false">D707+1</f>
        <v>323</v>
      </c>
      <c r="E708" s="118" t="e">
        <f aca="false">CEILING(D708/20;1)</f>
        <v>#VALUE!</v>
      </c>
      <c r="F708" s="118" t="e">
        <f aca="false">E708*$F$1</f>
        <v>#VALUE!</v>
      </c>
    </row>
    <row r="709" customFormat="false" ht="14.25" hidden="false" customHeight="true" outlineLevel="0" collapsed="false">
      <c r="A709" s="118" t="s">
        <v>1005</v>
      </c>
      <c r="B709" s="118" t="str">
        <f aca="false">CONCATENATE(C709&amp;D709)</f>
        <v>1"324</v>
      </c>
      <c r="C709" s="118" t="s">
        <v>967</v>
      </c>
      <c r="D709" s="153" t="n">
        <f aca="false">D708+1</f>
        <v>324</v>
      </c>
      <c r="E709" s="118" t="e">
        <f aca="false">CEILING(D709/20;1)</f>
        <v>#VALUE!</v>
      </c>
      <c r="F709" s="118" t="e">
        <f aca="false">E709*$F$1</f>
        <v>#VALUE!</v>
      </c>
    </row>
    <row r="710" customFormat="false" ht="14.25" hidden="false" customHeight="true" outlineLevel="0" collapsed="false">
      <c r="A710" s="118" t="s">
        <v>1005</v>
      </c>
      <c r="B710" s="118" t="str">
        <f aca="false">CONCATENATE(C710&amp;D710)</f>
        <v>1"325</v>
      </c>
      <c r="C710" s="118" t="s">
        <v>967</v>
      </c>
      <c r="D710" s="153" t="n">
        <f aca="false">D709+1</f>
        <v>325</v>
      </c>
      <c r="E710" s="118" t="e">
        <f aca="false">CEILING(D710/20;1)</f>
        <v>#VALUE!</v>
      </c>
      <c r="F710" s="118" t="e">
        <f aca="false">E710*$F$1</f>
        <v>#VALUE!</v>
      </c>
    </row>
    <row r="711" customFormat="false" ht="14.25" hidden="false" customHeight="true" outlineLevel="0" collapsed="false">
      <c r="A711" s="118" t="s">
        <v>1005</v>
      </c>
      <c r="B711" s="118" t="str">
        <f aca="false">CONCATENATE(C711&amp;D711)</f>
        <v>1"326</v>
      </c>
      <c r="C711" s="118" t="s">
        <v>967</v>
      </c>
      <c r="D711" s="153" t="n">
        <f aca="false">D710+1</f>
        <v>326</v>
      </c>
      <c r="E711" s="118" t="e">
        <f aca="false">CEILING(D711/20;1)</f>
        <v>#VALUE!</v>
      </c>
      <c r="F711" s="118" t="e">
        <f aca="false">E711*$F$1</f>
        <v>#VALUE!</v>
      </c>
    </row>
    <row r="712" customFormat="false" ht="14.25" hidden="false" customHeight="true" outlineLevel="0" collapsed="false">
      <c r="A712" s="118" t="s">
        <v>1005</v>
      </c>
      <c r="B712" s="118" t="str">
        <f aca="false">CONCATENATE(C712&amp;D712)</f>
        <v>1"327</v>
      </c>
      <c r="C712" s="118" t="s">
        <v>967</v>
      </c>
      <c r="D712" s="153" t="n">
        <f aca="false">D711+1</f>
        <v>327</v>
      </c>
      <c r="E712" s="118" t="e">
        <f aca="false">CEILING(D712/20;1)</f>
        <v>#VALUE!</v>
      </c>
      <c r="F712" s="118" t="e">
        <f aca="false">E712*$F$1</f>
        <v>#VALUE!</v>
      </c>
    </row>
    <row r="713" customFormat="false" ht="14.25" hidden="false" customHeight="true" outlineLevel="0" collapsed="false">
      <c r="A713" s="118" t="s">
        <v>1005</v>
      </c>
      <c r="B713" s="118" t="str">
        <f aca="false">CONCATENATE(C713&amp;D713)</f>
        <v>1"328</v>
      </c>
      <c r="C713" s="118" t="s">
        <v>967</v>
      </c>
      <c r="D713" s="153" t="n">
        <f aca="false">D712+1</f>
        <v>328</v>
      </c>
      <c r="E713" s="118" t="e">
        <f aca="false">CEILING(D713/20;1)</f>
        <v>#VALUE!</v>
      </c>
      <c r="F713" s="118" t="e">
        <f aca="false">E713*$F$1</f>
        <v>#VALUE!</v>
      </c>
    </row>
    <row r="714" customFormat="false" ht="14.25" hidden="false" customHeight="true" outlineLevel="0" collapsed="false">
      <c r="A714" s="118" t="s">
        <v>1005</v>
      </c>
      <c r="B714" s="118" t="str">
        <f aca="false">CONCATENATE(C714&amp;D714)</f>
        <v>1"329</v>
      </c>
      <c r="C714" s="118" t="s">
        <v>967</v>
      </c>
      <c r="D714" s="153" t="n">
        <f aca="false">D713+1</f>
        <v>329</v>
      </c>
      <c r="E714" s="118" t="e">
        <f aca="false">CEILING(D714/20;1)</f>
        <v>#VALUE!</v>
      </c>
      <c r="F714" s="118" t="e">
        <f aca="false">E714*$F$1</f>
        <v>#VALUE!</v>
      </c>
    </row>
    <row r="715" customFormat="false" ht="14.25" hidden="false" customHeight="true" outlineLevel="0" collapsed="false">
      <c r="A715" s="118" t="s">
        <v>1005</v>
      </c>
      <c r="B715" s="118" t="str">
        <f aca="false">CONCATENATE(C715&amp;D715)</f>
        <v>1"330</v>
      </c>
      <c r="C715" s="118" t="s">
        <v>967</v>
      </c>
      <c r="D715" s="153" t="n">
        <f aca="false">D714+1</f>
        <v>330</v>
      </c>
      <c r="E715" s="118" t="e">
        <f aca="false">CEILING(D715/20;1)</f>
        <v>#VALUE!</v>
      </c>
      <c r="F715" s="118" t="e">
        <f aca="false">E715*$F$1</f>
        <v>#VALUE!</v>
      </c>
    </row>
    <row r="716" customFormat="false" ht="14.25" hidden="false" customHeight="true" outlineLevel="0" collapsed="false">
      <c r="A716" s="118" t="s">
        <v>1005</v>
      </c>
      <c r="B716" s="118" t="str">
        <f aca="false">CONCATENATE(C716&amp;D716)</f>
        <v>1"331</v>
      </c>
      <c r="C716" s="118" t="s">
        <v>967</v>
      </c>
      <c r="D716" s="153" t="n">
        <f aca="false">D715+1</f>
        <v>331</v>
      </c>
      <c r="E716" s="118" t="e">
        <f aca="false">CEILING(D716/20;1)</f>
        <v>#VALUE!</v>
      </c>
      <c r="F716" s="118" t="e">
        <f aca="false">E716*$F$1</f>
        <v>#VALUE!</v>
      </c>
    </row>
    <row r="717" customFormat="false" ht="14.25" hidden="false" customHeight="true" outlineLevel="0" collapsed="false">
      <c r="A717" s="118" t="s">
        <v>1005</v>
      </c>
      <c r="B717" s="118" t="str">
        <f aca="false">CONCATENATE(C717&amp;D717)</f>
        <v>1"332</v>
      </c>
      <c r="C717" s="118" t="s">
        <v>967</v>
      </c>
      <c r="D717" s="153" t="n">
        <f aca="false">D716+1</f>
        <v>332</v>
      </c>
      <c r="E717" s="118" t="e">
        <f aca="false">CEILING(D717/20;1)</f>
        <v>#VALUE!</v>
      </c>
      <c r="F717" s="118" t="e">
        <f aca="false">E717*$F$1</f>
        <v>#VALUE!</v>
      </c>
    </row>
    <row r="718" customFormat="false" ht="14.25" hidden="false" customHeight="true" outlineLevel="0" collapsed="false">
      <c r="A718" s="118" t="s">
        <v>1005</v>
      </c>
      <c r="B718" s="118" t="str">
        <f aca="false">CONCATENATE(C718&amp;D718)</f>
        <v>1"333</v>
      </c>
      <c r="C718" s="118" t="s">
        <v>967</v>
      </c>
      <c r="D718" s="153" t="n">
        <f aca="false">D717+1</f>
        <v>333</v>
      </c>
      <c r="E718" s="118" t="e">
        <f aca="false">CEILING(D718/20;1)</f>
        <v>#VALUE!</v>
      </c>
      <c r="F718" s="118" t="e">
        <f aca="false">E718*$F$1</f>
        <v>#VALUE!</v>
      </c>
    </row>
    <row r="719" customFormat="false" ht="14.25" hidden="false" customHeight="true" outlineLevel="0" collapsed="false">
      <c r="A719" s="118" t="s">
        <v>1005</v>
      </c>
      <c r="B719" s="118" t="str">
        <f aca="false">CONCATENATE(C719&amp;D719)</f>
        <v>1"334</v>
      </c>
      <c r="C719" s="118" t="s">
        <v>967</v>
      </c>
      <c r="D719" s="153" t="n">
        <f aca="false">D718+1</f>
        <v>334</v>
      </c>
      <c r="E719" s="118" t="e">
        <f aca="false">CEILING(D719/20;1)</f>
        <v>#VALUE!</v>
      </c>
      <c r="F719" s="118" t="e">
        <f aca="false">E719*$F$1</f>
        <v>#VALUE!</v>
      </c>
    </row>
    <row r="720" customFormat="false" ht="14.25" hidden="false" customHeight="true" outlineLevel="0" collapsed="false">
      <c r="A720" s="118" t="s">
        <v>1005</v>
      </c>
      <c r="B720" s="118" t="str">
        <f aca="false">CONCATENATE(C720&amp;D720)</f>
        <v>1"335</v>
      </c>
      <c r="C720" s="118" t="s">
        <v>967</v>
      </c>
      <c r="D720" s="153" t="n">
        <f aca="false">D719+1</f>
        <v>335</v>
      </c>
      <c r="E720" s="118" t="e">
        <f aca="false">CEILING(D720/20;1)</f>
        <v>#VALUE!</v>
      </c>
      <c r="F720" s="118" t="e">
        <f aca="false">E720*$F$1</f>
        <v>#VALUE!</v>
      </c>
    </row>
    <row r="721" customFormat="false" ht="14.25" hidden="false" customHeight="true" outlineLevel="0" collapsed="false">
      <c r="A721" s="118" t="s">
        <v>1005</v>
      </c>
      <c r="B721" s="118" t="str">
        <f aca="false">CONCATENATE(C721&amp;D721)</f>
        <v>1"336</v>
      </c>
      <c r="C721" s="118" t="s">
        <v>967</v>
      </c>
      <c r="D721" s="153" t="n">
        <f aca="false">D720+1</f>
        <v>336</v>
      </c>
      <c r="E721" s="118" t="e">
        <f aca="false">CEILING(D721/20;1)</f>
        <v>#VALUE!</v>
      </c>
      <c r="F721" s="118" t="e">
        <f aca="false">E721*$F$1</f>
        <v>#VALUE!</v>
      </c>
    </row>
    <row r="722" customFormat="false" ht="14.25" hidden="false" customHeight="true" outlineLevel="0" collapsed="false">
      <c r="A722" s="118" t="s">
        <v>1005</v>
      </c>
      <c r="B722" s="118" t="str">
        <f aca="false">CONCATENATE(C722&amp;D722)</f>
        <v>1"337</v>
      </c>
      <c r="C722" s="118" t="s">
        <v>967</v>
      </c>
      <c r="D722" s="153" t="n">
        <f aca="false">D721+1</f>
        <v>337</v>
      </c>
      <c r="E722" s="118" t="e">
        <f aca="false">CEILING(D722/20;1)</f>
        <v>#VALUE!</v>
      </c>
      <c r="F722" s="118" t="e">
        <f aca="false">E722*$F$1</f>
        <v>#VALUE!</v>
      </c>
    </row>
    <row r="723" customFormat="false" ht="14.25" hidden="false" customHeight="true" outlineLevel="0" collapsed="false">
      <c r="A723" s="118" t="s">
        <v>1005</v>
      </c>
      <c r="B723" s="118" t="str">
        <f aca="false">CONCATENATE(C723&amp;D723)</f>
        <v>1"338</v>
      </c>
      <c r="C723" s="118" t="s">
        <v>967</v>
      </c>
      <c r="D723" s="153" t="n">
        <f aca="false">D722+1</f>
        <v>338</v>
      </c>
      <c r="E723" s="118" t="e">
        <f aca="false">CEILING(D723/20;1)</f>
        <v>#VALUE!</v>
      </c>
      <c r="F723" s="118" t="e">
        <f aca="false">E723*$F$1</f>
        <v>#VALUE!</v>
      </c>
    </row>
    <row r="724" customFormat="false" ht="14.25" hidden="false" customHeight="true" outlineLevel="0" collapsed="false">
      <c r="A724" s="118" t="s">
        <v>1005</v>
      </c>
      <c r="B724" s="118" t="str">
        <f aca="false">CONCATENATE(C724&amp;D724)</f>
        <v>1"339</v>
      </c>
      <c r="C724" s="118" t="s">
        <v>967</v>
      </c>
      <c r="D724" s="153" t="n">
        <f aca="false">D723+1</f>
        <v>339</v>
      </c>
      <c r="E724" s="118" t="e">
        <f aca="false">CEILING(D724/20;1)</f>
        <v>#VALUE!</v>
      </c>
      <c r="F724" s="118" t="e">
        <f aca="false">E724*$F$1</f>
        <v>#VALUE!</v>
      </c>
    </row>
    <row r="725" customFormat="false" ht="14.25" hidden="false" customHeight="true" outlineLevel="0" collapsed="false">
      <c r="A725" s="118" t="s">
        <v>1005</v>
      </c>
      <c r="B725" s="118" t="str">
        <f aca="false">CONCATENATE(C725&amp;D725)</f>
        <v>1"340</v>
      </c>
      <c r="C725" s="118" t="s">
        <v>967</v>
      </c>
      <c r="D725" s="153" t="n">
        <f aca="false">D724+1</f>
        <v>340</v>
      </c>
      <c r="E725" s="118" t="e">
        <f aca="false">CEILING(D725/20;1)</f>
        <v>#VALUE!</v>
      </c>
      <c r="F725" s="118" t="e">
        <f aca="false">E725*$F$1</f>
        <v>#VALUE!</v>
      </c>
    </row>
    <row r="726" customFormat="false" ht="14.25" hidden="false" customHeight="true" outlineLevel="0" collapsed="false">
      <c r="A726" s="118" t="s">
        <v>1005</v>
      </c>
      <c r="B726" s="118" t="str">
        <f aca="false">CONCATENATE(C726&amp;D726)</f>
        <v>1"341</v>
      </c>
      <c r="C726" s="118" t="s">
        <v>967</v>
      </c>
      <c r="D726" s="153" t="n">
        <f aca="false">D725+1</f>
        <v>341</v>
      </c>
      <c r="E726" s="118" t="e">
        <f aca="false">CEILING(D726/20;1)</f>
        <v>#VALUE!</v>
      </c>
      <c r="F726" s="118" t="e">
        <f aca="false">E726*$F$1</f>
        <v>#VALUE!</v>
      </c>
    </row>
    <row r="727" customFormat="false" ht="14.25" hidden="false" customHeight="true" outlineLevel="0" collapsed="false">
      <c r="A727" s="118" t="s">
        <v>1005</v>
      </c>
      <c r="B727" s="118" t="str">
        <f aca="false">CONCATENATE(C727&amp;D727)</f>
        <v>1"342</v>
      </c>
      <c r="C727" s="118" t="s">
        <v>967</v>
      </c>
      <c r="D727" s="153" t="n">
        <f aca="false">D726+1</f>
        <v>342</v>
      </c>
      <c r="E727" s="118" t="e">
        <f aca="false">CEILING(D727/20;1)</f>
        <v>#VALUE!</v>
      </c>
      <c r="F727" s="118" t="e">
        <f aca="false">E727*$F$1</f>
        <v>#VALUE!</v>
      </c>
    </row>
    <row r="728" customFormat="false" ht="14.25" hidden="false" customHeight="true" outlineLevel="0" collapsed="false">
      <c r="A728" s="118" t="s">
        <v>1005</v>
      </c>
      <c r="B728" s="118" t="str">
        <f aca="false">CONCATENATE(C728&amp;D728)</f>
        <v>1"343</v>
      </c>
      <c r="C728" s="118" t="s">
        <v>967</v>
      </c>
      <c r="D728" s="153" t="n">
        <f aca="false">D727+1</f>
        <v>343</v>
      </c>
      <c r="E728" s="118" t="e">
        <f aca="false">CEILING(D728/20;1)</f>
        <v>#VALUE!</v>
      </c>
      <c r="F728" s="118" t="e">
        <f aca="false">E728*$F$1</f>
        <v>#VALUE!</v>
      </c>
    </row>
    <row r="729" customFormat="false" ht="14.25" hidden="false" customHeight="true" outlineLevel="0" collapsed="false">
      <c r="A729" s="118" t="s">
        <v>1005</v>
      </c>
      <c r="B729" s="118" t="str">
        <f aca="false">CONCATENATE(C729&amp;D729)</f>
        <v>1"344</v>
      </c>
      <c r="C729" s="118" t="s">
        <v>967</v>
      </c>
      <c r="D729" s="153" t="n">
        <f aca="false">D728+1</f>
        <v>344</v>
      </c>
      <c r="E729" s="118" t="e">
        <f aca="false">CEILING(D729/20;1)</f>
        <v>#VALUE!</v>
      </c>
      <c r="F729" s="118" t="e">
        <f aca="false">E729*$F$1</f>
        <v>#VALUE!</v>
      </c>
    </row>
    <row r="730" customFormat="false" ht="14.25" hidden="false" customHeight="true" outlineLevel="0" collapsed="false">
      <c r="A730" s="118" t="s">
        <v>1005</v>
      </c>
      <c r="B730" s="118" t="str">
        <f aca="false">CONCATENATE(C730&amp;D730)</f>
        <v>1"345</v>
      </c>
      <c r="C730" s="118" t="s">
        <v>967</v>
      </c>
      <c r="D730" s="153" t="n">
        <f aca="false">D729+1</f>
        <v>345</v>
      </c>
      <c r="E730" s="118" t="e">
        <f aca="false">CEILING(D730/20;1)</f>
        <v>#VALUE!</v>
      </c>
      <c r="F730" s="118" t="e">
        <f aca="false">E730*$F$1</f>
        <v>#VALUE!</v>
      </c>
    </row>
    <row r="731" customFormat="false" ht="14.25" hidden="false" customHeight="true" outlineLevel="0" collapsed="false">
      <c r="A731" s="118" t="s">
        <v>1005</v>
      </c>
      <c r="B731" s="118" t="str">
        <f aca="false">CONCATENATE(C731&amp;D731)</f>
        <v>1"346</v>
      </c>
      <c r="C731" s="118" t="s">
        <v>967</v>
      </c>
      <c r="D731" s="153" t="n">
        <f aca="false">D730+1</f>
        <v>346</v>
      </c>
      <c r="E731" s="118" t="e">
        <f aca="false">CEILING(D731/20;1)</f>
        <v>#VALUE!</v>
      </c>
      <c r="F731" s="118" t="e">
        <f aca="false">E731*$F$1</f>
        <v>#VALUE!</v>
      </c>
    </row>
    <row r="732" customFormat="false" ht="14.25" hidden="false" customHeight="true" outlineLevel="0" collapsed="false">
      <c r="A732" s="118" t="s">
        <v>1005</v>
      </c>
      <c r="B732" s="118" t="str">
        <f aca="false">CONCATENATE(C732&amp;D732)</f>
        <v>1"347</v>
      </c>
      <c r="C732" s="118" t="s">
        <v>967</v>
      </c>
      <c r="D732" s="153" t="n">
        <f aca="false">D731+1</f>
        <v>347</v>
      </c>
      <c r="E732" s="118" t="e">
        <f aca="false">CEILING(D732/20;1)</f>
        <v>#VALUE!</v>
      </c>
      <c r="F732" s="118" t="e">
        <f aca="false">E732*$F$1</f>
        <v>#VALUE!</v>
      </c>
    </row>
    <row r="733" customFormat="false" ht="14.25" hidden="false" customHeight="true" outlineLevel="0" collapsed="false">
      <c r="A733" s="118" t="s">
        <v>1005</v>
      </c>
      <c r="B733" s="118" t="str">
        <f aca="false">CONCATENATE(C733&amp;D733)</f>
        <v>1"348</v>
      </c>
      <c r="C733" s="118" t="s">
        <v>967</v>
      </c>
      <c r="D733" s="153" t="n">
        <f aca="false">D732+1</f>
        <v>348</v>
      </c>
      <c r="E733" s="118" t="e">
        <f aca="false">CEILING(D733/20;1)</f>
        <v>#VALUE!</v>
      </c>
      <c r="F733" s="118" t="e">
        <f aca="false">E733*$F$1</f>
        <v>#VALUE!</v>
      </c>
    </row>
    <row r="734" customFormat="false" ht="14.25" hidden="false" customHeight="true" outlineLevel="0" collapsed="false">
      <c r="A734" s="118" t="s">
        <v>1005</v>
      </c>
      <c r="B734" s="118" t="str">
        <f aca="false">CONCATENATE(C734&amp;D734)</f>
        <v>1"349</v>
      </c>
      <c r="C734" s="118" t="s">
        <v>967</v>
      </c>
      <c r="D734" s="153" t="n">
        <f aca="false">D733+1</f>
        <v>349</v>
      </c>
      <c r="E734" s="118" t="e">
        <f aca="false">CEILING(D734/20;1)</f>
        <v>#VALUE!</v>
      </c>
      <c r="F734" s="118" t="e">
        <f aca="false">E734*$F$1</f>
        <v>#VALUE!</v>
      </c>
    </row>
    <row r="735" customFormat="false" ht="14.25" hidden="false" customHeight="true" outlineLevel="0" collapsed="false">
      <c r="A735" s="118" t="s">
        <v>1005</v>
      </c>
      <c r="B735" s="118" t="str">
        <f aca="false">CONCATENATE(C735&amp;D735)</f>
        <v>1"350</v>
      </c>
      <c r="C735" s="118" t="s">
        <v>967</v>
      </c>
      <c r="D735" s="153" t="n">
        <f aca="false">D734+1</f>
        <v>350</v>
      </c>
      <c r="E735" s="118" t="e">
        <f aca="false">CEILING(D735/20;1)</f>
        <v>#VALUE!</v>
      </c>
      <c r="F735" s="118" t="e">
        <f aca="false">E735*$F$1</f>
        <v>#VALUE!</v>
      </c>
    </row>
    <row r="736" customFormat="false" ht="14.25" hidden="false" customHeight="true" outlineLevel="0" collapsed="false">
      <c r="A736" s="118" t="s">
        <v>1005</v>
      </c>
      <c r="B736" s="118" t="str">
        <f aca="false">CONCATENATE(C736&amp;D736)</f>
        <v>1"351</v>
      </c>
      <c r="C736" s="118" t="s">
        <v>967</v>
      </c>
      <c r="D736" s="153" t="n">
        <f aca="false">D735+1</f>
        <v>351</v>
      </c>
      <c r="E736" s="118" t="e">
        <f aca="false">CEILING(D736/20;1)</f>
        <v>#VALUE!</v>
      </c>
      <c r="F736" s="118" t="e">
        <f aca="false">E736*$F$1</f>
        <v>#VALUE!</v>
      </c>
    </row>
    <row r="737" customFormat="false" ht="14.25" hidden="false" customHeight="true" outlineLevel="0" collapsed="false">
      <c r="A737" s="118" t="s">
        <v>1005</v>
      </c>
      <c r="B737" s="118" t="str">
        <f aca="false">CONCATENATE(C737&amp;D737)</f>
        <v>1"352</v>
      </c>
      <c r="C737" s="118" t="s">
        <v>967</v>
      </c>
      <c r="D737" s="153" t="n">
        <f aca="false">D736+1</f>
        <v>352</v>
      </c>
      <c r="E737" s="118" t="e">
        <f aca="false">CEILING(D737/20;1)</f>
        <v>#VALUE!</v>
      </c>
      <c r="F737" s="118" t="e">
        <f aca="false">E737*$F$1</f>
        <v>#VALUE!</v>
      </c>
    </row>
    <row r="738" customFormat="false" ht="14.25" hidden="false" customHeight="true" outlineLevel="0" collapsed="false">
      <c r="A738" s="118" t="s">
        <v>1005</v>
      </c>
      <c r="B738" s="118" t="str">
        <f aca="false">CONCATENATE(C738&amp;D738)</f>
        <v>1"353</v>
      </c>
      <c r="C738" s="118" t="s">
        <v>967</v>
      </c>
      <c r="D738" s="153" t="n">
        <f aca="false">D737+1</f>
        <v>353</v>
      </c>
      <c r="E738" s="118" t="e">
        <f aca="false">CEILING(D738/20;1)</f>
        <v>#VALUE!</v>
      </c>
      <c r="F738" s="118" t="e">
        <f aca="false">E738*$F$1</f>
        <v>#VALUE!</v>
      </c>
    </row>
    <row r="739" customFormat="false" ht="14.25" hidden="false" customHeight="true" outlineLevel="0" collapsed="false">
      <c r="A739" s="118" t="s">
        <v>1005</v>
      </c>
      <c r="B739" s="118" t="str">
        <f aca="false">CONCATENATE(C739&amp;D739)</f>
        <v>1"354</v>
      </c>
      <c r="C739" s="118" t="s">
        <v>967</v>
      </c>
      <c r="D739" s="153" t="n">
        <f aca="false">D738+1</f>
        <v>354</v>
      </c>
      <c r="E739" s="118" t="e">
        <f aca="false">CEILING(D739/20;1)</f>
        <v>#VALUE!</v>
      </c>
      <c r="F739" s="118" t="e">
        <f aca="false">E739*$F$1</f>
        <v>#VALUE!</v>
      </c>
    </row>
    <row r="740" customFormat="false" ht="14.25" hidden="false" customHeight="true" outlineLevel="0" collapsed="false">
      <c r="A740" s="118" t="s">
        <v>1005</v>
      </c>
      <c r="B740" s="118" t="str">
        <f aca="false">CONCATENATE(C740&amp;D740)</f>
        <v>1"355</v>
      </c>
      <c r="C740" s="118" t="s">
        <v>967</v>
      </c>
      <c r="D740" s="153" t="n">
        <f aca="false">D739+1</f>
        <v>355</v>
      </c>
      <c r="E740" s="118" t="e">
        <f aca="false">CEILING(D740/20;1)</f>
        <v>#VALUE!</v>
      </c>
      <c r="F740" s="118" t="e">
        <f aca="false">E740*$F$1</f>
        <v>#VALUE!</v>
      </c>
    </row>
    <row r="741" customFormat="false" ht="14.25" hidden="false" customHeight="true" outlineLevel="0" collapsed="false">
      <c r="A741" s="118" t="s">
        <v>1005</v>
      </c>
      <c r="B741" s="118" t="str">
        <f aca="false">CONCATENATE(C741&amp;D741)</f>
        <v>1"356</v>
      </c>
      <c r="C741" s="118" t="s">
        <v>967</v>
      </c>
      <c r="D741" s="153" t="n">
        <f aca="false">D740+1</f>
        <v>356</v>
      </c>
      <c r="E741" s="118" t="e">
        <f aca="false">CEILING(D741/20;1)</f>
        <v>#VALUE!</v>
      </c>
      <c r="F741" s="118" t="e">
        <f aca="false">E741*$F$1</f>
        <v>#VALUE!</v>
      </c>
    </row>
    <row r="742" customFormat="false" ht="14.25" hidden="false" customHeight="true" outlineLevel="0" collapsed="false">
      <c r="A742" s="118" t="s">
        <v>1005</v>
      </c>
      <c r="B742" s="118" t="str">
        <f aca="false">CONCATENATE(C742&amp;D742)</f>
        <v>1"357</v>
      </c>
      <c r="C742" s="118" t="s">
        <v>967</v>
      </c>
      <c r="D742" s="153" t="n">
        <f aca="false">D741+1</f>
        <v>357</v>
      </c>
      <c r="E742" s="118" t="e">
        <f aca="false">CEILING(D742/20;1)</f>
        <v>#VALUE!</v>
      </c>
      <c r="F742" s="118" t="e">
        <f aca="false">E742*$F$1</f>
        <v>#VALUE!</v>
      </c>
    </row>
    <row r="743" customFormat="false" ht="14.25" hidden="false" customHeight="true" outlineLevel="0" collapsed="false">
      <c r="A743" s="118" t="s">
        <v>1005</v>
      </c>
      <c r="B743" s="118" t="str">
        <f aca="false">CONCATENATE(C743&amp;D743)</f>
        <v>1"358</v>
      </c>
      <c r="C743" s="118" t="s">
        <v>967</v>
      </c>
      <c r="D743" s="153" t="n">
        <f aca="false">D742+1</f>
        <v>358</v>
      </c>
      <c r="E743" s="118" t="e">
        <f aca="false">CEILING(D743/20;1)</f>
        <v>#VALUE!</v>
      </c>
      <c r="F743" s="118" t="e">
        <f aca="false">E743*$F$1</f>
        <v>#VALUE!</v>
      </c>
    </row>
    <row r="744" customFormat="false" ht="14.25" hidden="false" customHeight="true" outlineLevel="0" collapsed="false">
      <c r="A744" s="118" t="s">
        <v>1005</v>
      </c>
      <c r="B744" s="118" t="str">
        <f aca="false">CONCATENATE(C744&amp;D744)</f>
        <v>1"359</v>
      </c>
      <c r="C744" s="118" t="s">
        <v>967</v>
      </c>
      <c r="D744" s="153" t="n">
        <f aca="false">D743+1</f>
        <v>359</v>
      </c>
      <c r="E744" s="118" t="e">
        <f aca="false">CEILING(D744/20;1)</f>
        <v>#VALUE!</v>
      </c>
      <c r="F744" s="118" t="e">
        <f aca="false">E744*$F$1</f>
        <v>#VALUE!</v>
      </c>
    </row>
    <row r="745" customFormat="false" ht="14.25" hidden="false" customHeight="true" outlineLevel="0" collapsed="false">
      <c r="A745" s="118" t="s">
        <v>1005</v>
      </c>
      <c r="B745" s="118" t="str">
        <f aca="false">CONCATENATE(C745&amp;D745)</f>
        <v>1"360</v>
      </c>
      <c r="C745" s="118" t="s">
        <v>967</v>
      </c>
      <c r="D745" s="153" t="n">
        <f aca="false">D744+1</f>
        <v>360</v>
      </c>
      <c r="E745" s="118" t="e">
        <f aca="false">CEILING(D745/20;1)</f>
        <v>#VALUE!</v>
      </c>
      <c r="F745" s="118" t="e">
        <f aca="false">E745*$F$1</f>
        <v>#VALUE!</v>
      </c>
    </row>
    <row r="746" customFormat="false" ht="14.25" hidden="false" customHeight="true" outlineLevel="0" collapsed="false">
      <c r="A746" s="118" t="s">
        <v>1005</v>
      </c>
      <c r="B746" s="118" t="str">
        <f aca="false">CONCATENATE(C746&amp;D746)</f>
        <v>1"361</v>
      </c>
      <c r="C746" s="118" t="s">
        <v>967</v>
      </c>
      <c r="D746" s="153" t="n">
        <f aca="false">D745+1</f>
        <v>361</v>
      </c>
      <c r="E746" s="118" t="e">
        <f aca="false">CEILING(D746/20;1)</f>
        <v>#VALUE!</v>
      </c>
      <c r="F746" s="118" t="e">
        <f aca="false">E746*$F$1</f>
        <v>#VALUE!</v>
      </c>
    </row>
    <row r="747" customFormat="false" ht="14.25" hidden="false" customHeight="true" outlineLevel="0" collapsed="false">
      <c r="A747" s="118" t="s">
        <v>1005</v>
      </c>
      <c r="B747" s="118" t="str">
        <f aca="false">CONCATENATE(C747&amp;D747)</f>
        <v>1"362</v>
      </c>
      <c r="C747" s="118" t="s">
        <v>967</v>
      </c>
      <c r="D747" s="153" t="n">
        <f aca="false">D746+1</f>
        <v>362</v>
      </c>
      <c r="E747" s="118" t="e">
        <f aca="false">CEILING(D747/20;1)</f>
        <v>#VALUE!</v>
      </c>
      <c r="F747" s="118" t="e">
        <f aca="false">E747*$F$1</f>
        <v>#VALUE!</v>
      </c>
    </row>
    <row r="748" customFormat="false" ht="14.25" hidden="false" customHeight="true" outlineLevel="0" collapsed="false">
      <c r="A748" s="118" t="s">
        <v>1005</v>
      </c>
      <c r="B748" s="118" t="str">
        <f aca="false">CONCATENATE(C748&amp;D748)</f>
        <v>1"363</v>
      </c>
      <c r="C748" s="118" t="s">
        <v>967</v>
      </c>
      <c r="D748" s="153" t="n">
        <f aca="false">D747+1</f>
        <v>363</v>
      </c>
      <c r="E748" s="118" t="e">
        <f aca="false">CEILING(D748/20;1)</f>
        <v>#VALUE!</v>
      </c>
      <c r="F748" s="118" t="e">
        <f aca="false">E748*$F$1</f>
        <v>#VALUE!</v>
      </c>
    </row>
    <row r="749" customFormat="false" ht="14.25" hidden="false" customHeight="true" outlineLevel="0" collapsed="false">
      <c r="A749" s="118" t="s">
        <v>1005</v>
      </c>
      <c r="B749" s="118" t="str">
        <f aca="false">CONCATENATE(C749&amp;D749)</f>
        <v>1"364</v>
      </c>
      <c r="C749" s="118" t="s">
        <v>967</v>
      </c>
      <c r="D749" s="153" t="n">
        <f aca="false">D748+1</f>
        <v>364</v>
      </c>
      <c r="E749" s="118" t="e">
        <f aca="false">CEILING(D749/20;1)</f>
        <v>#VALUE!</v>
      </c>
      <c r="F749" s="118" t="e">
        <f aca="false">E749*$F$1</f>
        <v>#VALUE!</v>
      </c>
    </row>
    <row r="750" customFormat="false" ht="14.25" hidden="false" customHeight="true" outlineLevel="0" collapsed="false">
      <c r="A750" s="118" t="s">
        <v>1005</v>
      </c>
      <c r="B750" s="118" t="str">
        <f aca="false">CONCATENATE(C750&amp;D750)</f>
        <v>1"365</v>
      </c>
      <c r="C750" s="118" t="s">
        <v>967</v>
      </c>
      <c r="D750" s="153" t="n">
        <f aca="false">D749+1</f>
        <v>365</v>
      </c>
      <c r="E750" s="118" t="e">
        <f aca="false">CEILING(D750/20;1)</f>
        <v>#VALUE!</v>
      </c>
      <c r="F750" s="118" t="e">
        <f aca="false">E750*$F$1</f>
        <v>#VALUE!</v>
      </c>
    </row>
    <row r="751" customFormat="false" ht="14.25" hidden="false" customHeight="true" outlineLevel="0" collapsed="false">
      <c r="A751" s="118" t="s">
        <v>1005</v>
      </c>
      <c r="B751" s="118" t="str">
        <f aca="false">CONCATENATE(C751&amp;D751)</f>
        <v>1"366</v>
      </c>
      <c r="C751" s="118" t="s">
        <v>967</v>
      </c>
      <c r="D751" s="153" t="n">
        <f aca="false">D750+1</f>
        <v>366</v>
      </c>
      <c r="E751" s="118" t="e">
        <f aca="false">CEILING(D751/20;1)</f>
        <v>#VALUE!</v>
      </c>
      <c r="F751" s="118" t="e">
        <f aca="false">E751*$F$1</f>
        <v>#VALUE!</v>
      </c>
    </row>
    <row r="752" customFormat="false" ht="14.25" hidden="false" customHeight="true" outlineLevel="0" collapsed="false">
      <c r="A752" s="118" t="s">
        <v>1005</v>
      </c>
      <c r="B752" s="118" t="str">
        <f aca="false">CONCATENATE(C752&amp;D752)</f>
        <v>1"367</v>
      </c>
      <c r="C752" s="118" t="s">
        <v>967</v>
      </c>
      <c r="D752" s="153" t="n">
        <f aca="false">D751+1</f>
        <v>367</v>
      </c>
      <c r="E752" s="118" t="e">
        <f aca="false">CEILING(D752/20;1)</f>
        <v>#VALUE!</v>
      </c>
      <c r="F752" s="118" t="e">
        <f aca="false">E752*$F$1</f>
        <v>#VALUE!</v>
      </c>
    </row>
    <row r="753" customFormat="false" ht="14.25" hidden="false" customHeight="true" outlineLevel="0" collapsed="false">
      <c r="A753" s="118" t="s">
        <v>1005</v>
      </c>
      <c r="B753" s="118" t="str">
        <f aca="false">CONCATENATE(C753&amp;D753)</f>
        <v>1"368</v>
      </c>
      <c r="C753" s="118" t="s">
        <v>967</v>
      </c>
      <c r="D753" s="153" t="n">
        <f aca="false">D752+1</f>
        <v>368</v>
      </c>
      <c r="E753" s="118" t="e">
        <f aca="false">CEILING(D753/20;1)</f>
        <v>#VALUE!</v>
      </c>
      <c r="F753" s="118" t="e">
        <f aca="false">E753*$F$1</f>
        <v>#VALUE!</v>
      </c>
    </row>
    <row r="754" customFormat="false" ht="14.25" hidden="false" customHeight="true" outlineLevel="0" collapsed="false">
      <c r="A754" s="118" t="s">
        <v>1005</v>
      </c>
      <c r="B754" s="118" t="str">
        <f aca="false">CONCATENATE(C754&amp;D754)</f>
        <v>1"369</v>
      </c>
      <c r="C754" s="118" t="s">
        <v>967</v>
      </c>
      <c r="D754" s="153" t="n">
        <f aca="false">D753+1</f>
        <v>369</v>
      </c>
      <c r="E754" s="118" t="e">
        <f aca="false">CEILING(D754/20;1)</f>
        <v>#VALUE!</v>
      </c>
      <c r="F754" s="118" t="e">
        <f aca="false">E754*$F$1</f>
        <v>#VALUE!</v>
      </c>
    </row>
    <row r="755" customFormat="false" ht="14.25" hidden="false" customHeight="true" outlineLevel="0" collapsed="false">
      <c r="A755" s="118" t="s">
        <v>1005</v>
      </c>
      <c r="B755" s="118" t="str">
        <f aca="false">CONCATENATE(C755&amp;D755)</f>
        <v>1"370</v>
      </c>
      <c r="C755" s="118" t="s">
        <v>967</v>
      </c>
      <c r="D755" s="153" t="n">
        <f aca="false">D754+1</f>
        <v>370</v>
      </c>
      <c r="E755" s="118" t="e">
        <f aca="false">CEILING(D755/20;1)</f>
        <v>#VALUE!</v>
      </c>
      <c r="F755" s="118" t="e">
        <f aca="false">E755*$F$1</f>
        <v>#VALUE!</v>
      </c>
    </row>
    <row r="756" customFormat="false" ht="14.25" hidden="false" customHeight="true" outlineLevel="0" collapsed="false">
      <c r="A756" s="118" t="s">
        <v>1005</v>
      </c>
      <c r="B756" s="118" t="str">
        <f aca="false">CONCATENATE(C756&amp;D756)</f>
        <v>1"371</v>
      </c>
      <c r="C756" s="118" t="s">
        <v>967</v>
      </c>
      <c r="D756" s="153" t="n">
        <f aca="false">D755+1</f>
        <v>371</v>
      </c>
      <c r="E756" s="118" t="e">
        <f aca="false">CEILING(D756/20;1)</f>
        <v>#VALUE!</v>
      </c>
      <c r="F756" s="118" t="e">
        <f aca="false">E756*$F$1</f>
        <v>#VALUE!</v>
      </c>
    </row>
    <row r="757" customFormat="false" ht="14.25" hidden="false" customHeight="true" outlineLevel="0" collapsed="false">
      <c r="A757" s="118" t="s">
        <v>1005</v>
      </c>
      <c r="B757" s="118" t="str">
        <f aca="false">CONCATENATE(C757&amp;D757)</f>
        <v>1"372</v>
      </c>
      <c r="C757" s="118" t="s">
        <v>967</v>
      </c>
      <c r="D757" s="153" t="n">
        <f aca="false">D756+1</f>
        <v>372</v>
      </c>
      <c r="E757" s="118" t="e">
        <f aca="false">CEILING(D757/20;1)</f>
        <v>#VALUE!</v>
      </c>
      <c r="F757" s="118" t="e">
        <f aca="false">E757*$F$1</f>
        <v>#VALUE!</v>
      </c>
    </row>
    <row r="758" customFormat="false" ht="14.25" hidden="false" customHeight="true" outlineLevel="0" collapsed="false">
      <c r="A758" s="118" t="s">
        <v>1005</v>
      </c>
      <c r="B758" s="118" t="str">
        <f aca="false">CONCATENATE(C758&amp;D758)</f>
        <v>1"373</v>
      </c>
      <c r="C758" s="118" t="s">
        <v>967</v>
      </c>
      <c r="D758" s="153" t="n">
        <f aca="false">D757+1</f>
        <v>373</v>
      </c>
      <c r="E758" s="118" t="e">
        <f aca="false">CEILING(D758/20;1)</f>
        <v>#VALUE!</v>
      </c>
      <c r="F758" s="118" t="e">
        <f aca="false">E758*$F$1</f>
        <v>#VALUE!</v>
      </c>
    </row>
    <row r="759" customFormat="false" ht="14.25" hidden="false" customHeight="true" outlineLevel="0" collapsed="false">
      <c r="A759" s="118" t="s">
        <v>1005</v>
      </c>
      <c r="B759" s="118" t="str">
        <f aca="false">CONCATENATE(C759&amp;D759)</f>
        <v>1"374</v>
      </c>
      <c r="C759" s="118" t="s">
        <v>967</v>
      </c>
      <c r="D759" s="153" t="n">
        <f aca="false">D758+1</f>
        <v>374</v>
      </c>
      <c r="E759" s="118" t="e">
        <f aca="false">CEILING(D759/20;1)</f>
        <v>#VALUE!</v>
      </c>
      <c r="F759" s="118" t="e">
        <f aca="false">E759*$F$1</f>
        <v>#VALUE!</v>
      </c>
    </row>
    <row r="760" customFormat="false" ht="14.25" hidden="false" customHeight="true" outlineLevel="0" collapsed="false">
      <c r="A760" s="118" t="s">
        <v>1005</v>
      </c>
      <c r="B760" s="118" t="str">
        <f aca="false">CONCATENATE(C760&amp;D760)</f>
        <v>1"375</v>
      </c>
      <c r="C760" s="118" t="s">
        <v>967</v>
      </c>
      <c r="D760" s="153" t="n">
        <f aca="false">D759+1</f>
        <v>375</v>
      </c>
      <c r="E760" s="118" t="e">
        <f aca="false">CEILING(D760/20;1)</f>
        <v>#VALUE!</v>
      </c>
      <c r="F760" s="118" t="e">
        <f aca="false">E760*$F$1</f>
        <v>#VALUE!</v>
      </c>
    </row>
    <row r="761" customFormat="false" ht="14.25" hidden="false" customHeight="true" outlineLevel="0" collapsed="false">
      <c r="A761" s="118" t="s">
        <v>1005</v>
      </c>
      <c r="B761" s="118" t="str">
        <f aca="false">CONCATENATE(C761&amp;D761)</f>
        <v>1"376</v>
      </c>
      <c r="C761" s="118" t="s">
        <v>967</v>
      </c>
      <c r="D761" s="153" t="n">
        <f aca="false">D760+1</f>
        <v>376</v>
      </c>
      <c r="E761" s="118" t="e">
        <f aca="false">CEILING(D761/20;1)</f>
        <v>#VALUE!</v>
      </c>
      <c r="F761" s="118" t="e">
        <f aca="false">E761*$F$1</f>
        <v>#VALUE!</v>
      </c>
    </row>
    <row r="762" customFormat="false" ht="14.25" hidden="false" customHeight="true" outlineLevel="0" collapsed="false">
      <c r="A762" s="118" t="s">
        <v>1005</v>
      </c>
      <c r="B762" s="118" t="str">
        <f aca="false">CONCATENATE(C762&amp;D762)</f>
        <v>1"377</v>
      </c>
      <c r="C762" s="118" t="s">
        <v>967</v>
      </c>
      <c r="D762" s="153" t="n">
        <f aca="false">D761+1</f>
        <v>377</v>
      </c>
      <c r="E762" s="118" t="e">
        <f aca="false">CEILING(D762/20;1)</f>
        <v>#VALUE!</v>
      </c>
      <c r="F762" s="118" t="e">
        <f aca="false">E762*$F$1</f>
        <v>#VALUE!</v>
      </c>
    </row>
    <row r="763" customFormat="false" ht="14.25" hidden="false" customHeight="true" outlineLevel="0" collapsed="false">
      <c r="A763" s="118" t="s">
        <v>1005</v>
      </c>
      <c r="B763" s="118" t="str">
        <f aca="false">CONCATENATE(C763&amp;D763)</f>
        <v>1"378</v>
      </c>
      <c r="C763" s="118" t="s">
        <v>967</v>
      </c>
      <c r="D763" s="153" t="n">
        <f aca="false">D762+1</f>
        <v>378</v>
      </c>
      <c r="E763" s="118" t="e">
        <f aca="false">CEILING(D763/20;1)</f>
        <v>#VALUE!</v>
      </c>
      <c r="F763" s="118" t="e">
        <f aca="false">E763*$F$1</f>
        <v>#VALUE!</v>
      </c>
    </row>
    <row r="764" customFormat="false" ht="14.25" hidden="false" customHeight="true" outlineLevel="0" collapsed="false">
      <c r="A764" s="118" t="s">
        <v>1005</v>
      </c>
      <c r="B764" s="118" t="str">
        <f aca="false">CONCATENATE(C764&amp;D764)</f>
        <v>1"379</v>
      </c>
      <c r="C764" s="118" t="s">
        <v>967</v>
      </c>
      <c r="D764" s="153" t="n">
        <f aca="false">D763+1</f>
        <v>379</v>
      </c>
      <c r="E764" s="118" t="e">
        <f aca="false">CEILING(D764/20;1)</f>
        <v>#VALUE!</v>
      </c>
      <c r="F764" s="118" t="e">
        <f aca="false">E764*$F$1</f>
        <v>#VALUE!</v>
      </c>
    </row>
    <row r="765" customFormat="false" ht="14.25" hidden="false" customHeight="true" outlineLevel="0" collapsed="false">
      <c r="A765" s="118" t="s">
        <v>1005</v>
      </c>
      <c r="B765" s="118" t="str">
        <f aca="false">CONCATENATE(C765&amp;D765)</f>
        <v>1"380</v>
      </c>
      <c r="C765" s="118" t="s">
        <v>967</v>
      </c>
      <c r="D765" s="153" t="n">
        <f aca="false">D764+1</f>
        <v>380</v>
      </c>
      <c r="E765" s="118" t="e">
        <f aca="false">CEILING(D765/20;1)</f>
        <v>#VALUE!</v>
      </c>
      <c r="F765" s="118" t="e">
        <f aca="false">E765*$F$1</f>
        <v>#VALUE!</v>
      </c>
    </row>
    <row r="766" customFormat="false" ht="14.25" hidden="false" customHeight="true" outlineLevel="0" collapsed="false">
      <c r="A766" s="118" t="s">
        <v>1005</v>
      </c>
      <c r="B766" s="118" t="str">
        <f aca="false">CONCATENATE(C766&amp;D766)</f>
        <v>1"381</v>
      </c>
      <c r="C766" s="118" t="s">
        <v>967</v>
      </c>
      <c r="D766" s="153" t="n">
        <f aca="false">D765+1</f>
        <v>381</v>
      </c>
      <c r="E766" s="118" t="e">
        <f aca="false">CEILING(D766/20;1)</f>
        <v>#VALUE!</v>
      </c>
      <c r="F766" s="118" t="e">
        <f aca="false">E766*$F$1</f>
        <v>#VALUE!</v>
      </c>
    </row>
    <row r="767" customFormat="false" ht="14.25" hidden="false" customHeight="true" outlineLevel="0" collapsed="false">
      <c r="A767" s="118" t="s">
        <v>1005</v>
      </c>
      <c r="B767" s="118" t="str">
        <f aca="false">CONCATENATE(C767&amp;D767)</f>
        <v>1"382</v>
      </c>
      <c r="C767" s="118" t="s">
        <v>967</v>
      </c>
      <c r="D767" s="153" t="n">
        <f aca="false">D766+1</f>
        <v>382</v>
      </c>
      <c r="E767" s="118" t="e">
        <f aca="false">CEILING(D767/20;1)</f>
        <v>#VALUE!</v>
      </c>
      <c r="F767" s="118" t="e">
        <f aca="false">E767*$F$1</f>
        <v>#VALUE!</v>
      </c>
    </row>
    <row r="768" customFormat="false" ht="14.25" hidden="false" customHeight="true" outlineLevel="0" collapsed="false">
      <c r="A768" s="118" t="s">
        <v>1005</v>
      </c>
      <c r="B768" s="118" t="str">
        <f aca="false">CONCATENATE(C768&amp;D768)</f>
        <v>1"383</v>
      </c>
      <c r="C768" s="118" t="s">
        <v>967</v>
      </c>
      <c r="D768" s="153" t="n">
        <f aca="false">D767+1</f>
        <v>383</v>
      </c>
      <c r="E768" s="118" t="e">
        <f aca="false">CEILING(D768/20;1)</f>
        <v>#VALUE!</v>
      </c>
      <c r="F768" s="118" t="e">
        <f aca="false">E768*$F$1</f>
        <v>#VALUE!</v>
      </c>
    </row>
    <row r="769" customFormat="false" ht="14.25" hidden="false" customHeight="true" outlineLevel="0" collapsed="false">
      <c r="A769" s="118" t="s">
        <v>1005</v>
      </c>
      <c r="B769" s="118" t="str">
        <f aca="false">CONCATENATE(C769&amp;D769)</f>
        <v>1"384</v>
      </c>
      <c r="C769" s="118" t="s">
        <v>967</v>
      </c>
      <c r="D769" s="153" t="n">
        <f aca="false">D768+1</f>
        <v>384</v>
      </c>
      <c r="E769" s="118" t="e">
        <f aca="false">CEILING(D769/20;1)</f>
        <v>#VALUE!</v>
      </c>
      <c r="F769" s="118" t="e">
        <f aca="false">E769*$F$1</f>
        <v>#VALUE!</v>
      </c>
    </row>
    <row r="770" customFormat="false" ht="14.25" hidden="false" customHeight="true" outlineLevel="0" collapsed="false">
      <c r="A770" s="118" t="s">
        <v>1005</v>
      </c>
      <c r="B770" s="118" t="str">
        <f aca="false">CONCATENATE(C770&amp;D770)</f>
        <v>1"385</v>
      </c>
      <c r="C770" s="118" t="s">
        <v>967</v>
      </c>
      <c r="D770" s="153" t="n">
        <f aca="false">D769+1</f>
        <v>385</v>
      </c>
      <c r="E770" s="118" t="e">
        <f aca="false">CEILING(D770/20;1)</f>
        <v>#VALUE!</v>
      </c>
      <c r="F770" s="118" t="e">
        <f aca="false">E770*$F$1</f>
        <v>#VALUE!</v>
      </c>
    </row>
    <row r="771" customFormat="false" ht="14.25" hidden="false" customHeight="true" outlineLevel="0" collapsed="false">
      <c r="A771" s="118" t="s">
        <v>1005</v>
      </c>
      <c r="B771" s="118" t="str">
        <f aca="false">CONCATENATE(C771&amp;D771)</f>
        <v>1"386</v>
      </c>
      <c r="C771" s="118" t="s">
        <v>967</v>
      </c>
      <c r="D771" s="153" t="n">
        <f aca="false">D770+1</f>
        <v>386</v>
      </c>
      <c r="E771" s="118" t="e">
        <f aca="false">CEILING(D771/20;1)</f>
        <v>#VALUE!</v>
      </c>
      <c r="F771" s="118" t="e">
        <f aca="false">E771*$F$1</f>
        <v>#VALUE!</v>
      </c>
    </row>
    <row r="772" customFormat="false" ht="14.25" hidden="false" customHeight="true" outlineLevel="0" collapsed="false">
      <c r="A772" s="118" t="s">
        <v>1005</v>
      </c>
      <c r="B772" s="118" t="str">
        <f aca="false">CONCATENATE(C772&amp;D772)</f>
        <v>1"387</v>
      </c>
      <c r="C772" s="118" t="s">
        <v>967</v>
      </c>
      <c r="D772" s="153" t="n">
        <f aca="false">D771+1</f>
        <v>387</v>
      </c>
      <c r="E772" s="118" t="e">
        <f aca="false">CEILING(D772/20;1)</f>
        <v>#VALUE!</v>
      </c>
      <c r="F772" s="118" t="e">
        <f aca="false">E772*$F$1</f>
        <v>#VALUE!</v>
      </c>
    </row>
    <row r="773" customFormat="false" ht="14.25" hidden="false" customHeight="true" outlineLevel="0" collapsed="false">
      <c r="A773" s="118" t="s">
        <v>1005</v>
      </c>
      <c r="B773" s="118" t="str">
        <f aca="false">CONCATENATE(C773&amp;D773)</f>
        <v>1"388</v>
      </c>
      <c r="C773" s="118" t="s">
        <v>967</v>
      </c>
      <c r="D773" s="153" t="n">
        <f aca="false">D772+1</f>
        <v>388</v>
      </c>
      <c r="E773" s="118" t="e">
        <f aca="false">CEILING(D773/20;1)</f>
        <v>#VALUE!</v>
      </c>
      <c r="F773" s="118" t="e">
        <f aca="false">E773*$F$1</f>
        <v>#VALUE!</v>
      </c>
    </row>
    <row r="774" customFormat="false" ht="14.25" hidden="false" customHeight="true" outlineLevel="0" collapsed="false">
      <c r="A774" s="118" t="s">
        <v>1005</v>
      </c>
      <c r="B774" s="118" t="str">
        <f aca="false">CONCATENATE(C774&amp;D774)</f>
        <v>1"389</v>
      </c>
      <c r="C774" s="118" t="s">
        <v>967</v>
      </c>
      <c r="D774" s="153" t="n">
        <f aca="false">D773+1</f>
        <v>389</v>
      </c>
      <c r="E774" s="118" t="e">
        <f aca="false">CEILING(D774/20;1)</f>
        <v>#VALUE!</v>
      </c>
      <c r="F774" s="118" t="e">
        <f aca="false">E774*$F$1</f>
        <v>#VALUE!</v>
      </c>
    </row>
    <row r="775" customFormat="false" ht="14.25" hidden="false" customHeight="true" outlineLevel="0" collapsed="false">
      <c r="A775" s="118" t="s">
        <v>1005</v>
      </c>
      <c r="B775" s="118" t="str">
        <f aca="false">CONCATENATE(C775&amp;D775)</f>
        <v>1"390</v>
      </c>
      <c r="C775" s="118" t="s">
        <v>967</v>
      </c>
      <c r="D775" s="153" t="n">
        <f aca="false">D774+1</f>
        <v>390</v>
      </c>
      <c r="E775" s="118" t="e">
        <f aca="false">CEILING(D775/20;1)</f>
        <v>#VALUE!</v>
      </c>
      <c r="F775" s="118" t="e">
        <f aca="false">E775*$F$1</f>
        <v>#VALUE!</v>
      </c>
    </row>
    <row r="776" customFormat="false" ht="14.25" hidden="false" customHeight="true" outlineLevel="0" collapsed="false">
      <c r="A776" s="118" t="s">
        <v>1005</v>
      </c>
      <c r="B776" s="118" t="str">
        <f aca="false">CONCATENATE(C776&amp;D776)</f>
        <v>1"391</v>
      </c>
      <c r="C776" s="118" t="s">
        <v>967</v>
      </c>
      <c r="D776" s="153" t="n">
        <f aca="false">D775+1</f>
        <v>391</v>
      </c>
      <c r="E776" s="118" t="e">
        <f aca="false">CEILING(D776/20;1)</f>
        <v>#VALUE!</v>
      </c>
      <c r="F776" s="118" t="e">
        <f aca="false">E776*$F$1</f>
        <v>#VALUE!</v>
      </c>
    </row>
    <row r="777" customFormat="false" ht="14.25" hidden="false" customHeight="true" outlineLevel="0" collapsed="false">
      <c r="A777" s="118" t="s">
        <v>1005</v>
      </c>
      <c r="B777" s="118" t="str">
        <f aca="false">CONCATENATE(C777&amp;D777)</f>
        <v>1"392</v>
      </c>
      <c r="C777" s="118" t="s">
        <v>967</v>
      </c>
      <c r="D777" s="153" t="n">
        <f aca="false">D776+1</f>
        <v>392</v>
      </c>
      <c r="E777" s="118" t="e">
        <f aca="false">CEILING(D777/20;1)</f>
        <v>#VALUE!</v>
      </c>
      <c r="F777" s="118" t="e">
        <f aca="false">E777*$F$1</f>
        <v>#VALUE!</v>
      </c>
    </row>
    <row r="778" customFormat="false" ht="14.25" hidden="false" customHeight="true" outlineLevel="0" collapsed="false">
      <c r="A778" s="118" t="s">
        <v>1005</v>
      </c>
      <c r="B778" s="118" t="str">
        <f aca="false">CONCATENATE(C778&amp;D778)</f>
        <v>1"393</v>
      </c>
      <c r="C778" s="118" t="s">
        <v>967</v>
      </c>
      <c r="D778" s="153" t="n">
        <f aca="false">D777+1</f>
        <v>393</v>
      </c>
      <c r="E778" s="118" t="e">
        <f aca="false">CEILING(D778/20;1)</f>
        <v>#VALUE!</v>
      </c>
      <c r="F778" s="118" t="e">
        <f aca="false">E778*$F$1</f>
        <v>#VALUE!</v>
      </c>
    </row>
    <row r="779" customFormat="false" ht="14.25" hidden="false" customHeight="true" outlineLevel="0" collapsed="false">
      <c r="A779" s="118" t="s">
        <v>1005</v>
      </c>
      <c r="B779" s="118" t="str">
        <f aca="false">CONCATENATE(C779&amp;D779)</f>
        <v>1"394</v>
      </c>
      <c r="C779" s="118" t="s">
        <v>967</v>
      </c>
      <c r="D779" s="153" t="n">
        <f aca="false">D778+1</f>
        <v>394</v>
      </c>
      <c r="E779" s="118" t="e">
        <f aca="false">CEILING(D779/20;1)</f>
        <v>#VALUE!</v>
      </c>
      <c r="F779" s="118" t="e">
        <f aca="false">E779*$F$1</f>
        <v>#VALUE!</v>
      </c>
    </row>
    <row r="780" customFormat="false" ht="14.25" hidden="false" customHeight="true" outlineLevel="0" collapsed="false">
      <c r="A780" s="118" t="s">
        <v>1005</v>
      </c>
      <c r="B780" s="118" t="str">
        <f aca="false">CONCATENATE(C780&amp;D780)</f>
        <v>1"395</v>
      </c>
      <c r="C780" s="118" t="s">
        <v>967</v>
      </c>
      <c r="D780" s="153" t="n">
        <f aca="false">D779+1</f>
        <v>395</v>
      </c>
      <c r="E780" s="118" t="e">
        <f aca="false">CEILING(D780/20;1)</f>
        <v>#VALUE!</v>
      </c>
      <c r="F780" s="118" t="e">
        <f aca="false">E780*$F$1</f>
        <v>#VALUE!</v>
      </c>
    </row>
    <row r="781" customFormat="false" ht="14.25" hidden="false" customHeight="true" outlineLevel="0" collapsed="false">
      <c r="A781" s="118" t="s">
        <v>1005</v>
      </c>
      <c r="B781" s="118" t="str">
        <f aca="false">CONCATENATE(C781&amp;D781)</f>
        <v>1"396</v>
      </c>
      <c r="C781" s="118" t="s">
        <v>967</v>
      </c>
      <c r="D781" s="153" t="n">
        <f aca="false">D780+1</f>
        <v>396</v>
      </c>
      <c r="E781" s="118" t="e">
        <f aca="false">CEILING(D781/20;1)</f>
        <v>#VALUE!</v>
      </c>
      <c r="F781" s="118" t="e">
        <f aca="false">E781*$F$1</f>
        <v>#VALUE!</v>
      </c>
    </row>
    <row r="782" customFormat="false" ht="14.25" hidden="false" customHeight="true" outlineLevel="0" collapsed="false">
      <c r="A782" s="118" t="s">
        <v>1005</v>
      </c>
      <c r="B782" s="118" t="str">
        <f aca="false">CONCATENATE(C782&amp;D782)</f>
        <v>1"397</v>
      </c>
      <c r="C782" s="118" t="s">
        <v>967</v>
      </c>
      <c r="D782" s="153" t="n">
        <f aca="false">D781+1</f>
        <v>397</v>
      </c>
      <c r="E782" s="118" t="e">
        <f aca="false">CEILING(D782/20;1)</f>
        <v>#VALUE!</v>
      </c>
      <c r="F782" s="118" t="e">
        <f aca="false">E782*$F$1</f>
        <v>#VALUE!</v>
      </c>
    </row>
    <row r="783" customFormat="false" ht="14.25" hidden="false" customHeight="true" outlineLevel="0" collapsed="false">
      <c r="A783" s="118" t="s">
        <v>1005</v>
      </c>
      <c r="B783" s="118" t="str">
        <f aca="false">CONCATENATE(C783&amp;D783)</f>
        <v>1"398</v>
      </c>
      <c r="C783" s="118" t="s">
        <v>967</v>
      </c>
      <c r="D783" s="153" t="n">
        <f aca="false">D782+1</f>
        <v>398</v>
      </c>
      <c r="E783" s="118" t="e">
        <f aca="false">CEILING(D783/20;1)</f>
        <v>#VALUE!</v>
      </c>
      <c r="F783" s="118" t="e">
        <f aca="false">E783*$F$1</f>
        <v>#VALUE!</v>
      </c>
    </row>
    <row r="784" customFormat="false" ht="14.25" hidden="false" customHeight="true" outlineLevel="0" collapsed="false">
      <c r="A784" s="118" t="s">
        <v>1005</v>
      </c>
      <c r="B784" s="118" t="str">
        <f aca="false">CONCATENATE(C784&amp;D784)</f>
        <v>1"399</v>
      </c>
      <c r="C784" s="118" t="s">
        <v>967</v>
      </c>
      <c r="D784" s="153" t="n">
        <f aca="false">D783+1</f>
        <v>399</v>
      </c>
      <c r="E784" s="118" t="e">
        <f aca="false">CEILING(D784/20;1)</f>
        <v>#VALUE!</v>
      </c>
      <c r="F784" s="118" t="e">
        <f aca="false">E784*$F$1</f>
        <v>#VALUE!</v>
      </c>
    </row>
    <row r="785" customFormat="false" ht="14.25" hidden="false" customHeight="true" outlineLevel="0" collapsed="false">
      <c r="A785" s="118" t="s">
        <v>1005</v>
      </c>
      <c r="B785" s="118" t="str">
        <f aca="false">CONCATENATE(C785&amp;D785)</f>
        <v>1"400</v>
      </c>
      <c r="C785" s="118" t="s">
        <v>967</v>
      </c>
      <c r="D785" s="153" t="n">
        <f aca="false">D784+1</f>
        <v>400</v>
      </c>
      <c r="E785" s="118" t="e">
        <f aca="false">CEILING(D785/20;1)</f>
        <v>#VALUE!</v>
      </c>
      <c r="F785" s="118" t="e">
        <f aca="false">E785*$F$1</f>
        <v>#VALUE!</v>
      </c>
    </row>
    <row r="786" customFormat="false" ht="14.25" hidden="false" customHeight="true" outlineLevel="0" collapsed="false">
      <c r="A786" s="118" t="s">
        <v>1005</v>
      </c>
      <c r="B786" s="118" t="str">
        <f aca="false">CONCATENATE(C786&amp;D786)</f>
        <v>1"401</v>
      </c>
      <c r="C786" s="118" t="s">
        <v>967</v>
      </c>
      <c r="D786" s="153" t="n">
        <f aca="false">D785+1</f>
        <v>401</v>
      </c>
      <c r="E786" s="118" t="e">
        <f aca="false">CEILING(D786/20;1)</f>
        <v>#VALUE!</v>
      </c>
      <c r="F786" s="118" t="e">
        <f aca="false">E786*$F$1</f>
        <v>#VALUE!</v>
      </c>
    </row>
    <row r="787" customFormat="false" ht="14.25" hidden="false" customHeight="true" outlineLevel="0" collapsed="false">
      <c r="A787" s="118" t="s">
        <v>1005</v>
      </c>
      <c r="B787" s="118" t="str">
        <f aca="false">CONCATENATE(C787&amp;D787)</f>
        <v>1"402</v>
      </c>
      <c r="C787" s="118" t="s">
        <v>967</v>
      </c>
      <c r="D787" s="153" t="n">
        <f aca="false">D786+1</f>
        <v>402</v>
      </c>
      <c r="E787" s="118" t="e">
        <f aca="false">CEILING(D787/20;1)</f>
        <v>#VALUE!</v>
      </c>
      <c r="F787" s="118" t="e">
        <f aca="false">E787*$F$1</f>
        <v>#VALUE!</v>
      </c>
    </row>
    <row r="788" customFormat="false" ht="14.25" hidden="false" customHeight="true" outlineLevel="0" collapsed="false">
      <c r="A788" s="118" t="s">
        <v>1005</v>
      </c>
      <c r="B788" s="118" t="str">
        <f aca="false">CONCATENATE(C788&amp;D788)</f>
        <v>1"403</v>
      </c>
      <c r="C788" s="118" t="s">
        <v>967</v>
      </c>
      <c r="D788" s="153" t="n">
        <f aca="false">D787+1</f>
        <v>403</v>
      </c>
      <c r="E788" s="118" t="e">
        <f aca="false">CEILING(D788/20;1)</f>
        <v>#VALUE!</v>
      </c>
      <c r="F788" s="118" t="e">
        <f aca="false">E788*$F$1</f>
        <v>#VALUE!</v>
      </c>
    </row>
    <row r="789" customFormat="false" ht="14.25" hidden="false" customHeight="true" outlineLevel="0" collapsed="false">
      <c r="A789" s="118" t="s">
        <v>1005</v>
      </c>
      <c r="B789" s="118" t="str">
        <f aca="false">CONCATENATE(C789&amp;D789)</f>
        <v>1"404</v>
      </c>
      <c r="C789" s="118" t="s">
        <v>967</v>
      </c>
      <c r="D789" s="153" t="n">
        <f aca="false">D788+1</f>
        <v>404</v>
      </c>
      <c r="E789" s="118" t="e">
        <f aca="false">CEILING(D789/20;1)</f>
        <v>#VALUE!</v>
      </c>
      <c r="F789" s="118" t="e">
        <f aca="false">E789*$F$1</f>
        <v>#VALUE!</v>
      </c>
    </row>
    <row r="790" customFormat="false" ht="14.25" hidden="false" customHeight="true" outlineLevel="0" collapsed="false">
      <c r="A790" s="118" t="s">
        <v>1005</v>
      </c>
      <c r="B790" s="118" t="str">
        <f aca="false">CONCATENATE(C790&amp;D790)</f>
        <v>1"405</v>
      </c>
      <c r="C790" s="118" t="s">
        <v>967</v>
      </c>
      <c r="D790" s="153" t="n">
        <f aca="false">D789+1</f>
        <v>405</v>
      </c>
      <c r="E790" s="118" t="e">
        <f aca="false">CEILING(D790/20;1)</f>
        <v>#VALUE!</v>
      </c>
      <c r="F790" s="118" t="e">
        <f aca="false">E790*$F$1</f>
        <v>#VALUE!</v>
      </c>
    </row>
    <row r="791" customFormat="false" ht="14.25" hidden="false" customHeight="true" outlineLevel="0" collapsed="false">
      <c r="A791" s="118" t="s">
        <v>1005</v>
      </c>
      <c r="B791" s="118" t="str">
        <f aca="false">CONCATENATE(C791&amp;D791)</f>
        <v>1"406</v>
      </c>
      <c r="C791" s="118" t="s">
        <v>967</v>
      </c>
      <c r="D791" s="153" t="n">
        <f aca="false">D790+1</f>
        <v>406</v>
      </c>
      <c r="E791" s="118" t="e">
        <f aca="false">CEILING(D791/20;1)</f>
        <v>#VALUE!</v>
      </c>
      <c r="F791" s="118" t="e">
        <f aca="false">E791*$F$1</f>
        <v>#VALUE!</v>
      </c>
    </row>
    <row r="792" customFormat="false" ht="14.25" hidden="false" customHeight="true" outlineLevel="0" collapsed="false">
      <c r="A792" s="118" t="s">
        <v>1005</v>
      </c>
      <c r="B792" s="118" t="str">
        <f aca="false">CONCATENATE(C792&amp;D792)</f>
        <v>1"407</v>
      </c>
      <c r="C792" s="118" t="s">
        <v>967</v>
      </c>
      <c r="D792" s="153" t="n">
        <f aca="false">D791+1</f>
        <v>407</v>
      </c>
      <c r="E792" s="118" t="e">
        <f aca="false">CEILING(D792/20;1)</f>
        <v>#VALUE!</v>
      </c>
      <c r="F792" s="118" t="e">
        <f aca="false">E792*$F$1</f>
        <v>#VALUE!</v>
      </c>
    </row>
    <row r="793" customFormat="false" ht="14.25" hidden="false" customHeight="true" outlineLevel="0" collapsed="false">
      <c r="A793" s="118" t="s">
        <v>1005</v>
      </c>
      <c r="B793" s="118" t="str">
        <f aca="false">CONCATENATE(C793&amp;D793)</f>
        <v>1"408</v>
      </c>
      <c r="C793" s="118" t="s">
        <v>967</v>
      </c>
      <c r="D793" s="153" t="n">
        <f aca="false">D792+1</f>
        <v>408</v>
      </c>
      <c r="E793" s="118" t="e">
        <f aca="false">CEILING(D793/20;1)</f>
        <v>#VALUE!</v>
      </c>
      <c r="F793" s="118" t="e">
        <f aca="false">E793*$F$1</f>
        <v>#VALUE!</v>
      </c>
    </row>
    <row r="794" customFormat="false" ht="14.25" hidden="false" customHeight="true" outlineLevel="0" collapsed="false">
      <c r="A794" s="118" t="s">
        <v>1005</v>
      </c>
      <c r="B794" s="118" t="str">
        <f aca="false">CONCATENATE(C794&amp;D794)</f>
        <v>1"409</v>
      </c>
      <c r="C794" s="118" t="s">
        <v>967</v>
      </c>
      <c r="D794" s="153" t="n">
        <f aca="false">D793+1</f>
        <v>409</v>
      </c>
      <c r="E794" s="118" t="e">
        <f aca="false">CEILING(D794/20;1)</f>
        <v>#VALUE!</v>
      </c>
      <c r="F794" s="118" t="e">
        <f aca="false">E794*$F$1</f>
        <v>#VALUE!</v>
      </c>
    </row>
    <row r="795" customFormat="false" ht="14.25" hidden="false" customHeight="true" outlineLevel="0" collapsed="false">
      <c r="A795" s="118" t="s">
        <v>1005</v>
      </c>
      <c r="B795" s="118" t="str">
        <f aca="false">CONCATENATE(C795&amp;D795)</f>
        <v>1"410</v>
      </c>
      <c r="C795" s="118" t="s">
        <v>967</v>
      </c>
      <c r="D795" s="153" t="n">
        <f aca="false">D794+1</f>
        <v>410</v>
      </c>
      <c r="E795" s="118" t="e">
        <f aca="false">CEILING(D795/20;1)</f>
        <v>#VALUE!</v>
      </c>
      <c r="F795" s="118" t="e">
        <f aca="false">E795*$F$1</f>
        <v>#VALUE!</v>
      </c>
    </row>
    <row r="796" customFormat="false" ht="14.25" hidden="false" customHeight="true" outlineLevel="0" collapsed="false">
      <c r="A796" s="118" t="s">
        <v>1005</v>
      </c>
      <c r="B796" s="118" t="str">
        <f aca="false">CONCATENATE(C796&amp;D796)</f>
        <v>1"411</v>
      </c>
      <c r="C796" s="118" t="s">
        <v>967</v>
      </c>
      <c r="D796" s="153" t="n">
        <f aca="false">D795+1</f>
        <v>411</v>
      </c>
      <c r="E796" s="118" t="e">
        <f aca="false">CEILING(D796/20;1)</f>
        <v>#VALUE!</v>
      </c>
      <c r="F796" s="118" t="e">
        <f aca="false">E796*$F$1</f>
        <v>#VALUE!</v>
      </c>
    </row>
    <row r="797" customFormat="false" ht="14.25" hidden="false" customHeight="true" outlineLevel="0" collapsed="false">
      <c r="A797" s="118" t="s">
        <v>1005</v>
      </c>
      <c r="B797" s="118" t="str">
        <f aca="false">CONCATENATE(C797&amp;D797)</f>
        <v>1"412</v>
      </c>
      <c r="C797" s="118" t="s">
        <v>967</v>
      </c>
      <c r="D797" s="153" t="n">
        <f aca="false">D796+1</f>
        <v>412</v>
      </c>
      <c r="E797" s="118" t="e">
        <f aca="false">CEILING(D797/20;1)</f>
        <v>#VALUE!</v>
      </c>
      <c r="F797" s="118" t="e">
        <f aca="false">E797*$F$1</f>
        <v>#VALUE!</v>
      </c>
    </row>
    <row r="798" customFormat="false" ht="14.25" hidden="false" customHeight="true" outlineLevel="0" collapsed="false">
      <c r="A798" s="118" t="s">
        <v>1005</v>
      </c>
      <c r="B798" s="118" t="str">
        <f aca="false">CONCATENATE(C798&amp;D798)</f>
        <v>1"413</v>
      </c>
      <c r="C798" s="118" t="s">
        <v>967</v>
      </c>
      <c r="D798" s="153" t="n">
        <f aca="false">D797+1</f>
        <v>413</v>
      </c>
      <c r="E798" s="118" t="e">
        <f aca="false">CEILING(D798/20;1)</f>
        <v>#VALUE!</v>
      </c>
      <c r="F798" s="118" t="e">
        <f aca="false">E798*$F$1</f>
        <v>#VALUE!</v>
      </c>
    </row>
    <row r="799" customFormat="false" ht="14.25" hidden="false" customHeight="true" outlineLevel="0" collapsed="false">
      <c r="A799" s="118" t="s">
        <v>1005</v>
      </c>
      <c r="B799" s="118" t="str">
        <f aca="false">CONCATENATE(C799&amp;D799)</f>
        <v>1"414</v>
      </c>
      <c r="C799" s="118" t="s">
        <v>967</v>
      </c>
      <c r="D799" s="153" t="n">
        <f aca="false">D798+1</f>
        <v>414</v>
      </c>
      <c r="E799" s="118" t="e">
        <f aca="false">CEILING(D799/20;1)</f>
        <v>#VALUE!</v>
      </c>
      <c r="F799" s="118" t="e">
        <f aca="false">E799*$F$1</f>
        <v>#VALUE!</v>
      </c>
    </row>
    <row r="800" customFormat="false" ht="14.25" hidden="false" customHeight="true" outlineLevel="0" collapsed="false">
      <c r="A800" s="118" t="s">
        <v>1005</v>
      </c>
      <c r="B800" s="118" t="str">
        <f aca="false">CONCATENATE(C800&amp;D800)</f>
        <v>1"415</v>
      </c>
      <c r="C800" s="118" t="s">
        <v>967</v>
      </c>
      <c r="D800" s="153" t="n">
        <f aca="false">D799+1</f>
        <v>415</v>
      </c>
      <c r="E800" s="118" t="e">
        <f aca="false">CEILING(D800/20;1)</f>
        <v>#VALUE!</v>
      </c>
      <c r="F800" s="118" t="e">
        <f aca="false">E800*$F$1</f>
        <v>#VALUE!</v>
      </c>
    </row>
    <row r="801" customFormat="false" ht="14.25" hidden="false" customHeight="true" outlineLevel="0" collapsed="false">
      <c r="A801" s="118" t="s">
        <v>1005</v>
      </c>
      <c r="B801" s="118" t="str">
        <f aca="false">CONCATENATE(C801&amp;D801)</f>
        <v>1"416</v>
      </c>
      <c r="C801" s="118" t="s">
        <v>967</v>
      </c>
      <c r="D801" s="153" t="n">
        <f aca="false">D800+1</f>
        <v>416</v>
      </c>
      <c r="E801" s="118" t="e">
        <f aca="false">CEILING(D801/20;1)</f>
        <v>#VALUE!</v>
      </c>
      <c r="F801" s="118" t="e">
        <f aca="false">E801*$F$1</f>
        <v>#VALUE!</v>
      </c>
    </row>
    <row r="802" customFormat="false" ht="14.25" hidden="false" customHeight="true" outlineLevel="0" collapsed="false">
      <c r="A802" s="118" t="s">
        <v>1005</v>
      </c>
      <c r="B802" s="118" t="str">
        <f aca="false">CONCATENATE(C802&amp;D802)</f>
        <v>1"417</v>
      </c>
      <c r="C802" s="118" t="s">
        <v>967</v>
      </c>
      <c r="D802" s="153" t="n">
        <f aca="false">D801+1</f>
        <v>417</v>
      </c>
      <c r="E802" s="118" t="e">
        <f aca="false">CEILING(D802/20;1)</f>
        <v>#VALUE!</v>
      </c>
      <c r="F802" s="118" t="e">
        <f aca="false">E802*$F$1</f>
        <v>#VALUE!</v>
      </c>
    </row>
    <row r="803" customFormat="false" ht="14.25" hidden="false" customHeight="true" outlineLevel="0" collapsed="false">
      <c r="A803" s="118" t="s">
        <v>1005</v>
      </c>
      <c r="B803" s="118" t="str">
        <f aca="false">CONCATENATE(C803&amp;D803)</f>
        <v>1"418</v>
      </c>
      <c r="C803" s="118" t="s">
        <v>967</v>
      </c>
      <c r="D803" s="153" t="n">
        <f aca="false">D802+1</f>
        <v>418</v>
      </c>
      <c r="E803" s="118" t="e">
        <f aca="false">CEILING(D803/20;1)</f>
        <v>#VALUE!</v>
      </c>
      <c r="F803" s="118" t="e">
        <f aca="false">E803*$F$1</f>
        <v>#VALUE!</v>
      </c>
    </row>
    <row r="804" customFormat="false" ht="14.25" hidden="false" customHeight="true" outlineLevel="0" collapsed="false">
      <c r="A804" s="118" t="s">
        <v>1005</v>
      </c>
      <c r="B804" s="118" t="str">
        <f aca="false">CONCATENATE(C804&amp;D804)</f>
        <v>1"419</v>
      </c>
      <c r="C804" s="118" t="s">
        <v>967</v>
      </c>
      <c r="D804" s="153" t="n">
        <f aca="false">D803+1</f>
        <v>419</v>
      </c>
      <c r="E804" s="118" t="e">
        <f aca="false">CEILING(D804/20;1)</f>
        <v>#VALUE!</v>
      </c>
      <c r="F804" s="118" t="e">
        <f aca="false">E804*$F$1</f>
        <v>#VALUE!</v>
      </c>
    </row>
    <row r="805" customFormat="false" ht="14.25" hidden="false" customHeight="true" outlineLevel="0" collapsed="false">
      <c r="A805" s="118" t="s">
        <v>1005</v>
      </c>
      <c r="B805" s="118" t="str">
        <f aca="false">CONCATENATE(C805&amp;D805)</f>
        <v>1"420</v>
      </c>
      <c r="C805" s="118" t="s">
        <v>967</v>
      </c>
      <c r="D805" s="153" t="n">
        <f aca="false">D804+1</f>
        <v>420</v>
      </c>
      <c r="E805" s="118" t="e">
        <f aca="false">CEILING(D805/20;1)</f>
        <v>#VALUE!</v>
      </c>
      <c r="F805" s="118" t="e">
        <f aca="false">E805*$F$1</f>
        <v>#VALUE!</v>
      </c>
    </row>
    <row r="806" customFormat="false" ht="14.25" hidden="false" customHeight="true" outlineLevel="0" collapsed="false">
      <c r="A806" s="118" t="s">
        <v>1005</v>
      </c>
      <c r="B806" s="118" t="str">
        <f aca="false">CONCATENATE(C806&amp;D806)</f>
        <v>1"421</v>
      </c>
      <c r="C806" s="118" t="s">
        <v>967</v>
      </c>
      <c r="D806" s="153" t="n">
        <f aca="false">D805+1</f>
        <v>421</v>
      </c>
      <c r="E806" s="118" t="e">
        <f aca="false">CEILING(D806/20;1)</f>
        <v>#VALUE!</v>
      </c>
      <c r="F806" s="118" t="e">
        <f aca="false">E806*$F$1</f>
        <v>#VALUE!</v>
      </c>
    </row>
    <row r="807" customFormat="false" ht="14.25" hidden="false" customHeight="true" outlineLevel="0" collapsed="false">
      <c r="A807" s="118" t="s">
        <v>1005</v>
      </c>
      <c r="B807" s="118" t="str">
        <f aca="false">CONCATENATE(C807&amp;D807)</f>
        <v>1"422</v>
      </c>
      <c r="C807" s="118" t="s">
        <v>967</v>
      </c>
      <c r="D807" s="153" t="n">
        <f aca="false">D806+1</f>
        <v>422</v>
      </c>
      <c r="E807" s="118" t="e">
        <f aca="false">CEILING(D807/20;1)</f>
        <v>#VALUE!</v>
      </c>
      <c r="F807" s="118" t="e">
        <f aca="false">E807*$F$1</f>
        <v>#VALUE!</v>
      </c>
    </row>
    <row r="808" customFormat="false" ht="14.25" hidden="false" customHeight="true" outlineLevel="0" collapsed="false">
      <c r="A808" s="118" t="s">
        <v>1005</v>
      </c>
      <c r="B808" s="118" t="str">
        <f aca="false">CONCATENATE(C808&amp;D808)</f>
        <v>1"423</v>
      </c>
      <c r="C808" s="118" t="s">
        <v>967</v>
      </c>
      <c r="D808" s="153" t="n">
        <f aca="false">D807+1</f>
        <v>423</v>
      </c>
      <c r="E808" s="118" t="e">
        <f aca="false">CEILING(D808/20;1)</f>
        <v>#VALUE!</v>
      </c>
      <c r="F808" s="118" t="e">
        <f aca="false">E808*$F$1</f>
        <v>#VALUE!</v>
      </c>
    </row>
    <row r="809" customFormat="false" ht="14.25" hidden="false" customHeight="true" outlineLevel="0" collapsed="false">
      <c r="A809" s="118" t="s">
        <v>1005</v>
      </c>
      <c r="B809" s="118" t="str">
        <f aca="false">CONCATENATE(C809&amp;D809)</f>
        <v>1"424</v>
      </c>
      <c r="C809" s="118" t="s">
        <v>967</v>
      </c>
      <c r="D809" s="153" t="n">
        <f aca="false">D808+1</f>
        <v>424</v>
      </c>
      <c r="E809" s="118" t="e">
        <f aca="false">CEILING(D809/20;1)</f>
        <v>#VALUE!</v>
      </c>
      <c r="F809" s="118" t="e">
        <f aca="false">E809*$F$1</f>
        <v>#VALUE!</v>
      </c>
    </row>
    <row r="810" customFormat="false" ht="14.25" hidden="false" customHeight="true" outlineLevel="0" collapsed="false">
      <c r="A810" s="118" t="s">
        <v>1005</v>
      </c>
      <c r="B810" s="118" t="str">
        <f aca="false">CONCATENATE(C810&amp;D810)</f>
        <v>1"425</v>
      </c>
      <c r="C810" s="118" t="s">
        <v>967</v>
      </c>
      <c r="D810" s="153" t="n">
        <f aca="false">D809+1</f>
        <v>425</v>
      </c>
      <c r="E810" s="118" t="e">
        <f aca="false">CEILING(D810/20;1)</f>
        <v>#VALUE!</v>
      </c>
      <c r="F810" s="118" t="e">
        <f aca="false">E810*$F$1</f>
        <v>#VALUE!</v>
      </c>
    </row>
    <row r="811" customFormat="false" ht="14.25" hidden="false" customHeight="true" outlineLevel="0" collapsed="false">
      <c r="A811" s="118" t="s">
        <v>1005</v>
      </c>
      <c r="B811" s="118" t="str">
        <f aca="false">CONCATENATE(C811&amp;D811)</f>
        <v>1"426</v>
      </c>
      <c r="C811" s="118" t="s">
        <v>967</v>
      </c>
      <c r="D811" s="153" t="n">
        <f aca="false">D810+1</f>
        <v>426</v>
      </c>
      <c r="E811" s="118" t="e">
        <f aca="false">CEILING(D811/20;1)</f>
        <v>#VALUE!</v>
      </c>
      <c r="F811" s="118" t="e">
        <f aca="false">E811*$F$1</f>
        <v>#VALUE!</v>
      </c>
    </row>
    <row r="812" customFormat="false" ht="14.25" hidden="false" customHeight="true" outlineLevel="0" collapsed="false">
      <c r="A812" s="118" t="s">
        <v>1005</v>
      </c>
      <c r="B812" s="118" t="str">
        <f aca="false">CONCATENATE(C812&amp;D812)</f>
        <v>1"427</v>
      </c>
      <c r="C812" s="118" t="s">
        <v>967</v>
      </c>
      <c r="D812" s="153" t="n">
        <f aca="false">D811+1</f>
        <v>427</v>
      </c>
      <c r="E812" s="118" t="e">
        <f aca="false">CEILING(D812/20;1)</f>
        <v>#VALUE!</v>
      </c>
      <c r="F812" s="118" t="e">
        <f aca="false">E812*$F$1</f>
        <v>#VALUE!</v>
      </c>
    </row>
    <row r="813" customFormat="false" ht="14.25" hidden="false" customHeight="true" outlineLevel="0" collapsed="false">
      <c r="A813" s="118" t="s">
        <v>1005</v>
      </c>
      <c r="B813" s="118" t="str">
        <f aca="false">CONCATENATE(C813&amp;D813)</f>
        <v>1"428</v>
      </c>
      <c r="C813" s="118" t="s">
        <v>967</v>
      </c>
      <c r="D813" s="153" t="n">
        <f aca="false">D812+1</f>
        <v>428</v>
      </c>
      <c r="E813" s="118" t="e">
        <f aca="false">CEILING(D813/20;1)</f>
        <v>#VALUE!</v>
      </c>
      <c r="F813" s="118" t="e">
        <f aca="false">E813*$F$1</f>
        <v>#VALUE!</v>
      </c>
    </row>
    <row r="814" customFormat="false" ht="14.25" hidden="false" customHeight="true" outlineLevel="0" collapsed="false">
      <c r="A814" s="118" t="s">
        <v>1005</v>
      </c>
      <c r="B814" s="118" t="str">
        <f aca="false">CONCATENATE(C814&amp;D814)</f>
        <v>1"429</v>
      </c>
      <c r="C814" s="118" t="s">
        <v>967</v>
      </c>
      <c r="D814" s="153" t="n">
        <f aca="false">D813+1</f>
        <v>429</v>
      </c>
      <c r="E814" s="118" t="e">
        <f aca="false">CEILING(D814/20;1)</f>
        <v>#VALUE!</v>
      </c>
      <c r="F814" s="118" t="e">
        <f aca="false">E814*$F$1</f>
        <v>#VALUE!</v>
      </c>
    </row>
    <row r="815" customFormat="false" ht="14.25" hidden="false" customHeight="true" outlineLevel="0" collapsed="false">
      <c r="A815" s="118" t="s">
        <v>1005</v>
      </c>
      <c r="B815" s="118" t="str">
        <f aca="false">CONCATENATE(C815&amp;D815)</f>
        <v>1"430</v>
      </c>
      <c r="C815" s="118" t="s">
        <v>967</v>
      </c>
      <c r="D815" s="153" t="n">
        <f aca="false">D814+1</f>
        <v>430</v>
      </c>
      <c r="E815" s="118" t="e">
        <f aca="false">CEILING(D815/20;1)</f>
        <v>#VALUE!</v>
      </c>
      <c r="F815" s="118" t="e">
        <f aca="false">E815*$F$1</f>
        <v>#VALUE!</v>
      </c>
    </row>
    <row r="816" customFormat="false" ht="14.25" hidden="false" customHeight="true" outlineLevel="0" collapsed="false">
      <c r="A816" s="118" t="s">
        <v>1005</v>
      </c>
      <c r="B816" s="118" t="str">
        <f aca="false">CONCATENATE(C816&amp;D816)</f>
        <v>1"431</v>
      </c>
      <c r="C816" s="118" t="s">
        <v>967</v>
      </c>
      <c r="D816" s="153" t="n">
        <f aca="false">D815+1</f>
        <v>431</v>
      </c>
      <c r="E816" s="118" t="e">
        <f aca="false">CEILING(D816/20;1)</f>
        <v>#VALUE!</v>
      </c>
      <c r="F816" s="118" t="e">
        <f aca="false">E816*$F$1</f>
        <v>#VALUE!</v>
      </c>
    </row>
    <row r="817" customFormat="false" ht="14.25" hidden="false" customHeight="true" outlineLevel="0" collapsed="false">
      <c r="A817" s="118" t="s">
        <v>1005</v>
      </c>
      <c r="B817" s="118" t="str">
        <f aca="false">CONCATENATE(C817&amp;D817)</f>
        <v>1"432</v>
      </c>
      <c r="C817" s="118" t="s">
        <v>967</v>
      </c>
      <c r="D817" s="153" t="n">
        <f aca="false">D816+1</f>
        <v>432</v>
      </c>
      <c r="E817" s="118" t="e">
        <f aca="false">CEILING(D817/20;1)</f>
        <v>#VALUE!</v>
      </c>
      <c r="F817" s="118" t="e">
        <f aca="false">E817*$F$1</f>
        <v>#VALUE!</v>
      </c>
    </row>
    <row r="818" customFormat="false" ht="14.25" hidden="false" customHeight="true" outlineLevel="0" collapsed="false">
      <c r="A818" s="118" t="s">
        <v>1005</v>
      </c>
      <c r="B818" s="118" t="str">
        <f aca="false">CONCATENATE(C818&amp;D818)</f>
        <v>1"433</v>
      </c>
      <c r="C818" s="118" t="s">
        <v>967</v>
      </c>
      <c r="D818" s="153" t="n">
        <f aca="false">D817+1</f>
        <v>433</v>
      </c>
      <c r="E818" s="118" t="e">
        <f aca="false">CEILING(D818/20;1)</f>
        <v>#VALUE!</v>
      </c>
      <c r="F818" s="118" t="e">
        <f aca="false">E818*$F$1</f>
        <v>#VALUE!</v>
      </c>
    </row>
    <row r="819" customFormat="false" ht="14.25" hidden="false" customHeight="true" outlineLevel="0" collapsed="false">
      <c r="A819" s="118" t="s">
        <v>1005</v>
      </c>
      <c r="B819" s="118" t="str">
        <f aca="false">CONCATENATE(C819&amp;D819)</f>
        <v>1"434</v>
      </c>
      <c r="C819" s="118" t="s">
        <v>967</v>
      </c>
      <c r="D819" s="153" t="n">
        <f aca="false">D818+1</f>
        <v>434</v>
      </c>
      <c r="E819" s="118" t="e">
        <f aca="false">CEILING(D819/20;1)</f>
        <v>#VALUE!</v>
      </c>
      <c r="F819" s="118" t="e">
        <f aca="false">E819*$F$1</f>
        <v>#VALUE!</v>
      </c>
    </row>
    <row r="820" customFormat="false" ht="14.25" hidden="false" customHeight="true" outlineLevel="0" collapsed="false">
      <c r="A820" s="118" t="s">
        <v>1005</v>
      </c>
      <c r="B820" s="118" t="str">
        <f aca="false">CONCATENATE(C820&amp;D820)</f>
        <v>1"435</v>
      </c>
      <c r="C820" s="118" t="s">
        <v>967</v>
      </c>
      <c r="D820" s="153" t="n">
        <f aca="false">D819+1</f>
        <v>435</v>
      </c>
      <c r="E820" s="118" t="e">
        <f aca="false">CEILING(D820/20;1)</f>
        <v>#VALUE!</v>
      </c>
      <c r="F820" s="118" t="e">
        <f aca="false">E820*$F$1</f>
        <v>#VALUE!</v>
      </c>
    </row>
    <row r="821" customFormat="false" ht="14.25" hidden="false" customHeight="true" outlineLevel="0" collapsed="false">
      <c r="A821" s="118" t="s">
        <v>1005</v>
      </c>
      <c r="B821" s="118" t="str">
        <f aca="false">CONCATENATE(C821&amp;D821)</f>
        <v>1"436</v>
      </c>
      <c r="C821" s="118" t="s">
        <v>967</v>
      </c>
      <c r="D821" s="153" t="n">
        <f aca="false">D820+1</f>
        <v>436</v>
      </c>
      <c r="E821" s="118" t="e">
        <f aca="false">CEILING(D821/20;1)</f>
        <v>#VALUE!</v>
      </c>
      <c r="F821" s="118" t="e">
        <f aca="false">E821*$F$1</f>
        <v>#VALUE!</v>
      </c>
    </row>
    <row r="822" customFormat="false" ht="14.25" hidden="false" customHeight="true" outlineLevel="0" collapsed="false">
      <c r="A822" s="118" t="s">
        <v>1005</v>
      </c>
      <c r="B822" s="118" t="str">
        <f aca="false">CONCATENATE(C822&amp;D822)</f>
        <v>1"437</v>
      </c>
      <c r="C822" s="118" t="s">
        <v>967</v>
      </c>
      <c r="D822" s="153" t="n">
        <f aca="false">D821+1</f>
        <v>437</v>
      </c>
      <c r="E822" s="118" t="e">
        <f aca="false">CEILING(D822/20;1)</f>
        <v>#VALUE!</v>
      </c>
      <c r="F822" s="118" t="e">
        <f aca="false">E822*$F$1</f>
        <v>#VALUE!</v>
      </c>
    </row>
    <row r="823" customFormat="false" ht="14.25" hidden="false" customHeight="true" outlineLevel="0" collapsed="false">
      <c r="A823" s="118" t="s">
        <v>1005</v>
      </c>
      <c r="B823" s="118" t="str">
        <f aca="false">CONCATENATE(C823&amp;D823)</f>
        <v>1"438</v>
      </c>
      <c r="C823" s="118" t="s">
        <v>967</v>
      </c>
      <c r="D823" s="153" t="n">
        <f aca="false">D822+1</f>
        <v>438</v>
      </c>
      <c r="E823" s="118" t="e">
        <f aca="false">CEILING(D823/20;1)</f>
        <v>#VALUE!</v>
      </c>
      <c r="F823" s="118" t="e">
        <f aca="false">E823*$F$1</f>
        <v>#VALUE!</v>
      </c>
    </row>
    <row r="824" customFormat="false" ht="14.25" hidden="false" customHeight="true" outlineLevel="0" collapsed="false">
      <c r="A824" s="118" t="s">
        <v>1005</v>
      </c>
      <c r="B824" s="118" t="str">
        <f aca="false">CONCATENATE(C824&amp;D824)</f>
        <v>1"439</v>
      </c>
      <c r="C824" s="118" t="s">
        <v>967</v>
      </c>
      <c r="D824" s="153" t="n">
        <f aca="false">D823+1</f>
        <v>439</v>
      </c>
      <c r="E824" s="118" t="e">
        <f aca="false">CEILING(D824/20;1)</f>
        <v>#VALUE!</v>
      </c>
      <c r="F824" s="118" t="e">
        <f aca="false">E824*$F$1</f>
        <v>#VALUE!</v>
      </c>
    </row>
    <row r="825" customFormat="false" ht="14.25" hidden="false" customHeight="true" outlineLevel="0" collapsed="false">
      <c r="A825" s="118" t="s">
        <v>1005</v>
      </c>
      <c r="B825" s="118" t="str">
        <f aca="false">CONCATENATE(C825&amp;D825)</f>
        <v>1"440</v>
      </c>
      <c r="C825" s="118" t="s">
        <v>967</v>
      </c>
      <c r="D825" s="153" t="n">
        <f aca="false">D824+1</f>
        <v>440</v>
      </c>
      <c r="E825" s="118" t="e">
        <f aca="false">CEILING(D825/20;1)</f>
        <v>#VALUE!</v>
      </c>
      <c r="F825" s="118" t="e">
        <f aca="false">E825*$F$1</f>
        <v>#VALUE!</v>
      </c>
    </row>
    <row r="826" customFormat="false" ht="14.25" hidden="false" customHeight="true" outlineLevel="0" collapsed="false">
      <c r="A826" s="118" t="s">
        <v>1005</v>
      </c>
      <c r="B826" s="118" t="str">
        <f aca="false">CONCATENATE(C826&amp;D826)</f>
        <v>1"441</v>
      </c>
      <c r="C826" s="118" t="s">
        <v>967</v>
      </c>
      <c r="D826" s="153" t="n">
        <f aca="false">D825+1</f>
        <v>441</v>
      </c>
      <c r="E826" s="118" t="e">
        <f aca="false">CEILING(D826/20;1)</f>
        <v>#VALUE!</v>
      </c>
      <c r="F826" s="118" t="e">
        <f aca="false">E826*$F$1</f>
        <v>#VALUE!</v>
      </c>
    </row>
    <row r="827" customFormat="false" ht="14.25" hidden="false" customHeight="true" outlineLevel="0" collapsed="false">
      <c r="A827" s="118" t="s">
        <v>1005</v>
      </c>
      <c r="B827" s="118" t="str">
        <f aca="false">CONCATENATE(C827&amp;D827)</f>
        <v>1"442</v>
      </c>
      <c r="C827" s="118" t="s">
        <v>967</v>
      </c>
      <c r="D827" s="153" t="n">
        <f aca="false">D826+1</f>
        <v>442</v>
      </c>
      <c r="E827" s="118" t="e">
        <f aca="false">CEILING(D827/20;1)</f>
        <v>#VALUE!</v>
      </c>
      <c r="F827" s="118" t="e">
        <f aca="false">E827*$F$1</f>
        <v>#VALUE!</v>
      </c>
    </row>
    <row r="828" customFormat="false" ht="14.25" hidden="false" customHeight="true" outlineLevel="0" collapsed="false">
      <c r="A828" s="118" t="s">
        <v>1005</v>
      </c>
      <c r="B828" s="118" t="str">
        <f aca="false">CONCATENATE(C828&amp;D828)</f>
        <v>1"443</v>
      </c>
      <c r="C828" s="118" t="s">
        <v>967</v>
      </c>
      <c r="D828" s="153" t="n">
        <f aca="false">D827+1</f>
        <v>443</v>
      </c>
      <c r="E828" s="118" t="e">
        <f aca="false">CEILING(D828/20;1)</f>
        <v>#VALUE!</v>
      </c>
      <c r="F828" s="118" t="e">
        <f aca="false">E828*$F$1</f>
        <v>#VALUE!</v>
      </c>
    </row>
    <row r="829" customFormat="false" ht="14.25" hidden="false" customHeight="true" outlineLevel="0" collapsed="false">
      <c r="A829" s="118" t="s">
        <v>1005</v>
      </c>
      <c r="B829" s="118" t="str">
        <f aca="false">CONCATENATE(C829&amp;D829)</f>
        <v>1"444</v>
      </c>
      <c r="C829" s="118" t="s">
        <v>967</v>
      </c>
      <c r="D829" s="153" t="n">
        <f aca="false">D828+1</f>
        <v>444</v>
      </c>
      <c r="E829" s="118" t="e">
        <f aca="false">CEILING(D829/20;1)</f>
        <v>#VALUE!</v>
      </c>
      <c r="F829" s="118" t="e">
        <f aca="false">E829*$F$1</f>
        <v>#VALUE!</v>
      </c>
    </row>
    <row r="830" customFormat="false" ht="14.25" hidden="false" customHeight="true" outlineLevel="0" collapsed="false">
      <c r="A830" s="118" t="s">
        <v>1005</v>
      </c>
      <c r="B830" s="118" t="str">
        <f aca="false">CONCATENATE(C830&amp;D830)</f>
        <v>1"445</v>
      </c>
      <c r="C830" s="118" t="s">
        <v>967</v>
      </c>
      <c r="D830" s="153" t="n">
        <f aca="false">D829+1</f>
        <v>445</v>
      </c>
      <c r="E830" s="118" t="e">
        <f aca="false">CEILING(D830/20;1)</f>
        <v>#VALUE!</v>
      </c>
      <c r="F830" s="118" t="e">
        <f aca="false">E830*$F$1</f>
        <v>#VALUE!</v>
      </c>
    </row>
    <row r="831" customFormat="false" ht="14.25" hidden="false" customHeight="true" outlineLevel="0" collapsed="false">
      <c r="A831" s="118" t="s">
        <v>1005</v>
      </c>
      <c r="B831" s="118" t="str">
        <f aca="false">CONCATENATE(C831&amp;D831)</f>
        <v>1"446</v>
      </c>
      <c r="C831" s="118" t="s">
        <v>967</v>
      </c>
      <c r="D831" s="153" t="n">
        <f aca="false">D830+1</f>
        <v>446</v>
      </c>
      <c r="E831" s="118" t="e">
        <f aca="false">CEILING(D831/20;1)</f>
        <v>#VALUE!</v>
      </c>
      <c r="F831" s="118" t="e">
        <f aca="false">E831*$F$1</f>
        <v>#VALUE!</v>
      </c>
    </row>
    <row r="832" customFormat="false" ht="14.25" hidden="false" customHeight="true" outlineLevel="0" collapsed="false">
      <c r="A832" s="118" t="s">
        <v>1005</v>
      </c>
      <c r="B832" s="118" t="str">
        <f aca="false">CONCATENATE(C832&amp;D832)</f>
        <v>1"447</v>
      </c>
      <c r="C832" s="118" t="s">
        <v>967</v>
      </c>
      <c r="D832" s="153" t="n">
        <f aca="false">D831+1</f>
        <v>447</v>
      </c>
      <c r="E832" s="118" t="e">
        <f aca="false">CEILING(D832/20;1)</f>
        <v>#VALUE!</v>
      </c>
      <c r="F832" s="118" t="e">
        <f aca="false">E832*$F$1</f>
        <v>#VALUE!</v>
      </c>
    </row>
    <row r="833" customFormat="false" ht="14.25" hidden="false" customHeight="true" outlineLevel="0" collapsed="false">
      <c r="A833" s="118" t="s">
        <v>1005</v>
      </c>
      <c r="B833" s="118" t="str">
        <f aca="false">CONCATENATE(C833&amp;D833)</f>
        <v>1"448</v>
      </c>
      <c r="C833" s="118" t="s">
        <v>967</v>
      </c>
      <c r="D833" s="153" t="n">
        <f aca="false">D832+1</f>
        <v>448</v>
      </c>
      <c r="E833" s="118" t="e">
        <f aca="false">CEILING(D833/20;1)</f>
        <v>#VALUE!</v>
      </c>
      <c r="F833" s="118" t="e">
        <f aca="false">E833*$F$1</f>
        <v>#VALUE!</v>
      </c>
    </row>
    <row r="834" customFormat="false" ht="14.25" hidden="false" customHeight="true" outlineLevel="0" collapsed="false">
      <c r="A834" s="118" t="s">
        <v>1005</v>
      </c>
      <c r="B834" s="118" t="str">
        <f aca="false">CONCATENATE(C834&amp;D834)</f>
        <v>1"449</v>
      </c>
      <c r="C834" s="118" t="s">
        <v>967</v>
      </c>
      <c r="D834" s="153" t="n">
        <f aca="false">D833+1</f>
        <v>449</v>
      </c>
      <c r="E834" s="118" t="e">
        <f aca="false">CEILING(D834/20;1)</f>
        <v>#VALUE!</v>
      </c>
      <c r="F834" s="118" t="e">
        <f aca="false">E834*$F$1</f>
        <v>#VALUE!</v>
      </c>
    </row>
    <row r="835" customFormat="false" ht="14.25" hidden="false" customHeight="true" outlineLevel="0" collapsed="false">
      <c r="A835" s="118" t="s">
        <v>1005</v>
      </c>
      <c r="B835" s="118" t="str">
        <f aca="false">CONCATENATE(C835&amp;D835)</f>
        <v>1"450</v>
      </c>
      <c r="C835" s="118" t="s">
        <v>967</v>
      </c>
      <c r="D835" s="153" t="n">
        <f aca="false">D834+1</f>
        <v>450</v>
      </c>
      <c r="E835" s="118" t="e">
        <f aca="false">CEILING(D835/20;1)</f>
        <v>#VALUE!</v>
      </c>
      <c r="F835" s="118" t="e">
        <f aca="false">E835*$F$1</f>
        <v>#VALUE!</v>
      </c>
    </row>
    <row r="836" customFormat="false" ht="14.25" hidden="false" customHeight="true" outlineLevel="0" collapsed="false">
      <c r="A836" s="118" t="s">
        <v>1005</v>
      </c>
      <c r="B836" s="118" t="str">
        <f aca="false">CONCATENATE(C836&amp;D836)</f>
        <v>1"451</v>
      </c>
      <c r="C836" s="118" t="s">
        <v>967</v>
      </c>
      <c r="D836" s="153" t="n">
        <f aca="false">D835+1</f>
        <v>451</v>
      </c>
      <c r="E836" s="118" t="e">
        <f aca="false">CEILING(D836/20;1)</f>
        <v>#VALUE!</v>
      </c>
      <c r="F836" s="118" t="e">
        <f aca="false">E836*$F$1</f>
        <v>#VALUE!</v>
      </c>
    </row>
    <row r="837" customFormat="false" ht="14.25" hidden="false" customHeight="true" outlineLevel="0" collapsed="false">
      <c r="A837" s="118" t="s">
        <v>1005</v>
      </c>
      <c r="B837" s="118" t="str">
        <f aca="false">CONCATENATE(C837&amp;D837)</f>
        <v>1"452</v>
      </c>
      <c r="C837" s="118" t="s">
        <v>967</v>
      </c>
      <c r="D837" s="153" t="n">
        <f aca="false">D836+1</f>
        <v>452</v>
      </c>
      <c r="E837" s="118" t="e">
        <f aca="false">CEILING(D837/20;1)</f>
        <v>#VALUE!</v>
      </c>
      <c r="F837" s="118" t="e">
        <f aca="false">E837*$F$1</f>
        <v>#VALUE!</v>
      </c>
    </row>
    <row r="838" customFormat="false" ht="14.25" hidden="false" customHeight="true" outlineLevel="0" collapsed="false">
      <c r="A838" s="118" t="s">
        <v>1005</v>
      </c>
      <c r="B838" s="118" t="str">
        <f aca="false">CONCATENATE(C838&amp;D838)</f>
        <v>1"453</v>
      </c>
      <c r="C838" s="118" t="s">
        <v>967</v>
      </c>
      <c r="D838" s="153" t="n">
        <f aca="false">D837+1</f>
        <v>453</v>
      </c>
      <c r="E838" s="118" t="e">
        <f aca="false">CEILING(D838/20;1)</f>
        <v>#VALUE!</v>
      </c>
      <c r="F838" s="118" t="e">
        <f aca="false">E838*$F$1</f>
        <v>#VALUE!</v>
      </c>
    </row>
    <row r="839" customFormat="false" ht="14.25" hidden="false" customHeight="true" outlineLevel="0" collapsed="false">
      <c r="A839" s="118" t="s">
        <v>1005</v>
      </c>
      <c r="B839" s="118" t="str">
        <f aca="false">CONCATENATE(C839&amp;D839)</f>
        <v>1"454</v>
      </c>
      <c r="C839" s="118" t="s">
        <v>967</v>
      </c>
      <c r="D839" s="153" t="n">
        <f aca="false">D838+1</f>
        <v>454</v>
      </c>
      <c r="E839" s="118" t="e">
        <f aca="false">CEILING(D839/20;1)</f>
        <v>#VALUE!</v>
      </c>
      <c r="F839" s="118" t="e">
        <f aca="false">E839*$F$1</f>
        <v>#VALUE!</v>
      </c>
    </row>
    <row r="840" customFormat="false" ht="14.25" hidden="false" customHeight="true" outlineLevel="0" collapsed="false">
      <c r="A840" s="118" t="s">
        <v>1005</v>
      </c>
      <c r="B840" s="118" t="str">
        <f aca="false">CONCATENATE(C840&amp;D840)</f>
        <v>1"455</v>
      </c>
      <c r="C840" s="118" t="s">
        <v>967</v>
      </c>
      <c r="D840" s="153" t="n">
        <f aca="false">D839+1</f>
        <v>455</v>
      </c>
      <c r="E840" s="118" t="e">
        <f aca="false">CEILING(D840/20;1)</f>
        <v>#VALUE!</v>
      </c>
      <c r="F840" s="118" t="e">
        <f aca="false">E840*$F$1</f>
        <v>#VALUE!</v>
      </c>
    </row>
    <row r="841" customFormat="false" ht="14.25" hidden="false" customHeight="true" outlineLevel="0" collapsed="false">
      <c r="A841" s="118" t="s">
        <v>1005</v>
      </c>
      <c r="B841" s="118" t="str">
        <f aca="false">CONCATENATE(C841&amp;D841)</f>
        <v>1"456</v>
      </c>
      <c r="C841" s="118" t="s">
        <v>967</v>
      </c>
      <c r="D841" s="153" t="n">
        <f aca="false">D840+1</f>
        <v>456</v>
      </c>
      <c r="E841" s="118" t="e">
        <f aca="false">CEILING(D841/20;1)</f>
        <v>#VALUE!</v>
      </c>
      <c r="F841" s="118" t="e">
        <f aca="false">E841*$F$1</f>
        <v>#VALUE!</v>
      </c>
    </row>
    <row r="842" customFormat="false" ht="14.25" hidden="false" customHeight="true" outlineLevel="0" collapsed="false">
      <c r="A842" s="118" t="s">
        <v>1005</v>
      </c>
      <c r="B842" s="118" t="str">
        <f aca="false">CONCATENATE(C842&amp;D842)</f>
        <v>1"457</v>
      </c>
      <c r="C842" s="118" t="s">
        <v>967</v>
      </c>
      <c r="D842" s="153" t="n">
        <f aca="false">D841+1</f>
        <v>457</v>
      </c>
      <c r="E842" s="118" t="e">
        <f aca="false">CEILING(D842/20;1)</f>
        <v>#VALUE!</v>
      </c>
      <c r="F842" s="118" t="e">
        <f aca="false">E842*$F$1</f>
        <v>#VALUE!</v>
      </c>
    </row>
    <row r="843" customFormat="false" ht="14.25" hidden="false" customHeight="true" outlineLevel="0" collapsed="false">
      <c r="A843" s="118" t="s">
        <v>1005</v>
      </c>
      <c r="B843" s="118" t="str">
        <f aca="false">CONCATENATE(C843&amp;D843)</f>
        <v>1"458</v>
      </c>
      <c r="C843" s="118" t="s">
        <v>967</v>
      </c>
      <c r="D843" s="153" t="n">
        <f aca="false">D842+1</f>
        <v>458</v>
      </c>
      <c r="E843" s="118" t="e">
        <f aca="false">CEILING(D843/20;1)</f>
        <v>#VALUE!</v>
      </c>
      <c r="F843" s="118" t="e">
        <f aca="false">E843*$F$1</f>
        <v>#VALUE!</v>
      </c>
    </row>
    <row r="844" customFormat="false" ht="14.25" hidden="false" customHeight="true" outlineLevel="0" collapsed="false">
      <c r="A844" s="118" t="s">
        <v>1005</v>
      </c>
      <c r="B844" s="118" t="str">
        <f aca="false">CONCATENATE(C844&amp;D844)</f>
        <v>1"459</v>
      </c>
      <c r="C844" s="118" t="s">
        <v>967</v>
      </c>
      <c r="D844" s="153" t="n">
        <f aca="false">D843+1</f>
        <v>459</v>
      </c>
      <c r="E844" s="118" t="e">
        <f aca="false">CEILING(D844/20;1)</f>
        <v>#VALUE!</v>
      </c>
      <c r="F844" s="118" t="e">
        <f aca="false">E844*$F$1</f>
        <v>#VALUE!</v>
      </c>
    </row>
    <row r="845" customFormat="false" ht="14.25" hidden="false" customHeight="true" outlineLevel="0" collapsed="false">
      <c r="A845" s="118" t="s">
        <v>1005</v>
      </c>
      <c r="B845" s="118" t="str">
        <f aca="false">CONCATENATE(C845&amp;D845)</f>
        <v>1"460</v>
      </c>
      <c r="C845" s="118" t="s">
        <v>967</v>
      </c>
      <c r="D845" s="153" t="n">
        <f aca="false">D844+1</f>
        <v>460</v>
      </c>
      <c r="E845" s="118" t="e">
        <f aca="false">CEILING(D845/20;1)</f>
        <v>#VALUE!</v>
      </c>
      <c r="F845" s="118" t="e">
        <f aca="false">E845*$F$1</f>
        <v>#VALUE!</v>
      </c>
    </row>
    <row r="846" customFormat="false" ht="14.25" hidden="false" customHeight="true" outlineLevel="0" collapsed="false">
      <c r="A846" s="118" t="s">
        <v>1005</v>
      </c>
      <c r="B846" s="118" t="str">
        <f aca="false">CONCATENATE(C846&amp;D846)</f>
        <v>1"461</v>
      </c>
      <c r="C846" s="118" t="s">
        <v>967</v>
      </c>
      <c r="D846" s="153" t="n">
        <f aca="false">D845+1</f>
        <v>461</v>
      </c>
      <c r="E846" s="118" t="e">
        <f aca="false">CEILING(D846/20;1)</f>
        <v>#VALUE!</v>
      </c>
      <c r="F846" s="118" t="e">
        <f aca="false">E846*$F$1</f>
        <v>#VALUE!</v>
      </c>
    </row>
    <row r="847" customFormat="false" ht="14.25" hidden="false" customHeight="true" outlineLevel="0" collapsed="false">
      <c r="A847" s="118" t="s">
        <v>1005</v>
      </c>
      <c r="B847" s="118" t="str">
        <f aca="false">CONCATENATE(C847&amp;D847)</f>
        <v>1"462</v>
      </c>
      <c r="C847" s="118" t="s">
        <v>967</v>
      </c>
      <c r="D847" s="153" t="n">
        <f aca="false">D846+1</f>
        <v>462</v>
      </c>
      <c r="E847" s="118" t="e">
        <f aca="false">CEILING(D847/20;1)</f>
        <v>#VALUE!</v>
      </c>
      <c r="F847" s="118" t="e">
        <f aca="false">E847*$F$1</f>
        <v>#VALUE!</v>
      </c>
    </row>
    <row r="848" customFormat="false" ht="14.25" hidden="false" customHeight="true" outlineLevel="0" collapsed="false">
      <c r="A848" s="118" t="s">
        <v>1005</v>
      </c>
      <c r="B848" s="118" t="str">
        <f aca="false">CONCATENATE(C848&amp;D848)</f>
        <v>1"463</v>
      </c>
      <c r="C848" s="118" t="s">
        <v>967</v>
      </c>
      <c r="D848" s="153" t="n">
        <f aca="false">D847+1</f>
        <v>463</v>
      </c>
      <c r="E848" s="118" t="e">
        <f aca="false">CEILING(D848/20;1)</f>
        <v>#VALUE!</v>
      </c>
      <c r="F848" s="118" t="e">
        <f aca="false">E848*$F$1</f>
        <v>#VALUE!</v>
      </c>
    </row>
    <row r="849" customFormat="false" ht="14.25" hidden="false" customHeight="true" outlineLevel="0" collapsed="false">
      <c r="A849" s="118" t="s">
        <v>1005</v>
      </c>
      <c r="B849" s="118" t="str">
        <f aca="false">CONCATENATE(C849&amp;D849)</f>
        <v>1"464</v>
      </c>
      <c r="C849" s="118" t="s">
        <v>967</v>
      </c>
      <c r="D849" s="153" t="n">
        <f aca="false">D848+1</f>
        <v>464</v>
      </c>
      <c r="E849" s="118" t="e">
        <f aca="false">CEILING(D849/20;1)</f>
        <v>#VALUE!</v>
      </c>
      <c r="F849" s="118" t="e">
        <f aca="false">E849*$F$1</f>
        <v>#VALUE!</v>
      </c>
    </row>
    <row r="850" customFormat="false" ht="14.25" hidden="false" customHeight="true" outlineLevel="0" collapsed="false">
      <c r="A850" s="118" t="s">
        <v>1005</v>
      </c>
      <c r="B850" s="118" t="str">
        <f aca="false">CONCATENATE(C850&amp;D850)</f>
        <v>1"465</v>
      </c>
      <c r="C850" s="118" t="s">
        <v>967</v>
      </c>
      <c r="D850" s="153" t="n">
        <f aca="false">D849+1</f>
        <v>465</v>
      </c>
      <c r="E850" s="118" t="e">
        <f aca="false">CEILING(D850/20;1)</f>
        <v>#VALUE!</v>
      </c>
      <c r="F850" s="118" t="e">
        <f aca="false">E850*$F$1</f>
        <v>#VALUE!</v>
      </c>
    </row>
    <row r="851" customFormat="false" ht="14.25" hidden="false" customHeight="true" outlineLevel="0" collapsed="false">
      <c r="A851" s="118" t="s">
        <v>1005</v>
      </c>
      <c r="B851" s="118" t="str">
        <f aca="false">CONCATENATE(C851&amp;D851)</f>
        <v>1"466</v>
      </c>
      <c r="C851" s="118" t="s">
        <v>967</v>
      </c>
      <c r="D851" s="153" t="n">
        <f aca="false">D850+1</f>
        <v>466</v>
      </c>
      <c r="E851" s="118" t="e">
        <f aca="false">CEILING(D851/20;1)</f>
        <v>#VALUE!</v>
      </c>
      <c r="F851" s="118" t="e">
        <f aca="false">E851*$F$1</f>
        <v>#VALUE!</v>
      </c>
    </row>
    <row r="852" customFormat="false" ht="14.25" hidden="false" customHeight="true" outlineLevel="0" collapsed="false">
      <c r="A852" s="118" t="s">
        <v>1005</v>
      </c>
      <c r="B852" s="118" t="str">
        <f aca="false">CONCATENATE(C852&amp;D852)</f>
        <v>1"467</v>
      </c>
      <c r="C852" s="118" t="s">
        <v>967</v>
      </c>
      <c r="D852" s="153" t="n">
        <f aca="false">D851+1</f>
        <v>467</v>
      </c>
      <c r="E852" s="118" t="e">
        <f aca="false">CEILING(D852/20;1)</f>
        <v>#VALUE!</v>
      </c>
      <c r="F852" s="118" t="e">
        <f aca="false">E852*$F$1</f>
        <v>#VALUE!</v>
      </c>
    </row>
    <row r="853" customFormat="false" ht="14.25" hidden="false" customHeight="true" outlineLevel="0" collapsed="false">
      <c r="A853" s="118" t="s">
        <v>1005</v>
      </c>
      <c r="B853" s="118" t="str">
        <f aca="false">CONCATENATE(C853&amp;D853)</f>
        <v>1"468</v>
      </c>
      <c r="C853" s="118" t="s">
        <v>967</v>
      </c>
      <c r="D853" s="153" t="n">
        <f aca="false">D852+1</f>
        <v>468</v>
      </c>
      <c r="E853" s="118" t="e">
        <f aca="false">CEILING(D853/20;1)</f>
        <v>#VALUE!</v>
      </c>
      <c r="F853" s="118" t="e">
        <f aca="false">E853*$F$1</f>
        <v>#VALUE!</v>
      </c>
    </row>
    <row r="854" customFormat="false" ht="14.25" hidden="false" customHeight="true" outlineLevel="0" collapsed="false">
      <c r="A854" s="118" t="s">
        <v>1005</v>
      </c>
      <c r="B854" s="118" t="str">
        <f aca="false">CONCATENATE(C854&amp;D854)</f>
        <v>1"469</v>
      </c>
      <c r="C854" s="118" t="s">
        <v>967</v>
      </c>
      <c r="D854" s="153" t="n">
        <f aca="false">D853+1</f>
        <v>469</v>
      </c>
      <c r="E854" s="118" t="e">
        <f aca="false">CEILING(D854/20;1)</f>
        <v>#VALUE!</v>
      </c>
      <c r="F854" s="118" t="e">
        <f aca="false">E854*$F$1</f>
        <v>#VALUE!</v>
      </c>
    </row>
    <row r="855" customFormat="false" ht="14.25" hidden="false" customHeight="true" outlineLevel="0" collapsed="false">
      <c r="A855" s="118" t="s">
        <v>1005</v>
      </c>
      <c r="B855" s="118" t="str">
        <f aca="false">CONCATENATE(C855&amp;D855)</f>
        <v>1"470</v>
      </c>
      <c r="C855" s="118" t="s">
        <v>967</v>
      </c>
      <c r="D855" s="153" t="n">
        <f aca="false">D854+1</f>
        <v>470</v>
      </c>
      <c r="E855" s="118" t="e">
        <f aca="false">CEILING(D855/20;1)</f>
        <v>#VALUE!</v>
      </c>
      <c r="F855" s="118" t="e">
        <f aca="false">E855*$F$1</f>
        <v>#VALUE!</v>
      </c>
    </row>
    <row r="856" customFormat="false" ht="14.25" hidden="false" customHeight="true" outlineLevel="0" collapsed="false">
      <c r="A856" s="118" t="s">
        <v>1005</v>
      </c>
      <c r="B856" s="118" t="str">
        <f aca="false">CONCATENATE(C856&amp;D856)</f>
        <v>1"471</v>
      </c>
      <c r="C856" s="118" t="s">
        <v>967</v>
      </c>
      <c r="D856" s="153" t="n">
        <f aca="false">D855+1</f>
        <v>471</v>
      </c>
      <c r="E856" s="118" t="e">
        <f aca="false">CEILING(D856/20;1)</f>
        <v>#VALUE!</v>
      </c>
      <c r="F856" s="118" t="e">
        <f aca="false">E856*$F$1</f>
        <v>#VALUE!</v>
      </c>
    </row>
    <row r="857" customFormat="false" ht="14.25" hidden="false" customHeight="true" outlineLevel="0" collapsed="false">
      <c r="A857" s="118" t="s">
        <v>1005</v>
      </c>
      <c r="B857" s="118" t="str">
        <f aca="false">CONCATENATE(C857&amp;D857)</f>
        <v>1"472</v>
      </c>
      <c r="C857" s="118" t="s">
        <v>967</v>
      </c>
      <c r="D857" s="153" t="n">
        <f aca="false">D856+1</f>
        <v>472</v>
      </c>
      <c r="E857" s="118" t="e">
        <f aca="false">CEILING(D857/20;1)</f>
        <v>#VALUE!</v>
      </c>
      <c r="F857" s="118" t="e">
        <f aca="false">E857*$F$1</f>
        <v>#VALUE!</v>
      </c>
    </row>
    <row r="858" customFormat="false" ht="14.25" hidden="false" customHeight="true" outlineLevel="0" collapsed="false">
      <c r="A858" s="118" t="s">
        <v>1005</v>
      </c>
      <c r="B858" s="118" t="str">
        <f aca="false">CONCATENATE(C858&amp;D858)</f>
        <v>1"473</v>
      </c>
      <c r="C858" s="118" t="s">
        <v>967</v>
      </c>
      <c r="D858" s="153" t="n">
        <f aca="false">D857+1</f>
        <v>473</v>
      </c>
      <c r="E858" s="118" t="e">
        <f aca="false">CEILING(D858/20;1)</f>
        <v>#VALUE!</v>
      </c>
      <c r="F858" s="118" t="e">
        <f aca="false">E858*$F$1</f>
        <v>#VALUE!</v>
      </c>
    </row>
    <row r="859" customFormat="false" ht="14.25" hidden="false" customHeight="true" outlineLevel="0" collapsed="false">
      <c r="A859" s="118" t="s">
        <v>1005</v>
      </c>
      <c r="B859" s="118" t="str">
        <f aca="false">CONCATENATE(C859&amp;D859)</f>
        <v>1"474</v>
      </c>
      <c r="C859" s="118" t="s">
        <v>967</v>
      </c>
      <c r="D859" s="153" t="n">
        <f aca="false">D858+1</f>
        <v>474</v>
      </c>
      <c r="E859" s="118" t="e">
        <f aca="false">CEILING(D859/20;1)</f>
        <v>#VALUE!</v>
      </c>
      <c r="F859" s="118" t="e">
        <f aca="false">E859*$F$1</f>
        <v>#VALUE!</v>
      </c>
    </row>
    <row r="860" customFormat="false" ht="14.25" hidden="false" customHeight="true" outlineLevel="0" collapsed="false">
      <c r="A860" s="118" t="s">
        <v>1005</v>
      </c>
      <c r="B860" s="118" t="str">
        <f aca="false">CONCATENATE(C860&amp;D860)</f>
        <v>1"475</v>
      </c>
      <c r="C860" s="118" t="s">
        <v>967</v>
      </c>
      <c r="D860" s="153" t="n">
        <f aca="false">D859+1</f>
        <v>475</v>
      </c>
      <c r="E860" s="118" t="e">
        <f aca="false">CEILING(D860/20;1)</f>
        <v>#VALUE!</v>
      </c>
      <c r="F860" s="118" t="e">
        <f aca="false">E860*$F$1</f>
        <v>#VALUE!</v>
      </c>
    </row>
    <row r="861" customFormat="false" ht="14.25" hidden="false" customHeight="true" outlineLevel="0" collapsed="false">
      <c r="A861" s="118" t="s">
        <v>1005</v>
      </c>
      <c r="B861" s="118" t="str">
        <f aca="false">CONCATENATE(C861&amp;D861)</f>
        <v>1"476</v>
      </c>
      <c r="C861" s="118" t="s">
        <v>967</v>
      </c>
      <c r="D861" s="153" t="n">
        <f aca="false">D860+1</f>
        <v>476</v>
      </c>
      <c r="E861" s="118" t="e">
        <f aca="false">CEILING(D861/20;1)</f>
        <v>#VALUE!</v>
      </c>
      <c r="F861" s="118" t="e">
        <f aca="false">E861*$F$1</f>
        <v>#VALUE!</v>
      </c>
    </row>
    <row r="862" customFormat="false" ht="14.25" hidden="false" customHeight="true" outlineLevel="0" collapsed="false">
      <c r="A862" s="118" t="s">
        <v>1005</v>
      </c>
      <c r="B862" s="118" t="str">
        <f aca="false">CONCATENATE(C862&amp;D862)</f>
        <v>1"477</v>
      </c>
      <c r="C862" s="118" t="s">
        <v>967</v>
      </c>
      <c r="D862" s="153" t="n">
        <f aca="false">D861+1</f>
        <v>477</v>
      </c>
      <c r="E862" s="118" t="e">
        <f aca="false">CEILING(D862/20;1)</f>
        <v>#VALUE!</v>
      </c>
      <c r="F862" s="118" t="e">
        <f aca="false">E862*$F$1</f>
        <v>#VALUE!</v>
      </c>
    </row>
    <row r="863" customFormat="false" ht="14.25" hidden="false" customHeight="true" outlineLevel="0" collapsed="false">
      <c r="A863" s="118" t="s">
        <v>1005</v>
      </c>
      <c r="B863" s="118" t="str">
        <f aca="false">CONCATENATE(C863&amp;D863)</f>
        <v>1"478</v>
      </c>
      <c r="C863" s="118" t="s">
        <v>967</v>
      </c>
      <c r="D863" s="153" t="n">
        <f aca="false">D862+1</f>
        <v>478</v>
      </c>
      <c r="E863" s="118" t="e">
        <f aca="false">CEILING(D863/20;1)</f>
        <v>#VALUE!</v>
      </c>
      <c r="F863" s="118" t="e">
        <f aca="false">E863*$F$1</f>
        <v>#VALUE!</v>
      </c>
    </row>
    <row r="864" customFormat="false" ht="14.25" hidden="false" customHeight="true" outlineLevel="0" collapsed="false">
      <c r="A864" s="118" t="s">
        <v>1005</v>
      </c>
      <c r="B864" s="118" t="str">
        <f aca="false">CONCATENATE(C864&amp;D864)</f>
        <v>1"479</v>
      </c>
      <c r="C864" s="118" t="s">
        <v>967</v>
      </c>
      <c r="D864" s="153" t="n">
        <f aca="false">D863+1</f>
        <v>479</v>
      </c>
      <c r="E864" s="118" t="e">
        <f aca="false">CEILING(D864/20;1)</f>
        <v>#VALUE!</v>
      </c>
      <c r="F864" s="118" t="e">
        <f aca="false">E864*$F$1</f>
        <v>#VALUE!</v>
      </c>
    </row>
    <row r="865" customFormat="false" ht="14.25" hidden="false" customHeight="true" outlineLevel="0" collapsed="false">
      <c r="A865" s="118" t="s">
        <v>1005</v>
      </c>
      <c r="B865" s="118" t="str">
        <f aca="false">CONCATENATE(C865&amp;D865)</f>
        <v>1"480</v>
      </c>
      <c r="C865" s="118" t="s">
        <v>967</v>
      </c>
      <c r="D865" s="153" t="n">
        <f aca="false">D864+1</f>
        <v>480</v>
      </c>
      <c r="E865" s="118" t="e">
        <f aca="false">CEILING(D865/20;1)</f>
        <v>#VALUE!</v>
      </c>
      <c r="F865" s="118" t="e">
        <f aca="false">E865*$F$1</f>
        <v>#VALUE!</v>
      </c>
    </row>
    <row r="866" customFormat="false" ht="14.25" hidden="false" customHeight="true" outlineLevel="0" collapsed="false">
      <c r="A866" s="118" t="s">
        <v>1005</v>
      </c>
      <c r="B866" s="118" t="str">
        <f aca="false">CONCATENATE(C866&amp;D866)</f>
        <v>1"481</v>
      </c>
      <c r="C866" s="118" t="s">
        <v>967</v>
      </c>
      <c r="D866" s="153" t="n">
        <f aca="false">D865+1</f>
        <v>481</v>
      </c>
      <c r="E866" s="118" t="e">
        <f aca="false">CEILING(D866/20;1)</f>
        <v>#VALUE!</v>
      </c>
      <c r="F866" s="118" t="e">
        <f aca="false">E866*$F$1</f>
        <v>#VALUE!</v>
      </c>
    </row>
    <row r="867" customFormat="false" ht="14.25" hidden="false" customHeight="true" outlineLevel="0" collapsed="false">
      <c r="A867" s="118" t="s">
        <v>1005</v>
      </c>
      <c r="B867" s="118" t="str">
        <f aca="false">CONCATENATE(C867&amp;D867)</f>
        <v>1"482</v>
      </c>
      <c r="C867" s="118" t="s">
        <v>967</v>
      </c>
      <c r="D867" s="153" t="n">
        <f aca="false">D866+1</f>
        <v>482</v>
      </c>
      <c r="E867" s="118" t="e">
        <f aca="false">CEILING(D867/20;1)</f>
        <v>#VALUE!</v>
      </c>
      <c r="F867" s="118" t="e">
        <f aca="false">E867*$F$1</f>
        <v>#VALUE!</v>
      </c>
    </row>
    <row r="868" customFormat="false" ht="14.25" hidden="false" customHeight="true" outlineLevel="0" collapsed="false">
      <c r="A868" s="118" t="s">
        <v>1005</v>
      </c>
      <c r="B868" s="118" t="str">
        <f aca="false">CONCATENATE(C868&amp;D868)</f>
        <v>1"483</v>
      </c>
      <c r="C868" s="118" t="s">
        <v>967</v>
      </c>
      <c r="D868" s="153" t="n">
        <f aca="false">D867+1</f>
        <v>483</v>
      </c>
      <c r="E868" s="118" t="e">
        <f aca="false">CEILING(D868/20;1)</f>
        <v>#VALUE!</v>
      </c>
      <c r="F868" s="118" t="e">
        <f aca="false">E868*$F$1</f>
        <v>#VALUE!</v>
      </c>
    </row>
    <row r="869" customFormat="false" ht="14.25" hidden="false" customHeight="true" outlineLevel="0" collapsed="false">
      <c r="A869" s="118" t="s">
        <v>1005</v>
      </c>
      <c r="B869" s="118" t="str">
        <f aca="false">CONCATENATE(C869&amp;D869)</f>
        <v>1"484</v>
      </c>
      <c r="C869" s="118" t="s">
        <v>967</v>
      </c>
      <c r="D869" s="153" t="n">
        <f aca="false">D868+1</f>
        <v>484</v>
      </c>
      <c r="E869" s="118" t="e">
        <f aca="false">CEILING(D869/20;1)</f>
        <v>#VALUE!</v>
      </c>
      <c r="F869" s="118" t="e">
        <f aca="false">E869*$F$1</f>
        <v>#VALUE!</v>
      </c>
    </row>
    <row r="870" customFormat="false" ht="14.25" hidden="false" customHeight="true" outlineLevel="0" collapsed="false">
      <c r="A870" s="118" t="s">
        <v>1005</v>
      </c>
      <c r="B870" s="118" t="str">
        <f aca="false">CONCATENATE(C870&amp;D870)</f>
        <v>1"485</v>
      </c>
      <c r="C870" s="118" t="s">
        <v>967</v>
      </c>
      <c r="D870" s="153" t="n">
        <f aca="false">D869+1</f>
        <v>485</v>
      </c>
      <c r="E870" s="118" t="e">
        <f aca="false">CEILING(D870/20;1)</f>
        <v>#VALUE!</v>
      </c>
      <c r="F870" s="118" t="e">
        <f aca="false">E870*$F$1</f>
        <v>#VALUE!</v>
      </c>
    </row>
    <row r="871" customFormat="false" ht="14.25" hidden="false" customHeight="true" outlineLevel="0" collapsed="false">
      <c r="A871" s="118" t="s">
        <v>1005</v>
      </c>
      <c r="B871" s="118" t="str">
        <f aca="false">CONCATENATE(C871&amp;D871)</f>
        <v>1"486</v>
      </c>
      <c r="C871" s="118" t="s">
        <v>967</v>
      </c>
      <c r="D871" s="153" t="n">
        <f aca="false">D870+1</f>
        <v>486</v>
      </c>
      <c r="E871" s="118" t="e">
        <f aca="false">CEILING(D871/20;1)</f>
        <v>#VALUE!</v>
      </c>
      <c r="F871" s="118" t="e">
        <f aca="false">E871*$F$1</f>
        <v>#VALUE!</v>
      </c>
    </row>
    <row r="872" customFormat="false" ht="14.25" hidden="false" customHeight="true" outlineLevel="0" collapsed="false">
      <c r="A872" s="118" t="s">
        <v>1005</v>
      </c>
      <c r="B872" s="118" t="str">
        <f aca="false">CONCATENATE(C872&amp;D872)</f>
        <v>1"487</v>
      </c>
      <c r="C872" s="118" t="s">
        <v>967</v>
      </c>
      <c r="D872" s="153" t="n">
        <f aca="false">D871+1</f>
        <v>487</v>
      </c>
      <c r="E872" s="118" t="e">
        <f aca="false">CEILING(D872/20;1)</f>
        <v>#VALUE!</v>
      </c>
      <c r="F872" s="118" t="e">
        <f aca="false">E872*$F$1</f>
        <v>#VALUE!</v>
      </c>
    </row>
    <row r="873" customFormat="false" ht="14.25" hidden="false" customHeight="true" outlineLevel="0" collapsed="false">
      <c r="A873" s="118" t="s">
        <v>1005</v>
      </c>
      <c r="B873" s="118" t="str">
        <f aca="false">CONCATENATE(C873&amp;D873)</f>
        <v>1"488</v>
      </c>
      <c r="C873" s="118" t="s">
        <v>967</v>
      </c>
      <c r="D873" s="153" t="n">
        <f aca="false">D872+1</f>
        <v>488</v>
      </c>
      <c r="E873" s="118" t="e">
        <f aca="false">CEILING(D873/20;1)</f>
        <v>#VALUE!</v>
      </c>
      <c r="F873" s="118" t="e">
        <f aca="false">E873*$F$1</f>
        <v>#VALUE!</v>
      </c>
    </row>
    <row r="874" customFormat="false" ht="14.25" hidden="false" customHeight="true" outlineLevel="0" collapsed="false">
      <c r="A874" s="118" t="s">
        <v>1005</v>
      </c>
      <c r="B874" s="118" t="str">
        <f aca="false">CONCATENATE(C874&amp;D874)</f>
        <v>1"489</v>
      </c>
      <c r="C874" s="118" t="s">
        <v>967</v>
      </c>
      <c r="D874" s="153" t="n">
        <f aca="false">D873+1</f>
        <v>489</v>
      </c>
      <c r="E874" s="118" t="e">
        <f aca="false">CEILING(D874/20;1)</f>
        <v>#VALUE!</v>
      </c>
      <c r="F874" s="118" t="e">
        <f aca="false">E874*$F$1</f>
        <v>#VALUE!</v>
      </c>
    </row>
    <row r="875" customFormat="false" ht="14.25" hidden="false" customHeight="true" outlineLevel="0" collapsed="false">
      <c r="A875" s="118" t="s">
        <v>1005</v>
      </c>
      <c r="B875" s="118" t="str">
        <f aca="false">CONCATENATE(C875&amp;D875)</f>
        <v>1"490</v>
      </c>
      <c r="C875" s="118" t="s">
        <v>967</v>
      </c>
      <c r="D875" s="153" t="n">
        <f aca="false">D874+1</f>
        <v>490</v>
      </c>
      <c r="E875" s="118" t="e">
        <f aca="false">CEILING(D875/20;1)</f>
        <v>#VALUE!</v>
      </c>
      <c r="F875" s="118" t="e">
        <f aca="false">E875*$F$1</f>
        <v>#VALUE!</v>
      </c>
    </row>
    <row r="876" customFormat="false" ht="14.25" hidden="false" customHeight="true" outlineLevel="0" collapsed="false">
      <c r="A876" s="118" t="s">
        <v>1005</v>
      </c>
      <c r="B876" s="118" t="str">
        <f aca="false">CONCATENATE(C876&amp;D876)</f>
        <v>1"491</v>
      </c>
      <c r="C876" s="118" t="s">
        <v>967</v>
      </c>
      <c r="D876" s="153" t="n">
        <f aca="false">D875+1</f>
        <v>491</v>
      </c>
      <c r="E876" s="118" t="e">
        <f aca="false">CEILING(D876/20;1)</f>
        <v>#VALUE!</v>
      </c>
      <c r="F876" s="118" t="e">
        <f aca="false">E876*$F$1</f>
        <v>#VALUE!</v>
      </c>
    </row>
    <row r="877" customFormat="false" ht="14.25" hidden="false" customHeight="true" outlineLevel="0" collapsed="false">
      <c r="A877" s="118" t="s">
        <v>1005</v>
      </c>
      <c r="B877" s="118" t="str">
        <f aca="false">CONCATENATE(C877&amp;D877)</f>
        <v>1"492</v>
      </c>
      <c r="C877" s="118" t="s">
        <v>967</v>
      </c>
      <c r="D877" s="153" t="n">
        <f aca="false">D876+1</f>
        <v>492</v>
      </c>
      <c r="E877" s="118" t="e">
        <f aca="false">CEILING(D877/20;1)</f>
        <v>#VALUE!</v>
      </c>
      <c r="F877" s="118" t="e">
        <f aca="false">E877*$F$1</f>
        <v>#VALUE!</v>
      </c>
    </row>
    <row r="878" customFormat="false" ht="14.25" hidden="false" customHeight="true" outlineLevel="0" collapsed="false">
      <c r="A878" s="118" t="s">
        <v>1005</v>
      </c>
      <c r="B878" s="118" t="str">
        <f aca="false">CONCATENATE(C878&amp;D878)</f>
        <v>1"493</v>
      </c>
      <c r="C878" s="118" t="s">
        <v>967</v>
      </c>
      <c r="D878" s="153" t="n">
        <f aca="false">D877+1</f>
        <v>493</v>
      </c>
      <c r="E878" s="118" t="e">
        <f aca="false">CEILING(D878/20;1)</f>
        <v>#VALUE!</v>
      </c>
      <c r="F878" s="118" t="e">
        <f aca="false">E878*$F$1</f>
        <v>#VALUE!</v>
      </c>
    </row>
    <row r="879" customFormat="false" ht="14.25" hidden="false" customHeight="true" outlineLevel="0" collapsed="false">
      <c r="A879" s="118" t="s">
        <v>1005</v>
      </c>
      <c r="B879" s="118" t="str">
        <f aca="false">CONCATENATE(C879&amp;D879)</f>
        <v>1"494</v>
      </c>
      <c r="C879" s="118" t="s">
        <v>967</v>
      </c>
      <c r="D879" s="153" t="n">
        <f aca="false">D878+1</f>
        <v>494</v>
      </c>
      <c r="E879" s="118" t="e">
        <f aca="false">CEILING(D879/20;1)</f>
        <v>#VALUE!</v>
      </c>
      <c r="F879" s="118" t="e">
        <f aca="false">E879*$F$1</f>
        <v>#VALUE!</v>
      </c>
    </row>
    <row r="880" customFormat="false" ht="14.25" hidden="false" customHeight="true" outlineLevel="0" collapsed="false">
      <c r="A880" s="118" t="s">
        <v>1005</v>
      </c>
      <c r="B880" s="118" t="str">
        <f aca="false">CONCATENATE(C880&amp;D880)</f>
        <v>1"495</v>
      </c>
      <c r="C880" s="118" t="s">
        <v>967</v>
      </c>
      <c r="D880" s="153" t="n">
        <f aca="false">D879+1</f>
        <v>495</v>
      </c>
      <c r="E880" s="118" t="e">
        <f aca="false">CEILING(D880/20;1)</f>
        <v>#VALUE!</v>
      </c>
      <c r="F880" s="118" t="e">
        <f aca="false">E880*$F$1</f>
        <v>#VALUE!</v>
      </c>
    </row>
    <row r="881" customFormat="false" ht="14.25" hidden="false" customHeight="true" outlineLevel="0" collapsed="false">
      <c r="A881" s="118" t="s">
        <v>1005</v>
      </c>
      <c r="B881" s="118" t="str">
        <f aca="false">CONCATENATE(C881&amp;D881)</f>
        <v>1"496</v>
      </c>
      <c r="C881" s="118" t="s">
        <v>967</v>
      </c>
      <c r="D881" s="153" t="n">
        <f aca="false">D880+1</f>
        <v>496</v>
      </c>
      <c r="E881" s="118" t="e">
        <f aca="false">CEILING(D881/20;1)</f>
        <v>#VALUE!</v>
      </c>
      <c r="F881" s="118" t="e">
        <f aca="false">E881*$F$1</f>
        <v>#VALUE!</v>
      </c>
    </row>
    <row r="882" customFormat="false" ht="14.25" hidden="false" customHeight="true" outlineLevel="0" collapsed="false">
      <c r="A882" s="118" t="s">
        <v>1005</v>
      </c>
      <c r="B882" s="118" t="str">
        <f aca="false">CONCATENATE(C882&amp;D882)</f>
        <v>1"497</v>
      </c>
      <c r="C882" s="118" t="s">
        <v>967</v>
      </c>
      <c r="D882" s="153" t="n">
        <f aca="false">D881+1</f>
        <v>497</v>
      </c>
      <c r="E882" s="118" t="e">
        <f aca="false">CEILING(D882/20;1)</f>
        <v>#VALUE!</v>
      </c>
      <c r="F882" s="118" t="e">
        <f aca="false">E882*$F$1</f>
        <v>#VALUE!</v>
      </c>
    </row>
    <row r="883" customFormat="false" ht="14.25" hidden="false" customHeight="true" outlineLevel="0" collapsed="false">
      <c r="A883" s="118" t="s">
        <v>1005</v>
      </c>
      <c r="B883" s="118" t="str">
        <f aca="false">CONCATENATE(C883&amp;D883)</f>
        <v>1"498</v>
      </c>
      <c r="C883" s="118" t="s">
        <v>967</v>
      </c>
      <c r="D883" s="153" t="n">
        <f aca="false">D882+1</f>
        <v>498</v>
      </c>
      <c r="E883" s="118" t="e">
        <f aca="false">CEILING(D883/20;1)</f>
        <v>#VALUE!</v>
      </c>
      <c r="F883" s="118" t="e">
        <f aca="false">E883*$F$1</f>
        <v>#VALUE!</v>
      </c>
    </row>
    <row r="884" customFormat="false" ht="14.25" hidden="false" customHeight="true" outlineLevel="0" collapsed="false">
      <c r="A884" s="118" t="s">
        <v>1005</v>
      </c>
      <c r="B884" s="118" t="str">
        <f aca="false">CONCATENATE(C884&amp;D884)</f>
        <v>1"499</v>
      </c>
      <c r="C884" s="118" t="s">
        <v>967</v>
      </c>
      <c r="D884" s="153" t="n">
        <f aca="false">D883+1</f>
        <v>499</v>
      </c>
      <c r="E884" s="118" t="e">
        <f aca="false">CEILING(D884/20;1)</f>
        <v>#VALUE!</v>
      </c>
      <c r="F884" s="118" t="e">
        <f aca="false">E884*$F$1</f>
        <v>#VALUE!</v>
      </c>
    </row>
    <row r="885" customFormat="false" ht="14.25" hidden="false" customHeight="true" outlineLevel="0" collapsed="false">
      <c r="A885" s="118" t="s">
        <v>1005</v>
      </c>
      <c r="B885" s="118" t="str">
        <f aca="false">CONCATENATE(C885&amp;D885)</f>
        <v>1"500</v>
      </c>
      <c r="C885" s="118" t="s">
        <v>967</v>
      </c>
      <c r="D885" s="153" t="n">
        <f aca="false">D884+1</f>
        <v>500</v>
      </c>
      <c r="E885" s="118" t="e">
        <f aca="false">CEILING(D885/20;1)</f>
        <v>#VALUE!</v>
      </c>
      <c r="F885" s="118" t="e">
        <f aca="false">E885*$F$1</f>
        <v>#VALUE!</v>
      </c>
    </row>
    <row r="886" customFormat="false" ht="14.25" hidden="false" customHeight="true" outlineLevel="0" collapsed="false">
      <c r="A886" s="118" t="s">
        <v>1005</v>
      </c>
      <c r="B886" s="118" t="str">
        <f aca="false">CONCATENATE(C886&amp;D886)</f>
        <v>1"501</v>
      </c>
      <c r="C886" s="118" t="s">
        <v>967</v>
      </c>
      <c r="D886" s="153" t="n">
        <f aca="false">D885+1</f>
        <v>501</v>
      </c>
      <c r="E886" s="118" t="e">
        <f aca="false">CEILING(D886/20;1)</f>
        <v>#VALUE!</v>
      </c>
      <c r="F886" s="118" t="e">
        <f aca="false">E886*$F$1</f>
        <v>#VALUE!</v>
      </c>
    </row>
    <row r="887" customFormat="false" ht="14.25" hidden="false" customHeight="true" outlineLevel="0" collapsed="false">
      <c r="A887" s="118" t="s">
        <v>1005</v>
      </c>
      <c r="B887" s="118" t="str">
        <f aca="false">CONCATENATE(C887&amp;D887)</f>
        <v>1"502</v>
      </c>
      <c r="C887" s="118" t="s">
        <v>967</v>
      </c>
      <c r="D887" s="153" t="n">
        <f aca="false">D886+1</f>
        <v>502</v>
      </c>
      <c r="E887" s="118" t="e">
        <f aca="false">CEILING(D887/20;1)</f>
        <v>#VALUE!</v>
      </c>
      <c r="F887" s="118" t="e">
        <f aca="false">E887*$F$1</f>
        <v>#VALUE!</v>
      </c>
    </row>
    <row r="888" customFormat="false" ht="14.25" hidden="false" customHeight="true" outlineLevel="0" collapsed="false">
      <c r="A888" s="118" t="s">
        <v>1005</v>
      </c>
      <c r="B888" s="118" t="str">
        <f aca="false">CONCATENATE(C888&amp;D888)</f>
        <v>1"503</v>
      </c>
      <c r="C888" s="118" t="s">
        <v>967</v>
      </c>
      <c r="D888" s="153" t="n">
        <f aca="false">D887+1</f>
        <v>503</v>
      </c>
      <c r="E888" s="118" t="e">
        <f aca="false">CEILING(D888/20;1)</f>
        <v>#VALUE!</v>
      </c>
      <c r="F888" s="118" t="e">
        <f aca="false">E888*$F$1</f>
        <v>#VALUE!</v>
      </c>
    </row>
    <row r="889" customFormat="false" ht="14.25" hidden="false" customHeight="true" outlineLevel="0" collapsed="false">
      <c r="A889" s="118" t="s">
        <v>1005</v>
      </c>
      <c r="B889" s="118" t="str">
        <f aca="false">CONCATENATE(C889&amp;D889)</f>
        <v>1"504</v>
      </c>
      <c r="C889" s="118" t="s">
        <v>967</v>
      </c>
      <c r="D889" s="153" t="n">
        <f aca="false">D888+1</f>
        <v>504</v>
      </c>
      <c r="E889" s="118" t="e">
        <f aca="false">CEILING(D889/20;1)</f>
        <v>#VALUE!</v>
      </c>
      <c r="F889" s="118" t="e">
        <f aca="false">E889*$F$1</f>
        <v>#VALUE!</v>
      </c>
    </row>
    <row r="890" customFormat="false" ht="14.25" hidden="false" customHeight="true" outlineLevel="0" collapsed="false">
      <c r="A890" s="118" t="s">
        <v>1005</v>
      </c>
      <c r="B890" s="118" t="str">
        <f aca="false">CONCATENATE(C890&amp;D890)</f>
        <v>1"505</v>
      </c>
      <c r="C890" s="118" t="s">
        <v>967</v>
      </c>
      <c r="D890" s="153" t="n">
        <f aca="false">D889+1</f>
        <v>505</v>
      </c>
      <c r="E890" s="118" t="e">
        <f aca="false">CEILING(D890/20;1)</f>
        <v>#VALUE!</v>
      </c>
      <c r="F890" s="118" t="e">
        <f aca="false">E890*$F$1</f>
        <v>#VALUE!</v>
      </c>
    </row>
    <row r="891" customFormat="false" ht="14.25" hidden="false" customHeight="true" outlineLevel="0" collapsed="false">
      <c r="A891" s="118" t="s">
        <v>1005</v>
      </c>
      <c r="B891" s="118" t="str">
        <f aca="false">CONCATENATE(C891&amp;D891)</f>
        <v>1"506</v>
      </c>
      <c r="C891" s="118" t="s">
        <v>967</v>
      </c>
      <c r="D891" s="153" t="n">
        <f aca="false">D890+1</f>
        <v>506</v>
      </c>
      <c r="E891" s="118" t="e">
        <f aca="false">CEILING(D891/20;1)</f>
        <v>#VALUE!</v>
      </c>
      <c r="F891" s="118" t="e">
        <f aca="false">E891*$F$1</f>
        <v>#VALUE!</v>
      </c>
    </row>
    <row r="892" customFormat="false" ht="14.25" hidden="false" customHeight="true" outlineLevel="0" collapsed="false">
      <c r="A892" s="118" t="s">
        <v>1005</v>
      </c>
      <c r="B892" s="118" t="str">
        <f aca="false">CONCATENATE(C892&amp;D892)</f>
        <v>1"507</v>
      </c>
      <c r="C892" s="118" t="s">
        <v>967</v>
      </c>
      <c r="D892" s="153" t="n">
        <f aca="false">D891+1</f>
        <v>507</v>
      </c>
      <c r="E892" s="118" t="e">
        <f aca="false">CEILING(D892/20;1)</f>
        <v>#VALUE!</v>
      </c>
      <c r="F892" s="118" t="e">
        <f aca="false">E892*$F$1</f>
        <v>#VALUE!</v>
      </c>
    </row>
    <row r="893" customFormat="false" ht="14.25" hidden="false" customHeight="true" outlineLevel="0" collapsed="false">
      <c r="A893" s="118" t="s">
        <v>1005</v>
      </c>
      <c r="B893" s="118" t="str">
        <f aca="false">CONCATENATE(C893&amp;D893)</f>
        <v>1"508</v>
      </c>
      <c r="C893" s="118" t="s">
        <v>967</v>
      </c>
      <c r="D893" s="153" t="n">
        <f aca="false">D892+1</f>
        <v>508</v>
      </c>
      <c r="E893" s="118" t="e">
        <f aca="false">CEILING(D893/20;1)</f>
        <v>#VALUE!</v>
      </c>
      <c r="F893" s="118" t="e">
        <f aca="false">E893*$F$1</f>
        <v>#VALUE!</v>
      </c>
    </row>
    <row r="894" customFormat="false" ht="14.25" hidden="false" customHeight="true" outlineLevel="0" collapsed="false">
      <c r="A894" s="118" t="s">
        <v>1005</v>
      </c>
      <c r="B894" s="118" t="str">
        <f aca="false">CONCATENATE(C894&amp;D894)</f>
        <v>1"509</v>
      </c>
      <c r="C894" s="118" t="s">
        <v>967</v>
      </c>
      <c r="D894" s="153" t="n">
        <f aca="false">D893+1</f>
        <v>509</v>
      </c>
      <c r="E894" s="118" t="e">
        <f aca="false">CEILING(D894/20;1)</f>
        <v>#VALUE!</v>
      </c>
      <c r="F894" s="118" t="e">
        <f aca="false">E894*$F$1</f>
        <v>#VALUE!</v>
      </c>
    </row>
    <row r="895" customFormat="false" ht="14.25" hidden="false" customHeight="true" outlineLevel="0" collapsed="false">
      <c r="A895" s="118" t="s">
        <v>1005</v>
      </c>
      <c r="B895" s="118" t="str">
        <f aca="false">CONCATENATE(C895&amp;D895)</f>
        <v>1"510</v>
      </c>
      <c r="C895" s="118" t="s">
        <v>967</v>
      </c>
      <c r="D895" s="153" t="n">
        <f aca="false">D894+1</f>
        <v>510</v>
      </c>
      <c r="E895" s="118" t="e">
        <f aca="false">CEILING(D895/20;1)</f>
        <v>#VALUE!</v>
      </c>
      <c r="F895" s="118" t="e">
        <f aca="false">E895*$F$1</f>
        <v>#VALUE!</v>
      </c>
    </row>
    <row r="896" customFormat="false" ht="14.25" hidden="false" customHeight="true" outlineLevel="0" collapsed="false">
      <c r="A896" s="118" t="s">
        <v>1005</v>
      </c>
      <c r="B896" s="118" t="str">
        <f aca="false">CONCATENATE(C896&amp;D896)</f>
        <v>1"511</v>
      </c>
      <c r="C896" s="118" t="s">
        <v>967</v>
      </c>
      <c r="D896" s="153" t="n">
        <f aca="false">D895+1</f>
        <v>511</v>
      </c>
      <c r="E896" s="118" t="e">
        <f aca="false">CEILING(D896/20;1)</f>
        <v>#VALUE!</v>
      </c>
      <c r="F896" s="118" t="e">
        <f aca="false">E896*$F$1</f>
        <v>#VALUE!</v>
      </c>
    </row>
    <row r="897" customFormat="false" ht="14.25" hidden="false" customHeight="true" outlineLevel="0" collapsed="false">
      <c r="A897" s="118" t="s">
        <v>1005</v>
      </c>
      <c r="B897" s="118" t="str">
        <f aca="false">CONCATENATE(C897&amp;D897)</f>
        <v>1"512</v>
      </c>
      <c r="C897" s="118" t="s">
        <v>967</v>
      </c>
      <c r="D897" s="153" t="n">
        <f aca="false">D896+1</f>
        <v>512</v>
      </c>
      <c r="E897" s="118" t="e">
        <f aca="false">CEILING(D897/20;1)</f>
        <v>#VALUE!</v>
      </c>
      <c r="F897" s="118" t="e">
        <f aca="false">E897*$F$1</f>
        <v>#VALUE!</v>
      </c>
    </row>
    <row r="898" customFormat="false" ht="14.25" hidden="false" customHeight="true" outlineLevel="0" collapsed="false">
      <c r="A898" s="118" t="s">
        <v>1005</v>
      </c>
      <c r="B898" s="118" t="str">
        <f aca="false">CONCATENATE(C898&amp;D898)</f>
        <v>1"513</v>
      </c>
      <c r="C898" s="118" t="s">
        <v>967</v>
      </c>
      <c r="D898" s="153" t="n">
        <f aca="false">D897+1</f>
        <v>513</v>
      </c>
      <c r="E898" s="118" t="e">
        <f aca="false">CEILING(D898/20;1)</f>
        <v>#VALUE!</v>
      </c>
      <c r="F898" s="118" t="e">
        <f aca="false">E898*$F$1</f>
        <v>#VALUE!</v>
      </c>
    </row>
    <row r="899" customFormat="false" ht="14.25" hidden="false" customHeight="true" outlineLevel="0" collapsed="false">
      <c r="A899" s="118" t="s">
        <v>1005</v>
      </c>
      <c r="B899" s="118" t="str">
        <f aca="false">CONCATENATE(C899&amp;D899)</f>
        <v>1"514</v>
      </c>
      <c r="C899" s="118" t="s">
        <v>967</v>
      </c>
      <c r="D899" s="153" t="n">
        <f aca="false">D898+1</f>
        <v>514</v>
      </c>
      <c r="E899" s="118" t="e">
        <f aca="false">CEILING(D899/20;1)</f>
        <v>#VALUE!</v>
      </c>
      <c r="F899" s="118" t="e">
        <f aca="false">E899*$F$1</f>
        <v>#VALUE!</v>
      </c>
    </row>
    <row r="900" customFormat="false" ht="14.25" hidden="false" customHeight="true" outlineLevel="0" collapsed="false">
      <c r="A900" s="118" t="s">
        <v>1005</v>
      </c>
      <c r="B900" s="118" t="str">
        <f aca="false">CONCATENATE(C900&amp;D900)</f>
        <v>1"515</v>
      </c>
      <c r="C900" s="118" t="s">
        <v>967</v>
      </c>
      <c r="D900" s="153" t="n">
        <f aca="false">D899+1</f>
        <v>515</v>
      </c>
      <c r="E900" s="118" t="e">
        <f aca="false">CEILING(D900/20;1)</f>
        <v>#VALUE!</v>
      </c>
      <c r="F900" s="118" t="e">
        <f aca="false">E900*$F$1</f>
        <v>#VALUE!</v>
      </c>
    </row>
    <row r="901" customFormat="false" ht="14.25" hidden="false" customHeight="true" outlineLevel="0" collapsed="false">
      <c r="A901" s="118" t="s">
        <v>1005</v>
      </c>
      <c r="B901" s="118" t="str">
        <f aca="false">CONCATENATE(C901&amp;D901)</f>
        <v>1"516</v>
      </c>
      <c r="C901" s="118" t="s">
        <v>967</v>
      </c>
      <c r="D901" s="153" t="n">
        <f aca="false">D900+1</f>
        <v>516</v>
      </c>
      <c r="E901" s="118" t="e">
        <f aca="false">CEILING(D901/20;1)</f>
        <v>#VALUE!</v>
      </c>
      <c r="F901" s="118" t="e">
        <f aca="false">E901*$F$1</f>
        <v>#VALUE!</v>
      </c>
    </row>
    <row r="902" customFormat="false" ht="14.25" hidden="false" customHeight="true" outlineLevel="0" collapsed="false">
      <c r="A902" s="118" t="s">
        <v>1005</v>
      </c>
      <c r="B902" s="118" t="str">
        <f aca="false">CONCATENATE(C902&amp;D902)</f>
        <v>1"517</v>
      </c>
      <c r="C902" s="118" t="s">
        <v>967</v>
      </c>
      <c r="D902" s="153" t="n">
        <f aca="false">D901+1</f>
        <v>517</v>
      </c>
      <c r="E902" s="118" t="e">
        <f aca="false">CEILING(D902/20;1)</f>
        <v>#VALUE!</v>
      </c>
      <c r="F902" s="118" t="e">
        <f aca="false">E902*$F$1</f>
        <v>#VALUE!</v>
      </c>
    </row>
    <row r="903" customFormat="false" ht="14.25" hidden="false" customHeight="true" outlineLevel="0" collapsed="false">
      <c r="A903" s="118" t="s">
        <v>1005</v>
      </c>
      <c r="B903" s="118" t="str">
        <f aca="false">CONCATENATE(C903&amp;D903)</f>
        <v>1"518</v>
      </c>
      <c r="C903" s="118" t="s">
        <v>967</v>
      </c>
      <c r="D903" s="153" t="n">
        <f aca="false">D902+1</f>
        <v>518</v>
      </c>
      <c r="E903" s="118" t="e">
        <f aca="false">CEILING(D903/20;1)</f>
        <v>#VALUE!</v>
      </c>
      <c r="F903" s="118" t="e">
        <f aca="false">E903*$F$1</f>
        <v>#VALUE!</v>
      </c>
    </row>
    <row r="904" customFormat="false" ht="14.25" hidden="false" customHeight="true" outlineLevel="0" collapsed="false">
      <c r="A904" s="118" t="s">
        <v>1005</v>
      </c>
      <c r="B904" s="118" t="str">
        <f aca="false">CONCATENATE(C904&amp;D904)</f>
        <v>1"519</v>
      </c>
      <c r="C904" s="118" t="s">
        <v>967</v>
      </c>
      <c r="D904" s="153" t="n">
        <f aca="false">D903+1</f>
        <v>519</v>
      </c>
      <c r="E904" s="118" t="e">
        <f aca="false">CEILING(D904/20;1)</f>
        <v>#VALUE!</v>
      </c>
      <c r="F904" s="118" t="e">
        <f aca="false">E904*$F$1</f>
        <v>#VALUE!</v>
      </c>
    </row>
    <row r="905" customFormat="false" ht="14.25" hidden="false" customHeight="true" outlineLevel="0" collapsed="false">
      <c r="A905" s="118" t="s">
        <v>1005</v>
      </c>
      <c r="B905" s="118" t="str">
        <f aca="false">CONCATENATE(C905&amp;D905)</f>
        <v>1"520</v>
      </c>
      <c r="C905" s="118" t="s">
        <v>967</v>
      </c>
      <c r="D905" s="153" t="n">
        <f aca="false">D904+1</f>
        <v>520</v>
      </c>
      <c r="E905" s="118" t="e">
        <f aca="false">CEILING(D905/20;1)</f>
        <v>#VALUE!</v>
      </c>
      <c r="F905" s="118" t="e">
        <f aca="false">E905*$F$1</f>
        <v>#VALUE!</v>
      </c>
    </row>
    <row r="906" customFormat="false" ht="14.25" hidden="false" customHeight="true" outlineLevel="0" collapsed="false">
      <c r="A906" s="118" t="s">
        <v>1005</v>
      </c>
      <c r="B906" s="118" t="str">
        <f aca="false">CONCATENATE(C906&amp;D906)</f>
        <v>1"521</v>
      </c>
      <c r="C906" s="118" t="s">
        <v>967</v>
      </c>
      <c r="D906" s="153" t="n">
        <f aca="false">D905+1</f>
        <v>521</v>
      </c>
      <c r="E906" s="118" t="e">
        <f aca="false">CEILING(D906/20;1)</f>
        <v>#VALUE!</v>
      </c>
      <c r="F906" s="118" t="e">
        <f aca="false">E906*$F$1</f>
        <v>#VALUE!</v>
      </c>
    </row>
    <row r="907" customFormat="false" ht="14.25" hidden="false" customHeight="true" outlineLevel="0" collapsed="false">
      <c r="A907" s="118" t="s">
        <v>1005</v>
      </c>
      <c r="B907" s="118" t="str">
        <f aca="false">CONCATENATE(C907&amp;D907)</f>
        <v>1"522</v>
      </c>
      <c r="C907" s="118" t="s">
        <v>967</v>
      </c>
      <c r="D907" s="153" t="n">
        <f aca="false">D906+1</f>
        <v>522</v>
      </c>
      <c r="E907" s="118" t="e">
        <f aca="false">CEILING(D907/20;1)</f>
        <v>#VALUE!</v>
      </c>
      <c r="F907" s="118" t="e">
        <f aca="false">E907*$F$1</f>
        <v>#VALUE!</v>
      </c>
    </row>
    <row r="908" customFormat="false" ht="14.25" hidden="false" customHeight="true" outlineLevel="0" collapsed="false">
      <c r="A908" s="118" t="s">
        <v>1005</v>
      </c>
      <c r="B908" s="118" t="str">
        <f aca="false">CONCATENATE(C908&amp;D908)</f>
        <v>1"523</v>
      </c>
      <c r="C908" s="118" t="s">
        <v>967</v>
      </c>
      <c r="D908" s="153" t="n">
        <f aca="false">D907+1</f>
        <v>523</v>
      </c>
      <c r="E908" s="118" t="e">
        <f aca="false">CEILING(D908/20;1)</f>
        <v>#VALUE!</v>
      </c>
      <c r="F908" s="118" t="e">
        <f aca="false">E908*$F$1</f>
        <v>#VALUE!</v>
      </c>
    </row>
    <row r="909" customFormat="false" ht="14.25" hidden="false" customHeight="true" outlineLevel="0" collapsed="false">
      <c r="A909" s="118" t="s">
        <v>1005</v>
      </c>
      <c r="B909" s="118" t="str">
        <f aca="false">CONCATENATE(C909&amp;D909)</f>
        <v>1"524</v>
      </c>
      <c r="C909" s="118" t="s">
        <v>967</v>
      </c>
      <c r="D909" s="153" t="n">
        <f aca="false">D908+1</f>
        <v>524</v>
      </c>
      <c r="E909" s="118" t="e">
        <f aca="false">CEILING(D909/20;1)</f>
        <v>#VALUE!</v>
      </c>
      <c r="F909" s="118" t="e">
        <f aca="false">E909*$F$1</f>
        <v>#VALUE!</v>
      </c>
    </row>
    <row r="910" customFormat="false" ht="14.25" hidden="false" customHeight="true" outlineLevel="0" collapsed="false">
      <c r="A910" s="118" t="s">
        <v>1005</v>
      </c>
      <c r="B910" s="118" t="str">
        <f aca="false">CONCATENATE(C910&amp;D910)</f>
        <v>1"525</v>
      </c>
      <c r="C910" s="118" t="s">
        <v>967</v>
      </c>
      <c r="D910" s="153" t="n">
        <f aca="false">D909+1</f>
        <v>525</v>
      </c>
      <c r="E910" s="118" t="e">
        <f aca="false">CEILING(D910/20;1)</f>
        <v>#VALUE!</v>
      </c>
      <c r="F910" s="118" t="e">
        <f aca="false">E910*$F$1</f>
        <v>#VALUE!</v>
      </c>
    </row>
    <row r="911" customFormat="false" ht="14.25" hidden="false" customHeight="true" outlineLevel="0" collapsed="false">
      <c r="A911" s="118" t="s">
        <v>1005</v>
      </c>
      <c r="B911" s="118" t="str">
        <f aca="false">CONCATENATE(C911&amp;D911)</f>
        <v>1"526</v>
      </c>
      <c r="C911" s="118" t="s">
        <v>967</v>
      </c>
      <c r="D911" s="153" t="n">
        <f aca="false">D910+1</f>
        <v>526</v>
      </c>
      <c r="E911" s="118" t="e">
        <f aca="false">CEILING(D911/20;1)</f>
        <v>#VALUE!</v>
      </c>
      <c r="F911" s="118" t="e">
        <f aca="false">E911*$F$1</f>
        <v>#VALUE!</v>
      </c>
    </row>
    <row r="912" customFormat="false" ht="14.25" hidden="false" customHeight="true" outlineLevel="0" collapsed="false">
      <c r="A912" s="118" t="s">
        <v>1005</v>
      </c>
      <c r="B912" s="118" t="str">
        <f aca="false">CONCATENATE(C912&amp;D912)</f>
        <v>1"527</v>
      </c>
      <c r="C912" s="118" t="s">
        <v>967</v>
      </c>
      <c r="D912" s="153" t="n">
        <f aca="false">D911+1</f>
        <v>527</v>
      </c>
      <c r="E912" s="118" t="e">
        <f aca="false">CEILING(D912/20;1)</f>
        <v>#VALUE!</v>
      </c>
      <c r="F912" s="118" t="e">
        <f aca="false">E912*$F$1</f>
        <v>#VALUE!</v>
      </c>
    </row>
    <row r="913" customFormat="false" ht="14.25" hidden="false" customHeight="true" outlineLevel="0" collapsed="false">
      <c r="A913" s="118" t="s">
        <v>1005</v>
      </c>
      <c r="B913" s="118" t="str">
        <f aca="false">CONCATENATE(C913&amp;D913)</f>
        <v>1"528</v>
      </c>
      <c r="C913" s="118" t="s">
        <v>967</v>
      </c>
      <c r="D913" s="153" t="n">
        <f aca="false">D912+1</f>
        <v>528</v>
      </c>
      <c r="E913" s="118" t="e">
        <f aca="false">CEILING(D913/20;1)</f>
        <v>#VALUE!</v>
      </c>
      <c r="F913" s="118" t="e">
        <f aca="false">E913*$F$1</f>
        <v>#VALUE!</v>
      </c>
    </row>
    <row r="914" customFormat="false" ht="14.25" hidden="false" customHeight="true" outlineLevel="0" collapsed="false">
      <c r="A914" s="118" t="s">
        <v>1005</v>
      </c>
      <c r="B914" s="118" t="str">
        <f aca="false">CONCATENATE(C914&amp;D914)</f>
        <v>1"529</v>
      </c>
      <c r="C914" s="118" t="s">
        <v>967</v>
      </c>
      <c r="D914" s="153" t="n">
        <f aca="false">D913+1</f>
        <v>529</v>
      </c>
      <c r="E914" s="118" t="e">
        <f aca="false">CEILING(D914/20;1)</f>
        <v>#VALUE!</v>
      </c>
      <c r="F914" s="118" t="e">
        <f aca="false">E914*$F$1</f>
        <v>#VALUE!</v>
      </c>
    </row>
    <row r="915" customFormat="false" ht="14.25" hidden="false" customHeight="true" outlineLevel="0" collapsed="false">
      <c r="A915" s="118" t="s">
        <v>1005</v>
      </c>
      <c r="B915" s="118" t="str">
        <f aca="false">CONCATENATE(C915&amp;D915)</f>
        <v>1"530</v>
      </c>
      <c r="C915" s="118" t="s">
        <v>967</v>
      </c>
      <c r="D915" s="153" t="n">
        <f aca="false">D914+1</f>
        <v>530</v>
      </c>
      <c r="E915" s="118" t="e">
        <f aca="false">CEILING(D915/20;1)</f>
        <v>#VALUE!</v>
      </c>
      <c r="F915" s="118" t="e">
        <f aca="false">E915*$F$1</f>
        <v>#VALUE!</v>
      </c>
    </row>
    <row r="916" customFormat="false" ht="14.25" hidden="false" customHeight="true" outlineLevel="0" collapsed="false">
      <c r="A916" s="118" t="s">
        <v>1005</v>
      </c>
      <c r="B916" s="118" t="str">
        <f aca="false">CONCATENATE(C916&amp;D916)</f>
        <v>1"531</v>
      </c>
      <c r="C916" s="118" t="s">
        <v>967</v>
      </c>
      <c r="D916" s="153" t="n">
        <f aca="false">D915+1</f>
        <v>531</v>
      </c>
      <c r="E916" s="118" t="e">
        <f aca="false">CEILING(D916/20;1)</f>
        <v>#VALUE!</v>
      </c>
      <c r="F916" s="118" t="e">
        <f aca="false">E916*$F$1</f>
        <v>#VALUE!</v>
      </c>
    </row>
    <row r="917" customFormat="false" ht="14.25" hidden="false" customHeight="true" outlineLevel="0" collapsed="false">
      <c r="A917" s="118" t="s">
        <v>1005</v>
      </c>
      <c r="B917" s="118" t="str">
        <f aca="false">CONCATENATE(C917&amp;D917)</f>
        <v>1"532</v>
      </c>
      <c r="C917" s="118" t="s">
        <v>967</v>
      </c>
      <c r="D917" s="153" t="n">
        <f aca="false">D916+1</f>
        <v>532</v>
      </c>
      <c r="E917" s="118" t="e">
        <f aca="false">CEILING(D917/20;1)</f>
        <v>#VALUE!</v>
      </c>
      <c r="F917" s="118" t="e">
        <f aca="false">E917*$F$1</f>
        <v>#VALUE!</v>
      </c>
    </row>
    <row r="918" customFormat="false" ht="14.25" hidden="false" customHeight="true" outlineLevel="0" collapsed="false">
      <c r="A918" s="118" t="s">
        <v>1005</v>
      </c>
      <c r="B918" s="118" t="str">
        <f aca="false">CONCATENATE(C918&amp;D918)</f>
        <v>1"533</v>
      </c>
      <c r="C918" s="118" t="s">
        <v>967</v>
      </c>
      <c r="D918" s="153" t="n">
        <f aca="false">D917+1</f>
        <v>533</v>
      </c>
      <c r="E918" s="118" t="e">
        <f aca="false">CEILING(D918/20;1)</f>
        <v>#VALUE!</v>
      </c>
      <c r="F918" s="118" t="e">
        <f aca="false">E918*$F$1</f>
        <v>#VALUE!</v>
      </c>
    </row>
    <row r="919" customFormat="false" ht="14.25" hidden="false" customHeight="true" outlineLevel="0" collapsed="false">
      <c r="A919" s="118" t="s">
        <v>1005</v>
      </c>
      <c r="B919" s="118" t="str">
        <f aca="false">CONCATENATE(C919&amp;D919)</f>
        <v>1"534</v>
      </c>
      <c r="C919" s="118" t="s">
        <v>967</v>
      </c>
      <c r="D919" s="153" t="n">
        <f aca="false">D918+1</f>
        <v>534</v>
      </c>
      <c r="E919" s="118" t="e">
        <f aca="false">CEILING(D919/20;1)</f>
        <v>#VALUE!</v>
      </c>
      <c r="F919" s="118" t="e">
        <f aca="false">E919*$F$1</f>
        <v>#VALUE!</v>
      </c>
    </row>
    <row r="920" customFormat="false" ht="14.25" hidden="false" customHeight="true" outlineLevel="0" collapsed="false">
      <c r="A920" s="118" t="s">
        <v>1005</v>
      </c>
      <c r="B920" s="118" t="str">
        <f aca="false">CONCATENATE(C920&amp;D920)</f>
        <v>1"535</v>
      </c>
      <c r="C920" s="118" t="s">
        <v>967</v>
      </c>
      <c r="D920" s="153" t="n">
        <f aca="false">D919+1</f>
        <v>535</v>
      </c>
      <c r="E920" s="118" t="e">
        <f aca="false">CEILING(D920/20;1)</f>
        <v>#VALUE!</v>
      </c>
      <c r="F920" s="118" t="e">
        <f aca="false">E920*$F$1</f>
        <v>#VALUE!</v>
      </c>
    </row>
    <row r="921" customFormat="false" ht="14.25" hidden="false" customHeight="true" outlineLevel="0" collapsed="false">
      <c r="A921" s="118" t="s">
        <v>1005</v>
      </c>
      <c r="B921" s="118" t="str">
        <f aca="false">CONCATENATE(C921&amp;D921)</f>
        <v>1"536</v>
      </c>
      <c r="C921" s="118" t="s">
        <v>967</v>
      </c>
      <c r="D921" s="153" t="n">
        <f aca="false">D920+1</f>
        <v>536</v>
      </c>
      <c r="E921" s="118" t="e">
        <f aca="false">CEILING(D921/20;1)</f>
        <v>#VALUE!</v>
      </c>
      <c r="F921" s="118" t="e">
        <f aca="false">E921*$F$1</f>
        <v>#VALUE!</v>
      </c>
    </row>
    <row r="922" customFormat="false" ht="14.25" hidden="false" customHeight="true" outlineLevel="0" collapsed="false">
      <c r="A922" s="118" t="s">
        <v>1005</v>
      </c>
      <c r="B922" s="118" t="str">
        <f aca="false">CONCATENATE(C922&amp;D922)</f>
        <v>1"537</v>
      </c>
      <c r="C922" s="118" t="s">
        <v>967</v>
      </c>
      <c r="D922" s="153" t="n">
        <f aca="false">D921+1</f>
        <v>537</v>
      </c>
      <c r="E922" s="118" t="e">
        <f aca="false">CEILING(D922/20;1)</f>
        <v>#VALUE!</v>
      </c>
      <c r="F922" s="118" t="e">
        <f aca="false">E922*$F$1</f>
        <v>#VALUE!</v>
      </c>
    </row>
    <row r="923" customFormat="false" ht="14.25" hidden="false" customHeight="true" outlineLevel="0" collapsed="false">
      <c r="A923" s="118" t="s">
        <v>1005</v>
      </c>
      <c r="B923" s="118" t="str">
        <f aca="false">CONCATENATE(C923&amp;D923)</f>
        <v>1"538</v>
      </c>
      <c r="C923" s="118" t="s">
        <v>967</v>
      </c>
      <c r="D923" s="153" t="n">
        <f aca="false">D922+1</f>
        <v>538</v>
      </c>
      <c r="E923" s="118" t="e">
        <f aca="false">CEILING(D923/20;1)</f>
        <v>#VALUE!</v>
      </c>
      <c r="F923" s="118" t="e">
        <f aca="false">E923*$F$1</f>
        <v>#VALUE!</v>
      </c>
    </row>
    <row r="924" customFormat="false" ht="14.25" hidden="false" customHeight="true" outlineLevel="0" collapsed="false">
      <c r="A924" s="118" t="s">
        <v>1005</v>
      </c>
      <c r="B924" s="118" t="str">
        <f aca="false">CONCATENATE(C924&amp;D924)</f>
        <v>1"539</v>
      </c>
      <c r="C924" s="118" t="s">
        <v>967</v>
      </c>
      <c r="D924" s="153" t="n">
        <f aca="false">D923+1</f>
        <v>539</v>
      </c>
      <c r="E924" s="118" t="e">
        <f aca="false">CEILING(D924/20;1)</f>
        <v>#VALUE!</v>
      </c>
      <c r="F924" s="118" t="e">
        <f aca="false">E924*$F$1</f>
        <v>#VALUE!</v>
      </c>
    </row>
    <row r="925" customFormat="false" ht="14.25" hidden="false" customHeight="true" outlineLevel="0" collapsed="false">
      <c r="A925" s="118" t="s">
        <v>1005</v>
      </c>
      <c r="B925" s="118" t="str">
        <f aca="false">CONCATENATE(C925&amp;D925)</f>
        <v>1"540</v>
      </c>
      <c r="C925" s="118" t="s">
        <v>967</v>
      </c>
      <c r="D925" s="153" t="n">
        <f aca="false">D924+1</f>
        <v>540</v>
      </c>
      <c r="E925" s="118" t="e">
        <f aca="false">CEILING(D925/20;1)</f>
        <v>#VALUE!</v>
      </c>
      <c r="F925" s="118" t="e">
        <f aca="false">E925*$F$1</f>
        <v>#VALUE!</v>
      </c>
    </row>
    <row r="926" customFormat="false" ht="14.25" hidden="false" customHeight="true" outlineLevel="0" collapsed="false">
      <c r="A926" s="118" t="s">
        <v>1005</v>
      </c>
      <c r="B926" s="118" t="str">
        <f aca="false">CONCATENATE(C926&amp;D926)</f>
        <v>1"541</v>
      </c>
      <c r="C926" s="118" t="s">
        <v>967</v>
      </c>
      <c r="D926" s="153" t="n">
        <f aca="false">D925+1</f>
        <v>541</v>
      </c>
      <c r="E926" s="118" t="e">
        <f aca="false">CEILING(D926/20;1)</f>
        <v>#VALUE!</v>
      </c>
      <c r="F926" s="118" t="e">
        <f aca="false">E926*$F$1</f>
        <v>#VALUE!</v>
      </c>
    </row>
    <row r="927" customFormat="false" ht="14.25" hidden="false" customHeight="true" outlineLevel="0" collapsed="false">
      <c r="A927" s="118" t="s">
        <v>1005</v>
      </c>
      <c r="B927" s="118" t="str">
        <f aca="false">CONCATENATE(C927&amp;D927)</f>
        <v>1"542</v>
      </c>
      <c r="C927" s="118" t="s">
        <v>967</v>
      </c>
      <c r="D927" s="153" t="n">
        <f aca="false">D926+1</f>
        <v>542</v>
      </c>
      <c r="E927" s="118" t="e">
        <f aca="false">CEILING(D927/20;1)</f>
        <v>#VALUE!</v>
      </c>
      <c r="F927" s="118" t="e">
        <f aca="false">E927*$F$1</f>
        <v>#VALUE!</v>
      </c>
    </row>
    <row r="928" customFormat="false" ht="14.25" hidden="false" customHeight="true" outlineLevel="0" collapsed="false">
      <c r="A928" s="118" t="s">
        <v>1005</v>
      </c>
      <c r="B928" s="118" t="str">
        <f aca="false">CONCATENATE(C928&amp;D928)</f>
        <v>1"543</v>
      </c>
      <c r="C928" s="118" t="s">
        <v>967</v>
      </c>
      <c r="D928" s="153" t="n">
        <f aca="false">D927+1</f>
        <v>543</v>
      </c>
      <c r="E928" s="118" t="e">
        <f aca="false">CEILING(D928/20;1)</f>
        <v>#VALUE!</v>
      </c>
      <c r="F928" s="118" t="e">
        <f aca="false">E928*$F$1</f>
        <v>#VALUE!</v>
      </c>
    </row>
    <row r="929" customFormat="false" ht="14.25" hidden="false" customHeight="true" outlineLevel="0" collapsed="false">
      <c r="A929" s="118" t="s">
        <v>1005</v>
      </c>
      <c r="B929" s="118" t="str">
        <f aca="false">CONCATENATE(C929&amp;D929)</f>
        <v>1"544</v>
      </c>
      <c r="C929" s="118" t="s">
        <v>967</v>
      </c>
      <c r="D929" s="153" t="n">
        <f aca="false">D928+1</f>
        <v>544</v>
      </c>
      <c r="E929" s="118" t="e">
        <f aca="false">CEILING(D929/20;1)</f>
        <v>#VALUE!</v>
      </c>
      <c r="F929" s="118" t="e">
        <f aca="false">E929*$F$1</f>
        <v>#VALUE!</v>
      </c>
    </row>
    <row r="930" customFormat="false" ht="14.25" hidden="false" customHeight="true" outlineLevel="0" collapsed="false">
      <c r="A930" s="118" t="s">
        <v>1005</v>
      </c>
      <c r="B930" s="118" t="str">
        <f aca="false">CONCATENATE(C930&amp;D930)</f>
        <v>1"545</v>
      </c>
      <c r="C930" s="118" t="s">
        <v>967</v>
      </c>
      <c r="D930" s="153" t="n">
        <f aca="false">D929+1</f>
        <v>545</v>
      </c>
      <c r="E930" s="118" t="e">
        <f aca="false">CEILING(D930/20;1)</f>
        <v>#VALUE!</v>
      </c>
      <c r="F930" s="118" t="e">
        <f aca="false">E930*$F$1</f>
        <v>#VALUE!</v>
      </c>
    </row>
    <row r="931" customFormat="false" ht="14.25" hidden="false" customHeight="true" outlineLevel="0" collapsed="false">
      <c r="A931" s="118" t="s">
        <v>1005</v>
      </c>
      <c r="B931" s="118" t="str">
        <f aca="false">CONCATENATE(C931&amp;D931)</f>
        <v>1"546</v>
      </c>
      <c r="C931" s="118" t="s">
        <v>967</v>
      </c>
      <c r="D931" s="153" t="n">
        <f aca="false">D930+1</f>
        <v>546</v>
      </c>
      <c r="E931" s="118" t="e">
        <f aca="false">CEILING(D931/20;1)</f>
        <v>#VALUE!</v>
      </c>
      <c r="F931" s="118" t="e">
        <f aca="false">E931*$F$1</f>
        <v>#VALUE!</v>
      </c>
    </row>
    <row r="932" customFormat="false" ht="14.25" hidden="false" customHeight="true" outlineLevel="0" collapsed="false">
      <c r="A932" s="118" t="s">
        <v>1005</v>
      </c>
      <c r="B932" s="118" t="str">
        <f aca="false">CONCATENATE(C932&amp;D932)</f>
        <v>1"547</v>
      </c>
      <c r="C932" s="118" t="s">
        <v>967</v>
      </c>
      <c r="D932" s="153" t="n">
        <f aca="false">D931+1</f>
        <v>547</v>
      </c>
      <c r="E932" s="118" t="e">
        <f aca="false">CEILING(D932/20;1)</f>
        <v>#VALUE!</v>
      </c>
      <c r="F932" s="118" t="e">
        <f aca="false">E932*$F$1</f>
        <v>#VALUE!</v>
      </c>
    </row>
    <row r="933" customFormat="false" ht="14.25" hidden="false" customHeight="true" outlineLevel="0" collapsed="false">
      <c r="A933" s="118" t="s">
        <v>1005</v>
      </c>
      <c r="B933" s="118" t="str">
        <f aca="false">CONCATENATE(C933&amp;D933)</f>
        <v>1"548</v>
      </c>
      <c r="C933" s="118" t="s">
        <v>967</v>
      </c>
      <c r="D933" s="153" t="n">
        <f aca="false">D932+1</f>
        <v>548</v>
      </c>
      <c r="E933" s="118" t="e">
        <f aca="false">CEILING(D933/20;1)</f>
        <v>#VALUE!</v>
      </c>
      <c r="F933" s="118" t="e">
        <f aca="false">E933*$F$1</f>
        <v>#VALUE!</v>
      </c>
    </row>
    <row r="934" customFormat="false" ht="14.25" hidden="false" customHeight="true" outlineLevel="0" collapsed="false">
      <c r="A934" s="118" t="s">
        <v>1005</v>
      </c>
      <c r="B934" s="118" t="str">
        <f aca="false">CONCATENATE(C934&amp;D934)</f>
        <v>1"549</v>
      </c>
      <c r="C934" s="118" t="s">
        <v>967</v>
      </c>
      <c r="D934" s="153" t="n">
        <f aca="false">D933+1</f>
        <v>549</v>
      </c>
      <c r="E934" s="118" t="e">
        <f aca="false">CEILING(D934/20;1)</f>
        <v>#VALUE!</v>
      </c>
      <c r="F934" s="118" t="e">
        <f aca="false">E934*$F$1</f>
        <v>#VALUE!</v>
      </c>
    </row>
    <row r="935" customFormat="false" ht="14.25" hidden="false" customHeight="true" outlineLevel="0" collapsed="false">
      <c r="A935" s="118" t="s">
        <v>1005</v>
      </c>
      <c r="B935" s="118" t="str">
        <f aca="false">CONCATENATE(C935&amp;D935)</f>
        <v>1"550</v>
      </c>
      <c r="C935" s="118" t="s">
        <v>967</v>
      </c>
      <c r="D935" s="153" t="n">
        <f aca="false">D934+1</f>
        <v>550</v>
      </c>
      <c r="E935" s="118" t="e">
        <f aca="false">CEILING(D935/20;1)</f>
        <v>#VALUE!</v>
      </c>
      <c r="F935" s="118" t="e">
        <f aca="false">E935*$F$1</f>
        <v>#VALUE!</v>
      </c>
    </row>
    <row r="936" customFormat="false" ht="14.25" hidden="false" customHeight="true" outlineLevel="0" collapsed="false">
      <c r="A936" s="118" t="s">
        <v>1005</v>
      </c>
      <c r="B936" s="118" t="str">
        <f aca="false">CONCATENATE(C936&amp;D936)</f>
        <v>1"551</v>
      </c>
      <c r="C936" s="118" t="s">
        <v>967</v>
      </c>
      <c r="D936" s="153" t="n">
        <f aca="false">D935+1</f>
        <v>551</v>
      </c>
      <c r="E936" s="118" t="e">
        <f aca="false">CEILING(D936/20;1)</f>
        <v>#VALUE!</v>
      </c>
      <c r="F936" s="118" t="e">
        <f aca="false">E936*$F$1</f>
        <v>#VALUE!</v>
      </c>
    </row>
    <row r="937" customFormat="false" ht="14.25" hidden="false" customHeight="true" outlineLevel="0" collapsed="false">
      <c r="A937" s="118" t="s">
        <v>1005</v>
      </c>
      <c r="B937" s="118" t="str">
        <f aca="false">CONCATENATE(C937&amp;D937)</f>
        <v>1"552</v>
      </c>
      <c r="C937" s="118" t="s">
        <v>967</v>
      </c>
      <c r="D937" s="153" t="n">
        <f aca="false">D936+1</f>
        <v>552</v>
      </c>
      <c r="E937" s="118" t="e">
        <f aca="false">CEILING(D937/20;1)</f>
        <v>#VALUE!</v>
      </c>
      <c r="F937" s="118" t="e">
        <f aca="false">E937*$F$1</f>
        <v>#VALUE!</v>
      </c>
    </row>
    <row r="938" customFormat="false" ht="14.25" hidden="false" customHeight="true" outlineLevel="0" collapsed="false">
      <c r="A938" s="118" t="s">
        <v>1005</v>
      </c>
      <c r="B938" s="118" t="str">
        <f aca="false">CONCATENATE(C938&amp;D938)</f>
        <v>1"553</v>
      </c>
      <c r="C938" s="118" t="s">
        <v>967</v>
      </c>
      <c r="D938" s="153" t="n">
        <f aca="false">D937+1</f>
        <v>553</v>
      </c>
      <c r="E938" s="118" t="e">
        <f aca="false">CEILING(D938/20;1)</f>
        <v>#VALUE!</v>
      </c>
      <c r="F938" s="118" t="e">
        <f aca="false">E938*$F$1</f>
        <v>#VALUE!</v>
      </c>
    </row>
    <row r="939" customFormat="false" ht="14.25" hidden="false" customHeight="true" outlineLevel="0" collapsed="false">
      <c r="A939" s="118" t="s">
        <v>1005</v>
      </c>
      <c r="B939" s="118" t="str">
        <f aca="false">CONCATENATE(C939&amp;D939)</f>
        <v>1"554</v>
      </c>
      <c r="C939" s="118" t="s">
        <v>967</v>
      </c>
      <c r="D939" s="153" t="n">
        <f aca="false">D938+1</f>
        <v>554</v>
      </c>
      <c r="E939" s="118" t="e">
        <f aca="false">CEILING(D939/20;1)</f>
        <v>#VALUE!</v>
      </c>
      <c r="F939" s="118" t="e">
        <f aca="false">E939*$F$1</f>
        <v>#VALUE!</v>
      </c>
    </row>
    <row r="940" customFormat="false" ht="14.25" hidden="false" customHeight="true" outlineLevel="0" collapsed="false">
      <c r="A940" s="118" t="s">
        <v>1005</v>
      </c>
      <c r="B940" s="118" t="str">
        <f aca="false">CONCATENATE(C940&amp;D940)</f>
        <v>1"555</v>
      </c>
      <c r="C940" s="118" t="s">
        <v>967</v>
      </c>
      <c r="D940" s="153" t="n">
        <f aca="false">D939+1</f>
        <v>555</v>
      </c>
      <c r="E940" s="118" t="e">
        <f aca="false">CEILING(D940/20;1)</f>
        <v>#VALUE!</v>
      </c>
      <c r="F940" s="118" t="e">
        <f aca="false">E940*$F$1</f>
        <v>#VALUE!</v>
      </c>
    </row>
    <row r="941" customFormat="false" ht="14.25" hidden="false" customHeight="true" outlineLevel="0" collapsed="false">
      <c r="A941" s="118" t="s">
        <v>1005</v>
      </c>
      <c r="B941" s="118" t="str">
        <f aca="false">CONCATENATE(C941&amp;D941)</f>
        <v>1"556</v>
      </c>
      <c r="C941" s="118" t="s">
        <v>967</v>
      </c>
      <c r="D941" s="153" t="n">
        <f aca="false">D940+1</f>
        <v>556</v>
      </c>
      <c r="E941" s="118" t="e">
        <f aca="false">CEILING(D941/20;1)</f>
        <v>#VALUE!</v>
      </c>
      <c r="F941" s="118" t="e">
        <f aca="false">E941*$F$1</f>
        <v>#VALUE!</v>
      </c>
    </row>
    <row r="942" customFormat="false" ht="14.25" hidden="false" customHeight="true" outlineLevel="0" collapsed="false">
      <c r="A942" s="118" t="s">
        <v>1005</v>
      </c>
      <c r="B942" s="118" t="str">
        <f aca="false">CONCATENATE(C942&amp;D942)</f>
        <v>1"557</v>
      </c>
      <c r="C942" s="118" t="s">
        <v>967</v>
      </c>
      <c r="D942" s="153" t="n">
        <f aca="false">D941+1</f>
        <v>557</v>
      </c>
      <c r="E942" s="118" t="e">
        <f aca="false">CEILING(D942/20;1)</f>
        <v>#VALUE!</v>
      </c>
      <c r="F942" s="118" t="e">
        <f aca="false">E942*$F$1</f>
        <v>#VALUE!</v>
      </c>
    </row>
    <row r="943" customFormat="false" ht="14.25" hidden="false" customHeight="true" outlineLevel="0" collapsed="false">
      <c r="A943" s="118" t="s">
        <v>1005</v>
      </c>
      <c r="B943" s="118" t="str">
        <f aca="false">CONCATENATE(C943&amp;D943)</f>
        <v>1"558</v>
      </c>
      <c r="C943" s="118" t="s">
        <v>967</v>
      </c>
      <c r="D943" s="153" t="n">
        <f aca="false">D942+1</f>
        <v>558</v>
      </c>
      <c r="E943" s="118" t="e">
        <f aca="false">CEILING(D943/20;1)</f>
        <v>#VALUE!</v>
      </c>
      <c r="F943" s="118" t="e">
        <f aca="false">E943*$F$1</f>
        <v>#VALUE!</v>
      </c>
    </row>
    <row r="944" customFormat="false" ht="14.25" hidden="false" customHeight="true" outlineLevel="0" collapsed="false">
      <c r="A944" s="118" t="s">
        <v>1005</v>
      </c>
      <c r="B944" s="118" t="str">
        <f aca="false">CONCATENATE(C944&amp;D944)</f>
        <v>1"559</v>
      </c>
      <c r="C944" s="118" t="s">
        <v>967</v>
      </c>
      <c r="D944" s="153" t="n">
        <f aca="false">D943+1</f>
        <v>559</v>
      </c>
      <c r="E944" s="118" t="e">
        <f aca="false">CEILING(D944/20;1)</f>
        <v>#VALUE!</v>
      </c>
      <c r="F944" s="118" t="e">
        <f aca="false">E944*$F$1</f>
        <v>#VALUE!</v>
      </c>
    </row>
    <row r="945" customFormat="false" ht="14.25" hidden="false" customHeight="true" outlineLevel="0" collapsed="false">
      <c r="A945" s="118" t="s">
        <v>1005</v>
      </c>
      <c r="B945" s="118" t="str">
        <f aca="false">CONCATENATE(C945&amp;D945)</f>
        <v>1"560</v>
      </c>
      <c r="C945" s="118" t="s">
        <v>967</v>
      </c>
      <c r="D945" s="153" t="n">
        <f aca="false">D944+1</f>
        <v>560</v>
      </c>
      <c r="E945" s="118" t="e">
        <f aca="false">CEILING(D945/20;1)</f>
        <v>#VALUE!</v>
      </c>
      <c r="F945" s="118" t="e">
        <f aca="false">E945*$F$1</f>
        <v>#VALUE!</v>
      </c>
    </row>
    <row r="946" customFormat="false" ht="14.25" hidden="false" customHeight="true" outlineLevel="0" collapsed="false">
      <c r="A946" s="118" t="s">
        <v>1005</v>
      </c>
      <c r="B946" s="118" t="str">
        <f aca="false">CONCATENATE(C946&amp;D946)</f>
        <v>1"561</v>
      </c>
      <c r="C946" s="118" t="s">
        <v>967</v>
      </c>
      <c r="D946" s="153" t="n">
        <f aca="false">D945+1</f>
        <v>561</v>
      </c>
      <c r="E946" s="118" t="e">
        <f aca="false">CEILING(D946/20;1)</f>
        <v>#VALUE!</v>
      </c>
      <c r="F946" s="118" t="e">
        <f aca="false">E946*$F$1</f>
        <v>#VALUE!</v>
      </c>
    </row>
    <row r="947" customFormat="false" ht="14.25" hidden="false" customHeight="true" outlineLevel="0" collapsed="false">
      <c r="A947" s="118" t="s">
        <v>1005</v>
      </c>
      <c r="B947" s="118" t="str">
        <f aca="false">CONCATENATE(C947&amp;D947)</f>
        <v>1"562</v>
      </c>
      <c r="C947" s="118" t="s">
        <v>967</v>
      </c>
      <c r="D947" s="153" t="n">
        <f aca="false">D946+1</f>
        <v>562</v>
      </c>
      <c r="E947" s="118" t="e">
        <f aca="false">CEILING(D947/20;1)</f>
        <v>#VALUE!</v>
      </c>
      <c r="F947" s="118" t="e">
        <f aca="false">E947*$F$1</f>
        <v>#VALUE!</v>
      </c>
    </row>
    <row r="948" customFormat="false" ht="14.25" hidden="false" customHeight="true" outlineLevel="0" collapsed="false">
      <c r="A948" s="118" t="s">
        <v>1005</v>
      </c>
      <c r="B948" s="118" t="str">
        <f aca="false">CONCATENATE(C948&amp;D948)</f>
        <v>1"563</v>
      </c>
      <c r="C948" s="118" t="s">
        <v>967</v>
      </c>
      <c r="D948" s="153" t="n">
        <f aca="false">D947+1</f>
        <v>563</v>
      </c>
      <c r="E948" s="118" t="e">
        <f aca="false">CEILING(D948/20;1)</f>
        <v>#VALUE!</v>
      </c>
      <c r="F948" s="118" t="e">
        <f aca="false">E948*$F$1</f>
        <v>#VALUE!</v>
      </c>
    </row>
    <row r="949" customFormat="false" ht="14.25" hidden="false" customHeight="true" outlineLevel="0" collapsed="false">
      <c r="A949" s="118" t="s">
        <v>1005</v>
      </c>
      <c r="B949" s="118" t="str">
        <f aca="false">CONCATENATE(C949&amp;D949)</f>
        <v>1"564</v>
      </c>
      <c r="C949" s="118" t="s">
        <v>967</v>
      </c>
      <c r="D949" s="153" t="n">
        <f aca="false">D948+1</f>
        <v>564</v>
      </c>
      <c r="E949" s="118" t="e">
        <f aca="false">CEILING(D949/20;1)</f>
        <v>#VALUE!</v>
      </c>
      <c r="F949" s="118" t="e">
        <f aca="false">E949*$F$1</f>
        <v>#VALUE!</v>
      </c>
    </row>
    <row r="950" customFormat="false" ht="14.25" hidden="false" customHeight="true" outlineLevel="0" collapsed="false">
      <c r="A950" s="118" t="s">
        <v>1005</v>
      </c>
      <c r="B950" s="118" t="str">
        <f aca="false">CONCATENATE(C950&amp;D950)</f>
        <v>1"565</v>
      </c>
      <c r="C950" s="118" t="s">
        <v>967</v>
      </c>
      <c r="D950" s="153" t="n">
        <f aca="false">D949+1</f>
        <v>565</v>
      </c>
      <c r="E950" s="118" t="e">
        <f aca="false">CEILING(D950/20;1)</f>
        <v>#VALUE!</v>
      </c>
      <c r="F950" s="118" t="e">
        <f aca="false">E950*$F$1</f>
        <v>#VALUE!</v>
      </c>
    </row>
    <row r="951" customFormat="false" ht="14.25" hidden="false" customHeight="true" outlineLevel="0" collapsed="false">
      <c r="A951" s="118" t="s">
        <v>1005</v>
      </c>
      <c r="B951" s="118" t="str">
        <f aca="false">CONCATENATE(C951&amp;D951)</f>
        <v>1"566</v>
      </c>
      <c r="C951" s="118" t="s">
        <v>967</v>
      </c>
      <c r="D951" s="153" t="n">
        <f aca="false">D950+1</f>
        <v>566</v>
      </c>
      <c r="E951" s="118" t="e">
        <f aca="false">CEILING(D951/20;1)</f>
        <v>#VALUE!</v>
      </c>
      <c r="F951" s="118" t="e">
        <f aca="false">E951*$F$1</f>
        <v>#VALUE!</v>
      </c>
    </row>
    <row r="952" customFormat="false" ht="14.25" hidden="false" customHeight="true" outlineLevel="0" collapsed="false">
      <c r="A952" s="118" t="s">
        <v>1005</v>
      </c>
      <c r="B952" s="118" t="str">
        <f aca="false">CONCATENATE(C952&amp;D952)</f>
        <v>1"567</v>
      </c>
      <c r="C952" s="118" t="s">
        <v>967</v>
      </c>
      <c r="D952" s="153" t="n">
        <f aca="false">D951+1</f>
        <v>567</v>
      </c>
      <c r="E952" s="118" t="e">
        <f aca="false">CEILING(D952/20;1)</f>
        <v>#VALUE!</v>
      </c>
      <c r="F952" s="118" t="e">
        <f aca="false">E952*$F$1</f>
        <v>#VALUE!</v>
      </c>
    </row>
    <row r="953" customFormat="false" ht="14.25" hidden="false" customHeight="true" outlineLevel="0" collapsed="false">
      <c r="A953" s="118" t="s">
        <v>1005</v>
      </c>
      <c r="B953" s="118" t="str">
        <f aca="false">CONCATENATE(C953&amp;D953)</f>
        <v>1"568</v>
      </c>
      <c r="C953" s="118" t="s">
        <v>967</v>
      </c>
      <c r="D953" s="153" t="n">
        <f aca="false">D952+1</f>
        <v>568</v>
      </c>
      <c r="E953" s="118" t="e">
        <f aca="false">CEILING(D953/20;1)</f>
        <v>#VALUE!</v>
      </c>
      <c r="F953" s="118" t="e">
        <f aca="false">E953*$F$1</f>
        <v>#VALUE!</v>
      </c>
    </row>
    <row r="954" customFormat="false" ht="14.25" hidden="false" customHeight="true" outlineLevel="0" collapsed="false">
      <c r="A954" s="118" t="s">
        <v>1005</v>
      </c>
      <c r="B954" s="118" t="str">
        <f aca="false">CONCATENATE(C954&amp;D954)</f>
        <v>1"569</v>
      </c>
      <c r="C954" s="118" t="s">
        <v>967</v>
      </c>
      <c r="D954" s="153" t="n">
        <f aca="false">D953+1</f>
        <v>569</v>
      </c>
      <c r="E954" s="118" t="e">
        <f aca="false">CEILING(D954/20;1)</f>
        <v>#VALUE!</v>
      </c>
      <c r="F954" s="118" t="e">
        <f aca="false">E954*$F$1</f>
        <v>#VALUE!</v>
      </c>
    </row>
    <row r="955" customFormat="false" ht="14.25" hidden="false" customHeight="true" outlineLevel="0" collapsed="false">
      <c r="A955" s="118" t="s">
        <v>1005</v>
      </c>
      <c r="B955" s="118" t="str">
        <f aca="false">CONCATENATE(C955&amp;D955)</f>
        <v>1"570</v>
      </c>
      <c r="C955" s="118" t="s">
        <v>967</v>
      </c>
      <c r="D955" s="153" t="n">
        <f aca="false">D954+1</f>
        <v>570</v>
      </c>
      <c r="E955" s="118" t="e">
        <f aca="false">CEILING(D955/20;1)</f>
        <v>#VALUE!</v>
      </c>
      <c r="F955" s="118" t="e">
        <f aca="false">E955*$F$1</f>
        <v>#VALUE!</v>
      </c>
    </row>
    <row r="956" customFormat="false" ht="14.25" hidden="false" customHeight="true" outlineLevel="0" collapsed="false">
      <c r="A956" s="118" t="s">
        <v>1005</v>
      </c>
      <c r="B956" s="118" t="str">
        <f aca="false">CONCATENATE(C956&amp;D956)</f>
        <v>1"571</v>
      </c>
      <c r="C956" s="118" t="s">
        <v>967</v>
      </c>
      <c r="D956" s="153" t="n">
        <f aca="false">D955+1</f>
        <v>571</v>
      </c>
      <c r="E956" s="118" t="e">
        <f aca="false">CEILING(D956/20;1)</f>
        <v>#VALUE!</v>
      </c>
      <c r="F956" s="118" t="e">
        <f aca="false">E956*$F$1</f>
        <v>#VALUE!</v>
      </c>
    </row>
    <row r="957" customFormat="false" ht="14.25" hidden="false" customHeight="true" outlineLevel="0" collapsed="false">
      <c r="A957" s="118" t="s">
        <v>1005</v>
      </c>
      <c r="B957" s="118" t="str">
        <f aca="false">CONCATENATE(C957&amp;D957)</f>
        <v>1"572</v>
      </c>
      <c r="C957" s="118" t="s">
        <v>967</v>
      </c>
      <c r="D957" s="153" t="n">
        <f aca="false">D956+1</f>
        <v>572</v>
      </c>
      <c r="E957" s="118" t="e">
        <f aca="false">CEILING(D957/20;1)</f>
        <v>#VALUE!</v>
      </c>
      <c r="F957" s="118" t="e">
        <f aca="false">E957*$F$1</f>
        <v>#VALUE!</v>
      </c>
    </row>
    <row r="958" customFormat="false" ht="14.25" hidden="false" customHeight="true" outlineLevel="0" collapsed="false">
      <c r="A958" s="118" t="s">
        <v>1005</v>
      </c>
      <c r="B958" s="118" t="str">
        <f aca="false">CONCATENATE(C958&amp;D958)</f>
        <v>1"573</v>
      </c>
      <c r="C958" s="118" t="s">
        <v>967</v>
      </c>
      <c r="D958" s="153" t="n">
        <f aca="false">D957+1</f>
        <v>573</v>
      </c>
      <c r="E958" s="118" t="e">
        <f aca="false">CEILING(D958/20;1)</f>
        <v>#VALUE!</v>
      </c>
      <c r="F958" s="118" t="e">
        <f aca="false">E958*$F$1</f>
        <v>#VALUE!</v>
      </c>
    </row>
    <row r="959" customFormat="false" ht="14.25" hidden="false" customHeight="true" outlineLevel="0" collapsed="false">
      <c r="A959" s="118" t="s">
        <v>1005</v>
      </c>
      <c r="B959" s="118" t="str">
        <f aca="false">CONCATENATE(C959&amp;D959)</f>
        <v>1"574</v>
      </c>
      <c r="C959" s="118" t="s">
        <v>967</v>
      </c>
      <c r="D959" s="153" t="n">
        <f aca="false">D958+1</f>
        <v>574</v>
      </c>
      <c r="E959" s="118" t="e">
        <f aca="false">CEILING(D959/20;1)</f>
        <v>#VALUE!</v>
      </c>
      <c r="F959" s="118" t="e">
        <f aca="false">E959*$F$1</f>
        <v>#VALUE!</v>
      </c>
    </row>
    <row r="960" customFormat="false" ht="14.25" hidden="false" customHeight="true" outlineLevel="0" collapsed="false">
      <c r="A960" s="118" t="s">
        <v>1005</v>
      </c>
      <c r="B960" s="118" t="str">
        <f aca="false">CONCATENATE(C960&amp;D960)</f>
        <v>1"575</v>
      </c>
      <c r="C960" s="118" t="s">
        <v>967</v>
      </c>
      <c r="D960" s="153" t="n">
        <f aca="false">D959+1</f>
        <v>575</v>
      </c>
      <c r="E960" s="118" t="e">
        <f aca="false">CEILING(D960/20;1)</f>
        <v>#VALUE!</v>
      </c>
      <c r="F960" s="118" t="e">
        <f aca="false">E960*$F$1</f>
        <v>#VALUE!</v>
      </c>
    </row>
    <row r="961" customFormat="false" ht="14.25" hidden="false" customHeight="true" outlineLevel="0" collapsed="false">
      <c r="A961" s="118" t="s">
        <v>1005</v>
      </c>
      <c r="B961" s="118" t="str">
        <f aca="false">CONCATENATE(C961&amp;D961)</f>
        <v>1"576</v>
      </c>
      <c r="C961" s="118" t="s">
        <v>967</v>
      </c>
      <c r="D961" s="153" t="n">
        <f aca="false">D960+1</f>
        <v>576</v>
      </c>
      <c r="E961" s="118" t="e">
        <f aca="false">CEILING(D961/20;1)</f>
        <v>#VALUE!</v>
      </c>
      <c r="F961" s="118" t="e">
        <f aca="false">E961*$F$1</f>
        <v>#VALUE!</v>
      </c>
    </row>
    <row r="962" customFormat="false" ht="14.25" hidden="false" customHeight="true" outlineLevel="0" collapsed="false">
      <c r="A962" s="118" t="s">
        <v>1005</v>
      </c>
      <c r="B962" s="118" t="str">
        <f aca="false">CONCATENATE(C962&amp;D962)</f>
        <v>1"577</v>
      </c>
      <c r="C962" s="118" t="s">
        <v>967</v>
      </c>
      <c r="D962" s="153" t="n">
        <f aca="false">D961+1</f>
        <v>577</v>
      </c>
      <c r="E962" s="118" t="e">
        <f aca="false">CEILING(D962/20;1)</f>
        <v>#VALUE!</v>
      </c>
      <c r="F962" s="118" t="e">
        <f aca="false">E962*$F$1</f>
        <v>#VALUE!</v>
      </c>
    </row>
    <row r="963" customFormat="false" ht="14.25" hidden="false" customHeight="true" outlineLevel="0" collapsed="false">
      <c r="A963" s="118" t="s">
        <v>1005</v>
      </c>
      <c r="B963" s="118" t="str">
        <f aca="false">CONCATENATE(C963&amp;D963)</f>
        <v>1"578</v>
      </c>
      <c r="C963" s="118" t="s">
        <v>967</v>
      </c>
      <c r="D963" s="153" t="n">
        <f aca="false">D962+1</f>
        <v>578</v>
      </c>
      <c r="E963" s="118" t="e">
        <f aca="false">CEILING(D963/20;1)</f>
        <v>#VALUE!</v>
      </c>
      <c r="F963" s="118" t="e">
        <f aca="false">E963*$F$1</f>
        <v>#VALUE!</v>
      </c>
    </row>
    <row r="964" customFormat="false" ht="14.25" hidden="false" customHeight="true" outlineLevel="0" collapsed="false">
      <c r="A964" s="118" t="s">
        <v>1005</v>
      </c>
      <c r="B964" s="118" t="str">
        <f aca="false">CONCATENATE(C964&amp;D964)</f>
        <v>1"579</v>
      </c>
      <c r="C964" s="118" t="s">
        <v>967</v>
      </c>
      <c r="D964" s="153" t="n">
        <f aca="false">D963+1</f>
        <v>579</v>
      </c>
      <c r="E964" s="118" t="e">
        <f aca="false">CEILING(D964/20;1)</f>
        <v>#VALUE!</v>
      </c>
      <c r="F964" s="118" t="e">
        <f aca="false">E964*$F$1</f>
        <v>#VALUE!</v>
      </c>
    </row>
    <row r="965" customFormat="false" ht="14.25" hidden="false" customHeight="true" outlineLevel="0" collapsed="false">
      <c r="A965" s="118" t="s">
        <v>1005</v>
      </c>
      <c r="B965" s="118" t="str">
        <f aca="false">CONCATENATE(C965&amp;D965)</f>
        <v>1"580</v>
      </c>
      <c r="C965" s="118" t="s">
        <v>967</v>
      </c>
      <c r="D965" s="153" t="n">
        <f aca="false">D964+1</f>
        <v>580</v>
      </c>
      <c r="E965" s="118" t="e">
        <f aca="false">CEILING(D965/20;1)</f>
        <v>#VALUE!</v>
      </c>
      <c r="F965" s="118" t="e">
        <f aca="false">E965*$F$1</f>
        <v>#VALUE!</v>
      </c>
    </row>
    <row r="966" customFormat="false" ht="14.25" hidden="false" customHeight="true" outlineLevel="0" collapsed="false">
      <c r="A966" s="118" t="s">
        <v>1005</v>
      </c>
      <c r="B966" s="118" t="str">
        <f aca="false">CONCATENATE(C966&amp;D966)</f>
        <v>1"581</v>
      </c>
      <c r="C966" s="118" t="s">
        <v>967</v>
      </c>
      <c r="D966" s="153" t="n">
        <f aca="false">D965+1</f>
        <v>581</v>
      </c>
      <c r="E966" s="118" t="e">
        <f aca="false">CEILING(D966/20;1)</f>
        <v>#VALUE!</v>
      </c>
      <c r="F966" s="118" t="e">
        <f aca="false">E966*$F$1</f>
        <v>#VALUE!</v>
      </c>
    </row>
    <row r="967" customFormat="false" ht="14.25" hidden="false" customHeight="true" outlineLevel="0" collapsed="false">
      <c r="A967" s="118" t="s">
        <v>1005</v>
      </c>
      <c r="B967" s="118" t="str">
        <f aca="false">CONCATENATE(C967&amp;D967)</f>
        <v>1"582</v>
      </c>
      <c r="C967" s="118" t="s">
        <v>967</v>
      </c>
      <c r="D967" s="153" t="n">
        <f aca="false">D966+1</f>
        <v>582</v>
      </c>
      <c r="E967" s="118" t="e">
        <f aca="false">CEILING(D967/20;1)</f>
        <v>#VALUE!</v>
      </c>
      <c r="F967" s="118" t="e">
        <f aca="false">E967*$F$1</f>
        <v>#VALUE!</v>
      </c>
    </row>
    <row r="968" customFormat="false" ht="14.25" hidden="false" customHeight="true" outlineLevel="0" collapsed="false">
      <c r="A968" s="118" t="s">
        <v>1005</v>
      </c>
      <c r="B968" s="118" t="str">
        <f aca="false">CONCATENATE(C968&amp;D968)</f>
        <v>1"583</v>
      </c>
      <c r="C968" s="118" t="s">
        <v>967</v>
      </c>
      <c r="D968" s="153" t="n">
        <f aca="false">D967+1</f>
        <v>583</v>
      </c>
      <c r="E968" s="118" t="e">
        <f aca="false">CEILING(D968/20;1)</f>
        <v>#VALUE!</v>
      </c>
      <c r="F968" s="118" t="e">
        <f aca="false">E968*$F$1</f>
        <v>#VALUE!</v>
      </c>
    </row>
    <row r="969" customFormat="false" ht="14.25" hidden="false" customHeight="true" outlineLevel="0" collapsed="false">
      <c r="A969" s="118" t="s">
        <v>1005</v>
      </c>
      <c r="B969" s="118" t="str">
        <f aca="false">CONCATENATE(C969&amp;D969)</f>
        <v>1"584</v>
      </c>
      <c r="C969" s="118" t="s">
        <v>967</v>
      </c>
      <c r="D969" s="153" t="n">
        <f aca="false">D968+1</f>
        <v>584</v>
      </c>
      <c r="E969" s="118" t="e">
        <f aca="false">CEILING(D969/20;1)</f>
        <v>#VALUE!</v>
      </c>
      <c r="F969" s="118" t="e">
        <f aca="false">E969*$F$1</f>
        <v>#VALUE!</v>
      </c>
    </row>
    <row r="970" customFormat="false" ht="14.25" hidden="false" customHeight="true" outlineLevel="0" collapsed="false">
      <c r="A970" s="118" t="s">
        <v>1005</v>
      </c>
      <c r="B970" s="118" t="str">
        <f aca="false">CONCATENATE(C970&amp;D970)</f>
        <v>1"585</v>
      </c>
      <c r="C970" s="118" t="s">
        <v>967</v>
      </c>
      <c r="D970" s="153" t="n">
        <f aca="false">D969+1</f>
        <v>585</v>
      </c>
      <c r="E970" s="118" t="e">
        <f aca="false">CEILING(D970/20;1)</f>
        <v>#VALUE!</v>
      </c>
      <c r="F970" s="118" t="e">
        <f aca="false">E970*$F$1</f>
        <v>#VALUE!</v>
      </c>
    </row>
    <row r="971" customFormat="false" ht="14.25" hidden="false" customHeight="true" outlineLevel="0" collapsed="false">
      <c r="A971" s="118" t="s">
        <v>1005</v>
      </c>
      <c r="B971" s="118" t="str">
        <f aca="false">CONCATENATE(C971&amp;D971)</f>
        <v>1"586</v>
      </c>
      <c r="C971" s="118" t="s">
        <v>967</v>
      </c>
      <c r="D971" s="153" t="n">
        <f aca="false">D970+1</f>
        <v>586</v>
      </c>
      <c r="E971" s="118" t="e">
        <f aca="false">CEILING(D971/20;1)</f>
        <v>#VALUE!</v>
      </c>
      <c r="F971" s="118" t="e">
        <f aca="false">E971*$F$1</f>
        <v>#VALUE!</v>
      </c>
    </row>
    <row r="972" customFormat="false" ht="14.25" hidden="false" customHeight="true" outlineLevel="0" collapsed="false">
      <c r="A972" s="118" t="s">
        <v>1005</v>
      </c>
      <c r="B972" s="118" t="str">
        <f aca="false">CONCATENATE(C972&amp;D972)</f>
        <v>1"587</v>
      </c>
      <c r="C972" s="118" t="s">
        <v>967</v>
      </c>
      <c r="D972" s="153" t="n">
        <f aca="false">D971+1</f>
        <v>587</v>
      </c>
      <c r="E972" s="118" t="e">
        <f aca="false">CEILING(D972/20;1)</f>
        <v>#VALUE!</v>
      </c>
      <c r="F972" s="118" t="e">
        <f aca="false">E972*$F$1</f>
        <v>#VALUE!</v>
      </c>
    </row>
    <row r="973" customFormat="false" ht="14.25" hidden="false" customHeight="true" outlineLevel="0" collapsed="false">
      <c r="A973" s="118" t="s">
        <v>1005</v>
      </c>
      <c r="B973" s="118" t="str">
        <f aca="false">CONCATENATE(C973&amp;D973)</f>
        <v>1"588</v>
      </c>
      <c r="C973" s="118" t="s">
        <v>967</v>
      </c>
      <c r="D973" s="153" t="n">
        <f aca="false">D972+1</f>
        <v>588</v>
      </c>
      <c r="E973" s="118" t="e">
        <f aca="false">CEILING(D973/20;1)</f>
        <v>#VALUE!</v>
      </c>
      <c r="F973" s="118" t="e">
        <f aca="false">E973*$F$1</f>
        <v>#VALUE!</v>
      </c>
    </row>
    <row r="974" customFormat="false" ht="14.25" hidden="false" customHeight="true" outlineLevel="0" collapsed="false">
      <c r="A974" s="118" t="s">
        <v>1005</v>
      </c>
      <c r="B974" s="118" t="str">
        <f aca="false">CONCATENATE(C974&amp;D974)</f>
        <v>1"589</v>
      </c>
      <c r="C974" s="118" t="s">
        <v>967</v>
      </c>
      <c r="D974" s="153" t="n">
        <f aca="false">D973+1</f>
        <v>589</v>
      </c>
      <c r="E974" s="118" t="e">
        <f aca="false">CEILING(D974/20;1)</f>
        <v>#VALUE!</v>
      </c>
      <c r="F974" s="118" t="e">
        <f aca="false">E974*$F$1</f>
        <v>#VALUE!</v>
      </c>
    </row>
    <row r="975" customFormat="false" ht="14.25" hidden="false" customHeight="true" outlineLevel="0" collapsed="false">
      <c r="A975" s="118" t="s">
        <v>1005</v>
      </c>
      <c r="B975" s="118" t="str">
        <f aca="false">CONCATENATE(C975&amp;D975)</f>
        <v>1"590</v>
      </c>
      <c r="C975" s="118" t="s">
        <v>967</v>
      </c>
      <c r="D975" s="153" t="n">
        <f aca="false">D974+1</f>
        <v>590</v>
      </c>
      <c r="E975" s="118" t="e">
        <f aca="false">CEILING(D975/20;1)</f>
        <v>#VALUE!</v>
      </c>
      <c r="F975" s="118" t="e">
        <f aca="false">E975*$F$1</f>
        <v>#VALUE!</v>
      </c>
    </row>
    <row r="976" customFormat="false" ht="14.25" hidden="false" customHeight="true" outlineLevel="0" collapsed="false">
      <c r="A976" s="118" t="s">
        <v>1005</v>
      </c>
      <c r="B976" s="118" t="str">
        <f aca="false">CONCATENATE(C976&amp;D976)</f>
        <v>1"591</v>
      </c>
      <c r="C976" s="118" t="s">
        <v>967</v>
      </c>
      <c r="D976" s="153" t="n">
        <f aca="false">D975+1</f>
        <v>591</v>
      </c>
      <c r="E976" s="118" t="e">
        <f aca="false">CEILING(D976/20;1)</f>
        <v>#VALUE!</v>
      </c>
      <c r="F976" s="118" t="e">
        <f aca="false">E976*$F$1</f>
        <v>#VALUE!</v>
      </c>
    </row>
    <row r="977" customFormat="false" ht="14.25" hidden="false" customHeight="true" outlineLevel="0" collapsed="false">
      <c r="A977" s="118" t="s">
        <v>1005</v>
      </c>
      <c r="B977" s="118" t="str">
        <f aca="false">CONCATENATE(C977&amp;D977)</f>
        <v>1"592</v>
      </c>
      <c r="C977" s="118" t="s">
        <v>967</v>
      </c>
      <c r="D977" s="153" t="n">
        <f aca="false">D976+1</f>
        <v>592</v>
      </c>
      <c r="E977" s="118" t="e">
        <f aca="false">CEILING(D977/20;1)</f>
        <v>#VALUE!</v>
      </c>
      <c r="F977" s="118" t="e">
        <f aca="false">E977*$F$1</f>
        <v>#VALUE!</v>
      </c>
    </row>
    <row r="978" customFormat="false" ht="14.25" hidden="false" customHeight="true" outlineLevel="0" collapsed="false">
      <c r="A978" s="118" t="s">
        <v>1005</v>
      </c>
      <c r="B978" s="118" t="str">
        <f aca="false">CONCATENATE(C978&amp;D978)</f>
        <v>1"593</v>
      </c>
      <c r="C978" s="118" t="s">
        <v>967</v>
      </c>
      <c r="D978" s="153" t="n">
        <f aca="false">D977+1</f>
        <v>593</v>
      </c>
      <c r="E978" s="118" t="e">
        <f aca="false">CEILING(D978/20;1)</f>
        <v>#VALUE!</v>
      </c>
      <c r="F978" s="118" t="e">
        <f aca="false">E978*$F$1</f>
        <v>#VALUE!</v>
      </c>
    </row>
    <row r="979" customFormat="false" ht="14.25" hidden="false" customHeight="true" outlineLevel="0" collapsed="false">
      <c r="A979" s="118" t="s">
        <v>1005</v>
      </c>
      <c r="B979" s="118" t="str">
        <f aca="false">CONCATENATE(C979&amp;D979)</f>
        <v>1"594</v>
      </c>
      <c r="C979" s="118" t="s">
        <v>967</v>
      </c>
      <c r="D979" s="153" t="n">
        <f aca="false">D978+1</f>
        <v>594</v>
      </c>
      <c r="E979" s="118" t="e">
        <f aca="false">CEILING(D979/20;1)</f>
        <v>#VALUE!</v>
      </c>
      <c r="F979" s="118" t="e">
        <f aca="false">E979*$F$1</f>
        <v>#VALUE!</v>
      </c>
    </row>
    <row r="980" customFormat="false" ht="14.25" hidden="false" customHeight="true" outlineLevel="0" collapsed="false">
      <c r="A980" s="118" t="s">
        <v>1005</v>
      </c>
      <c r="B980" s="118" t="str">
        <f aca="false">CONCATENATE(C980&amp;D980)</f>
        <v>1"595</v>
      </c>
      <c r="C980" s="118" t="s">
        <v>967</v>
      </c>
      <c r="D980" s="153" t="n">
        <f aca="false">D979+1</f>
        <v>595</v>
      </c>
      <c r="E980" s="118" t="e">
        <f aca="false">CEILING(D980/20;1)</f>
        <v>#VALUE!</v>
      </c>
      <c r="F980" s="118" t="e">
        <f aca="false">E980*$F$1</f>
        <v>#VALUE!</v>
      </c>
    </row>
    <row r="981" customFormat="false" ht="14.25" hidden="false" customHeight="true" outlineLevel="0" collapsed="false">
      <c r="A981" s="118" t="s">
        <v>1005</v>
      </c>
      <c r="B981" s="118" t="str">
        <f aca="false">CONCATENATE(C981&amp;D981)</f>
        <v>1"596</v>
      </c>
      <c r="C981" s="118" t="s">
        <v>967</v>
      </c>
      <c r="D981" s="153" t="n">
        <f aca="false">D980+1</f>
        <v>596</v>
      </c>
      <c r="E981" s="118" t="e">
        <f aca="false">CEILING(D981/20;1)</f>
        <v>#VALUE!</v>
      </c>
      <c r="F981" s="118" t="e">
        <f aca="false">E981*$F$1</f>
        <v>#VALUE!</v>
      </c>
    </row>
    <row r="982" customFormat="false" ht="14.25" hidden="false" customHeight="true" outlineLevel="0" collapsed="false">
      <c r="A982" s="118" t="s">
        <v>1005</v>
      </c>
      <c r="B982" s="118" t="str">
        <f aca="false">CONCATENATE(C982&amp;D982)</f>
        <v>1"597</v>
      </c>
      <c r="C982" s="118" t="s">
        <v>967</v>
      </c>
      <c r="D982" s="153" t="n">
        <f aca="false">D981+1</f>
        <v>597</v>
      </c>
      <c r="E982" s="118" t="e">
        <f aca="false">CEILING(D982/20;1)</f>
        <v>#VALUE!</v>
      </c>
      <c r="F982" s="118" t="e">
        <f aca="false">E982*$F$1</f>
        <v>#VALUE!</v>
      </c>
    </row>
    <row r="983" customFormat="false" ht="14.25" hidden="false" customHeight="true" outlineLevel="0" collapsed="false">
      <c r="A983" s="118" t="s">
        <v>1005</v>
      </c>
      <c r="B983" s="118" t="str">
        <f aca="false">CONCATENATE(C983&amp;D983)</f>
        <v>1"598</v>
      </c>
      <c r="C983" s="118" t="s">
        <v>967</v>
      </c>
      <c r="D983" s="153" t="n">
        <f aca="false">D982+1</f>
        <v>598</v>
      </c>
      <c r="E983" s="118" t="e">
        <f aca="false">CEILING(D983/20;1)</f>
        <v>#VALUE!</v>
      </c>
      <c r="F983" s="118" t="e">
        <f aca="false">E983*$F$1</f>
        <v>#VALUE!</v>
      </c>
    </row>
    <row r="984" customFormat="false" ht="14.25" hidden="false" customHeight="true" outlineLevel="0" collapsed="false">
      <c r="A984" s="118" t="s">
        <v>1005</v>
      </c>
      <c r="B984" s="118" t="str">
        <f aca="false">CONCATENATE(C984&amp;D984)</f>
        <v>1"599</v>
      </c>
      <c r="C984" s="118" t="s">
        <v>967</v>
      </c>
      <c r="D984" s="153" t="n">
        <f aca="false">D983+1</f>
        <v>599</v>
      </c>
      <c r="E984" s="118" t="e">
        <f aca="false">CEILING(D984/20;1)</f>
        <v>#VALUE!</v>
      </c>
      <c r="F984" s="118" t="e">
        <f aca="false">E984*$F$1</f>
        <v>#VALUE!</v>
      </c>
    </row>
    <row r="985" customFormat="false" ht="14.25" hidden="false" customHeight="true" outlineLevel="0" collapsed="false">
      <c r="A985" s="118" t="s">
        <v>1005</v>
      </c>
      <c r="B985" s="118" t="str">
        <f aca="false">CONCATENATE(C985&amp;D985)</f>
        <v>1"600</v>
      </c>
      <c r="C985" s="118" t="s">
        <v>967</v>
      </c>
      <c r="D985" s="153" t="n">
        <f aca="false">D984+1</f>
        <v>600</v>
      </c>
      <c r="E985" s="118" t="e">
        <f aca="false">CEILING(D985/20;1)</f>
        <v>#VALUE!</v>
      </c>
      <c r="F985" s="118" t="e">
        <f aca="false">E985*$F$1</f>
        <v>#VALUE!</v>
      </c>
    </row>
    <row r="986" customFormat="false" ht="14.25" hidden="false" customHeight="true" outlineLevel="0" collapsed="false">
      <c r="A986" s="118" t="s">
        <v>1005</v>
      </c>
      <c r="B986" s="118" t="str">
        <f aca="false">CONCATENATE(C986&amp;D986)</f>
        <v>1"601</v>
      </c>
      <c r="C986" s="118" t="s">
        <v>967</v>
      </c>
      <c r="D986" s="153" t="n">
        <f aca="false">D985+1</f>
        <v>601</v>
      </c>
      <c r="E986" s="118" t="e">
        <f aca="false">CEILING(D986/20;1)</f>
        <v>#VALUE!</v>
      </c>
      <c r="F986" s="118" t="e">
        <f aca="false">E986*$F$1</f>
        <v>#VALUE!</v>
      </c>
    </row>
    <row r="987" customFormat="false" ht="14.25" hidden="false" customHeight="true" outlineLevel="0" collapsed="false">
      <c r="A987" s="118" t="s">
        <v>1005</v>
      </c>
      <c r="B987" s="118" t="str">
        <f aca="false">CONCATENATE(C987&amp;D987)</f>
        <v>1"602</v>
      </c>
      <c r="C987" s="118" t="s">
        <v>967</v>
      </c>
      <c r="D987" s="153" t="n">
        <f aca="false">D986+1</f>
        <v>602</v>
      </c>
      <c r="E987" s="118" t="e">
        <f aca="false">CEILING(D987/20;1)</f>
        <v>#VALUE!</v>
      </c>
      <c r="F987" s="118" t="e">
        <f aca="false">E987*$F$1</f>
        <v>#VALUE!</v>
      </c>
    </row>
    <row r="988" customFormat="false" ht="14.25" hidden="false" customHeight="true" outlineLevel="0" collapsed="false">
      <c r="A988" s="118" t="s">
        <v>1005</v>
      </c>
      <c r="B988" s="118" t="str">
        <f aca="false">CONCATENATE(C988&amp;D988)</f>
        <v>1"603</v>
      </c>
      <c r="C988" s="118" t="s">
        <v>967</v>
      </c>
      <c r="D988" s="153" t="n">
        <f aca="false">D987+1</f>
        <v>603</v>
      </c>
      <c r="E988" s="118" t="e">
        <f aca="false">CEILING(D988/20;1)</f>
        <v>#VALUE!</v>
      </c>
      <c r="F988" s="118" t="e">
        <f aca="false">E988*$F$1</f>
        <v>#VALUE!</v>
      </c>
    </row>
    <row r="989" customFormat="false" ht="14.25" hidden="false" customHeight="true" outlineLevel="0" collapsed="false">
      <c r="A989" s="118" t="s">
        <v>1005</v>
      </c>
      <c r="B989" s="118" t="str">
        <f aca="false">CONCATENATE(C989&amp;D989)</f>
        <v>1"604</v>
      </c>
      <c r="C989" s="118" t="s">
        <v>967</v>
      </c>
      <c r="D989" s="153" t="n">
        <f aca="false">D988+1</f>
        <v>604</v>
      </c>
      <c r="E989" s="118" t="e">
        <f aca="false">CEILING(D989/20;1)</f>
        <v>#VALUE!</v>
      </c>
      <c r="F989" s="118" t="e">
        <f aca="false">E989*$F$1</f>
        <v>#VALUE!</v>
      </c>
    </row>
    <row r="990" customFormat="false" ht="14.25" hidden="false" customHeight="true" outlineLevel="0" collapsed="false">
      <c r="A990" s="118" t="s">
        <v>1005</v>
      </c>
      <c r="B990" s="118" t="str">
        <f aca="false">CONCATENATE(C990&amp;D990)</f>
        <v>1"605</v>
      </c>
      <c r="C990" s="118" t="s">
        <v>967</v>
      </c>
      <c r="D990" s="153" t="n">
        <f aca="false">D989+1</f>
        <v>605</v>
      </c>
      <c r="E990" s="118" t="e">
        <f aca="false">CEILING(D990/20;1)</f>
        <v>#VALUE!</v>
      </c>
      <c r="F990" s="118" t="e">
        <f aca="false">E990*$F$1</f>
        <v>#VALUE!</v>
      </c>
    </row>
    <row r="991" customFormat="false" ht="14.25" hidden="false" customHeight="true" outlineLevel="0" collapsed="false">
      <c r="A991" s="118" t="s">
        <v>1005</v>
      </c>
      <c r="B991" s="118" t="str">
        <f aca="false">CONCATENATE(C991&amp;D991)</f>
        <v>1"606</v>
      </c>
      <c r="C991" s="118" t="s">
        <v>967</v>
      </c>
      <c r="D991" s="153" t="n">
        <f aca="false">D990+1</f>
        <v>606</v>
      </c>
      <c r="E991" s="118" t="e">
        <f aca="false">CEILING(D991/20;1)</f>
        <v>#VALUE!</v>
      </c>
      <c r="F991" s="118" t="e">
        <f aca="false">E991*$F$1</f>
        <v>#VALUE!</v>
      </c>
    </row>
    <row r="992" customFormat="false" ht="14.25" hidden="false" customHeight="true" outlineLevel="0" collapsed="false">
      <c r="A992" s="118" t="s">
        <v>1005</v>
      </c>
      <c r="B992" s="118" t="str">
        <f aca="false">CONCATENATE(C992&amp;D992)</f>
        <v>1"607</v>
      </c>
      <c r="C992" s="118" t="s">
        <v>967</v>
      </c>
      <c r="D992" s="153" t="n">
        <f aca="false">D991+1</f>
        <v>607</v>
      </c>
      <c r="E992" s="118" t="e">
        <f aca="false">CEILING(D992/20;1)</f>
        <v>#VALUE!</v>
      </c>
      <c r="F992" s="118" t="e">
        <f aca="false">E992*$F$1</f>
        <v>#VALUE!</v>
      </c>
    </row>
    <row r="993" customFormat="false" ht="14.25" hidden="false" customHeight="true" outlineLevel="0" collapsed="false">
      <c r="A993" s="118" t="s">
        <v>1005</v>
      </c>
      <c r="B993" s="118" t="str">
        <f aca="false">CONCATENATE(C993&amp;D993)</f>
        <v>1"608</v>
      </c>
      <c r="C993" s="118" t="s">
        <v>967</v>
      </c>
      <c r="D993" s="153" t="n">
        <f aca="false">D992+1</f>
        <v>608</v>
      </c>
      <c r="E993" s="118" t="e">
        <f aca="false">CEILING(D993/20;1)</f>
        <v>#VALUE!</v>
      </c>
      <c r="F993" s="118" t="e">
        <f aca="false">E993*$F$1</f>
        <v>#VALUE!</v>
      </c>
    </row>
    <row r="994" customFormat="false" ht="14.25" hidden="false" customHeight="true" outlineLevel="0" collapsed="false">
      <c r="A994" s="118" t="s">
        <v>1005</v>
      </c>
      <c r="B994" s="118" t="str">
        <f aca="false">CONCATENATE(C994&amp;D994)</f>
        <v>1"609</v>
      </c>
      <c r="C994" s="118" t="s">
        <v>967</v>
      </c>
      <c r="D994" s="153" t="n">
        <f aca="false">D993+1</f>
        <v>609</v>
      </c>
      <c r="E994" s="118" t="e">
        <f aca="false">CEILING(D994/20;1)</f>
        <v>#VALUE!</v>
      </c>
      <c r="F994" s="118" t="e">
        <f aca="false">E994*$F$1</f>
        <v>#VALUE!</v>
      </c>
    </row>
    <row r="995" customFormat="false" ht="14.25" hidden="false" customHeight="true" outlineLevel="0" collapsed="false">
      <c r="A995" s="118" t="s">
        <v>1005</v>
      </c>
      <c r="B995" s="118" t="str">
        <f aca="false">CONCATENATE(C995&amp;D995)</f>
        <v>1"610</v>
      </c>
      <c r="C995" s="118" t="s">
        <v>967</v>
      </c>
      <c r="D995" s="153" t="n">
        <f aca="false">D994+1</f>
        <v>610</v>
      </c>
      <c r="E995" s="118" t="e">
        <f aca="false">CEILING(D995/20;1)</f>
        <v>#VALUE!</v>
      </c>
      <c r="F995" s="118" t="e">
        <f aca="false">E995*$F$1</f>
        <v>#VALUE!</v>
      </c>
    </row>
    <row r="996" customFormat="false" ht="14.25" hidden="false" customHeight="true" outlineLevel="0" collapsed="false">
      <c r="A996" s="118" t="s">
        <v>1005</v>
      </c>
      <c r="B996" s="118" t="str">
        <f aca="false">CONCATENATE(C996&amp;D996)</f>
        <v>1"611</v>
      </c>
      <c r="C996" s="118" t="s">
        <v>967</v>
      </c>
      <c r="D996" s="153" t="n">
        <f aca="false">D995+1</f>
        <v>611</v>
      </c>
      <c r="E996" s="118" t="e">
        <f aca="false">CEILING(D996/20;1)</f>
        <v>#VALUE!</v>
      </c>
      <c r="F996" s="118" t="e">
        <f aca="false">E996*$F$1</f>
        <v>#VALUE!</v>
      </c>
    </row>
    <row r="997" customFormat="false" ht="14.25" hidden="false" customHeight="true" outlineLevel="0" collapsed="false">
      <c r="A997" s="118" t="s">
        <v>1005</v>
      </c>
      <c r="B997" s="118" t="str">
        <f aca="false">CONCATENATE(C997&amp;D997)</f>
        <v>1"612</v>
      </c>
      <c r="C997" s="118" t="s">
        <v>967</v>
      </c>
      <c r="D997" s="153" t="n">
        <f aca="false">D996+1</f>
        <v>612</v>
      </c>
      <c r="E997" s="118" t="e">
        <f aca="false">CEILING(D997/20;1)</f>
        <v>#VALUE!</v>
      </c>
      <c r="F997" s="118" t="e">
        <f aca="false">E997*$F$1</f>
        <v>#VALUE!</v>
      </c>
    </row>
    <row r="998" customFormat="false" ht="14.25" hidden="false" customHeight="true" outlineLevel="0" collapsed="false">
      <c r="A998" s="118" t="s">
        <v>1005</v>
      </c>
      <c r="B998" s="118" t="str">
        <f aca="false">CONCATENATE(C998&amp;D998)</f>
        <v>1"613</v>
      </c>
      <c r="C998" s="118" t="s">
        <v>967</v>
      </c>
      <c r="D998" s="153" t="n">
        <f aca="false">D997+1</f>
        <v>613</v>
      </c>
      <c r="E998" s="118" t="e">
        <f aca="false">CEILING(D998/20;1)</f>
        <v>#VALUE!</v>
      </c>
      <c r="F998" s="118" t="e">
        <f aca="false">E998*$F$1</f>
        <v>#VALUE!</v>
      </c>
    </row>
    <row r="999" customFormat="false" ht="14.25" hidden="false" customHeight="true" outlineLevel="0" collapsed="false">
      <c r="A999" s="118" t="s">
        <v>1005</v>
      </c>
      <c r="B999" s="118" t="str">
        <f aca="false">CONCATENATE(C999&amp;D999)</f>
        <v>1"614</v>
      </c>
      <c r="C999" s="118" t="s">
        <v>967</v>
      </c>
      <c r="D999" s="153" t="n">
        <f aca="false">D998+1</f>
        <v>614</v>
      </c>
      <c r="E999" s="118" t="e">
        <f aca="false">CEILING(D999/20;1)</f>
        <v>#VALUE!</v>
      </c>
      <c r="F999" s="118" t="e">
        <f aca="false">E999*$F$1</f>
        <v>#VALUE!</v>
      </c>
    </row>
    <row r="1000" customFormat="false" ht="14.25" hidden="false" customHeight="true" outlineLevel="0" collapsed="false">
      <c r="A1000" s="118" t="s">
        <v>1005</v>
      </c>
      <c r="B1000" s="118" t="str">
        <f aca="false">CONCATENATE(C1000&amp;D1000)</f>
        <v>1"615</v>
      </c>
      <c r="C1000" s="118" t="s">
        <v>967</v>
      </c>
      <c r="D1000" s="153" t="n">
        <f aca="false">D999+1</f>
        <v>615</v>
      </c>
      <c r="E1000" s="118" t="e">
        <f aca="false">CEILING(D1000/20;1)</f>
        <v>#VALUE!</v>
      </c>
      <c r="F1000" s="118" t="e">
        <f aca="false">E1000*$F$1</f>
        <v>#VALUE!</v>
      </c>
    </row>
    <row r="1001" customFormat="false" ht="14.25" hidden="false" customHeight="true" outlineLevel="0" collapsed="false">
      <c r="A1001" s="118" t="s">
        <v>1005</v>
      </c>
      <c r="B1001" s="118" t="str">
        <f aca="false">CONCATENATE(C1001&amp;D1001)</f>
        <v>1"616</v>
      </c>
      <c r="C1001" s="118" t="s">
        <v>967</v>
      </c>
      <c r="D1001" s="153" t="n">
        <f aca="false">D1000+1</f>
        <v>616</v>
      </c>
      <c r="E1001" s="118" t="e">
        <f aca="false">CEILING(D1001/20;1)</f>
        <v>#VALUE!</v>
      </c>
      <c r="F1001" s="118" t="e">
        <f aca="false">E1001*$F$1</f>
        <v>#VALUE!</v>
      </c>
    </row>
    <row r="1002" customFormat="false" ht="14.25" hidden="false" customHeight="true" outlineLevel="0" collapsed="false">
      <c r="A1002" s="118" t="s">
        <v>1005</v>
      </c>
      <c r="B1002" s="118" t="str">
        <f aca="false">CONCATENATE(C1002&amp;D1002)</f>
        <v>1"617</v>
      </c>
      <c r="C1002" s="118" t="s">
        <v>967</v>
      </c>
      <c r="D1002" s="153" t="n">
        <f aca="false">D1001+1</f>
        <v>617</v>
      </c>
      <c r="E1002" s="118" t="e">
        <f aca="false">CEILING(D1002/20;1)</f>
        <v>#VALUE!</v>
      </c>
      <c r="F1002" s="118" t="e">
        <f aca="false">E1002*$F$1</f>
        <v>#VALUE!</v>
      </c>
    </row>
    <row r="1003" customFormat="false" ht="14.25" hidden="false" customHeight="true" outlineLevel="0" collapsed="false">
      <c r="A1003" s="118" t="s">
        <v>1005</v>
      </c>
      <c r="B1003" s="118" t="str">
        <f aca="false">CONCATENATE(C1003&amp;D1003)</f>
        <v>1"618</v>
      </c>
      <c r="C1003" s="118" t="s">
        <v>967</v>
      </c>
      <c r="D1003" s="153" t="n">
        <f aca="false">D1002+1</f>
        <v>618</v>
      </c>
      <c r="E1003" s="118" t="e">
        <f aca="false">CEILING(D1003/20;1)</f>
        <v>#VALUE!</v>
      </c>
      <c r="F1003" s="118" t="e">
        <f aca="false">E1003*$F$1</f>
        <v>#VALUE!</v>
      </c>
    </row>
    <row r="1004" customFormat="false" ht="14.25" hidden="false" customHeight="true" outlineLevel="0" collapsed="false">
      <c r="A1004" s="118" t="s">
        <v>1005</v>
      </c>
      <c r="B1004" s="118" t="str">
        <f aca="false">CONCATENATE(C1004&amp;D1004)</f>
        <v>1"619</v>
      </c>
      <c r="C1004" s="118" t="s">
        <v>967</v>
      </c>
      <c r="D1004" s="153" t="n">
        <f aca="false">D1003+1</f>
        <v>619</v>
      </c>
      <c r="E1004" s="118" t="e">
        <f aca="false">CEILING(D1004/20;1)</f>
        <v>#VALUE!</v>
      </c>
      <c r="F1004" s="118" t="e">
        <f aca="false">E1004*$F$1</f>
        <v>#VALUE!</v>
      </c>
    </row>
    <row r="1005" customFormat="false" ht="14.25" hidden="false" customHeight="true" outlineLevel="0" collapsed="false">
      <c r="A1005" s="118" t="s">
        <v>1005</v>
      </c>
      <c r="B1005" s="118" t="str">
        <f aca="false">CONCATENATE(C1005&amp;D1005)</f>
        <v>1"620</v>
      </c>
      <c r="C1005" s="118" t="s">
        <v>967</v>
      </c>
      <c r="D1005" s="153" t="n">
        <f aca="false">D1004+1</f>
        <v>620</v>
      </c>
      <c r="E1005" s="118" t="e">
        <f aca="false">CEILING(D1005/20;1)</f>
        <v>#VALUE!</v>
      </c>
      <c r="F1005" s="118" t="e">
        <f aca="false">E1005*$F$1</f>
        <v>#VALUE!</v>
      </c>
    </row>
    <row r="1006" customFormat="false" ht="14.25" hidden="false" customHeight="true" outlineLevel="0" collapsed="false">
      <c r="A1006" s="118" t="s">
        <v>1005</v>
      </c>
      <c r="B1006" s="118" t="str">
        <f aca="false">CONCATENATE(C1006&amp;D1006)</f>
        <v>1"621</v>
      </c>
      <c r="C1006" s="118" t="s">
        <v>967</v>
      </c>
      <c r="D1006" s="153" t="n">
        <f aca="false">D1005+1</f>
        <v>621</v>
      </c>
      <c r="E1006" s="118" t="e">
        <f aca="false">CEILING(D1006/20;1)</f>
        <v>#VALUE!</v>
      </c>
      <c r="F1006" s="118" t="e">
        <f aca="false">E1006*$F$1</f>
        <v>#VALUE!</v>
      </c>
    </row>
    <row r="1007" customFormat="false" ht="14.25" hidden="false" customHeight="true" outlineLevel="0" collapsed="false">
      <c r="A1007" s="118" t="s">
        <v>1005</v>
      </c>
      <c r="B1007" s="118" t="str">
        <f aca="false">CONCATENATE(C1007&amp;D1007)</f>
        <v>1"622</v>
      </c>
      <c r="C1007" s="118" t="s">
        <v>967</v>
      </c>
      <c r="D1007" s="153" t="n">
        <f aca="false">D1006+1</f>
        <v>622</v>
      </c>
      <c r="E1007" s="118" t="e">
        <f aca="false">CEILING(D1007/20;1)</f>
        <v>#VALUE!</v>
      </c>
      <c r="F1007" s="118" t="e">
        <f aca="false">E1007*$F$1</f>
        <v>#VALUE!</v>
      </c>
    </row>
    <row r="1008" customFormat="false" ht="14.25" hidden="false" customHeight="true" outlineLevel="0" collapsed="false">
      <c r="A1008" s="118" t="s">
        <v>1005</v>
      </c>
      <c r="B1008" s="118" t="str">
        <f aca="false">CONCATENATE(C1008&amp;D1008)</f>
        <v>1"623</v>
      </c>
      <c r="C1008" s="118" t="s">
        <v>967</v>
      </c>
      <c r="D1008" s="153" t="n">
        <f aca="false">D1007+1</f>
        <v>623</v>
      </c>
      <c r="E1008" s="118" t="e">
        <f aca="false">CEILING(D1008/20;1)</f>
        <v>#VALUE!</v>
      </c>
      <c r="F1008" s="118" t="e">
        <f aca="false">E1008*$F$1</f>
        <v>#VALUE!</v>
      </c>
    </row>
    <row r="1009" customFormat="false" ht="14.25" hidden="false" customHeight="true" outlineLevel="0" collapsed="false">
      <c r="A1009" s="118" t="s">
        <v>1005</v>
      </c>
      <c r="B1009" s="118" t="str">
        <f aca="false">CONCATENATE(C1009&amp;D1009)</f>
        <v>1"624</v>
      </c>
      <c r="C1009" s="118" t="s">
        <v>967</v>
      </c>
      <c r="D1009" s="153" t="n">
        <f aca="false">D1008+1</f>
        <v>624</v>
      </c>
      <c r="E1009" s="118" t="e">
        <f aca="false">CEILING(D1009/20;1)</f>
        <v>#VALUE!</v>
      </c>
      <c r="F1009" s="118" t="e">
        <f aca="false">E1009*$F$1</f>
        <v>#VALUE!</v>
      </c>
    </row>
    <row r="1010" customFormat="false" ht="14.25" hidden="false" customHeight="true" outlineLevel="0" collapsed="false">
      <c r="A1010" s="118" t="s">
        <v>1005</v>
      </c>
      <c r="B1010" s="118" t="str">
        <f aca="false">CONCATENATE(C1010&amp;D1010)</f>
        <v>1"625</v>
      </c>
      <c r="C1010" s="118" t="s">
        <v>967</v>
      </c>
      <c r="D1010" s="153" t="n">
        <f aca="false">D1009+1</f>
        <v>625</v>
      </c>
      <c r="E1010" s="118" t="e">
        <f aca="false">CEILING(D1010/20;1)</f>
        <v>#VALUE!</v>
      </c>
      <c r="F1010" s="118" t="e">
        <f aca="false">E1010*$F$1</f>
        <v>#VALUE!</v>
      </c>
    </row>
    <row r="1011" customFormat="false" ht="14.25" hidden="false" customHeight="true" outlineLevel="0" collapsed="false">
      <c r="A1011" s="118" t="s">
        <v>1005</v>
      </c>
      <c r="B1011" s="118" t="str">
        <f aca="false">CONCATENATE(C1011&amp;D1011)</f>
        <v>1"626</v>
      </c>
      <c r="C1011" s="118" t="s">
        <v>967</v>
      </c>
      <c r="D1011" s="153" t="n">
        <f aca="false">D1010+1</f>
        <v>626</v>
      </c>
      <c r="E1011" s="118" t="e">
        <f aca="false">CEILING(D1011/20;1)</f>
        <v>#VALUE!</v>
      </c>
      <c r="F1011" s="118" t="e">
        <f aca="false">E1011*$F$1</f>
        <v>#VALUE!</v>
      </c>
    </row>
    <row r="1012" customFormat="false" ht="14.25" hidden="false" customHeight="true" outlineLevel="0" collapsed="false">
      <c r="A1012" s="118" t="s">
        <v>1005</v>
      </c>
      <c r="B1012" s="118" t="str">
        <f aca="false">CONCATENATE(C1012&amp;D1012)</f>
        <v>1"627</v>
      </c>
      <c r="C1012" s="118" t="s">
        <v>967</v>
      </c>
      <c r="D1012" s="153" t="n">
        <f aca="false">D1011+1</f>
        <v>627</v>
      </c>
      <c r="E1012" s="118" t="e">
        <f aca="false">CEILING(D1012/20;1)</f>
        <v>#VALUE!</v>
      </c>
      <c r="F1012" s="118" t="e">
        <f aca="false">E1012*$F$1</f>
        <v>#VALUE!</v>
      </c>
    </row>
    <row r="1013" customFormat="false" ht="14.25" hidden="false" customHeight="true" outlineLevel="0" collapsed="false">
      <c r="A1013" s="118" t="s">
        <v>1005</v>
      </c>
      <c r="B1013" s="118" t="str">
        <f aca="false">CONCATENATE(C1013&amp;D1013)</f>
        <v>1"628</v>
      </c>
      <c r="C1013" s="118" t="s">
        <v>967</v>
      </c>
      <c r="D1013" s="153" t="n">
        <f aca="false">D1012+1</f>
        <v>628</v>
      </c>
      <c r="E1013" s="118" t="e">
        <f aca="false">CEILING(D1013/20;1)</f>
        <v>#VALUE!</v>
      </c>
      <c r="F1013" s="118" t="e">
        <f aca="false">E1013*$F$1</f>
        <v>#VALUE!</v>
      </c>
    </row>
    <row r="1014" customFormat="false" ht="14.25" hidden="false" customHeight="true" outlineLevel="0" collapsed="false">
      <c r="A1014" s="118" t="s">
        <v>1005</v>
      </c>
      <c r="B1014" s="118" t="str">
        <f aca="false">CONCATENATE(C1014&amp;D1014)</f>
        <v>1"629</v>
      </c>
      <c r="C1014" s="118" t="s">
        <v>967</v>
      </c>
      <c r="D1014" s="153" t="n">
        <f aca="false">D1013+1</f>
        <v>629</v>
      </c>
      <c r="E1014" s="118" t="e">
        <f aca="false">CEILING(D1014/20;1)</f>
        <v>#VALUE!</v>
      </c>
      <c r="F1014" s="118" t="e">
        <f aca="false">E1014*$F$1</f>
        <v>#VALUE!</v>
      </c>
    </row>
    <row r="1015" customFormat="false" ht="14.25" hidden="false" customHeight="true" outlineLevel="0" collapsed="false">
      <c r="A1015" s="118" t="s">
        <v>1005</v>
      </c>
      <c r="B1015" s="118" t="str">
        <f aca="false">CONCATENATE(C1015&amp;D1015)</f>
        <v>1"630</v>
      </c>
      <c r="C1015" s="118" t="s">
        <v>967</v>
      </c>
      <c r="D1015" s="153" t="n">
        <f aca="false">D1014+1</f>
        <v>630</v>
      </c>
      <c r="E1015" s="118" t="e">
        <f aca="false">CEILING(D1015/20;1)</f>
        <v>#VALUE!</v>
      </c>
      <c r="F1015" s="118" t="e">
        <f aca="false">E1015*$F$1</f>
        <v>#VALUE!</v>
      </c>
    </row>
    <row r="1016" customFormat="false" ht="14.25" hidden="false" customHeight="true" outlineLevel="0" collapsed="false">
      <c r="A1016" s="118" t="s">
        <v>1005</v>
      </c>
      <c r="B1016" s="118" t="str">
        <f aca="false">CONCATENATE(C1016&amp;D1016)</f>
        <v>1"631</v>
      </c>
      <c r="C1016" s="118" t="s">
        <v>967</v>
      </c>
      <c r="D1016" s="153" t="n">
        <f aca="false">D1015+1</f>
        <v>631</v>
      </c>
      <c r="E1016" s="118" t="e">
        <f aca="false">CEILING(D1016/20;1)</f>
        <v>#VALUE!</v>
      </c>
      <c r="F1016" s="118" t="e">
        <f aca="false">E1016*$F$1</f>
        <v>#VALUE!</v>
      </c>
    </row>
    <row r="1017" customFormat="false" ht="14.25" hidden="false" customHeight="true" outlineLevel="0" collapsed="false">
      <c r="A1017" s="118" t="s">
        <v>1005</v>
      </c>
      <c r="B1017" s="118" t="str">
        <f aca="false">CONCATENATE(C1017&amp;D1017)</f>
        <v>1"632</v>
      </c>
      <c r="C1017" s="118" t="s">
        <v>967</v>
      </c>
      <c r="D1017" s="153" t="n">
        <f aca="false">D1016+1</f>
        <v>632</v>
      </c>
      <c r="E1017" s="118" t="e">
        <f aca="false">CEILING(D1017/20;1)</f>
        <v>#VALUE!</v>
      </c>
      <c r="F1017" s="118" t="e">
        <f aca="false">E1017*$F$1</f>
        <v>#VALUE!</v>
      </c>
    </row>
    <row r="1018" customFormat="false" ht="14.25" hidden="false" customHeight="true" outlineLevel="0" collapsed="false">
      <c r="A1018" s="118" t="s">
        <v>1005</v>
      </c>
      <c r="B1018" s="118" t="str">
        <f aca="false">CONCATENATE(C1018&amp;D1018)</f>
        <v>1"633</v>
      </c>
      <c r="C1018" s="118" t="s">
        <v>967</v>
      </c>
      <c r="D1018" s="153" t="n">
        <f aca="false">D1017+1</f>
        <v>633</v>
      </c>
      <c r="E1018" s="118" t="e">
        <f aca="false">CEILING(D1018/20;1)</f>
        <v>#VALUE!</v>
      </c>
      <c r="F1018" s="118" t="e">
        <f aca="false">E1018*$F$1</f>
        <v>#VALUE!</v>
      </c>
    </row>
    <row r="1019" customFormat="false" ht="14.25" hidden="false" customHeight="true" outlineLevel="0" collapsed="false">
      <c r="A1019" s="118" t="s">
        <v>1005</v>
      </c>
      <c r="B1019" s="118" t="str">
        <f aca="false">CONCATENATE(C1019&amp;D1019)</f>
        <v>1"634</v>
      </c>
      <c r="C1019" s="118" t="s">
        <v>967</v>
      </c>
      <c r="D1019" s="153" t="n">
        <f aca="false">D1018+1</f>
        <v>634</v>
      </c>
      <c r="E1019" s="118" t="e">
        <f aca="false">CEILING(D1019/20;1)</f>
        <v>#VALUE!</v>
      </c>
      <c r="F1019" s="118" t="e">
        <f aca="false">E1019*$F$1</f>
        <v>#VALUE!</v>
      </c>
    </row>
    <row r="1020" customFormat="false" ht="14.25" hidden="false" customHeight="true" outlineLevel="0" collapsed="false">
      <c r="A1020" s="118" t="s">
        <v>1005</v>
      </c>
      <c r="B1020" s="118" t="str">
        <f aca="false">CONCATENATE(C1020&amp;D1020)</f>
        <v>1"635</v>
      </c>
      <c r="C1020" s="118" t="s">
        <v>967</v>
      </c>
      <c r="D1020" s="153" t="n">
        <f aca="false">D1019+1</f>
        <v>635</v>
      </c>
      <c r="E1020" s="118" t="e">
        <f aca="false">CEILING(D1020/20;1)</f>
        <v>#VALUE!</v>
      </c>
      <c r="F1020" s="118" t="e">
        <f aca="false">E1020*$F$1</f>
        <v>#VALUE!</v>
      </c>
    </row>
    <row r="1021" customFormat="false" ht="14.25" hidden="false" customHeight="true" outlineLevel="0" collapsed="false">
      <c r="A1021" s="118" t="s">
        <v>1005</v>
      </c>
      <c r="B1021" s="118" t="str">
        <f aca="false">CONCATENATE(C1021&amp;D1021)</f>
        <v>1"636</v>
      </c>
      <c r="C1021" s="118" t="s">
        <v>967</v>
      </c>
      <c r="D1021" s="153" t="n">
        <f aca="false">D1020+1</f>
        <v>636</v>
      </c>
      <c r="E1021" s="118" t="e">
        <f aca="false">CEILING(D1021/20;1)</f>
        <v>#VALUE!</v>
      </c>
      <c r="F1021" s="118" t="e">
        <f aca="false">E1021*$F$1</f>
        <v>#VALUE!</v>
      </c>
    </row>
    <row r="1022" customFormat="false" ht="14.25" hidden="false" customHeight="true" outlineLevel="0" collapsed="false">
      <c r="A1022" s="118" t="s">
        <v>1005</v>
      </c>
      <c r="B1022" s="118" t="str">
        <f aca="false">CONCATENATE(C1022&amp;D1022)</f>
        <v>1"637</v>
      </c>
      <c r="C1022" s="118" t="s">
        <v>967</v>
      </c>
      <c r="D1022" s="153" t="n">
        <f aca="false">D1021+1</f>
        <v>637</v>
      </c>
      <c r="E1022" s="118" t="e">
        <f aca="false">CEILING(D1022/20;1)</f>
        <v>#VALUE!</v>
      </c>
      <c r="F1022" s="118" t="e">
        <f aca="false">E1022*$F$1</f>
        <v>#VALUE!</v>
      </c>
    </row>
    <row r="1023" customFormat="false" ht="14.25" hidden="false" customHeight="true" outlineLevel="0" collapsed="false">
      <c r="A1023" s="118" t="s">
        <v>1005</v>
      </c>
      <c r="B1023" s="118" t="str">
        <f aca="false">CONCATENATE(C1023&amp;D1023)</f>
        <v>1"638</v>
      </c>
      <c r="C1023" s="118" t="s">
        <v>967</v>
      </c>
      <c r="D1023" s="153" t="n">
        <f aca="false">D1022+1</f>
        <v>638</v>
      </c>
      <c r="E1023" s="118" t="e">
        <f aca="false">CEILING(D1023/20;1)</f>
        <v>#VALUE!</v>
      </c>
      <c r="F1023" s="118" t="e">
        <f aca="false">E1023*$F$1</f>
        <v>#VALUE!</v>
      </c>
    </row>
    <row r="1024" customFormat="false" ht="14.25" hidden="false" customHeight="true" outlineLevel="0" collapsed="false">
      <c r="A1024" s="118" t="s">
        <v>1005</v>
      </c>
      <c r="B1024" s="118" t="str">
        <f aca="false">CONCATENATE(C1024&amp;D1024)</f>
        <v>1"639</v>
      </c>
      <c r="C1024" s="118" t="s">
        <v>967</v>
      </c>
      <c r="D1024" s="153" t="n">
        <f aca="false">D1023+1</f>
        <v>639</v>
      </c>
      <c r="E1024" s="118" t="e">
        <f aca="false">CEILING(D1024/20;1)</f>
        <v>#VALUE!</v>
      </c>
      <c r="F1024" s="118" t="e">
        <f aca="false">E1024*$F$1</f>
        <v>#VALUE!</v>
      </c>
    </row>
    <row r="1025" customFormat="false" ht="14.25" hidden="false" customHeight="true" outlineLevel="0" collapsed="false">
      <c r="A1025" s="118" t="s">
        <v>1005</v>
      </c>
      <c r="B1025" s="118" t="str">
        <f aca="false">CONCATENATE(C1025&amp;D1025)</f>
        <v>1"640</v>
      </c>
      <c r="C1025" s="118" t="s">
        <v>967</v>
      </c>
      <c r="D1025" s="153" t="n">
        <f aca="false">D1024+1</f>
        <v>640</v>
      </c>
      <c r="E1025" s="118" t="e">
        <f aca="false">CEILING(D1025/20;1)</f>
        <v>#VALUE!</v>
      </c>
      <c r="F1025" s="118" t="e">
        <f aca="false">E1025*$F$1</f>
        <v>#VALUE!</v>
      </c>
    </row>
    <row r="1026" customFormat="false" ht="14.25" hidden="false" customHeight="true" outlineLevel="0" collapsed="false">
      <c r="A1026" s="118" t="s">
        <v>1005</v>
      </c>
      <c r="B1026" s="118" t="str">
        <f aca="false">CONCATENATE(C1026&amp;D1026)</f>
        <v>1"641</v>
      </c>
      <c r="C1026" s="118" t="s">
        <v>967</v>
      </c>
      <c r="D1026" s="153" t="n">
        <f aca="false">D1025+1</f>
        <v>641</v>
      </c>
      <c r="E1026" s="118" t="e">
        <f aca="false">CEILING(D1026/20;1)</f>
        <v>#VALUE!</v>
      </c>
      <c r="F1026" s="118" t="e">
        <f aca="false">E1026*$F$1</f>
        <v>#VALUE!</v>
      </c>
    </row>
    <row r="1027" customFormat="false" ht="14.25" hidden="false" customHeight="true" outlineLevel="0" collapsed="false">
      <c r="A1027" s="118" t="s">
        <v>1005</v>
      </c>
      <c r="B1027" s="118" t="str">
        <f aca="false">CONCATENATE(C1027&amp;D1027)</f>
        <v>1"642</v>
      </c>
      <c r="C1027" s="118" t="s">
        <v>967</v>
      </c>
      <c r="D1027" s="153" t="n">
        <f aca="false">D1026+1</f>
        <v>642</v>
      </c>
      <c r="E1027" s="118" t="e">
        <f aca="false">CEILING(D1027/20;1)</f>
        <v>#VALUE!</v>
      </c>
      <c r="F1027" s="118" t="e">
        <f aca="false">E1027*$F$1</f>
        <v>#VALUE!</v>
      </c>
    </row>
    <row r="1028" customFormat="false" ht="14.25" hidden="false" customHeight="true" outlineLevel="0" collapsed="false">
      <c r="A1028" s="118" t="s">
        <v>1005</v>
      </c>
      <c r="B1028" s="118" t="str">
        <f aca="false">CONCATENATE(C1028&amp;D1028)</f>
        <v>1"643</v>
      </c>
      <c r="C1028" s="118" t="s">
        <v>967</v>
      </c>
      <c r="D1028" s="153" t="n">
        <f aca="false">D1027+1</f>
        <v>643</v>
      </c>
      <c r="E1028" s="118" t="e">
        <f aca="false">CEILING(D1028/20;1)</f>
        <v>#VALUE!</v>
      </c>
      <c r="F1028" s="118" t="e">
        <f aca="false">E1028*$F$1</f>
        <v>#VALUE!</v>
      </c>
    </row>
    <row r="1029" customFormat="false" ht="14.25" hidden="false" customHeight="true" outlineLevel="0" collapsed="false">
      <c r="A1029" s="118" t="s">
        <v>1005</v>
      </c>
      <c r="B1029" s="118" t="str">
        <f aca="false">CONCATENATE(C1029&amp;D1029)</f>
        <v>1"644</v>
      </c>
      <c r="C1029" s="118" t="s">
        <v>967</v>
      </c>
      <c r="D1029" s="153" t="n">
        <f aca="false">D1028+1</f>
        <v>644</v>
      </c>
      <c r="E1029" s="118" t="e">
        <f aca="false">CEILING(D1029/20;1)</f>
        <v>#VALUE!</v>
      </c>
      <c r="F1029" s="118" t="e">
        <f aca="false">E1029*$F$1</f>
        <v>#VALUE!</v>
      </c>
    </row>
    <row r="1030" customFormat="false" ht="14.25" hidden="false" customHeight="true" outlineLevel="0" collapsed="false">
      <c r="A1030" s="118" t="s">
        <v>1005</v>
      </c>
      <c r="B1030" s="118" t="str">
        <f aca="false">CONCATENATE(C1030&amp;D1030)</f>
        <v>1"645</v>
      </c>
      <c r="C1030" s="118" t="s">
        <v>967</v>
      </c>
      <c r="D1030" s="153" t="n">
        <f aca="false">D1029+1</f>
        <v>645</v>
      </c>
      <c r="E1030" s="118" t="e">
        <f aca="false">CEILING(D1030/20;1)</f>
        <v>#VALUE!</v>
      </c>
      <c r="F1030" s="118" t="e">
        <f aca="false">E1030*$F$1</f>
        <v>#VALUE!</v>
      </c>
    </row>
    <row r="1031" customFormat="false" ht="14.25" hidden="false" customHeight="true" outlineLevel="0" collapsed="false">
      <c r="A1031" s="118" t="s">
        <v>1005</v>
      </c>
      <c r="B1031" s="118" t="str">
        <f aca="false">CONCATENATE(C1031&amp;D1031)</f>
        <v>1"646</v>
      </c>
      <c r="C1031" s="118" t="s">
        <v>967</v>
      </c>
      <c r="D1031" s="153" t="n">
        <f aca="false">D1030+1</f>
        <v>646</v>
      </c>
      <c r="E1031" s="118" t="e">
        <f aca="false">CEILING(D1031/20;1)</f>
        <v>#VALUE!</v>
      </c>
      <c r="F1031" s="118" t="e">
        <f aca="false">E1031*$F$1</f>
        <v>#VALUE!</v>
      </c>
    </row>
    <row r="1032" customFormat="false" ht="14.25" hidden="false" customHeight="true" outlineLevel="0" collapsed="false">
      <c r="A1032" s="118" t="s">
        <v>1005</v>
      </c>
      <c r="B1032" s="118" t="str">
        <f aca="false">CONCATENATE(C1032&amp;D1032)</f>
        <v>1"647</v>
      </c>
      <c r="C1032" s="118" t="s">
        <v>967</v>
      </c>
      <c r="D1032" s="153" t="n">
        <f aca="false">D1031+1</f>
        <v>647</v>
      </c>
      <c r="E1032" s="118" t="e">
        <f aca="false">CEILING(D1032/20;1)</f>
        <v>#VALUE!</v>
      </c>
      <c r="F1032" s="118" t="e">
        <f aca="false">E1032*$F$1</f>
        <v>#VALUE!</v>
      </c>
    </row>
    <row r="1033" customFormat="false" ht="14.25" hidden="false" customHeight="true" outlineLevel="0" collapsed="false">
      <c r="A1033" s="118" t="s">
        <v>1005</v>
      </c>
      <c r="B1033" s="118" t="str">
        <f aca="false">CONCATENATE(C1033&amp;D1033)</f>
        <v>1"648</v>
      </c>
      <c r="C1033" s="118" t="s">
        <v>967</v>
      </c>
      <c r="D1033" s="153" t="n">
        <f aca="false">D1032+1</f>
        <v>648</v>
      </c>
      <c r="E1033" s="118" t="e">
        <f aca="false">CEILING(D1033/20;1)</f>
        <v>#VALUE!</v>
      </c>
      <c r="F1033" s="118" t="e">
        <f aca="false">E1033*$F$1</f>
        <v>#VALUE!</v>
      </c>
    </row>
    <row r="1034" customFormat="false" ht="14.25" hidden="false" customHeight="true" outlineLevel="0" collapsed="false">
      <c r="A1034" s="118" t="s">
        <v>1005</v>
      </c>
      <c r="B1034" s="118" t="str">
        <f aca="false">CONCATENATE(C1034&amp;D1034)</f>
        <v>1"649</v>
      </c>
      <c r="C1034" s="118" t="s">
        <v>967</v>
      </c>
      <c r="D1034" s="153" t="n">
        <f aca="false">D1033+1</f>
        <v>649</v>
      </c>
      <c r="E1034" s="118" t="e">
        <f aca="false">CEILING(D1034/20;1)</f>
        <v>#VALUE!</v>
      </c>
      <c r="F1034" s="118" t="e">
        <f aca="false">E1034*$F$1</f>
        <v>#VALUE!</v>
      </c>
    </row>
    <row r="1035" customFormat="false" ht="14.25" hidden="false" customHeight="true" outlineLevel="0" collapsed="false">
      <c r="A1035" s="118" t="s">
        <v>1005</v>
      </c>
      <c r="B1035" s="118" t="str">
        <f aca="false">CONCATENATE(C1035&amp;D1035)</f>
        <v>1"650</v>
      </c>
      <c r="C1035" s="118" t="s">
        <v>967</v>
      </c>
      <c r="D1035" s="153" t="n">
        <f aca="false">D1034+1</f>
        <v>650</v>
      </c>
      <c r="E1035" s="118" t="e">
        <f aca="false">CEILING(D1035/20;1)</f>
        <v>#VALUE!</v>
      </c>
      <c r="F1035" s="118" t="e">
        <f aca="false">E1035*$F$1</f>
        <v>#VALUE!</v>
      </c>
    </row>
    <row r="1036" customFormat="false" ht="14.25" hidden="false" customHeight="true" outlineLevel="0" collapsed="false">
      <c r="A1036" s="118" t="s">
        <v>1005</v>
      </c>
      <c r="B1036" s="118" t="str">
        <f aca="false">CONCATENATE(C1036&amp;D1036)</f>
        <v>1"651</v>
      </c>
      <c r="C1036" s="118" t="s">
        <v>967</v>
      </c>
      <c r="D1036" s="153" t="n">
        <f aca="false">D1035+1</f>
        <v>651</v>
      </c>
      <c r="E1036" s="118" t="e">
        <f aca="false">CEILING(D1036/20;1)</f>
        <v>#VALUE!</v>
      </c>
      <c r="F1036" s="118" t="e">
        <f aca="false">E1036*$F$1</f>
        <v>#VALUE!</v>
      </c>
    </row>
    <row r="1037" customFormat="false" ht="14.25" hidden="false" customHeight="true" outlineLevel="0" collapsed="false">
      <c r="A1037" s="118" t="s">
        <v>1005</v>
      </c>
      <c r="B1037" s="118" t="str">
        <f aca="false">CONCATENATE(C1037&amp;D1037)</f>
        <v>1"652</v>
      </c>
      <c r="C1037" s="118" t="s">
        <v>967</v>
      </c>
      <c r="D1037" s="153" t="n">
        <f aca="false">D1036+1</f>
        <v>652</v>
      </c>
      <c r="E1037" s="118" t="e">
        <f aca="false">CEILING(D1037/20;1)</f>
        <v>#VALUE!</v>
      </c>
      <c r="F1037" s="118" t="e">
        <f aca="false">E1037*$F$1</f>
        <v>#VALUE!</v>
      </c>
    </row>
    <row r="1038" customFormat="false" ht="14.25" hidden="false" customHeight="true" outlineLevel="0" collapsed="false">
      <c r="A1038" s="118" t="s">
        <v>1005</v>
      </c>
      <c r="B1038" s="118" t="str">
        <f aca="false">CONCATENATE(C1038&amp;D1038)</f>
        <v>1"653</v>
      </c>
      <c r="C1038" s="118" t="s">
        <v>967</v>
      </c>
      <c r="D1038" s="153" t="n">
        <f aca="false">D1037+1</f>
        <v>653</v>
      </c>
      <c r="E1038" s="118" t="e">
        <f aca="false">CEILING(D1038/20;1)</f>
        <v>#VALUE!</v>
      </c>
      <c r="F1038" s="118" t="e">
        <f aca="false">E1038*$F$1</f>
        <v>#VALUE!</v>
      </c>
    </row>
    <row r="1039" customFormat="false" ht="14.25" hidden="false" customHeight="true" outlineLevel="0" collapsed="false">
      <c r="A1039" s="118" t="s">
        <v>1005</v>
      </c>
      <c r="B1039" s="118" t="str">
        <f aca="false">CONCATENATE(C1039&amp;D1039)</f>
        <v>1"654</v>
      </c>
      <c r="C1039" s="118" t="s">
        <v>967</v>
      </c>
      <c r="D1039" s="153" t="n">
        <f aca="false">D1038+1</f>
        <v>654</v>
      </c>
      <c r="E1039" s="118" t="e">
        <f aca="false">CEILING(D1039/20;1)</f>
        <v>#VALUE!</v>
      </c>
      <c r="F1039" s="118" t="e">
        <f aca="false">E1039*$F$1</f>
        <v>#VALUE!</v>
      </c>
    </row>
    <row r="1040" customFormat="false" ht="14.25" hidden="false" customHeight="true" outlineLevel="0" collapsed="false">
      <c r="A1040" s="118" t="s">
        <v>1005</v>
      </c>
      <c r="B1040" s="118" t="str">
        <f aca="false">CONCATENATE(C1040&amp;D1040)</f>
        <v>1"655</v>
      </c>
      <c r="C1040" s="118" t="s">
        <v>967</v>
      </c>
      <c r="D1040" s="153" t="n">
        <f aca="false">D1039+1</f>
        <v>655</v>
      </c>
      <c r="E1040" s="118" t="e">
        <f aca="false">CEILING(D1040/20;1)</f>
        <v>#VALUE!</v>
      </c>
      <c r="F1040" s="118" t="e">
        <f aca="false">E1040*$F$1</f>
        <v>#VALUE!</v>
      </c>
    </row>
    <row r="1041" customFormat="false" ht="14.25" hidden="false" customHeight="true" outlineLevel="0" collapsed="false">
      <c r="A1041" s="118" t="s">
        <v>1005</v>
      </c>
      <c r="B1041" s="118" t="str">
        <f aca="false">CONCATENATE(C1041&amp;D1041)</f>
        <v>1"656</v>
      </c>
      <c r="C1041" s="118" t="s">
        <v>967</v>
      </c>
      <c r="D1041" s="153" t="n">
        <f aca="false">D1040+1</f>
        <v>656</v>
      </c>
      <c r="E1041" s="118" t="e">
        <f aca="false">CEILING(D1041/20;1)</f>
        <v>#VALUE!</v>
      </c>
      <c r="F1041" s="118" t="e">
        <f aca="false">E1041*$F$1</f>
        <v>#VALUE!</v>
      </c>
    </row>
    <row r="1042" customFormat="false" ht="14.25" hidden="false" customHeight="true" outlineLevel="0" collapsed="false">
      <c r="A1042" s="118" t="s">
        <v>1005</v>
      </c>
      <c r="B1042" s="118" t="str">
        <f aca="false">CONCATENATE(C1042&amp;D1042)</f>
        <v>1"657</v>
      </c>
      <c r="C1042" s="118" t="s">
        <v>967</v>
      </c>
      <c r="D1042" s="153" t="n">
        <f aca="false">D1041+1</f>
        <v>657</v>
      </c>
      <c r="E1042" s="118" t="e">
        <f aca="false">CEILING(D1042/20;1)</f>
        <v>#VALUE!</v>
      </c>
      <c r="F1042" s="118" t="e">
        <f aca="false">E1042*$F$1</f>
        <v>#VALUE!</v>
      </c>
    </row>
    <row r="1043" customFormat="false" ht="14.25" hidden="false" customHeight="true" outlineLevel="0" collapsed="false">
      <c r="A1043" s="118" t="s">
        <v>1005</v>
      </c>
      <c r="B1043" s="118" t="str">
        <f aca="false">CONCATENATE(C1043&amp;D1043)</f>
        <v>1"658</v>
      </c>
      <c r="C1043" s="118" t="s">
        <v>967</v>
      </c>
      <c r="D1043" s="153" t="n">
        <f aca="false">D1042+1</f>
        <v>658</v>
      </c>
      <c r="E1043" s="118" t="e">
        <f aca="false">CEILING(D1043/20;1)</f>
        <v>#VALUE!</v>
      </c>
      <c r="F1043" s="118" t="e">
        <f aca="false">E1043*$F$1</f>
        <v>#VALUE!</v>
      </c>
    </row>
    <row r="1044" customFormat="false" ht="14.25" hidden="false" customHeight="true" outlineLevel="0" collapsed="false">
      <c r="A1044" s="118" t="s">
        <v>1005</v>
      </c>
      <c r="B1044" s="118" t="str">
        <f aca="false">CONCATENATE(C1044&amp;D1044)</f>
        <v>1"659</v>
      </c>
      <c r="C1044" s="118" t="s">
        <v>967</v>
      </c>
      <c r="D1044" s="153" t="n">
        <f aca="false">D1043+1</f>
        <v>659</v>
      </c>
      <c r="E1044" s="118" t="e">
        <f aca="false">CEILING(D1044/20;1)</f>
        <v>#VALUE!</v>
      </c>
      <c r="F1044" s="118" t="e">
        <f aca="false">E1044*$F$1</f>
        <v>#VALUE!</v>
      </c>
    </row>
    <row r="1045" customFormat="false" ht="14.25" hidden="false" customHeight="true" outlineLevel="0" collapsed="false">
      <c r="A1045" s="118" t="s">
        <v>1005</v>
      </c>
      <c r="B1045" s="118" t="str">
        <f aca="false">CONCATENATE(C1045&amp;D1045)</f>
        <v>1"660</v>
      </c>
      <c r="C1045" s="118" t="s">
        <v>967</v>
      </c>
      <c r="D1045" s="153" t="n">
        <f aca="false">D1044+1</f>
        <v>660</v>
      </c>
      <c r="E1045" s="118" t="e">
        <f aca="false">CEILING(D1045/20;1)</f>
        <v>#VALUE!</v>
      </c>
      <c r="F1045" s="118" t="e">
        <f aca="false">E1045*$F$1</f>
        <v>#VALUE!</v>
      </c>
    </row>
    <row r="1046" customFormat="false" ht="14.25" hidden="false" customHeight="true" outlineLevel="0" collapsed="false">
      <c r="A1046" s="118" t="s">
        <v>1005</v>
      </c>
      <c r="B1046" s="118" t="str">
        <f aca="false">CONCATENATE(C1046&amp;D1046)</f>
        <v>1"661</v>
      </c>
      <c r="C1046" s="118" t="s">
        <v>967</v>
      </c>
      <c r="D1046" s="153" t="n">
        <f aca="false">D1045+1</f>
        <v>661</v>
      </c>
      <c r="E1046" s="118" t="e">
        <f aca="false">CEILING(D1046/20;1)</f>
        <v>#VALUE!</v>
      </c>
      <c r="F1046" s="118" t="e">
        <f aca="false">E1046*$F$1</f>
        <v>#VALUE!</v>
      </c>
    </row>
    <row r="1047" customFormat="false" ht="14.25" hidden="false" customHeight="true" outlineLevel="0" collapsed="false">
      <c r="A1047" s="118" t="s">
        <v>1005</v>
      </c>
      <c r="B1047" s="118" t="str">
        <f aca="false">CONCATENATE(C1047&amp;D1047)</f>
        <v>1"662</v>
      </c>
      <c r="C1047" s="118" t="s">
        <v>967</v>
      </c>
      <c r="D1047" s="153" t="n">
        <f aca="false">D1046+1</f>
        <v>662</v>
      </c>
      <c r="E1047" s="118" t="e">
        <f aca="false">CEILING(D1047/20;1)</f>
        <v>#VALUE!</v>
      </c>
      <c r="F1047" s="118" t="e">
        <f aca="false">E1047*$F$1</f>
        <v>#VALUE!</v>
      </c>
    </row>
    <row r="1048" customFormat="false" ht="14.25" hidden="false" customHeight="true" outlineLevel="0" collapsed="false">
      <c r="A1048" s="118" t="s">
        <v>1005</v>
      </c>
      <c r="B1048" s="118" t="str">
        <f aca="false">CONCATENATE(C1048&amp;D1048)</f>
        <v>1"663</v>
      </c>
      <c r="C1048" s="118" t="s">
        <v>967</v>
      </c>
      <c r="D1048" s="153" t="n">
        <f aca="false">D1047+1</f>
        <v>663</v>
      </c>
      <c r="E1048" s="118" t="e">
        <f aca="false">CEILING(D1048/20;1)</f>
        <v>#VALUE!</v>
      </c>
      <c r="F1048" s="118" t="e">
        <f aca="false">E1048*$F$1</f>
        <v>#VALUE!</v>
      </c>
    </row>
    <row r="1049" customFormat="false" ht="14.25" hidden="false" customHeight="true" outlineLevel="0" collapsed="false">
      <c r="A1049" s="118" t="s">
        <v>1005</v>
      </c>
      <c r="B1049" s="118" t="str">
        <f aca="false">CONCATENATE(C1049&amp;D1049)</f>
        <v>1"664</v>
      </c>
      <c r="C1049" s="118" t="s">
        <v>967</v>
      </c>
      <c r="D1049" s="153" t="n">
        <f aca="false">D1048+1</f>
        <v>664</v>
      </c>
      <c r="E1049" s="118" t="e">
        <f aca="false">CEILING(D1049/20;1)</f>
        <v>#VALUE!</v>
      </c>
      <c r="F1049" s="118" t="e">
        <f aca="false">E1049*$F$1</f>
        <v>#VALUE!</v>
      </c>
    </row>
    <row r="1050" customFormat="false" ht="14.25" hidden="false" customHeight="true" outlineLevel="0" collapsed="false">
      <c r="A1050" s="118" t="s">
        <v>1005</v>
      </c>
      <c r="B1050" s="118" t="str">
        <f aca="false">CONCATENATE(C1050&amp;D1050)</f>
        <v>1"665</v>
      </c>
      <c r="C1050" s="118" t="s">
        <v>967</v>
      </c>
      <c r="D1050" s="153" t="n">
        <f aca="false">D1049+1</f>
        <v>665</v>
      </c>
      <c r="E1050" s="118" t="e">
        <f aca="false">CEILING(D1050/20;1)</f>
        <v>#VALUE!</v>
      </c>
      <c r="F1050" s="118" t="e">
        <f aca="false">E1050*$F$1</f>
        <v>#VALUE!</v>
      </c>
    </row>
    <row r="1051" customFormat="false" ht="14.25" hidden="false" customHeight="true" outlineLevel="0" collapsed="false">
      <c r="A1051" s="118" t="s">
        <v>1005</v>
      </c>
      <c r="B1051" s="118" t="str">
        <f aca="false">CONCATENATE(C1051&amp;D1051)</f>
        <v>1"666</v>
      </c>
      <c r="C1051" s="118" t="s">
        <v>967</v>
      </c>
      <c r="D1051" s="153" t="n">
        <f aca="false">D1050+1</f>
        <v>666</v>
      </c>
      <c r="E1051" s="118" t="e">
        <f aca="false">CEILING(D1051/20;1)</f>
        <v>#VALUE!</v>
      </c>
      <c r="F1051" s="118" t="e">
        <f aca="false">E1051*$F$1</f>
        <v>#VALUE!</v>
      </c>
    </row>
    <row r="1052" customFormat="false" ht="14.25" hidden="false" customHeight="true" outlineLevel="0" collapsed="false">
      <c r="A1052" s="118" t="s">
        <v>1005</v>
      </c>
      <c r="B1052" s="118" t="str">
        <f aca="false">CONCATENATE(C1052&amp;D1052)</f>
        <v>1"667</v>
      </c>
      <c r="C1052" s="118" t="s">
        <v>967</v>
      </c>
      <c r="D1052" s="153" t="n">
        <f aca="false">D1051+1</f>
        <v>667</v>
      </c>
      <c r="E1052" s="118" t="e">
        <f aca="false">CEILING(D1052/20;1)</f>
        <v>#VALUE!</v>
      </c>
      <c r="F1052" s="118" t="e">
        <f aca="false">E1052*$F$1</f>
        <v>#VALUE!</v>
      </c>
    </row>
    <row r="1053" customFormat="false" ht="14.25" hidden="false" customHeight="true" outlineLevel="0" collapsed="false">
      <c r="A1053" s="118" t="s">
        <v>1005</v>
      </c>
      <c r="B1053" s="118" t="str">
        <f aca="false">CONCATENATE(C1053&amp;D1053)</f>
        <v>1"668</v>
      </c>
      <c r="C1053" s="118" t="s">
        <v>967</v>
      </c>
      <c r="D1053" s="153" t="n">
        <f aca="false">D1052+1</f>
        <v>668</v>
      </c>
      <c r="E1053" s="118" t="e">
        <f aca="false">CEILING(D1053/20;1)</f>
        <v>#VALUE!</v>
      </c>
      <c r="F1053" s="118" t="e">
        <f aca="false">E1053*$F$1</f>
        <v>#VALUE!</v>
      </c>
    </row>
    <row r="1054" customFormat="false" ht="14.25" hidden="false" customHeight="true" outlineLevel="0" collapsed="false">
      <c r="A1054" s="118" t="s">
        <v>1005</v>
      </c>
      <c r="B1054" s="118" t="str">
        <f aca="false">CONCATENATE(C1054&amp;D1054)</f>
        <v>1"669</v>
      </c>
      <c r="C1054" s="118" t="s">
        <v>967</v>
      </c>
      <c r="D1054" s="153" t="n">
        <f aca="false">D1053+1</f>
        <v>669</v>
      </c>
      <c r="E1054" s="118" t="e">
        <f aca="false">CEILING(D1054/20;1)</f>
        <v>#VALUE!</v>
      </c>
      <c r="F1054" s="118" t="e">
        <f aca="false">E1054*$F$1</f>
        <v>#VALUE!</v>
      </c>
    </row>
    <row r="1055" customFormat="false" ht="14.25" hidden="false" customHeight="true" outlineLevel="0" collapsed="false">
      <c r="A1055" s="118" t="s">
        <v>1005</v>
      </c>
      <c r="B1055" s="118" t="str">
        <f aca="false">CONCATENATE(C1055&amp;D1055)</f>
        <v>1"670</v>
      </c>
      <c r="C1055" s="118" t="s">
        <v>967</v>
      </c>
      <c r="D1055" s="153" t="n">
        <f aca="false">D1054+1</f>
        <v>670</v>
      </c>
      <c r="E1055" s="118" t="e">
        <f aca="false">CEILING(D1055/20;1)</f>
        <v>#VALUE!</v>
      </c>
      <c r="F1055" s="118" t="e">
        <f aca="false">E1055*$F$1</f>
        <v>#VALUE!</v>
      </c>
    </row>
    <row r="1056" customFormat="false" ht="14.25" hidden="false" customHeight="true" outlineLevel="0" collapsed="false">
      <c r="A1056" s="118" t="s">
        <v>1005</v>
      </c>
      <c r="B1056" s="118" t="str">
        <f aca="false">CONCATENATE(C1056&amp;D1056)</f>
        <v>1"671</v>
      </c>
      <c r="C1056" s="118" t="s">
        <v>967</v>
      </c>
      <c r="D1056" s="153" t="n">
        <f aca="false">D1055+1</f>
        <v>671</v>
      </c>
      <c r="E1056" s="118" t="e">
        <f aca="false">CEILING(D1056/20;1)</f>
        <v>#VALUE!</v>
      </c>
      <c r="F1056" s="118" t="e">
        <f aca="false">E1056*$F$1</f>
        <v>#VALUE!</v>
      </c>
    </row>
    <row r="1057" customFormat="false" ht="14.25" hidden="false" customHeight="true" outlineLevel="0" collapsed="false">
      <c r="A1057" s="118" t="s">
        <v>1005</v>
      </c>
      <c r="B1057" s="118" t="str">
        <f aca="false">CONCATENATE(C1057&amp;D1057)</f>
        <v>1"672</v>
      </c>
      <c r="C1057" s="118" t="s">
        <v>967</v>
      </c>
      <c r="D1057" s="153" t="n">
        <f aca="false">D1056+1</f>
        <v>672</v>
      </c>
      <c r="E1057" s="118" t="e">
        <f aca="false">CEILING(D1057/20;1)</f>
        <v>#VALUE!</v>
      </c>
      <c r="F1057" s="118" t="e">
        <f aca="false">E1057*$F$1</f>
        <v>#VALUE!</v>
      </c>
    </row>
    <row r="1058" customFormat="false" ht="14.25" hidden="false" customHeight="true" outlineLevel="0" collapsed="false">
      <c r="A1058" s="118" t="s">
        <v>1005</v>
      </c>
      <c r="B1058" s="118" t="str">
        <f aca="false">CONCATENATE(C1058&amp;D1058)</f>
        <v>1"673</v>
      </c>
      <c r="C1058" s="118" t="s">
        <v>967</v>
      </c>
      <c r="D1058" s="153" t="n">
        <f aca="false">D1057+1</f>
        <v>673</v>
      </c>
      <c r="E1058" s="118" t="e">
        <f aca="false">CEILING(D1058/20;1)</f>
        <v>#VALUE!</v>
      </c>
      <c r="F1058" s="118" t="e">
        <f aca="false">E1058*$F$1</f>
        <v>#VALUE!</v>
      </c>
    </row>
    <row r="1059" customFormat="false" ht="14.25" hidden="false" customHeight="true" outlineLevel="0" collapsed="false">
      <c r="A1059" s="118" t="s">
        <v>1005</v>
      </c>
      <c r="B1059" s="118" t="str">
        <f aca="false">CONCATENATE(C1059&amp;D1059)</f>
        <v>1"674</v>
      </c>
      <c r="C1059" s="118" t="s">
        <v>967</v>
      </c>
      <c r="D1059" s="153" t="n">
        <f aca="false">D1058+1</f>
        <v>674</v>
      </c>
      <c r="E1059" s="118" t="e">
        <f aca="false">CEILING(D1059/20;1)</f>
        <v>#VALUE!</v>
      </c>
      <c r="F1059" s="118" t="e">
        <f aca="false">E1059*$F$1</f>
        <v>#VALUE!</v>
      </c>
    </row>
    <row r="1060" customFormat="false" ht="14.25" hidden="false" customHeight="true" outlineLevel="0" collapsed="false">
      <c r="A1060" s="118" t="s">
        <v>1005</v>
      </c>
      <c r="B1060" s="118" t="str">
        <f aca="false">CONCATENATE(C1060&amp;D1060)</f>
        <v>1"675</v>
      </c>
      <c r="C1060" s="118" t="s">
        <v>967</v>
      </c>
      <c r="D1060" s="153" t="n">
        <f aca="false">D1059+1</f>
        <v>675</v>
      </c>
      <c r="E1060" s="118" t="e">
        <f aca="false">CEILING(D1060/20;1)</f>
        <v>#VALUE!</v>
      </c>
      <c r="F1060" s="118" t="e">
        <f aca="false">E1060*$F$1</f>
        <v>#VALUE!</v>
      </c>
    </row>
    <row r="1061" customFormat="false" ht="14.25" hidden="false" customHeight="true" outlineLevel="0" collapsed="false">
      <c r="A1061" s="118" t="s">
        <v>1005</v>
      </c>
      <c r="B1061" s="118" t="str">
        <f aca="false">CONCATENATE(C1061&amp;D1061)</f>
        <v>1"676</v>
      </c>
      <c r="C1061" s="118" t="s">
        <v>967</v>
      </c>
      <c r="D1061" s="153" t="n">
        <f aca="false">D1060+1</f>
        <v>676</v>
      </c>
      <c r="E1061" s="118" t="e">
        <f aca="false">CEILING(D1061/20;1)</f>
        <v>#VALUE!</v>
      </c>
      <c r="F1061" s="118" t="e">
        <f aca="false">E1061*$F$1</f>
        <v>#VALUE!</v>
      </c>
    </row>
    <row r="1062" customFormat="false" ht="14.25" hidden="false" customHeight="true" outlineLevel="0" collapsed="false">
      <c r="A1062" s="118" t="s">
        <v>1005</v>
      </c>
      <c r="B1062" s="118" t="str">
        <f aca="false">CONCATENATE(C1062&amp;D1062)</f>
        <v>1"677</v>
      </c>
      <c r="C1062" s="118" t="s">
        <v>967</v>
      </c>
      <c r="D1062" s="153" t="n">
        <f aca="false">D1061+1</f>
        <v>677</v>
      </c>
      <c r="E1062" s="118" t="e">
        <f aca="false">CEILING(D1062/20;1)</f>
        <v>#VALUE!</v>
      </c>
      <c r="F1062" s="118" t="e">
        <f aca="false">E1062*$F$1</f>
        <v>#VALUE!</v>
      </c>
    </row>
    <row r="1063" customFormat="false" ht="14.25" hidden="false" customHeight="true" outlineLevel="0" collapsed="false">
      <c r="A1063" s="118" t="s">
        <v>1005</v>
      </c>
      <c r="B1063" s="118" t="str">
        <f aca="false">CONCATENATE(C1063&amp;D1063)</f>
        <v>1"678</v>
      </c>
      <c r="C1063" s="118" t="s">
        <v>967</v>
      </c>
      <c r="D1063" s="153" t="n">
        <f aca="false">D1062+1</f>
        <v>678</v>
      </c>
      <c r="E1063" s="118" t="e">
        <f aca="false">CEILING(D1063/20;1)</f>
        <v>#VALUE!</v>
      </c>
      <c r="F1063" s="118" t="e">
        <f aca="false">E1063*$F$1</f>
        <v>#VALUE!</v>
      </c>
    </row>
    <row r="1064" customFormat="false" ht="14.25" hidden="false" customHeight="true" outlineLevel="0" collapsed="false">
      <c r="A1064" s="118" t="s">
        <v>1005</v>
      </c>
      <c r="B1064" s="118" t="str">
        <f aca="false">CONCATENATE(C1064&amp;D1064)</f>
        <v>1"679</v>
      </c>
      <c r="C1064" s="118" t="s">
        <v>967</v>
      </c>
      <c r="D1064" s="153" t="n">
        <f aca="false">D1063+1</f>
        <v>679</v>
      </c>
      <c r="E1064" s="118" t="e">
        <f aca="false">CEILING(D1064/20;1)</f>
        <v>#VALUE!</v>
      </c>
      <c r="F1064" s="118" t="e">
        <f aca="false">E1064*$F$1</f>
        <v>#VALUE!</v>
      </c>
    </row>
    <row r="1065" customFormat="false" ht="14.25" hidden="false" customHeight="true" outlineLevel="0" collapsed="false">
      <c r="A1065" s="118" t="s">
        <v>1005</v>
      </c>
      <c r="B1065" s="118" t="str">
        <f aca="false">CONCATENATE(C1065&amp;D1065)</f>
        <v>1"680</v>
      </c>
      <c r="C1065" s="118" t="s">
        <v>967</v>
      </c>
      <c r="D1065" s="153" t="n">
        <f aca="false">D1064+1</f>
        <v>680</v>
      </c>
      <c r="E1065" s="118" t="e">
        <f aca="false">CEILING(D1065/20;1)</f>
        <v>#VALUE!</v>
      </c>
      <c r="F1065" s="118" t="e">
        <f aca="false">E1065*$F$1</f>
        <v>#VALUE!</v>
      </c>
    </row>
    <row r="1066" customFormat="false" ht="14.25" hidden="false" customHeight="true" outlineLevel="0" collapsed="false">
      <c r="A1066" s="118" t="s">
        <v>1005</v>
      </c>
      <c r="B1066" s="118" t="str">
        <f aca="false">CONCATENATE(C1066&amp;D1066)</f>
        <v>1"681</v>
      </c>
      <c r="C1066" s="118" t="s">
        <v>967</v>
      </c>
      <c r="D1066" s="153" t="n">
        <f aca="false">D1065+1</f>
        <v>681</v>
      </c>
      <c r="E1066" s="118" t="e">
        <f aca="false">CEILING(D1066/20;1)</f>
        <v>#VALUE!</v>
      </c>
      <c r="F1066" s="118" t="e">
        <f aca="false">E1066*$F$1</f>
        <v>#VALUE!</v>
      </c>
    </row>
    <row r="1067" customFormat="false" ht="14.25" hidden="false" customHeight="true" outlineLevel="0" collapsed="false">
      <c r="A1067" s="118" t="s">
        <v>1005</v>
      </c>
      <c r="B1067" s="118" t="str">
        <f aca="false">CONCATENATE(C1067&amp;D1067)</f>
        <v>1"682</v>
      </c>
      <c r="C1067" s="118" t="s">
        <v>967</v>
      </c>
      <c r="D1067" s="153" t="n">
        <f aca="false">D1066+1</f>
        <v>682</v>
      </c>
      <c r="E1067" s="118" t="e">
        <f aca="false">CEILING(D1067/20;1)</f>
        <v>#VALUE!</v>
      </c>
      <c r="F1067" s="118" t="e">
        <f aca="false">E1067*$F$1</f>
        <v>#VALUE!</v>
      </c>
    </row>
    <row r="1068" customFormat="false" ht="14.25" hidden="false" customHeight="true" outlineLevel="0" collapsed="false">
      <c r="A1068" s="118" t="s">
        <v>1005</v>
      </c>
      <c r="B1068" s="118" t="str">
        <f aca="false">CONCATENATE(C1068&amp;D1068)</f>
        <v>1"683</v>
      </c>
      <c r="C1068" s="118" t="s">
        <v>967</v>
      </c>
      <c r="D1068" s="153" t="n">
        <f aca="false">D1067+1</f>
        <v>683</v>
      </c>
      <c r="E1068" s="118" t="e">
        <f aca="false">CEILING(D1068/20;1)</f>
        <v>#VALUE!</v>
      </c>
      <c r="F1068" s="118" t="e">
        <f aca="false">E1068*$F$1</f>
        <v>#VALUE!</v>
      </c>
    </row>
    <row r="1069" customFormat="false" ht="14.25" hidden="false" customHeight="true" outlineLevel="0" collapsed="false">
      <c r="A1069" s="118" t="s">
        <v>1005</v>
      </c>
      <c r="B1069" s="118" t="str">
        <f aca="false">CONCATENATE(C1069&amp;D1069)</f>
        <v>1"684</v>
      </c>
      <c r="C1069" s="118" t="s">
        <v>967</v>
      </c>
      <c r="D1069" s="153" t="n">
        <f aca="false">D1068+1</f>
        <v>684</v>
      </c>
      <c r="E1069" s="118" t="e">
        <f aca="false">CEILING(D1069/20;1)</f>
        <v>#VALUE!</v>
      </c>
      <c r="F1069" s="118" t="e">
        <f aca="false">E1069*$F$1</f>
        <v>#VALUE!</v>
      </c>
    </row>
    <row r="1070" customFormat="false" ht="14.25" hidden="false" customHeight="true" outlineLevel="0" collapsed="false">
      <c r="A1070" s="118" t="s">
        <v>1005</v>
      </c>
      <c r="B1070" s="118" t="str">
        <f aca="false">CONCATENATE(C1070&amp;D1070)</f>
        <v>1"685</v>
      </c>
      <c r="C1070" s="118" t="s">
        <v>967</v>
      </c>
      <c r="D1070" s="153" t="n">
        <f aca="false">D1069+1</f>
        <v>685</v>
      </c>
      <c r="E1070" s="118" t="e">
        <f aca="false">CEILING(D1070/20;1)</f>
        <v>#VALUE!</v>
      </c>
      <c r="F1070" s="118" t="e">
        <f aca="false">E1070*$F$1</f>
        <v>#VALUE!</v>
      </c>
    </row>
    <row r="1071" customFormat="false" ht="14.25" hidden="false" customHeight="true" outlineLevel="0" collapsed="false">
      <c r="A1071" s="118" t="s">
        <v>1005</v>
      </c>
      <c r="B1071" s="118" t="str">
        <f aca="false">CONCATENATE(C1071&amp;D1071)</f>
        <v>1"686</v>
      </c>
      <c r="C1071" s="118" t="s">
        <v>967</v>
      </c>
      <c r="D1071" s="153" t="n">
        <f aca="false">D1070+1</f>
        <v>686</v>
      </c>
      <c r="E1071" s="118" t="e">
        <f aca="false">CEILING(D1071/20;1)</f>
        <v>#VALUE!</v>
      </c>
      <c r="F1071" s="118" t="e">
        <f aca="false">E1071*$F$1</f>
        <v>#VALUE!</v>
      </c>
    </row>
    <row r="1072" customFormat="false" ht="14.25" hidden="false" customHeight="true" outlineLevel="0" collapsed="false">
      <c r="A1072" s="118" t="s">
        <v>1005</v>
      </c>
      <c r="B1072" s="118" t="str">
        <f aca="false">CONCATENATE(C1072&amp;D1072)</f>
        <v>1"687</v>
      </c>
      <c r="C1072" s="118" t="s">
        <v>967</v>
      </c>
      <c r="D1072" s="153" t="n">
        <f aca="false">D1071+1</f>
        <v>687</v>
      </c>
      <c r="E1072" s="118" t="e">
        <f aca="false">CEILING(D1072/20;1)</f>
        <v>#VALUE!</v>
      </c>
      <c r="F1072" s="118" t="e">
        <f aca="false">E1072*$F$1</f>
        <v>#VALUE!</v>
      </c>
    </row>
    <row r="1073" customFormat="false" ht="14.25" hidden="false" customHeight="true" outlineLevel="0" collapsed="false">
      <c r="A1073" s="118" t="s">
        <v>1005</v>
      </c>
      <c r="B1073" s="118" t="str">
        <f aca="false">CONCATENATE(C1073&amp;D1073)</f>
        <v>1"688</v>
      </c>
      <c r="C1073" s="118" t="s">
        <v>967</v>
      </c>
      <c r="D1073" s="153" t="n">
        <f aca="false">D1072+1</f>
        <v>688</v>
      </c>
      <c r="E1073" s="118" t="e">
        <f aca="false">CEILING(D1073/20;1)</f>
        <v>#VALUE!</v>
      </c>
      <c r="F1073" s="118" t="e">
        <f aca="false">E1073*$F$1</f>
        <v>#VALUE!</v>
      </c>
    </row>
    <row r="1074" customFormat="false" ht="14.25" hidden="false" customHeight="true" outlineLevel="0" collapsed="false">
      <c r="A1074" s="118" t="s">
        <v>1005</v>
      </c>
      <c r="B1074" s="118" t="str">
        <f aca="false">CONCATENATE(C1074&amp;D1074)</f>
        <v>1"689</v>
      </c>
      <c r="C1074" s="118" t="s">
        <v>967</v>
      </c>
      <c r="D1074" s="153" t="n">
        <f aca="false">D1073+1</f>
        <v>689</v>
      </c>
      <c r="E1074" s="118" t="e">
        <f aca="false">CEILING(D1074/20;1)</f>
        <v>#VALUE!</v>
      </c>
      <c r="F1074" s="118" t="e">
        <f aca="false">E1074*$F$1</f>
        <v>#VALUE!</v>
      </c>
    </row>
    <row r="1075" customFormat="false" ht="14.25" hidden="false" customHeight="true" outlineLevel="0" collapsed="false">
      <c r="A1075" s="118" t="s">
        <v>1005</v>
      </c>
      <c r="B1075" s="118" t="str">
        <f aca="false">CONCATENATE(C1075&amp;D1075)</f>
        <v>1"690</v>
      </c>
      <c r="C1075" s="118" t="s">
        <v>967</v>
      </c>
      <c r="D1075" s="153" t="n">
        <f aca="false">D1074+1</f>
        <v>690</v>
      </c>
      <c r="E1075" s="118" t="e">
        <f aca="false">CEILING(D1075/20;1)</f>
        <v>#VALUE!</v>
      </c>
      <c r="F1075" s="118" t="e">
        <f aca="false">E1075*$F$1</f>
        <v>#VALUE!</v>
      </c>
    </row>
    <row r="1076" customFormat="false" ht="14.25" hidden="false" customHeight="true" outlineLevel="0" collapsed="false">
      <c r="A1076" s="118" t="s">
        <v>1005</v>
      </c>
      <c r="B1076" s="118" t="str">
        <f aca="false">CONCATENATE(C1076&amp;D1076)</f>
        <v>1"691</v>
      </c>
      <c r="C1076" s="118" t="s">
        <v>967</v>
      </c>
      <c r="D1076" s="153" t="n">
        <f aca="false">D1075+1</f>
        <v>691</v>
      </c>
      <c r="E1076" s="118" t="e">
        <f aca="false">CEILING(D1076/20;1)</f>
        <v>#VALUE!</v>
      </c>
      <c r="F1076" s="118" t="e">
        <f aca="false">E1076*$F$1</f>
        <v>#VALUE!</v>
      </c>
    </row>
    <row r="1077" customFormat="false" ht="14.25" hidden="false" customHeight="true" outlineLevel="0" collapsed="false">
      <c r="A1077" s="118" t="s">
        <v>1005</v>
      </c>
      <c r="B1077" s="118" t="str">
        <f aca="false">CONCATENATE(C1077&amp;D1077)</f>
        <v>1"692</v>
      </c>
      <c r="C1077" s="118" t="s">
        <v>967</v>
      </c>
      <c r="D1077" s="153" t="n">
        <f aca="false">D1076+1</f>
        <v>692</v>
      </c>
      <c r="E1077" s="118" t="e">
        <f aca="false">CEILING(D1077/20;1)</f>
        <v>#VALUE!</v>
      </c>
      <c r="F1077" s="118" t="e">
        <f aca="false">E1077*$F$1</f>
        <v>#VALUE!</v>
      </c>
    </row>
    <row r="1078" customFormat="false" ht="14.25" hidden="false" customHeight="true" outlineLevel="0" collapsed="false">
      <c r="A1078" s="118" t="s">
        <v>1005</v>
      </c>
      <c r="B1078" s="118" t="str">
        <f aca="false">CONCATENATE(C1078&amp;D1078)</f>
        <v>1"693</v>
      </c>
      <c r="C1078" s="118" t="s">
        <v>967</v>
      </c>
      <c r="D1078" s="153" t="n">
        <f aca="false">D1077+1</f>
        <v>693</v>
      </c>
      <c r="E1078" s="118" t="e">
        <f aca="false">CEILING(D1078/20;1)</f>
        <v>#VALUE!</v>
      </c>
      <c r="F1078" s="118" t="e">
        <f aca="false">E1078*$F$1</f>
        <v>#VALUE!</v>
      </c>
    </row>
    <row r="1079" customFormat="false" ht="14.25" hidden="false" customHeight="true" outlineLevel="0" collapsed="false">
      <c r="A1079" s="118" t="s">
        <v>1005</v>
      </c>
      <c r="B1079" s="118" t="str">
        <f aca="false">CONCATENATE(C1079&amp;D1079)</f>
        <v>1"694</v>
      </c>
      <c r="C1079" s="118" t="s">
        <v>967</v>
      </c>
      <c r="D1079" s="153" t="n">
        <f aca="false">D1078+1</f>
        <v>694</v>
      </c>
      <c r="E1079" s="118" t="e">
        <f aca="false">CEILING(D1079/20;1)</f>
        <v>#VALUE!</v>
      </c>
      <c r="F1079" s="118" t="e">
        <f aca="false">E1079*$F$1</f>
        <v>#VALUE!</v>
      </c>
    </row>
    <row r="1080" customFormat="false" ht="14.25" hidden="false" customHeight="true" outlineLevel="0" collapsed="false">
      <c r="A1080" s="118" t="s">
        <v>1005</v>
      </c>
      <c r="B1080" s="118" t="str">
        <f aca="false">CONCATENATE(C1080&amp;D1080)</f>
        <v>1"695</v>
      </c>
      <c r="C1080" s="118" t="s">
        <v>967</v>
      </c>
      <c r="D1080" s="153" t="n">
        <f aca="false">D1079+1</f>
        <v>695</v>
      </c>
      <c r="E1080" s="118" t="e">
        <f aca="false">CEILING(D1080/20;1)</f>
        <v>#VALUE!</v>
      </c>
      <c r="F1080" s="118" t="e">
        <f aca="false">E1080*$F$1</f>
        <v>#VALUE!</v>
      </c>
    </row>
    <row r="1081" customFormat="false" ht="14.25" hidden="false" customHeight="true" outlineLevel="0" collapsed="false">
      <c r="A1081" s="118" t="s">
        <v>1005</v>
      </c>
      <c r="B1081" s="118" t="str">
        <f aca="false">CONCATENATE(C1081&amp;D1081)</f>
        <v>1"696</v>
      </c>
      <c r="C1081" s="118" t="s">
        <v>967</v>
      </c>
      <c r="D1081" s="153" t="n">
        <f aca="false">D1080+1</f>
        <v>696</v>
      </c>
      <c r="E1081" s="118" t="e">
        <f aca="false">CEILING(D1081/20;1)</f>
        <v>#VALUE!</v>
      </c>
      <c r="F1081" s="118" t="e">
        <f aca="false">E1081*$F$1</f>
        <v>#VALUE!</v>
      </c>
    </row>
    <row r="1082" customFormat="false" ht="14.25" hidden="false" customHeight="true" outlineLevel="0" collapsed="false">
      <c r="A1082" s="118" t="s">
        <v>1005</v>
      </c>
      <c r="B1082" s="118" t="str">
        <f aca="false">CONCATENATE(C1082&amp;D1082)</f>
        <v>1"697</v>
      </c>
      <c r="C1082" s="118" t="s">
        <v>967</v>
      </c>
      <c r="D1082" s="153" t="n">
        <f aca="false">D1081+1</f>
        <v>697</v>
      </c>
      <c r="E1082" s="118" t="e">
        <f aca="false">CEILING(D1082/20;1)</f>
        <v>#VALUE!</v>
      </c>
      <c r="F1082" s="118" t="e">
        <f aca="false">E1082*$F$1</f>
        <v>#VALUE!</v>
      </c>
    </row>
    <row r="1083" customFormat="false" ht="14.25" hidden="false" customHeight="true" outlineLevel="0" collapsed="false">
      <c r="A1083" s="118" t="s">
        <v>1005</v>
      </c>
      <c r="B1083" s="118" t="str">
        <f aca="false">CONCATENATE(C1083&amp;D1083)</f>
        <v>1"698</v>
      </c>
      <c r="C1083" s="118" t="s">
        <v>967</v>
      </c>
      <c r="D1083" s="153" t="n">
        <f aca="false">D1082+1</f>
        <v>698</v>
      </c>
      <c r="E1083" s="118" t="e">
        <f aca="false">CEILING(D1083/20;1)</f>
        <v>#VALUE!</v>
      </c>
      <c r="F1083" s="118" t="e">
        <f aca="false">E1083*$F$1</f>
        <v>#VALUE!</v>
      </c>
    </row>
    <row r="1084" customFormat="false" ht="14.25" hidden="false" customHeight="true" outlineLevel="0" collapsed="false">
      <c r="A1084" s="118" t="s">
        <v>1005</v>
      </c>
      <c r="B1084" s="118" t="str">
        <f aca="false">CONCATENATE(C1084&amp;D1084)</f>
        <v>1"699</v>
      </c>
      <c r="C1084" s="118" t="s">
        <v>967</v>
      </c>
      <c r="D1084" s="153" t="n">
        <f aca="false">D1083+1</f>
        <v>699</v>
      </c>
      <c r="E1084" s="118" t="e">
        <f aca="false">CEILING(D1084/20;1)</f>
        <v>#VALUE!</v>
      </c>
      <c r="F1084" s="118" t="e">
        <f aca="false">E1084*$F$1</f>
        <v>#VALUE!</v>
      </c>
    </row>
    <row r="1085" customFormat="false" ht="14.25" hidden="false" customHeight="true" outlineLevel="0" collapsed="false">
      <c r="A1085" s="118" t="s">
        <v>1005</v>
      </c>
      <c r="B1085" s="118" t="str">
        <f aca="false">CONCATENATE(C1085&amp;D1085)</f>
        <v>1"700</v>
      </c>
      <c r="C1085" s="118" t="s">
        <v>967</v>
      </c>
      <c r="D1085" s="153" t="n">
        <f aca="false">D1084+1</f>
        <v>700</v>
      </c>
      <c r="E1085" s="118" t="e">
        <f aca="false">CEILING(D1085/20;1)</f>
        <v>#VALUE!</v>
      </c>
      <c r="F1085" s="118" t="e">
        <f aca="false">E1085*$F$1</f>
        <v>#VALUE!</v>
      </c>
    </row>
    <row r="1086" customFormat="false" ht="14.25" hidden="false" customHeight="true" outlineLevel="0" collapsed="false">
      <c r="A1086" s="118" t="s">
        <v>1005</v>
      </c>
      <c r="B1086" s="118" t="str">
        <f aca="false">CONCATENATE(C1086&amp;D1086)</f>
        <v>1"701</v>
      </c>
      <c r="C1086" s="118" t="s">
        <v>967</v>
      </c>
      <c r="D1086" s="153" t="n">
        <f aca="false">D1085+1</f>
        <v>701</v>
      </c>
      <c r="E1086" s="118" t="e">
        <f aca="false">CEILING(D1086/20;1)</f>
        <v>#VALUE!</v>
      </c>
      <c r="F1086" s="118" t="e">
        <f aca="false">E1086*$F$1</f>
        <v>#VALUE!</v>
      </c>
    </row>
    <row r="1087" customFormat="false" ht="14.25" hidden="false" customHeight="true" outlineLevel="0" collapsed="false">
      <c r="A1087" s="118" t="s">
        <v>1005</v>
      </c>
      <c r="B1087" s="118" t="str">
        <f aca="false">CONCATENATE(C1087&amp;D1087)</f>
        <v>1"702</v>
      </c>
      <c r="C1087" s="118" t="s">
        <v>967</v>
      </c>
      <c r="D1087" s="153" t="n">
        <f aca="false">D1086+1</f>
        <v>702</v>
      </c>
      <c r="E1087" s="118" t="e">
        <f aca="false">CEILING(D1087/20;1)</f>
        <v>#VALUE!</v>
      </c>
      <c r="F1087" s="118" t="e">
        <f aca="false">E1087*$F$1</f>
        <v>#VALUE!</v>
      </c>
    </row>
    <row r="1088" customFormat="false" ht="14.25" hidden="false" customHeight="true" outlineLevel="0" collapsed="false">
      <c r="A1088" s="118" t="s">
        <v>1005</v>
      </c>
      <c r="B1088" s="118" t="str">
        <f aca="false">CONCATENATE(C1088&amp;D1088)</f>
        <v>1"703</v>
      </c>
      <c r="C1088" s="118" t="s">
        <v>967</v>
      </c>
      <c r="D1088" s="153" t="n">
        <f aca="false">D1087+1</f>
        <v>703</v>
      </c>
      <c r="E1088" s="118" t="e">
        <f aca="false">CEILING(D1088/20;1)</f>
        <v>#VALUE!</v>
      </c>
      <c r="F1088" s="118" t="e">
        <f aca="false">E1088*$F$1</f>
        <v>#VALUE!</v>
      </c>
    </row>
    <row r="1089" customFormat="false" ht="14.25" hidden="false" customHeight="true" outlineLevel="0" collapsed="false">
      <c r="A1089" s="118" t="s">
        <v>1005</v>
      </c>
      <c r="B1089" s="118" t="str">
        <f aca="false">CONCATENATE(C1089&amp;D1089)</f>
        <v>1"704</v>
      </c>
      <c r="C1089" s="118" t="s">
        <v>967</v>
      </c>
      <c r="D1089" s="153" t="n">
        <f aca="false">D1088+1</f>
        <v>704</v>
      </c>
      <c r="E1089" s="118" t="e">
        <f aca="false">CEILING(D1089/20;1)</f>
        <v>#VALUE!</v>
      </c>
      <c r="F1089" s="118" t="e">
        <f aca="false">E1089*$F$1</f>
        <v>#VALUE!</v>
      </c>
    </row>
    <row r="1090" customFormat="false" ht="14.25" hidden="false" customHeight="true" outlineLevel="0" collapsed="false">
      <c r="A1090" s="118" t="s">
        <v>1005</v>
      </c>
      <c r="B1090" s="118" t="str">
        <f aca="false">CONCATENATE(C1090&amp;D1090)</f>
        <v>1"705</v>
      </c>
      <c r="C1090" s="118" t="s">
        <v>967</v>
      </c>
      <c r="D1090" s="153" t="n">
        <f aca="false">D1089+1</f>
        <v>705</v>
      </c>
      <c r="E1090" s="118" t="e">
        <f aca="false">CEILING(D1090/20;1)</f>
        <v>#VALUE!</v>
      </c>
      <c r="F1090" s="118" t="e">
        <f aca="false">E1090*$F$1</f>
        <v>#VALUE!</v>
      </c>
    </row>
    <row r="1091" customFormat="false" ht="14.25" hidden="false" customHeight="true" outlineLevel="0" collapsed="false">
      <c r="A1091" s="118" t="s">
        <v>1005</v>
      </c>
      <c r="B1091" s="118" t="str">
        <f aca="false">CONCATENATE(C1091&amp;D1091)</f>
        <v>1"706</v>
      </c>
      <c r="C1091" s="118" t="s">
        <v>967</v>
      </c>
      <c r="D1091" s="153" t="n">
        <f aca="false">D1090+1</f>
        <v>706</v>
      </c>
      <c r="E1091" s="118" t="e">
        <f aca="false">CEILING(D1091/20;1)</f>
        <v>#VALUE!</v>
      </c>
      <c r="F1091" s="118" t="e">
        <f aca="false">E1091*$F$1</f>
        <v>#VALUE!</v>
      </c>
    </row>
    <row r="1092" customFormat="false" ht="14.25" hidden="false" customHeight="true" outlineLevel="0" collapsed="false">
      <c r="A1092" s="118" t="s">
        <v>1005</v>
      </c>
      <c r="B1092" s="118" t="str">
        <f aca="false">CONCATENATE(C1092&amp;D1092)</f>
        <v>1"707</v>
      </c>
      <c r="C1092" s="118" t="s">
        <v>967</v>
      </c>
      <c r="D1092" s="153" t="n">
        <f aca="false">D1091+1</f>
        <v>707</v>
      </c>
      <c r="E1092" s="118" t="e">
        <f aca="false">CEILING(D1092/20;1)</f>
        <v>#VALUE!</v>
      </c>
      <c r="F1092" s="118" t="e">
        <f aca="false">E1092*$F$1</f>
        <v>#VALUE!</v>
      </c>
    </row>
    <row r="1093" customFormat="false" ht="14.25" hidden="false" customHeight="true" outlineLevel="0" collapsed="false">
      <c r="A1093" s="118" t="s">
        <v>1005</v>
      </c>
      <c r="B1093" s="118" t="str">
        <f aca="false">CONCATENATE(C1093&amp;D1093)</f>
        <v>1"708</v>
      </c>
      <c r="C1093" s="118" t="s">
        <v>967</v>
      </c>
      <c r="D1093" s="153" t="n">
        <f aca="false">D1092+1</f>
        <v>708</v>
      </c>
      <c r="E1093" s="118" t="e">
        <f aca="false">CEILING(D1093/20;1)</f>
        <v>#VALUE!</v>
      </c>
      <c r="F1093" s="118" t="e">
        <f aca="false">E1093*$F$1</f>
        <v>#VALUE!</v>
      </c>
    </row>
    <row r="1094" customFormat="false" ht="14.25" hidden="false" customHeight="true" outlineLevel="0" collapsed="false">
      <c r="A1094" s="118" t="s">
        <v>1005</v>
      </c>
      <c r="B1094" s="118" t="str">
        <f aca="false">CONCATENATE(C1094&amp;D1094)</f>
        <v>1"709</v>
      </c>
      <c r="C1094" s="118" t="s">
        <v>967</v>
      </c>
      <c r="D1094" s="153" t="n">
        <f aca="false">D1093+1</f>
        <v>709</v>
      </c>
      <c r="E1094" s="118" t="e">
        <f aca="false">CEILING(D1094/20;1)</f>
        <v>#VALUE!</v>
      </c>
      <c r="F1094" s="118" t="e">
        <f aca="false">E1094*$F$1</f>
        <v>#VALUE!</v>
      </c>
    </row>
    <row r="1095" customFormat="false" ht="14.25" hidden="false" customHeight="true" outlineLevel="0" collapsed="false">
      <c r="A1095" s="118" t="s">
        <v>1005</v>
      </c>
      <c r="B1095" s="118" t="str">
        <f aca="false">CONCATENATE(C1095&amp;D1095)</f>
        <v>1"710</v>
      </c>
      <c r="C1095" s="118" t="s">
        <v>967</v>
      </c>
      <c r="D1095" s="153" t="n">
        <f aca="false">D1094+1</f>
        <v>710</v>
      </c>
      <c r="E1095" s="118" t="e">
        <f aca="false">CEILING(D1095/20;1)</f>
        <v>#VALUE!</v>
      </c>
      <c r="F1095" s="118" t="e">
        <f aca="false">E1095*$F$1</f>
        <v>#VALUE!</v>
      </c>
    </row>
    <row r="1096" customFormat="false" ht="14.25" hidden="false" customHeight="true" outlineLevel="0" collapsed="false">
      <c r="A1096" s="118" t="s">
        <v>1005</v>
      </c>
      <c r="B1096" s="118" t="str">
        <f aca="false">CONCATENATE(C1096&amp;D1096)</f>
        <v>1"711</v>
      </c>
      <c r="C1096" s="118" t="s">
        <v>967</v>
      </c>
      <c r="D1096" s="153" t="n">
        <f aca="false">D1095+1</f>
        <v>711</v>
      </c>
      <c r="E1096" s="118" t="e">
        <f aca="false">CEILING(D1096/20;1)</f>
        <v>#VALUE!</v>
      </c>
      <c r="F1096" s="118" t="e">
        <f aca="false">E1096*$F$1</f>
        <v>#VALUE!</v>
      </c>
    </row>
    <row r="1097" customFormat="false" ht="14.25" hidden="false" customHeight="true" outlineLevel="0" collapsed="false">
      <c r="A1097" s="118" t="s">
        <v>1005</v>
      </c>
      <c r="B1097" s="118" t="str">
        <f aca="false">CONCATENATE(C1097&amp;D1097)</f>
        <v>1"712</v>
      </c>
      <c r="C1097" s="118" t="s">
        <v>967</v>
      </c>
      <c r="D1097" s="153" t="n">
        <f aca="false">D1096+1</f>
        <v>712</v>
      </c>
      <c r="E1097" s="118" t="e">
        <f aca="false">CEILING(D1097/20;1)</f>
        <v>#VALUE!</v>
      </c>
      <c r="F1097" s="118" t="e">
        <f aca="false">E1097*$F$1</f>
        <v>#VALUE!</v>
      </c>
    </row>
    <row r="1098" customFormat="false" ht="14.25" hidden="false" customHeight="true" outlineLevel="0" collapsed="false">
      <c r="A1098" s="118" t="s">
        <v>1005</v>
      </c>
      <c r="B1098" s="118" t="str">
        <f aca="false">CONCATENATE(C1098&amp;D1098)</f>
        <v>1"713</v>
      </c>
      <c r="C1098" s="118" t="s">
        <v>967</v>
      </c>
      <c r="D1098" s="153" t="n">
        <f aca="false">D1097+1</f>
        <v>713</v>
      </c>
      <c r="E1098" s="118" t="e">
        <f aca="false">CEILING(D1098/20;1)</f>
        <v>#VALUE!</v>
      </c>
      <c r="F1098" s="118" t="e">
        <f aca="false">E1098*$F$1</f>
        <v>#VALUE!</v>
      </c>
    </row>
    <row r="1099" customFormat="false" ht="14.25" hidden="false" customHeight="true" outlineLevel="0" collapsed="false">
      <c r="A1099" s="118" t="s">
        <v>1005</v>
      </c>
      <c r="B1099" s="118" t="str">
        <f aca="false">CONCATENATE(C1099&amp;D1099)</f>
        <v>1"714</v>
      </c>
      <c r="C1099" s="118" t="s">
        <v>967</v>
      </c>
      <c r="D1099" s="153" t="n">
        <f aca="false">D1098+1</f>
        <v>714</v>
      </c>
      <c r="E1099" s="118" t="e">
        <f aca="false">CEILING(D1099/20;1)</f>
        <v>#VALUE!</v>
      </c>
      <c r="F1099" s="118" t="e">
        <f aca="false">E1099*$F$1</f>
        <v>#VALUE!</v>
      </c>
    </row>
    <row r="1100" customFormat="false" ht="14.25" hidden="false" customHeight="true" outlineLevel="0" collapsed="false">
      <c r="A1100" s="118" t="s">
        <v>1005</v>
      </c>
      <c r="B1100" s="118" t="str">
        <f aca="false">CONCATENATE(C1100&amp;D1100)</f>
        <v>1"715</v>
      </c>
      <c r="C1100" s="118" t="s">
        <v>967</v>
      </c>
      <c r="D1100" s="153" t="n">
        <f aca="false">D1099+1</f>
        <v>715</v>
      </c>
      <c r="E1100" s="118" t="e">
        <f aca="false">CEILING(D1100/20;1)</f>
        <v>#VALUE!</v>
      </c>
      <c r="F1100" s="118" t="e">
        <f aca="false">E1100*$F$1</f>
        <v>#VALUE!</v>
      </c>
    </row>
    <row r="1101" customFormat="false" ht="14.25" hidden="false" customHeight="true" outlineLevel="0" collapsed="false">
      <c r="A1101" s="118" t="s">
        <v>1005</v>
      </c>
      <c r="B1101" s="118" t="str">
        <f aca="false">CONCATENATE(C1101&amp;D1101)</f>
        <v>1"716</v>
      </c>
      <c r="C1101" s="118" t="s">
        <v>967</v>
      </c>
      <c r="D1101" s="153" t="n">
        <f aca="false">D1100+1</f>
        <v>716</v>
      </c>
      <c r="E1101" s="118" t="e">
        <f aca="false">CEILING(D1101/20;1)</f>
        <v>#VALUE!</v>
      </c>
      <c r="F1101" s="118" t="e">
        <f aca="false">E1101*$F$1</f>
        <v>#VALUE!</v>
      </c>
    </row>
    <row r="1102" customFormat="false" ht="14.25" hidden="false" customHeight="true" outlineLevel="0" collapsed="false">
      <c r="A1102" s="118" t="s">
        <v>1005</v>
      </c>
      <c r="B1102" s="118" t="str">
        <f aca="false">CONCATENATE(C1102&amp;D1102)</f>
        <v>1"717</v>
      </c>
      <c r="C1102" s="118" t="s">
        <v>967</v>
      </c>
      <c r="D1102" s="153" t="n">
        <f aca="false">D1101+1</f>
        <v>717</v>
      </c>
      <c r="E1102" s="118" t="e">
        <f aca="false">CEILING(D1102/20;1)</f>
        <v>#VALUE!</v>
      </c>
      <c r="F1102" s="118" t="e">
        <f aca="false">E1102*$F$1</f>
        <v>#VALUE!</v>
      </c>
    </row>
    <row r="1103" customFormat="false" ht="14.25" hidden="false" customHeight="true" outlineLevel="0" collapsed="false">
      <c r="A1103" s="118" t="s">
        <v>1005</v>
      </c>
      <c r="B1103" s="118" t="str">
        <f aca="false">CONCATENATE(C1103&amp;D1103)</f>
        <v>1"718</v>
      </c>
      <c r="C1103" s="118" t="s">
        <v>967</v>
      </c>
      <c r="D1103" s="153" t="n">
        <f aca="false">D1102+1</f>
        <v>718</v>
      </c>
      <c r="E1103" s="118" t="e">
        <f aca="false">CEILING(D1103/20;1)</f>
        <v>#VALUE!</v>
      </c>
      <c r="F1103" s="118" t="e">
        <f aca="false">E1103*$F$1</f>
        <v>#VALUE!</v>
      </c>
    </row>
    <row r="1104" customFormat="false" ht="14.25" hidden="false" customHeight="true" outlineLevel="0" collapsed="false">
      <c r="A1104" s="118" t="s">
        <v>1005</v>
      </c>
      <c r="B1104" s="118" t="str">
        <f aca="false">CONCATENATE(C1104&amp;D1104)</f>
        <v>1"719</v>
      </c>
      <c r="C1104" s="118" t="s">
        <v>967</v>
      </c>
      <c r="D1104" s="153" t="n">
        <f aca="false">D1103+1</f>
        <v>719</v>
      </c>
      <c r="E1104" s="118" t="e">
        <f aca="false">CEILING(D1104/20;1)</f>
        <v>#VALUE!</v>
      </c>
      <c r="F1104" s="118" t="e">
        <f aca="false">E1104*$F$1</f>
        <v>#VALUE!</v>
      </c>
    </row>
    <row r="1105" customFormat="false" ht="14.25" hidden="false" customHeight="true" outlineLevel="0" collapsed="false">
      <c r="A1105" s="118" t="s">
        <v>1005</v>
      </c>
      <c r="B1105" s="118" t="str">
        <f aca="false">CONCATENATE(C1105&amp;D1105)</f>
        <v>1"720</v>
      </c>
      <c r="C1105" s="118" t="s">
        <v>967</v>
      </c>
      <c r="D1105" s="153" t="n">
        <f aca="false">D1104+1</f>
        <v>720</v>
      </c>
      <c r="E1105" s="118" t="e">
        <f aca="false">CEILING(D1105/20;1)</f>
        <v>#VALUE!</v>
      </c>
      <c r="F1105" s="118" t="e">
        <f aca="false">E1105*$F$1</f>
        <v>#VALUE!</v>
      </c>
    </row>
    <row r="1106" customFormat="false" ht="14.25" hidden="false" customHeight="true" outlineLevel="0" collapsed="false">
      <c r="A1106" s="118" t="s">
        <v>1005</v>
      </c>
      <c r="B1106" s="118" t="str">
        <f aca="false">CONCATENATE(C1106&amp;D1106)</f>
        <v>1"721</v>
      </c>
      <c r="C1106" s="118" t="s">
        <v>967</v>
      </c>
      <c r="D1106" s="153" t="n">
        <f aca="false">D1105+1</f>
        <v>721</v>
      </c>
      <c r="E1106" s="118" t="e">
        <f aca="false">CEILING(D1106/20;1)</f>
        <v>#VALUE!</v>
      </c>
      <c r="F1106" s="118" t="e">
        <f aca="false">E1106*$F$1</f>
        <v>#VALUE!</v>
      </c>
    </row>
    <row r="1107" customFormat="false" ht="14.25" hidden="false" customHeight="true" outlineLevel="0" collapsed="false">
      <c r="A1107" s="118" t="s">
        <v>1005</v>
      </c>
      <c r="B1107" s="118" t="str">
        <f aca="false">CONCATENATE(C1107&amp;D1107)</f>
        <v>1"722</v>
      </c>
      <c r="C1107" s="118" t="s">
        <v>967</v>
      </c>
      <c r="D1107" s="153" t="n">
        <f aca="false">D1106+1</f>
        <v>722</v>
      </c>
      <c r="E1107" s="118" t="e">
        <f aca="false">CEILING(D1107/20;1)</f>
        <v>#VALUE!</v>
      </c>
      <c r="F1107" s="118" t="e">
        <f aca="false">E1107*$F$1</f>
        <v>#VALUE!</v>
      </c>
    </row>
    <row r="1108" customFormat="false" ht="14.25" hidden="false" customHeight="true" outlineLevel="0" collapsed="false">
      <c r="A1108" s="118" t="s">
        <v>1005</v>
      </c>
      <c r="B1108" s="118" t="str">
        <f aca="false">CONCATENATE(C1108&amp;D1108)</f>
        <v>1"723</v>
      </c>
      <c r="C1108" s="118" t="s">
        <v>967</v>
      </c>
      <c r="D1108" s="153" t="n">
        <f aca="false">D1107+1</f>
        <v>723</v>
      </c>
      <c r="E1108" s="118" t="e">
        <f aca="false">CEILING(D1108/20;1)</f>
        <v>#VALUE!</v>
      </c>
      <c r="F1108" s="118" t="e">
        <f aca="false">E1108*$F$1</f>
        <v>#VALUE!</v>
      </c>
    </row>
    <row r="1109" customFormat="false" ht="14.25" hidden="false" customHeight="true" outlineLevel="0" collapsed="false">
      <c r="A1109" s="118" t="s">
        <v>1005</v>
      </c>
      <c r="B1109" s="118" t="str">
        <f aca="false">CONCATENATE(C1109&amp;D1109)</f>
        <v>1"724</v>
      </c>
      <c r="C1109" s="118" t="s">
        <v>967</v>
      </c>
      <c r="D1109" s="153" t="n">
        <f aca="false">D1108+1</f>
        <v>724</v>
      </c>
      <c r="E1109" s="118" t="e">
        <f aca="false">CEILING(D1109/20;1)</f>
        <v>#VALUE!</v>
      </c>
      <c r="F1109" s="118" t="e">
        <f aca="false">E1109*$F$1</f>
        <v>#VALUE!</v>
      </c>
    </row>
    <row r="1110" customFormat="false" ht="14.25" hidden="false" customHeight="true" outlineLevel="0" collapsed="false">
      <c r="A1110" s="118" t="s">
        <v>1005</v>
      </c>
      <c r="B1110" s="118" t="str">
        <f aca="false">CONCATENATE(C1110&amp;D1110)</f>
        <v>1"725</v>
      </c>
      <c r="C1110" s="118" t="s">
        <v>967</v>
      </c>
      <c r="D1110" s="153" t="n">
        <f aca="false">D1109+1</f>
        <v>725</v>
      </c>
      <c r="E1110" s="118" t="e">
        <f aca="false">CEILING(D1110/20;1)</f>
        <v>#VALUE!</v>
      </c>
      <c r="F1110" s="118" t="e">
        <f aca="false">E1110*$F$1</f>
        <v>#VALUE!</v>
      </c>
    </row>
    <row r="1111" customFormat="false" ht="14.25" hidden="false" customHeight="true" outlineLevel="0" collapsed="false">
      <c r="A1111" s="118" t="s">
        <v>1005</v>
      </c>
      <c r="B1111" s="118" t="str">
        <f aca="false">CONCATENATE(C1111&amp;D1111)</f>
        <v>1"726</v>
      </c>
      <c r="C1111" s="118" t="s">
        <v>967</v>
      </c>
      <c r="D1111" s="153" t="n">
        <f aca="false">D1110+1</f>
        <v>726</v>
      </c>
      <c r="E1111" s="118" t="e">
        <f aca="false">CEILING(D1111/20;1)</f>
        <v>#VALUE!</v>
      </c>
      <c r="F1111" s="118" t="e">
        <f aca="false">E1111*$F$1</f>
        <v>#VALUE!</v>
      </c>
    </row>
    <row r="1112" customFormat="false" ht="14.25" hidden="false" customHeight="true" outlineLevel="0" collapsed="false">
      <c r="A1112" s="118" t="s">
        <v>1005</v>
      </c>
      <c r="B1112" s="118" t="str">
        <f aca="false">CONCATENATE(C1112&amp;D1112)</f>
        <v>1"727</v>
      </c>
      <c r="C1112" s="118" t="s">
        <v>967</v>
      </c>
      <c r="D1112" s="153" t="n">
        <f aca="false">D1111+1</f>
        <v>727</v>
      </c>
      <c r="E1112" s="118" t="e">
        <f aca="false">CEILING(D1112/20;1)</f>
        <v>#VALUE!</v>
      </c>
      <c r="F1112" s="118" t="e">
        <f aca="false">E1112*$F$1</f>
        <v>#VALUE!</v>
      </c>
    </row>
    <row r="1113" customFormat="false" ht="14.25" hidden="false" customHeight="true" outlineLevel="0" collapsed="false">
      <c r="A1113" s="118" t="s">
        <v>1005</v>
      </c>
      <c r="B1113" s="118" t="str">
        <f aca="false">CONCATENATE(C1113&amp;D1113)</f>
        <v>1"728</v>
      </c>
      <c r="C1113" s="118" t="s">
        <v>967</v>
      </c>
      <c r="D1113" s="153" t="n">
        <f aca="false">D1112+1</f>
        <v>728</v>
      </c>
      <c r="E1113" s="118" t="e">
        <f aca="false">CEILING(D1113/20;1)</f>
        <v>#VALUE!</v>
      </c>
      <c r="F1113" s="118" t="e">
        <f aca="false">E1113*$F$1</f>
        <v>#VALUE!</v>
      </c>
    </row>
    <row r="1114" customFormat="false" ht="14.25" hidden="false" customHeight="true" outlineLevel="0" collapsed="false">
      <c r="A1114" s="118" t="s">
        <v>1005</v>
      </c>
      <c r="B1114" s="118" t="str">
        <f aca="false">CONCATENATE(C1114&amp;D1114)</f>
        <v>1"729</v>
      </c>
      <c r="C1114" s="118" t="s">
        <v>967</v>
      </c>
      <c r="D1114" s="153" t="n">
        <f aca="false">D1113+1</f>
        <v>729</v>
      </c>
      <c r="E1114" s="118" t="e">
        <f aca="false">CEILING(D1114/20;1)</f>
        <v>#VALUE!</v>
      </c>
      <c r="F1114" s="118" t="e">
        <f aca="false">E1114*$F$1</f>
        <v>#VALUE!</v>
      </c>
    </row>
    <row r="1115" customFormat="false" ht="14.25" hidden="false" customHeight="true" outlineLevel="0" collapsed="false">
      <c r="A1115" s="118" t="s">
        <v>1005</v>
      </c>
      <c r="B1115" s="118" t="str">
        <f aca="false">CONCATENATE(C1115&amp;D1115)</f>
        <v>1"730</v>
      </c>
      <c r="C1115" s="118" t="s">
        <v>967</v>
      </c>
      <c r="D1115" s="153" t="n">
        <f aca="false">D1114+1</f>
        <v>730</v>
      </c>
      <c r="E1115" s="118" t="e">
        <f aca="false">CEILING(D1115/20;1)</f>
        <v>#VALUE!</v>
      </c>
      <c r="F1115" s="118" t="e">
        <f aca="false">E1115*$F$1</f>
        <v>#VALUE!</v>
      </c>
    </row>
    <row r="1116" customFormat="false" ht="14.25" hidden="false" customHeight="true" outlineLevel="0" collapsed="false">
      <c r="A1116" s="118" t="s">
        <v>1005</v>
      </c>
      <c r="B1116" s="118" t="str">
        <f aca="false">CONCATENATE(C1116&amp;D1116)</f>
        <v>1"731</v>
      </c>
      <c r="C1116" s="118" t="s">
        <v>967</v>
      </c>
      <c r="D1116" s="153" t="n">
        <f aca="false">D1115+1</f>
        <v>731</v>
      </c>
      <c r="E1116" s="118" t="e">
        <f aca="false">CEILING(D1116/20;1)</f>
        <v>#VALUE!</v>
      </c>
      <c r="F1116" s="118" t="e">
        <f aca="false">E1116*$F$1</f>
        <v>#VALUE!</v>
      </c>
    </row>
    <row r="1117" customFormat="false" ht="14.25" hidden="false" customHeight="true" outlineLevel="0" collapsed="false">
      <c r="A1117" s="118" t="s">
        <v>1005</v>
      </c>
      <c r="B1117" s="118" t="str">
        <f aca="false">CONCATENATE(C1117&amp;D1117)</f>
        <v>1"732</v>
      </c>
      <c r="C1117" s="118" t="s">
        <v>967</v>
      </c>
      <c r="D1117" s="153" t="n">
        <f aca="false">D1116+1</f>
        <v>732</v>
      </c>
      <c r="E1117" s="118" t="e">
        <f aca="false">CEILING(D1117/20;1)</f>
        <v>#VALUE!</v>
      </c>
      <c r="F1117" s="118" t="e">
        <f aca="false">E1117*$F$1</f>
        <v>#VALUE!</v>
      </c>
    </row>
    <row r="1118" customFormat="false" ht="14.25" hidden="false" customHeight="true" outlineLevel="0" collapsed="false">
      <c r="A1118" s="118" t="s">
        <v>1005</v>
      </c>
      <c r="B1118" s="118" t="str">
        <f aca="false">CONCATENATE(C1118&amp;D1118)</f>
        <v>1"733</v>
      </c>
      <c r="C1118" s="118" t="s">
        <v>967</v>
      </c>
      <c r="D1118" s="153" t="n">
        <f aca="false">D1117+1</f>
        <v>733</v>
      </c>
      <c r="E1118" s="118" t="e">
        <f aca="false">CEILING(D1118/20;1)</f>
        <v>#VALUE!</v>
      </c>
      <c r="F1118" s="118" t="e">
        <f aca="false">E1118*$F$1</f>
        <v>#VALUE!</v>
      </c>
    </row>
    <row r="1119" customFormat="false" ht="14.25" hidden="false" customHeight="true" outlineLevel="0" collapsed="false">
      <c r="A1119" s="118" t="s">
        <v>1005</v>
      </c>
      <c r="B1119" s="118" t="str">
        <f aca="false">CONCATENATE(C1119&amp;D1119)</f>
        <v>1"734</v>
      </c>
      <c r="C1119" s="118" t="s">
        <v>967</v>
      </c>
      <c r="D1119" s="153" t="n">
        <f aca="false">D1118+1</f>
        <v>734</v>
      </c>
      <c r="E1119" s="118" t="e">
        <f aca="false">CEILING(D1119/20;1)</f>
        <v>#VALUE!</v>
      </c>
      <c r="F1119" s="118" t="e">
        <f aca="false">E1119*$F$1</f>
        <v>#VALUE!</v>
      </c>
    </row>
    <row r="1120" customFormat="false" ht="14.25" hidden="false" customHeight="true" outlineLevel="0" collapsed="false">
      <c r="A1120" s="118" t="s">
        <v>1005</v>
      </c>
      <c r="B1120" s="118" t="str">
        <f aca="false">CONCATENATE(C1120&amp;D1120)</f>
        <v>1"735</v>
      </c>
      <c r="C1120" s="118" t="s">
        <v>967</v>
      </c>
      <c r="D1120" s="153" t="n">
        <f aca="false">D1119+1</f>
        <v>735</v>
      </c>
      <c r="E1120" s="118" t="e">
        <f aca="false">CEILING(D1120/20;1)</f>
        <v>#VALUE!</v>
      </c>
      <c r="F1120" s="118" t="e">
        <f aca="false">E1120*$F$1</f>
        <v>#VALUE!</v>
      </c>
    </row>
    <row r="1121" customFormat="false" ht="14.25" hidden="false" customHeight="true" outlineLevel="0" collapsed="false">
      <c r="A1121" s="118" t="s">
        <v>1005</v>
      </c>
      <c r="B1121" s="118" t="str">
        <f aca="false">CONCATENATE(C1121&amp;D1121)</f>
        <v>1"736</v>
      </c>
      <c r="C1121" s="118" t="s">
        <v>967</v>
      </c>
      <c r="D1121" s="153" t="n">
        <f aca="false">D1120+1</f>
        <v>736</v>
      </c>
      <c r="E1121" s="118" t="e">
        <f aca="false">CEILING(D1121/20;1)</f>
        <v>#VALUE!</v>
      </c>
      <c r="F1121" s="118" t="e">
        <f aca="false">E1121*$F$1</f>
        <v>#VALUE!</v>
      </c>
    </row>
    <row r="1122" customFormat="false" ht="14.25" hidden="false" customHeight="true" outlineLevel="0" collapsed="false">
      <c r="A1122" s="118" t="s">
        <v>1005</v>
      </c>
      <c r="B1122" s="118" t="str">
        <f aca="false">CONCATENATE(C1122&amp;D1122)</f>
        <v>1"737</v>
      </c>
      <c r="C1122" s="118" t="s">
        <v>967</v>
      </c>
      <c r="D1122" s="153" t="n">
        <f aca="false">D1121+1</f>
        <v>737</v>
      </c>
      <c r="E1122" s="118" t="e">
        <f aca="false">CEILING(D1122/20;1)</f>
        <v>#VALUE!</v>
      </c>
      <c r="F1122" s="118" t="e">
        <f aca="false">E1122*$F$1</f>
        <v>#VALUE!</v>
      </c>
    </row>
    <row r="1123" customFormat="false" ht="14.25" hidden="false" customHeight="true" outlineLevel="0" collapsed="false">
      <c r="A1123" s="118" t="s">
        <v>1005</v>
      </c>
      <c r="B1123" s="118" t="str">
        <f aca="false">CONCATENATE(C1123&amp;D1123)</f>
        <v>1"738</v>
      </c>
      <c r="C1123" s="118" t="s">
        <v>967</v>
      </c>
      <c r="D1123" s="153" t="n">
        <f aca="false">D1122+1</f>
        <v>738</v>
      </c>
      <c r="E1123" s="118" t="e">
        <f aca="false">CEILING(D1123/20;1)</f>
        <v>#VALUE!</v>
      </c>
      <c r="F1123" s="118" t="e">
        <f aca="false">E1123*$F$1</f>
        <v>#VALUE!</v>
      </c>
    </row>
    <row r="1124" customFormat="false" ht="14.25" hidden="false" customHeight="true" outlineLevel="0" collapsed="false">
      <c r="A1124" s="118" t="s">
        <v>1005</v>
      </c>
      <c r="B1124" s="118" t="str">
        <f aca="false">CONCATENATE(C1124&amp;D1124)</f>
        <v>1"739</v>
      </c>
      <c r="C1124" s="118" t="s">
        <v>967</v>
      </c>
      <c r="D1124" s="153" t="n">
        <f aca="false">D1123+1</f>
        <v>739</v>
      </c>
      <c r="E1124" s="118" t="e">
        <f aca="false">CEILING(D1124/20;1)</f>
        <v>#VALUE!</v>
      </c>
      <c r="F1124" s="118" t="e">
        <f aca="false">E1124*$F$1</f>
        <v>#VALUE!</v>
      </c>
    </row>
    <row r="1125" customFormat="false" ht="14.25" hidden="false" customHeight="true" outlineLevel="0" collapsed="false">
      <c r="A1125" s="118" t="s">
        <v>1005</v>
      </c>
      <c r="B1125" s="118" t="str">
        <f aca="false">CONCATENATE(C1125&amp;D1125)</f>
        <v>1"740</v>
      </c>
      <c r="C1125" s="118" t="s">
        <v>967</v>
      </c>
      <c r="D1125" s="153" t="n">
        <f aca="false">D1124+1</f>
        <v>740</v>
      </c>
      <c r="E1125" s="118" t="e">
        <f aca="false">CEILING(D1125/20;1)</f>
        <v>#VALUE!</v>
      </c>
      <c r="F1125" s="118" t="e">
        <f aca="false">E1125*$F$1</f>
        <v>#VALUE!</v>
      </c>
    </row>
    <row r="1126" customFormat="false" ht="14.25" hidden="false" customHeight="true" outlineLevel="0" collapsed="false">
      <c r="A1126" s="118" t="s">
        <v>1005</v>
      </c>
      <c r="B1126" s="118" t="str">
        <f aca="false">CONCATENATE(C1126&amp;D1126)</f>
        <v>1"741</v>
      </c>
      <c r="C1126" s="118" t="s">
        <v>967</v>
      </c>
      <c r="D1126" s="153" t="n">
        <f aca="false">D1125+1</f>
        <v>741</v>
      </c>
      <c r="E1126" s="118" t="e">
        <f aca="false">CEILING(D1126/20;1)</f>
        <v>#VALUE!</v>
      </c>
      <c r="F1126" s="118" t="e">
        <f aca="false">E1126*$F$1</f>
        <v>#VALUE!</v>
      </c>
    </row>
    <row r="1127" customFormat="false" ht="14.25" hidden="false" customHeight="true" outlineLevel="0" collapsed="false">
      <c r="A1127" s="118" t="s">
        <v>1005</v>
      </c>
      <c r="B1127" s="118" t="str">
        <f aca="false">CONCATENATE(C1127&amp;D1127)</f>
        <v>1"742</v>
      </c>
      <c r="C1127" s="118" t="s">
        <v>967</v>
      </c>
      <c r="D1127" s="153" t="n">
        <f aca="false">D1126+1</f>
        <v>742</v>
      </c>
      <c r="E1127" s="118" t="e">
        <f aca="false">CEILING(D1127/20;1)</f>
        <v>#VALUE!</v>
      </c>
      <c r="F1127" s="118" t="e">
        <f aca="false">E1127*$F$1</f>
        <v>#VALUE!</v>
      </c>
    </row>
    <row r="1128" customFormat="false" ht="14.25" hidden="false" customHeight="true" outlineLevel="0" collapsed="false">
      <c r="A1128" s="118" t="s">
        <v>1005</v>
      </c>
      <c r="B1128" s="118" t="str">
        <f aca="false">CONCATENATE(C1128&amp;D1128)</f>
        <v>1"743</v>
      </c>
      <c r="C1128" s="118" t="s">
        <v>967</v>
      </c>
      <c r="D1128" s="153" t="n">
        <f aca="false">D1127+1</f>
        <v>743</v>
      </c>
      <c r="E1128" s="118" t="e">
        <f aca="false">CEILING(D1128/20;1)</f>
        <v>#VALUE!</v>
      </c>
      <c r="F1128" s="118" t="e">
        <f aca="false">E1128*$F$1</f>
        <v>#VALUE!</v>
      </c>
    </row>
    <row r="1129" customFormat="false" ht="14.25" hidden="false" customHeight="true" outlineLevel="0" collapsed="false">
      <c r="A1129" s="118" t="s">
        <v>1005</v>
      </c>
      <c r="B1129" s="118" t="str">
        <f aca="false">CONCATENATE(C1129&amp;D1129)</f>
        <v>1"744</v>
      </c>
      <c r="C1129" s="118" t="s">
        <v>967</v>
      </c>
      <c r="D1129" s="153" t="n">
        <f aca="false">D1128+1</f>
        <v>744</v>
      </c>
      <c r="E1129" s="118" t="e">
        <f aca="false">CEILING(D1129/20;1)</f>
        <v>#VALUE!</v>
      </c>
      <c r="F1129" s="118" t="e">
        <f aca="false">E1129*$F$1</f>
        <v>#VALUE!</v>
      </c>
    </row>
    <row r="1130" customFormat="false" ht="14.25" hidden="false" customHeight="true" outlineLevel="0" collapsed="false">
      <c r="A1130" s="118" t="s">
        <v>1005</v>
      </c>
      <c r="B1130" s="118" t="str">
        <f aca="false">CONCATENATE(C1130&amp;D1130)</f>
        <v>1"745</v>
      </c>
      <c r="C1130" s="118" t="s">
        <v>967</v>
      </c>
      <c r="D1130" s="153" t="n">
        <f aca="false">D1129+1</f>
        <v>745</v>
      </c>
      <c r="E1130" s="118" t="e">
        <f aca="false">CEILING(D1130/20;1)</f>
        <v>#VALUE!</v>
      </c>
      <c r="F1130" s="118" t="e">
        <f aca="false">E1130*$F$1</f>
        <v>#VALUE!</v>
      </c>
    </row>
    <row r="1131" customFormat="false" ht="14.25" hidden="false" customHeight="true" outlineLevel="0" collapsed="false">
      <c r="A1131" s="118" t="s">
        <v>1005</v>
      </c>
      <c r="B1131" s="118" t="str">
        <f aca="false">CONCATENATE(C1131&amp;D1131)</f>
        <v>1"746</v>
      </c>
      <c r="C1131" s="118" t="s">
        <v>967</v>
      </c>
      <c r="D1131" s="153" t="n">
        <f aca="false">D1130+1</f>
        <v>746</v>
      </c>
      <c r="E1131" s="118" t="e">
        <f aca="false">CEILING(D1131/20;1)</f>
        <v>#VALUE!</v>
      </c>
      <c r="F1131" s="118" t="e">
        <f aca="false">E1131*$F$1</f>
        <v>#VALUE!</v>
      </c>
    </row>
    <row r="1132" customFormat="false" ht="14.25" hidden="false" customHeight="true" outlineLevel="0" collapsed="false">
      <c r="A1132" s="118" t="s">
        <v>1005</v>
      </c>
      <c r="B1132" s="118" t="str">
        <f aca="false">CONCATENATE(C1132&amp;D1132)</f>
        <v>1"747</v>
      </c>
      <c r="C1132" s="118" t="s">
        <v>967</v>
      </c>
      <c r="D1132" s="153" t="n">
        <f aca="false">D1131+1</f>
        <v>747</v>
      </c>
      <c r="E1132" s="118" t="e">
        <f aca="false">CEILING(D1132/20;1)</f>
        <v>#VALUE!</v>
      </c>
      <c r="F1132" s="118" t="e">
        <f aca="false">E1132*$F$1</f>
        <v>#VALUE!</v>
      </c>
    </row>
    <row r="1133" customFormat="false" ht="14.25" hidden="false" customHeight="true" outlineLevel="0" collapsed="false">
      <c r="A1133" s="118" t="s">
        <v>1005</v>
      </c>
      <c r="B1133" s="118" t="str">
        <f aca="false">CONCATENATE(C1133&amp;D1133)</f>
        <v>1"748</v>
      </c>
      <c r="C1133" s="118" t="s">
        <v>967</v>
      </c>
      <c r="D1133" s="153" t="n">
        <f aca="false">D1132+1</f>
        <v>748</v>
      </c>
      <c r="E1133" s="118" t="e">
        <f aca="false">CEILING(D1133/20;1)</f>
        <v>#VALUE!</v>
      </c>
      <c r="F1133" s="118" t="e">
        <f aca="false">E1133*$F$1</f>
        <v>#VALUE!</v>
      </c>
    </row>
    <row r="1134" customFormat="false" ht="14.25" hidden="false" customHeight="true" outlineLevel="0" collapsed="false">
      <c r="A1134" s="118" t="s">
        <v>1005</v>
      </c>
      <c r="B1134" s="118" t="str">
        <f aca="false">CONCATENATE(C1134&amp;D1134)</f>
        <v>1"749</v>
      </c>
      <c r="C1134" s="118" t="s">
        <v>967</v>
      </c>
      <c r="D1134" s="153" t="n">
        <f aca="false">D1133+1</f>
        <v>749</v>
      </c>
      <c r="E1134" s="118" t="e">
        <f aca="false">CEILING(D1134/20;1)</f>
        <v>#VALUE!</v>
      </c>
      <c r="F1134" s="118" t="e">
        <f aca="false">E1134*$F$1</f>
        <v>#VALUE!</v>
      </c>
    </row>
    <row r="1135" customFormat="false" ht="14.25" hidden="false" customHeight="true" outlineLevel="0" collapsed="false">
      <c r="A1135" s="118" t="s">
        <v>1005</v>
      </c>
      <c r="B1135" s="118" t="str">
        <f aca="false">CONCATENATE(C1135&amp;D1135)</f>
        <v>1"750</v>
      </c>
      <c r="C1135" s="118" t="s">
        <v>967</v>
      </c>
      <c r="D1135" s="153" t="n">
        <f aca="false">D1134+1</f>
        <v>750</v>
      </c>
      <c r="E1135" s="118" t="e">
        <f aca="false">CEILING(D1135/20;1)</f>
        <v>#VALUE!</v>
      </c>
      <c r="F1135" s="118" t="e">
        <f aca="false">E1135*$F$1</f>
        <v>#VALUE!</v>
      </c>
    </row>
    <row r="1136" customFormat="false" ht="14.25" hidden="false" customHeight="true" outlineLevel="0" collapsed="false">
      <c r="A1136" s="118" t="s">
        <v>1005</v>
      </c>
      <c r="B1136" s="118" t="str">
        <f aca="false">CONCATENATE(C1136&amp;D1136)</f>
        <v>1"751</v>
      </c>
      <c r="C1136" s="118" t="s">
        <v>967</v>
      </c>
      <c r="D1136" s="153" t="n">
        <f aca="false">D1135+1</f>
        <v>751</v>
      </c>
      <c r="E1136" s="118" t="e">
        <f aca="false">CEILING(D1136/20;1)</f>
        <v>#VALUE!</v>
      </c>
      <c r="F1136" s="118" t="e">
        <f aca="false">E1136*$F$1</f>
        <v>#VALUE!</v>
      </c>
    </row>
    <row r="1137" customFormat="false" ht="14.25" hidden="false" customHeight="true" outlineLevel="0" collapsed="false">
      <c r="A1137" s="118" t="s">
        <v>1005</v>
      </c>
      <c r="B1137" s="118" t="str">
        <f aca="false">CONCATENATE(C1137&amp;D1137)</f>
        <v>1"752</v>
      </c>
      <c r="C1137" s="118" t="s">
        <v>967</v>
      </c>
      <c r="D1137" s="153" t="n">
        <f aca="false">D1136+1</f>
        <v>752</v>
      </c>
      <c r="E1137" s="118" t="e">
        <f aca="false">CEILING(D1137/20;1)</f>
        <v>#VALUE!</v>
      </c>
      <c r="F1137" s="118" t="e">
        <f aca="false">E1137*$F$1</f>
        <v>#VALUE!</v>
      </c>
    </row>
    <row r="1138" customFormat="false" ht="14.25" hidden="false" customHeight="true" outlineLevel="0" collapsed="false">
      <c r="A1138" s="118" t="s">
        <v>1005</v>
      </c>
      <c r="B1138" s="118" t="str">
        <f aca="false">CONCATENATE(C1138&amp;D1138)</f>
        <v>1"753</v>
      </c>
      <c r="C1138" s="118" t="s">
        <v>967</v>
      </c>
      <c r="D1138" s="153" t="n">
        <f aca="false">D1137+1</f>
        <v>753</v>
      </c>
      <c r="E1138" s="118" t="e">
        <f aca="false">CEILING(D1138/20;1)</f>
        <v>#VALUE!</v>
      </c>
      <c r="F1138" s="118" t="e">
        <f aca="false">E1138*$F$1</f>
        <v>#VALUE!</v>
      </c>
    </row>
    <row r="1139" customFormat="false" ht="14.25" hidden="false" customHeight="true" outlineLevel="0" collapsed="false">
      <c r="A1139" s="118" t="s">
        <v>1005</v>
      </c>
      <c r="B1139" s="118" t="str">
        <f aca="false">CONCATENATE(C1139&amp;D1139)</f>
        <v>1"754</v>
      </c>
      <c r="C1139" s="118" t="s">
        <v>967</v>
      </c>
      <c r="D1139" s="153" t="n">
        <f aca="false">D1138+1</f>
        <v>754</v>
      </c>
      <c r="E1139" s="118" t="e">
        <f aca="false">CEILING(D1139/20;1)</f>
        <v>#VALUE!</v>
      </c>
      <c r="F1139" s="118" t="e">
        <f aca="false">E1139*$F$1</f>
        <v>#VALUE!</v>
      </c>
    </row>
    <row r="1140" customFormat="false" ht="14.25" hidden="false" customHeight="true" outlineLevel="0" collapsed="false">
      <c r="A1140" s="118" t="s">
        <v>1005</v>
      </c>
      <c r="B1140" s="118" t="str">
        <f aca="false">CONCATENATE(C1140&amp;D1140)</f>
        <v>1"755</v>
      </c>
      <c r="C1140" s="118" t="s">
        <v>967</v>
      </c>
      <c r="D1140" s="153" t="n">
        <f aca="false">D1139+1</f>
        <v>755</v>
      </c>
      <c r="E1140" s="118" t="e">
        <f aca="false">CEILING(D1140/20;1)</f>
        <v>#VALUE!</v>
      </c>
      <c r="F1140" s="118" t="e">
        <f aca="false">E1140*$F$1</f>
        <v>#VALUE!</v>
      </c>
    </row>
    <row r="1141" customFormat="false" ht="14.25" hidden="false" customHeight="true" outlineLevel="0" collapsed="false">
      <c r="A1141" s="118" t="s">
        <v>1005</v>
      </c>
      <c r="B1141" s="118" t="str">
        <f aca="false">CONCATENATE(C1141&amp;D1141)</f>
        <v>1"756</v>
      </c>
      <c r="C1141" s="118" t="s">
        <v>967</v>
      </c>
      <c r="D1141" s="153" t="n">
        <f aca="false">D1140+1</f>
        <v>756</v>
      </c>
      <c r="E1141" s="118" t="e">
        <f aca="false">CEILING(D1141/20;1)</f>
        <v>#VALUE!</v>
      </c>
      <c r="F1141" s="118" t="e">
        <f aca="false">E1141*$F$1</f>
        <v>#VALUE!</v>
      </c>
    </row>
    <row r="1142" customFormat="false" ht="14.25" hidden="false" customHeight="true" outlineLevel="0" collapsed="false">
      <c r="A1142" s="118" t="s">
        <v>1005</v>
      </c>
      <c r="B1142" s="118" t="str">
        <f aca="false">CONCATENATE(C1142&amp;D1142)</f>
        <v>1"757</v>
      </c>
      <c r="C1142" s="118" t="s">
        <v>967</v>
      </c>
      <c r="D1142" s="153" t="n">
        <f aca="false">D1141+1</f>
        <v>757</v>
      </c>
      <c r="E1142" s="118" t="e">
        <f aca="false">CEILING(D1142/20;1)</f>
        <v>#VALUE!</v>
      </c>
      <c r="F1142" s="118" t="e">
        <f aca="false">E1142*$F$1</f>
        <v>#VALUE!</v>
      </c>
    </row>
    <row r="1143" customFormat="false" ht="14.25" hidden="false" customHeight="true" outlineLevel="0" collapsed="false">
      <c r="A1143" s="118" t="s">
        <v>1005</v>
      </c>
      <c r="B1143" s="118" t="str">
        <f aca="false">CONCATENATE(C1143&amp;D1143)</f>
        <v>1"758</v>
      </c>
      <c r="C1143" s="118" t="s">
        <v>967</v>
      </c>
      <c r="D1143" s="153" t="n">
        <f aca="false">D1142+1</f>
        <v>758</v>
      </c>
      <c r="E1143" s="118" t="e">
        <f aca="false">CEILING(D1143/20;1)</f>
        <v>#VALUE!</v>
      </c>
      <c r="F1143" s="118" t="e">
        <f aca="false">E1143*$F$1</f>
        <v>#VALUE!</v>
      </c>
    </row>
    <row r="1144" customFormat="false" ht="14.25" hidden="false" customHeight="true" outlineLevel="0" collapsed="false">
      <c r="A1144" s="118" t="s">
        <v>1005</v>
      </c>
      <c r="B1144" s="118" t="str">
        <f aca="false">CONCATENATE(C1144&amp;D1144)</f>
        <v>1"759</v>
      </c>
      <c r="C1144" s="118" t="s">
        <v>967</v>
      </c>
      <c r="D1144" s="153" t="n">
        <f aca="false">D1143+1</f>
        <v>759</v>
      </c>
      <c r="E1144" s="118" t="e">
        <f aca="false">CEILING(D1144/20;1)</f>
        <v>#VALUE!</v>
      </c>
      <c r="F1144" s="118" t="e">
        <f aca="false">E1144*$F$1</f>
        <v>#VALUE!</v>
      </c>
    </row>
    <row r="1145" customFormat="false" ht="14.25" hidden="false" customHeight="true" outlineLevel="0" collapsed="false">
      <c r="A1145" s="118" t="s">
        <v>1005</v>
      </c>
      <c r="B1145" s="118" t="str">
        <f aca="false">CONCATENATE(C1145&amp;D1145)</f>
        <v>1"760</v>
      </c>
      <c r="C1145" s="118" t="s">
        <v>967</v>
      </c>
      <c r="D1145" s="153" t="n">
        <f aca="false">D1144+1</f>
        <v>760</v>
      </c>
      <c r="E1145" s="118" t="e">
        <f aca="false">CEILING(D1145/20;1)</f>
        <v>#VALUE!</v>
      </c>
      <c r="F1145" s="118" t="e">
        <f aca="false">E1145*$F$1</f>
        <v>#VALUE!</v>
      </c>
    </row>
    <row r="1146" customFormat="false" ht="14.25" hidden="false" customHeight="true" outlineLevel="0" collapsed="false">
      <c r="A1146" s="118" t="s">
        <v>1005</v>
      </c>
      <c r="B1146" s="118" t="str">
        <f aca="false">CONCATENATE(C1146&amp;D1146)</f>
        <v>1"761</v>
      </c>
      <c r="C1146" s="118" t="s">
        <v>967</v>
      </c>
      <c r="D1146" s="153" t="n">
        <f aca="false">D1145+1</f>
        <v>761</v>
      </c>
      <c r="E1146" s="118" t="e">
        <f aca="false">CEILING(D1146/20;1)</f>
        <v>#VALUE!</v>
      </c>
      <c r="F1146" s="118" t="e">
        <f aca="false">E1146*$F$1</f>
        <v>#VALUE!</v>
      </c>
    </row>
    <row r="1147" customFormat="false" ht="14.25" hidden="false" customHeight="true" outlineLevel="0" collapsed="false">
      <c r="A1147" s="118" t="s">
        <v>1005</v>
      </c>
      <c r="B1147" s="118" t="str">
        <f aca="false">CONCATENATE(C1147&amp;D1147)</f>
        <v>1"762</v>
      </c>
      <c r="C1147" s="118" t="s">
        <v>967</v>
      </c>
      <c r="D1147" s="153" t="n">
        <f aca="false">D1146+1</f>
        <v>762</v>
      </c>
      <c r="E1147" s="118" t="e">
        <f aca="false">CEILING(D1147/20;1)</f>
        <v>#VALUE!</v>
      </c>
      <c r="F1147" s="118" t="e">
        <f aca="false">E1147*$F$1</f>
        <v>#VALUE!</v>
      </c>
    </row>
    <row r="1148" customFormat="false" ht="14.25" hidden="false" customHeight="true" outlineLevel="0" collapsed="false">
      <c r="A1148" s="118" t="s">
        <v>1005</v>
      </c>
      <c r="B1148" s="118" t="str">
        <f aca="false">CONCATENATE(C1148&amp;D1148)</f>
        <v>1"763</v>
      </c>
      <c r="C1148" s="118" t="s">
        <v>967</v>
      </c>
      <c r="D1148" s="153" t="n">
        <f aca="false">D1147+1</f>
        <v>763</v>
      </c>
      <c r="E1148" s="118" t="e">
        <f aca="false">CEILING(D1148/20;1)</f>
        <v>#VALUE!</v>
      </c>
      <c r="F1148" s="118" t="e">
        <f aca="false">E1148*$F$1</f>
        <v>#VALUE!</v>
      </c>
    </row>
    <row r="1149" customFormat="false" ht="14.25" hidden="false" customHeight="true" outlineLevel="0" collapsed="false">
      <c r="A1149" s="118" t="s">
        <v>1005</v>
      </c>
      <c r="B1149" s="118" t="str">
        <f aca="false">CONCATENATE(C1149&amp;D1149)</f>
        <v>1"764</v>
      </c>
      <c r="C1149" s="118" t="s">
        <v>967</v>
      </c>
      <c r="D1149" s="153" t="n">
        <f aca="false">D1148+1</f>
        <v>764</v>
      </c>
      <c r="E1149" s="118" t="e">
        <f aca="false">CEILING(D1149/20;1)</f>
        <v>#VALUE!</v>
      </c>
      <c r="F1149" s="118" t="e">
        <f aca="false">E1149*$F$1</f>
        <v>#VALUE!</v>
      </c>
    </row>
    <row r="1150" customFormat="false" ht="14.25" hidden="false" customHeight="true" outlineLevel="0" collapsed="false">
      <c r="A1150" s="118" t="s">
        <v>1005</v>
      </c>
      <c r="B1150" s="118" t="str">
        <f aca="false">CONCATENATE(C1150&amp;D1150)</f>
        <v>1"765</v>
      </c>
      <c r="C1150" s="118" t="s">
        <v>967</v>
      </c>
      <c r="D1150" s="153" t="n">
        <f aca="false">D1149+1</f>
        <v>765</v>
      </c>
      <c r="E1150" s="118" t="e">
        <f aca="false">CEILING(D1150/20;1)</f>
        <v>#VALUE!</v>
      </c>
      <c r="F1150" s="118" t="e">
        <f aca="false">E1150*$F$1</f>
        <v>#VALUE!</v>
      </c>
    </row>
    <row r="1151" customFormat="false" ht="14.25" hidden="false" customHeight="true" outlineLevel="0" collapsed="false">
      <c r="A1151" s="118" t="s">
        <v>1005</v>
      </c>
      <c r="B1151" s="118" t="str">
        <f aca="false">CONCATENATE(C1151&amp;D1151)</f>
        <v>1"766</v>
      </c>
      <c r="C1151" s="118" t="s">
        <v>967</v>
      </c>
      <c r="D1151" s="153" t="n">
        <f aca="false">D1150+1</f>
        <v>766</v>
      </c>
      <c r="E1151" s="118" t="e">
        <f aca="false">CEILING(D1151/20;1)</f>
        <v>#VALUE!</v>
      </c>
      <c r="F1151" s="118" t="e">
        <f aca="false">E1151*$F$1</f>
        <v>#VALUE!</v>
      </c>
    </row>
    <row r="1152" customFormat="false" ht="14.25" hidden="false" customHeight="true" outlineLevel="0" collapsed="false">
      <c r="A1152" s="118" t="s">
        <v>1005</v>
      </c>
      <c r="B1152" s="118" t="str">
        <f aca="false">CONCATENATE(C1152&amp;D1152)</f>
        <v>1"767</v>
      </c>
      <c r="C1152" s="118" t="s">
        <v>967</v>
      </c>
      <c r="D1152" s="153" t="n">
        <f aca="false">D1151+1</f>
        <v>767</v>
      </c>
      <c r="E1152" s="118" t="e">
        <f aca="false">CEILING(D1152/20;1)</f>
        <v>#VALUE!</v>
      </c>
      <c r="F1152" s="118" t="e">
        <f aca="false">E1152*$F$1</f>
        <v>#VALUE!</v>
      </c>
    </row>
    <row r="1153" customFormat="false" ht="14.25" hidden="false" customHeight="true" outlineLevel="0" collapsed="false">
      <c r="A1153" s="118" t="s">
        <v>1005</v>
      </c>
      <c r="B1153" s="118" t="str">
        <f aca="false">CONCATENATE(C1153&amp;D1153)</f>
        <v>1"768</v>
      </c>
      <c r="C1153" s="118" t="s">
        <v>967</v>
      </c>
      <c r="D1153" s="153" t="n">
        <f aca="false">D1152+1</f>
        <v>768</v>
      </c>
      <c r="E1153" s="118" t="e">
        <f aca="false">CEILING(D1153/20;1)</f>
        <v>#VALUE!</v>
      </c>
      <c r="F1153" s="118" t="e">
        <f aca="false">E1153*$F$1</f>
        <v>#VALUE!</v>
      </c>
    </row>
    <row r="1154" customFormat="false" ht="14.25" hidden="false" customHeight="true" outlineLevel="0" collapsed="false">
      <c r="A1154" s="118" t="s">
        <v>1005</v>
      </c>
      <c r="B1154" s="118" t="str">
        <f aca="false">CONCATENATE(C1154&amp;D1154)</f>
        <v>1"769</v>
      </c>
      <c r="C1154" s="118" t="s">
        <v>967</v>
      </c>
      <c r="D1154" s="153" t="n">
        <f aca="false">D1153+1</f>
        <v>769</v>
      </c>
      <c r="E1154" s="118" t="e">
        <f aca="false">CEILING(D1154/20;1)</f>
        <v>#VALUE!</v>
      </c>
      <c r="F1154" s="118" t="e">
        <f aca="false">E1154*$F$1</f>
        <v>#VALUE!</v>
      </c>
    </row>
    <row r="1155" customFormat="false" ht="14.25" hidden="false" customHeight="true" outlineLevel="0" collapsed="false">
      <c r="A1155" s="118" t="s">
        <v>1005</v>
      </c>
      <c r="B1155" s="118" t="str">
        <f aca="false">CONCATENATE(C1155&amp;D1155)</f>
        <v>1"770</v>
      </c>
      <c r="C1155" s="118" t="s">
        <v>967</v>
      </c>
      <c r="D1155" s="153" t="n">
        <f aca="false">D1154+1</f>
        <v>770</v>
      </c>
      <c r="E1155" s="118" t="e">
        <f aca="false">CEILING(D1155/20;1)</f>
        <v>#VALUE!</v>
      </c>
      <c r="F1155" s="118" t="e">
        <f aca="false">E1155*$F$1</f>
        <v>#VALUE!</v>
      </c>
    </row>
    <row r="1156" customFormat="false" ht="14.25" hidden="false" customHeight="true" outlineLevel="0" collapsed="false">
      <c r="A1156" s="118" t="s">
        <v>1005</v>
      </c>
      <c r="B1156" s="118" t="str">
        <f aca="false">CONCATENATE(C1156&amp;D1156)</f>
        <v>1"771</v>
      </c>
      <c r="C1156" s="118" t="s">
        <v>967</v>
      </c>
      <c r="D1156" s="153" t="n">
        <f aca="false">D1155+1</f>
        <v>771</v>
      </c>
      <c r="E1156" s="118" t="e">
        <f aca="false">CEILING(D1156/20;1)</f>
        <v>#VALUE!</v>
      </c>
      <c r="F1156" s="118" t="e">
        <f aca="false">E1156*$F$1</f>
        <v>#VALUE!</v>
      </c>
    </row>
    <row r="1157" customFormat="false" ht="14.25" hidden="false" customHeight="true" outlineLevel="0" collapsed="false">
      <c r="A1157" s="118" t="s">
        <v>1005</v>
      </c>
      <c r="B1157" s="118" t="str">
        <f aca="false">CONCATENATE(C1157&amp;D1157)</f>
        <v>1"772</v>
      </c>
      <c r="C1157" s="118" t="s">
        <v>967</v>
      </c>
      <c r="D1157" s="153" t="n">
        <f aca="false">D1156+1</f>
        <v>772</v>
      </c>
      <c r="E1157" s="118" t="e">
        <f aca="false">CEILING(D1157/20;1)</f>
        <v>#VALUE!</v>
      </c>
      <c r="F1157" s="118" t="e">
        <f aca="false">E1157*$F$1</f>
        <v>#VALUE!</v>
      </c>
    </row>
    <row r="1158" customFormat="false" ht="14.25" hidden="false" customHeight="true" outlineLevel="0" collapsed="false">
      <c r="A1158" s="118" t="s">
        <v>1005</v>
      </c>
      <c r="B1158" s="118" t="str">
        <f aca="false">CONCATENATE(C1158&amp;D1158)</f>
        <v>1"773</v>
      </c>
      <c r="C1158" s="118" t="s">
        <v>967</v>
      </c>
      <c r="D1158" s="153" t="n">
        <f aca="false">D1157+1</f>
        <v>773</v>
      </c>
      <c r="E1158" s="118" t="e">
        <f aca="false">CEILING(D1158/20;1)</f>
        <v>#VALUE!</v>
      </c>
      <c r="F1158" s="118" t="e">
        <f aca="false">E1158*$F$1</f>
        <v>#VALUE!</v>
      </c>
    </row>
    <row r="1159" customFormat="false" ht="14.25" hidden="false" customHeight="true" outlineLevel="0" collapsed="false">
      <c r="A1159" s="118" t="s">
        <v>1005</v>
      </c>
      <c r="B1159" s="118" t="str">
        <f aca="false">CONCATENATE(C1159&amp;D1159)</f>
        <v>1"774</v>
      </c>
      <c r="C1159" s="118" t="s">
        <v>967</v>
      </c>
      <c r="D1159" s="153" t="n">
        <f aca="false">D1158+1</f>
        <v>774</v>
      </c>
      <c r="E1159" s="118" t="e">
        <f aca="false">CEILING(D1159/20;1)</f>
        <v>#VALUE!</v>
      </c>
      <c r="F1159" s="118" t="e">
        <f aca="false">E1159*$F$1</f>
        <v>#VALUE!</v>
      </c>
    </row>
    <row r="1160" customFormat="false" ht="14.25" hidden="false" customHeight="true" outlineLevel="0" collapsed="false">
      <c r="A1160" s="118" t="s">
        <v>1005</v>
      </c>
      <c r="B1160" s="118" t="str">
        <f aca="false">CONCATENATE(C1160&amp;D1160)</f>
        <v>1"775</v>
      </c>
      <c r="C1160" s="118" t="s">
        <v>967</v>
      </c>
      <c r="D1160" s="153" t="n">
        <f aca="false">D1159+1</f>
        <v>775</v>
      </c>
      <c r="E1160" s="118" t="e">
        <f aca="false">CEILING(D1160/20;1)</f>
        <v>#VALUE!</v>
      </c>
      <c r="F1160" s="118" t="e">
        <f aca="false">E1160*$F$1</f>
        <v>#VALUE!</v>
      </c>
    </row>
    <row r="1161" customFormat="false" ht="14.25" hidden="false" customHeight="true" outlineLevel="0" collapsed="false">
      <c r="A1161" s="118" t="s">
        <v>1005</v>
      </c>
      <c r="B1161" s="118" t="str">
        <f aca="false">CONCATENATE(C1161&amp;D1161)</f>
        <v>1"776</v>
      </c>
      <c r="C1161" s="118" t="s">
        <v>967</v>
      </c>
      <c r="D1161" s="153" t="n">
        <f aca="false">D1160+1</f>
        <v>776</v>
      </c>
      <c r="E1161" s="118" t="e">
        <f aca="false">CEILING(D1161/20;1)</f>
        <v>#VALUE!</v>
      </c>
      <c r="F1161" s="118" t="e">
        <f aca="false">E1161*$F$1</f>
        <v>#VALUE!</v>
      </c>
    </row>
    <row r="1162" customFormat="false" ht="14.25" hidden="false" customHeight="true" outlineLevel="0" collapsed="false">
      <c r="A1162" s="118" t="s">
        <v>1005</v>
      </c>
      <c r="B1162" s="118" t="str">
        <f aca="false">CONCATENATE(C1162&amp;D1162)</f>
        <v>1"777</v>
      </c>
      <c r="C1162" s="118" t="s">
        <v>967</v>
      </c>
      <c r="D1162" s="153" t="n">
        <f aca="false">D1161+1</f>
        <v>777</v>
      </c>
      <c r="E1162" s="118" t="e">
        <f aca="false">CEILING(D1162/20;1)</f>
        <v>#VALUE!</v>
      </c>
      <c r="F1162" s="118" t="e">
        <f aca="false">E1162*$F$1</f>
        <v>#VALUE!</v>
      </c>
    </row>
    <row r="1163" customFormat="false" ht="14.25" hidden="false" customHeight="true" outlineLevel="0" collapsed="false">
      <c r="A1163" s="118" t="s">
        <v>1005</v>
      </c>
      <c r="B1163" s="118" t="str">
        <f aca="false">CONCATENATE(C1163&amp;D1163)</f>
        <v>1"778</v>
      </c>
      <c r="C1163" s="118" t="s">
        <v>967</v>
      </c>
      <c r="D1163" s="153" t="n">
        <f aca="false">D1162+1</f>
        <v>778</v>
      </c>
      <c r="E1163" s="118" t="e">
        <f aca="false">CEILING(D1163/20;1)</f>
        <v>#VALUE!</v>
      </c>
      <c r="F1163" s="118" t="e">
        <f aca="false">E1163*$F$1</f>
        <v>#VALUE!</v>
      </c>
    </row>
    <row r="1164" customFormat="false" ht="14.25" hidden="false" customHeight="true" outlineLevel="0" collapsed="false">
      <c r="A1164" s="118" t="s">
        <v>1005</v>
      </c>
      <c r="B1164" s="118" t="str">
        <f aca="false">CONCATENATE(C1164&amp;D1164)</f>
        <v>1"779</v>
      </c>
      <c r="C1164" s="118" t="s">
        <v>967</v>
      </c>
      <c r="D1164" s="153" t="n">
        <f aca="false">D1163+1</f>
        <v>779</v>
      </c>
      <c r="E1164" s="118" t="e">
        <f aca="false">CEILING(D1164/20;1)</f>
        <v>#VALUE!</v>
      </c>
      <c r="F1164" s="118" t="e">
        <f aca="false">E1164*$F$1</f>
        <v>#VALUE!</v>
      </c>
    </row>
    <row r="1165" customFormat="false" ht="14.25" hidden="false" customHeight="true" outlineLevel="0" collapsed="false">
      <c r="A1165" s="118" t="s">
        <v>1005</v>
      </c>
      <c r="B1165" s="118" t="str">
        <f aca="false">CONCATENATE(C1165&amp;D1165)</f>
        <v>1"780</v>
      </c>
      <c r="C1165" s="118" t="s">
        <v>967</v>
      </c>
      <c r="D1165" s="153" t="n">
        <f aca="false">D1164+1</f>
        <v>780</v>
      </c>
      <c r="E1165" s="118" t="e">
        <f aca="false">CEILING(D1165/20;1)</f>
        <v>#VALUE!</v>
      </c>
      <c r="F1165" s="118" t="e">
        <f aca="false">E1165*$F$1</f>
        <v>#VALUE!</v>
      </c>
    </row>
    <row r="1166" customFormat="false" ht="14.25" hidden="false" customHeight="true" outlineLevel="0" collapsed="false">
      <c r="A1166" s="118" t="s">
        <v>1005</v>
      </c>
      <c r="B1166" s="118" t="str">
        <f aca="false">CONCATENATE(C1166&amp;D1166)</f>
        <v>1"781</v>
      </c>
      <c r="C1166" s="118" t="s">
        <v>967</v>
      </c>
      <c r="D1166" s="153" t="n">
        <f aca="false">D1165+1</f>
        <v>781</v>
      </c>
      <c r="E1166" s="118" t="e">
        <f aca="false">CEILING(D1166/20;1)</f>
        <v>#VALUE!</v>
      </c>
      <c r="F1166" s="118" t="e">
        <f aca="false">E1166*$F$1</f>
        <v>#VALUE!</v>
      </c>
    </row>
    <row r="1167" customFormat="false" ht="14.25" hidden="false" customHeight="true" outlineLevel="0" collapsed="false">
      <c r="A1167" s="118" t="s">
        <v>1005</v>
      </c>
      <c r="B1167" s="118" t="str">
        <f aca="false">CONCATENATE(C1167&amp;D1167)</f>
        <v>1"782</v>
      </c>
      <c r="C1167" s="118" t="s">
        <v>967</v>
      </c>
      <c r="D1167" s="153" t="n">
        <f aca="false">D1166+1</f>
        <v>782</v>
      </c>
      <c r="E1167" s="118" t="e">
        <f aca="false">CEILING(D1167/20;1)</f>
        <v>#VALUE!</v>
      </c>
      <c r="F1167" s="118" t="e">
        <f aca="false">E1167*$F$1</f>
        <v>#VALUE!</v>
      </c>
    </row>
    <row r="1168" customFormat="false" ht="14.25" hidden="false" customHeight="true" outlineLevel="0" collapsed="false">
      <c r="A1168" s="118" t="s">
        <v>1005</v>
      </c>
      <c r="B1168" s="118" t="str">
        <f aca="false">CONCATENATE(C1168&amp;D1168)</f>
        <v>1"783</v>
      </c>
      <c r="C1168" s="118" t="s">
        <v>967</v>
      </c>
      <c r="D1168" s="153" t="n">
        <f aca="false">D1167+1</f>
        <v>783</v>
      </c>
      <c r="E1168" s="118" t="e">
        <f aca="false">CEILING(D1168/20;1)</f>
        <v>#VALUE!</v>
      </c>
      <c r="F1168" s="118" t="e">
        <f aca="false">E1168*$F$1</f>
        <v>#VALUE!</v>
      </c>
    </row>
    <row r="1169" customFormat="false" ht="14.25" hidden="false" customHeight="true" outlineLevel="0" collapsed="false">
      <c r="A1169" s="118" t="s">
        <v>1005</v>
      </c>
      <c r="B1169" s="118" t="str">
        <f aca="false">CONCATENATE(C1169&amp;D1169)</f>
        <v>1"784</v>
      </c>
      <c r="C1169" s="118" t="s">
        <v>967</v>
      </c>
      <c r="D1169" s="153" t="n">
        <f aca="false">D1168+1</f>
        <v>784</v>
      </c>
      <c r="E1169" s="118" t="e">
        <f aca="false">CEILING(D1169/20;1)</f>
        <v>#VALUE!</v>
      </c>
      <c r="F1169" s="118" t="e">
        <f aca="false">E1169*$F$1</f>
        <v>#VALUE!</v>
      </c>
    </row>
    <row r="1170" customFormat="false" ht="14.25" hidden="false" customHeight="true" outlineLevel="0" collapsed="false">
      <c r="A1170" s="118" t="s">
        <v>1005</v>
      </c>
      <c r="B1170" s="118" t="str">
        <f aca="false">CONCATENATE(C1170&amp;D1170)</f>
        <v>1"785</v>
      </c>
      <c r="C1170" s="118" t="s">
        <v>967</v>
      </c>
      <c r="D1170" s="153" t="n">
        <f aca="false">D1169+1</f>
        <v>785</v>
      </c>
      <c r="E1170" s="118" t="e">
        <f aca="false">CEILING(D1170/20;1)</f>
        <v>#VALUE!</v>
      </c>
      <c r="F1170" s="118" t="e">
        <f aca="false">E1170*$F$1</f>
        <v>#VALUE!</v>
      </c>
    </row>
    <row r="1171" customFormat="false" ht="14.25" hidden="false" customHeight="true" outlineLevel="0" collapsed="false">
      <c r="A1171" s="118" t="s">
        <v>1005</v>
      </c>
      <c r="B1171" s="118" t="str">
        <f aca="false">CONCATENATE(C1171&amp;D1171)</f>
        <v>1"786</v>
      </c>
      <c r="C1171" s="118" t="s">
        <v>967</v>
      </c>
      <c r="D1171" s="153" t="n">
        <f aca="false">D1170+1</f>
        <v>786</v>
      </c>
      <c r="E1171" s="118" t="e">
        <f aca="false">CEILING(D1171/20;1)</f>
        <v>#VALUE!</v>
      </c>
      <c r="F1171" s="118" t="e">
        <f aca="false">E1171*$F$1</f>
        <v>#VALUE!</v>
      </c>
    </row>
    <row r="1172" customFormat="false" ht="14.25" hidden="false" customHeight="true" outlineLevel="0" collapsed="false">
      <c r="A1172" s="118" t="s">
        <v>1005</v>
      </c>
      <c r="B1172" s="118" t="str">
        <f aca="false">CONCATENATE(C1172&amp;D1172)</f>
        <v>1"787</v>
      </c>
      <c r="C1172" s="118" t="s">
        <v>967</v>
      </c>
      <c r="D1172" s="153" t="n">
        <f aca="false">D1171+1</f>
        <v>787</v>
      </c>
      <c r="E1172" s="118" t="e">
        <f aca="false">CEILING(D1172/20;1)</f>
        <v>#VALUE!</v>
      </c>
      <c r="F1172" s="118" t="e">
        <f aca="false">E1172*$F$1</f>
        <v>#VALUE!</v>
      </c>
    </row>
    <row r="1173" customFormat="false" ht="14.25" hidden="false" customHeight="true" outlineLevel="0" collapsed="false">
      <c r="A1173" s="118" t="s">
        <v>1005</v>
      </c>
      <c r="B1173" s="118" t="str">
        <f aca="false">CONCATENATE(C1173&amp;D1173)</f>
        <v>1"788</v>
      </c>
      <c r="C1173" s="118" t="s">
        <v>967</v>
      </c>
      <c r="D1173" s="153" t="n">
        <f aca="false">D1172+1</f>
        <v>788</v>
      </c>
      <c r="E1173" s="118" t="e">
        <f aca="false">CEILING(D1173/20;1)</f>
        <v>#VALUE!</v>
      </c>
      <c r="F1173" s="118" t="e">
        <f aca="false">E1173*$F$1</f>
        <v>#VALUE!</v>
      </c>
    </row>
    <row r="1174" customFormat="false" ht="14.25" hidden="false" customHeight="true" outlineLevel="0" collapsed="false">
      <c r="A1174" s="118" t="s">
        <v>1005</v>
      </c>
      <c r="B1174" s="118" t="str">
        <f aca="false">CONCATENATE(C1174&amp;D1174)</f>
        <v>1"789</v>
      </c>
      <c r="C1174" s="118" t="s">
        <v>967</v>
      </c>
      <c r="D1174" s="153" t="n">
        <f aca="false">D1173+1</f>
        <v>789</v>
      </c>
      <c r="E1174" s="118" t="e">
        <f aca="false">CEILING(D1174/20;1)</f>
        <v>#VALUE!</v>
      </c>
      <c r="F1174" s="118" t="e">
        <f aca="false">E1174*$F$1</f>
        <v>#VALUE!</v>
      </c>
    </row>
    <row r="1175" customFormat="false" ht="14.25" hidden="false" customHeight="true" outlineLevel="0" collapsed="false">
      <c r="A1175" s="118" t="s">
        <v>1005</v>
      </c>
      <c r="B1175" s="118" t="str">
        <f aca="false">CONCATENATE(C1175&amp;D1175)</f>
        <v>1"790</v>
      </c>
      <c r="C1175" s="118" t="s">
        <v>967</v>
      </c>
      <c r="D1175" s="153" t="n">
        <f aca="false">D1174+1</f>
        <v>790</v>
      </c>
      <c r="E1175" s="118" t="e">
        <f aca="false">CEILING(D1175/20;1)</f>
        <v>#VALUE!</v>
      </c>
      <c r="F1175" s="118" t="e">
        <f aca="false">E1175*$F$1</f>
        <v>#VALUE!</v>
      </c>
    </row>
    <row r="1176" customFormat="false" ht="14.25" hidden="false" customHeight="true" outlineLevel="0" collapsed="false">
      <c r="A1176" s="118" t="s">
        <v>1005</v>
      </c>
      <c r="B1176" s="118" t="str">
        <f aca="false">CONCATENATE(C1176&amp;D1176)</f>
        <v>1"791</v>
      </c>
      <c r="C1176" s="118" t="s">
        <v>967</v>
      </c>
      <c r="D1176" s="153" t="n">
        <f aca="false">D1175+1</f>
        <v>791</v>
      </c>
      <c r="E1176" s="118" t="e">
        <f aca="false">CEILING(D1176/20;1)</f>
        <v>#VALUE!</v>
      </c>
      <c r="F1176" s="118" t="e">
        <f aca="false">E1176*$F$1</f>
        <v>#VALUE!</v>
      </c>
    </row>
    <row r="1177" customFormat="false" ht="14.25" hidden="false" customHeight="true" outlineLevel="0" collapsed="false">
      <c r="A1177" s="118" t="s">
        <v>1005</v>
      </c>
      <c r="B1177" s="118" t="str">
        <f aca="false">CONCATENATE(C1177&amp;D1177)</f>
        <v>1"792</v>
      </c>
      <c r="C1177" s="118" t="s">
        <v>967</v>
      </c>
      <c r="D1177" s="153" t="n">
        <f aca="false">D1176+1</f>
        <v>792</v>
      </c>
      <c r="E1177" s="118" t="e">
        <f aca="false">CEILING(D1177/20;1)</f>
        <v>#VALUE!</v>
      </c>
      <c r="F1177" s="118" t="e">
        <f aca="false">E1177*$F$1</f>
        <v>#VALUE!</v>
      </c>
    </row>
    <row r="1178" customFormat="false" ht="14.25" hidden="false" customHeight="true" outlineLevel="0" collapsed="false">
      <c r="A1178" s="118" t="s">
        <v>1005</v>
      </c>
      <c r="B1178" s="118" t="str">
        <f aca="false">CONCATENATE(C1178&amp;D1178)</f>
        <v>1"793</v>
      </c>
      <c r="C1178" s="118" t="s">
        <v>967</v>
      </c>
      <c r="D1178" s="153" t="n">
        <f aca="false">D1177+1</f>
        <v>793</v>
      </c>
      <c r="E1178" s="118" t="e">
        <f aca="false">CEILING(D1178/20;1)</f>
        <v>#VALUE!</v>
      </c>
      <c r="F1178" s="118" t="e">
        <f aca="false">E1178*$F$1</f>
        <v>#VALUE!</v>
      </c>
    </row>
    <row r="1179" customFormat="false" ht="14.25" hidden="false" customHeight="true" outlineLevel="0" collapsed="false">
      <c r="A1179" s="118" t="s">
        <v>1005</v>
      </c>
      <c r="B1179" s="118" t="str">
        <f aca="false">CONCATENATE(C1179&amp;D1179)</f>
        <v>1"794</v>
      </c>
      <c r="C1179" s="118" t="s">
        <v>967</v>
      </c>
      <c r="D1179" s="153" t="n">
        <f aca="false">D1178+1</f>
        <v>794</v>
      </c>
      <c r="E1179" s="118" t="e">
        <f aca="false">CEILING(D1179/20;1)</f>
        <v>#VALUE!</v>
      </c>
      <c r="F1179" s="118" t="e">
        <f aca="false">E1179*$F$1</f>
        <v>#VALUE!</v>
      </c>
    </row>
    <row r="1180" customFormat="false" ht="14.25" hidden="false" customHeight="true" outlineLevel="0" collapsed="false">
      <c r="A1180" s="118" t="s">
        <v>1005</v>
      </c>
      <c r="B1180" s="118" t="str">
        <f aca="false">CONCATENATE(C1180&amp;D1180)</f>
        <v>1"795</v>
      </c>
      <c r="C1180" s="118" t="s">
        <v>967</v>
      </c>
      <c r="D1180" s="153" t="n">
        <f aca="false">D1179+1</f>
        <v>795</v>
      </c>
      <c r="E1180" s="118" t="e">
        <f aca="false">CEILING(D1180/20;1)</f>
        <v>#VALUE!</v>
      </c>
      <c r="F1180" s="118" t="e">
        <f aca="false">E1180*$F$1</f>
        <v>#VALUE!</v>
      </c>
    </row>
    <row r="1181" customFormat="false" ht="14.25" hidden="false" customHeight="true" outlineLevel="0" collapsed="false">
      <c r="A1181" s="118" t="s">
        <v>1005</v>
      </c>
      <c r="B1181" s="118" t="str">
        <f aca="false">CONCATENATE(C1181&amp;D1181)</f>
        <v>1"796</v>
      </c>
      <c r="C1181" s="118" t="s">
        <v>967</v>
      </c>
      <c r="D1181" s="153" t="n">
        <f aca="false">D1180+1</f>
        <v>796</v>
      </c>
      <c r="E1181" s="118" t="e">
        <f aca="false">CEILING(D1181/20;1)</f>
        <v>#VALUE!</v>
      </c>
      <c r="F1181" s="118" t="e">
        <f aca="false">E1181*$F$1</f>
        <v>#VALUE!</v>
      </c>
    </row>
    <row r="1182" customFormat="false" ht="14.25" hidden="false" customHeight="true" outlineLevel="0" collapsed="false">
      <c r="A1182" s="118" t="s">
        <v>1005</v>
      </c>
      <c r="B1182" s="118" t="str">
        <f aca="false">CONCATENATE(C1182&amp;D1182)</f>
        <v>1"797</v>
      </c>
      <c r="C1182" s="118" t="s">
        <v>967</v>
      </c>
      <c r="D1182" s="153" t="n">
        <f aca="false">D1181+1</f>
        <v>797</v>
      </c>
      <c r="E1182" s="118" t="e">
        <f aca="false">CEILING(D1182/20;1)</f>
        <v>#VALUE!</v>
      </c>
      <c r="F1182" s="118" t="e">
        <f aca="false">E1182*$F$1</f>
        <v>#VALUE!</v>
      </c>
    </row>
    <row r="1183" customFormat="false" ht="14.25" hidden="false" customHeight="true" outlineLevel="0" collapsed="false">
      <c r="A1183" s="118" t="s">
        <v>1005</v>
      </c>
      <c r="B1183" s="118" t="str">
        <f aca="false">CONCATENATE(C1183&amp;D1183)</f>
        <v>1"798</v>
      </c>
      <c r="C1183" s="118" t="s">
        <v>967</v>
      </c>
      <c r="D1183" s="153" t="n">
        <f aca="false">D1182+1</f>
        <v>798</v>
      </c>
      <c r="E1183" s="118" t="e">
        <f aca="false">CEILING(D1183/20;1)</f>
        <v>#VALUE!</v>
      </c>
      <c r="F1183" s="118" t="e">
        <f aca="false">E1183*$F$1</f>
        <v>#VALUE!</v>
      </c>
    </row>
    <row r="1184" customFormat="false" ht="14.25" hidden="false" customHeight="true" outlineLevel="0" collapsed="false">
      <c r="A1184" s="118" t="s">
        <v>1005</v>
      </c>
      <c r="B1184" s="118" t="str">
        <f aca="false">CONCATENATE(C1184&amp;D1184)</f>
        <v>1"799</v>
      </c>
      <c r="C1184" s="118" t="s">
        <v>967</v>
      </c>
      <c r="D1184" s="153" t="n">
        <f aca="false">D1183+1</f>
        <v>799</v>
      </c>
      <c r="E1184" s="118" t="e">
        <f aca="false">CEILING(D1184/20;1)</f>
        <v>#VALUE!</v>
      </c>
      <c r="F1184" s="118" t="e">
        <f aca="false">E1184*$F$1</f>
        <v>#VALUE!</v>
      </c>
    </row>
    <row r="1185" customFormat="false" ht="14.25" hidden="false" customHeight="true" outlineLevel="0" collapsed="false">
      <c r="A1185" s="118" t="s">
        <v>1005</v>
      </c>
      <c r="B1185" s="118" t="str">
        <f aca="false">CONCATENATE(C1185&amp;D1185)</f>
        <v>1"800</v>
      </c>
      <c r="C1185" s="118" t="s">
        <v>967</v>
      </c>
      <c r="D1185" s="153" t="n">
        <f aca="false">D1184+1</f>
        <v>800</v>
      </c>
      <c r="E1185" s="118" t="e">
        <f aca="false">CEILING(D1185/20;1)</f>
        <v>#VALUE!</v>
      </c>
      <c r="F1185" s="118" t="e">
        <f aca="false">E1185*$F$1</f>
        <v>#VALUE!</v>
      </c>
    </row>
    <row r="1186" customFormat="false" ht="14.25" hidden="false" customHeight="true" outlineLevel="0" collapsed="false">
      <c r="A1186" s="118" t="s">
        <v>1005</v>
      </c>
      <c r="B1186" s="118" t="str">
        <f aca="false">CONCATENATE(C1186&amp;D1186)</f>
        <v>1"801</v>
      </c>
      <c r="C1186" s="118" t="s">
        <v>967</v>
      </c>
      <c r="D1186" s="153" t="n">
        <f aca="false">D1185+1</f>
        <v>801</v>
      </c>
      <c r="E1186" s="118" t="e">
        <f aca="false">CEILING(D1186/20;1)</f>
        <v>#VALUE!</v>
      </c>
      <c r="F1186" s="118" t="e">
        <f aca="false">E1186*$F$1</f>
        <v>#VALUE!</v>
      </c>
    </row>
    <row r="1187" customFormat="false" ht="14.25" hidden="false" customHeight="true" outlineLevel="0" collapsed="false">
      <c r="A1187" s="118" t="s">
        <v>1005</v>
      </c>
      <c r="B1187" s="118" t="str">
        <f aca="false">CONCATENATE(C1187&amp;D1187)</f>
        <v>1"802</v>
      </c>
      <c r="C1187" s="118" t="s">
        <v>967</v>
      </c>
      <c r="D1187" s="153" t="n">
        <f aca="false">D1186+1</f>
        <v>802</v>
      </c>
      <c r="E1187" s="118" t="e">
        <f aca="false">CEILING(D1187/20;1)</f>
        <v>#VALUE!</v>
      </c>
      <c r="F1187" s="118" t="e">
        <f aca="false">E1187*$F$1</f>
        <v>#VALUE!</v>
      </c>
    </row>
    <row r="1188" customFormat="false" ht="14.25" hidden="false" customHeight="true" outlineLevel="0" collapsed="false">
      <c r="A1188" s="118" t="s">
        <v>1005</v>
      </c>
      <c r="B1188" s="118" t="str">
        <f aca="false">CONCATENATE(C1188&amp;D1188)</f>
        <v>1"803</v>
      </c>
      <c r="C1188" s="118" t="s">
        <v>967</v>
      </c>
      <c r="D1188" s="153" t="n">
        <f aca="false">D1187+1</f>
        <v>803</v>
      </c>
      <c r="E1188" s="118" t="e">
        <f aca="false">CEILING(D1188/20;1)</f>
        <v>#VALUE!</v>
      </c>
      <c r="F1188" s="118" t="e">
        <f aca="false">E1188*$F$1</f>
        <v>#VALUE!</v>
      </c>
    </row>
    <row r="1189" customFormat="false" ht="14.25" hidden="false" customHeight="true" outlineLevel="0" collapsed="false">
      <c r="A1189" s="118" t="s">
        <v>1005</v>
      </c>
      <c r="B1189" s="118" t="str">
        <f aca="false">CONCATENATE(C1189&amp;D1189)</f>
        <v>1"804</v>
      </c>
      <c r="C1189" s="118" t="s">
        <v>967</v>
      </c>
      <c r="D1189" s="153" t="n">
        <f aca="false">D1188+1</f>
        <v>804</v>
      </c>
      <c r="E1189" s="118" t="e">
        <f aca="false">CEILING(D1189/20;1)</f>
        <v>#VALUE!</v>
      </c>
      <c r="F1189" s="118" t="e">
        <f aca="false">E1189*$F$1</f>
        <v>#VALUE!</v>
      </c>
    </row>
    <row r="1190" customFormat="false" ht="14.25" hidden="false" customHeight="true" outlineLevel="0" collapsed="false">
      <c r="A1190" s="118" t="s">
        <v>1005</v>
      </c>
      <c r="B1190" s="118" t="str">
        <f aca="false">CONCATENATE(C1190&amp;D1190)</f>
        <v>1"805</v>
      </c>
      <c r="C1190" s="118" t="s">
        <v>967</v>
      </c>
      <c r="D1190" s="153" t="n">
        <f aca="false">D1189+1</f>
        <v>805</v>
      </c>
      <c r="E1190" s="118" t="e">
        <f aca="false">CEILING(D1190/20;1)</f>
        <v>#VALUE!</v>
      </c>
      <c r="F1190" s="118" t="e">
        <f aca="false">E1190*$F$1</f>
        <v>#VALUE!</v>
      </c>
    </row>
    <row r="1191" customFormat="false" ht="14.25" hidden="false" customHeight="true" outlineLevel="0" collapsed="false">
      <c r="A1191" s="118" t="s">
        <v>1005</v>
      </c>
      <c r="B1191" s="118" t="str">
        <f aca="false">CONCATENATE(C1191&amp;D1191)</f>
        <v>1"806</v>
      </c>
      <c r="C1191" s="118" t="s">
        <v>967</v>
      </c>
      <c r="D1191" s="153" t="n">
        <f aca="false">D1190+1</f>
        <v>806</v>
      </c>
      <c r="E1191" s="118" t="e">
        <f aca="false">CEILING(D1191/20;1)</f>
        <v>#VALUE!</v>
      </c>
      <c r="F1191" s="118" t="e">
        <f aca="false">E1191*$F$1</f>
        <v>#VALUE!</v>
      </c>
    </row>
    <row r="1192" customFormat="false" ht="14.25" hidden="false" customHeight="true" outlineLevel="0" collapsed="false">
      <c r="A1192" s="118" t="s">
        <v>1005</v>
      </c>
      <c r="B1192" s="118" t="str">
        <f aca="false">CONCATENATE(C1192&amp;D1192)</f>
        <v>1"807</v>
      </c>
      <c r="C1192" s="118" t="s">
        <v>967</v>
      </c>
      <c r="D1192" s="153" t="n">
        <f aca="false">D1191+1</f>
        <v>807</v>
      </c>
      <c r="E1192" s="118" t="e">
        <f aca="false">CEILING(D1192/20;1)</f>
        <v>#VALUE!</v>
      </c>
      <c r="F1192" s="118" t="e">
        <f aca="false">E1192*$F$1</f>
        <v>#VALUE!</v>
      </c>
    </row>
    <row r="1193" customFormat="false" ht="14.25" hidden="false" customHeight="true" outlineLevel="0" collapsed="false">
      <c r="A1193" s="118" t="s">
        <v>1005</v>
      </c>
      <c r="B1193" s="118" t="str">
        <f aca="false">CONCATENATE(C1193&amp;D1193)</f>
        <v>1"808</v>
      </c>
      <c r="C1193" s="118" t="s">
        <v>967</v>
      </c>
      <c r="D1193" s="153" t="n">
        <f aca="false">D1192+1</f>
        <v>808</v>
      </c>
      <c r="E1193" s="118" t="e">
        <f aca="false">CEILING(D1193/20;1)</f>
        <v>#VALUE!</v>
      </c>
      <c r="F1193" s="118" t="e">
        <f aca="false">E1193*$F$1</f>
        <v>#VALUE!</v>
      </c>
    </row>
    <row r="1194" customFormat="false" ht="14.25" hidden="false" customHeight="true" outlineLevel="0" collapsed="false">
      <c r="A1194" s="118" t="s">
        <v>1005</v>
      </c>
      <c r="B1194" s="118" t="str">
        <f aca="false">CONCATENATE(C1194&amp;D1194)</f>
        <v>1"809</v>
      </c>
      <c r="C1194" s="118" t="s">
        <v>967</v>
      </c>
      <c r="D1194" s="153" t="n">
        <f aca="false">D1193+1</f>
        <v>809</v>
      </c>
      <c r="E1194" s="118" t="e">
        <f aca="false">CEILING(D1194/20;1)</f>
        <v>#VALUE!</v>
      </c>
      <c r="F1194" s="118" t="e">
        <f aca="false">E1194*$F$1</f>
        <v>#VALUE!</v>
      </c>
    </row>
    <row r="1195" customFormat="false" ht="14.25" hidden="false" customHeight="true" outlineLevel="0" collapsed="false">
      <c r="A1195" s="118" t="s">
        <v>1005</v>
      </c>
      <c r="B1195" s="118" t="str">
        <f aca="false">CONCATENATE(C1195&amp;D1195)</f>
        <v>1"810</v>
      </c>
      <c r="C1195" s="118" t="s">
        <v>967</v>
      </c>
      <c r="D1195" s="153" t="n">
        <f aca="false">D1194+1</f>
        <v>810</v>
      </c>
      <c r="E1195" s="118" t="e">
        <f aca="false">CEILING(D1195/20;1)</f>
        <v>#VALUE!</v>
      </c>
      <c r="F1195" s="118" t="e">
        <f aca="false">E1195*$F$1</f>
        <v>#VALUE!</v>
      </c>
    </row>
    <row r="1196" customFormat="false" ht="14.25" hidden="false" customHeight="true" outlineLevel="0" collapsed="false">
      <c r="A1196" s="118" t="s">
        <v>1005</v>
      </c>
      <c r="B1196" s="118" t="str">
        <f aca="false">CONCATENATE(C1196&amp;D1196)</f>
        <v>1"811</v>
      </c>
      <c r="C1196" s="118" t="s">
        <v>967</v>
      </c>
      <c r="D1196" s="153" t="n">
        <f aca="false">D1195+1</f>
        <v>811</v>
      </c>
      <c r="E1196" s="118" t="e">
        <f aca="false">CEILING(D1196/20;1)</f>
        <v>#VALUE!</v>
      </c>
      <c r="F1196" s="118" t="e">
        <f aca="false">E1196*$F$1</f>
        <v>#VALUE!</v>
      </c>
    </row>
    <row r="1197" customFormat="false" ht="14.25" hidden="false" customHeight="true" outlineLevel="0" collapsed="false">
      <c r="A1197" s="118" t="s">
        <v>1005</v>
      </c>
      <c r="B1197" s="118" t="str">
        <f aca="false">CONCATENATE(C1197&amp;D1197)</f>
        <v>1"812</v>
      </c>
      <c r="C1197" s="118" t="s">
        <v>967</v>
      </c>
      <c r="D1197" s="153" t="n">
        <f aca="false">D1196+1</f>
        <v>812</v>
      </c>
      <c r="E1197" s="118" t="e">
        <f aca="false">CEILING(D1197/20;1)</f>
        <v>#VALUE!</v>
      </c>
      <c r="F1197" s="118" t="e">
        <f aca="false">E1197*$F$1</f>
        <v>#VALUE!</v>
      </c>
    </row>
    <row r="1198" customFormat="false" ht="14.25" hidden="false" customHeight="true" outlineLevel="0" collapsed="false">
      <c r="A1198" s="118" t="s">
        <v>1005</v>
      </c>
      <c r="B1198" s="118" t="str">
        <f aca="false">CONCATENATE(C1198&amp;D1198)</f>
        <v>1"813</v>
      </c>
      <c r="C1198" s="118" t="s">
        <v>967</v>
      </c>
      <c r="D1198" s="153" t="n">
        <f aca="false">D1197+1</f>
        <v>813</v>
      </c>
      <c r="E1198" s="118" t="e">
        <f aca="false">CEILING(D1198/20;1)</f>
        <v>#VALUE!</v>
      </c>
      <c r="F1198" s="118" t="e">
        <f aca="false">E1198*$F$1</f>
        <v>#VALUE!</v>
      </c>
    </row>
    <row r="1199" customFormat="false" ht="14.25" hidden="false" customHeight="true" outlineLevel="0" collapsed="false">
      <c r="A1199" s="118" t="s">
        <v>1005</v>
      </c>
      <c r="B1199" s="118" t="str">
        <f aca="false">CONCATENATE(C1199&amp;D1199)</f>
        <v>1"814</v>
      </c>
      <c r="C1199" s="118" t="s">
        <v>967</v>
      </c>
      <c r="D1199" s="153" t="n">
        <f aca="false">D1198+1</f>
        <v>814</v>
      </c>
      <c r="E1199" s="118" t="e">
        <f aca="false">CEILING(D1199/20;1)</f>
        <v>#VALUE!</v>
      </c>
      <c r="F1199" s="118" t="e">
        <f aca="false">E1199*$F$1</f>
        <v>#VALUE!</v>
      </c>
    </row>
    <row r="1200" customFormat="false" ht="14.25" hidden="false" customHeight="true" outlineLevel="0" collapsed="false">
      <c r="A1200" s="118" t="s">
        <v>1005</v>
      </c>
      <c r="B1200" s="118" t="str">
        <f aca="false">CONCATENATE(C1200&amp;D1200)</f>
        <v>1"815</v>
      </c>
      <c r="C1200" s="118" t="s">
        <v>967</v>
      </c>
      <c r="D1200" s="153" t="n">
        <f aca="false">D1199+1</f>
        <v>815</v>
      </c>
      <c r="E1200" s="118" t="e">
        <f aca="false">CEILING(D1200/20;1)</f>
        <v>#VALUE!</v>
      </c>
      <c r="F1200" s="118" t="e">
        <f aca="false">E1200*$F$1</f>
        <v>#VALUE!</v>
      </c>
    </row>
    <row r="1201" customFormat="false" ht="14.25" hidden="false" customHeight="true" outlineLevel="0" collapsed="false">
      <c r="A1201" s="118" t="s">
        <v>1005</v>
      </c>
      <c r="B1201" s="118" t="str">
        <f aca="false">CONCATENATE(C1201&amp;D1201)</f>
        <v>1"816</v>
      </c>
      <c r="C1201" s="118" t="s">
        <v>967</v>
      </c>
      <c r="D1201" s="153" t="n">
        <f aca="false">D1200+1</f>
        <v>816</v>
      </c>
      <c r="E1201" s="118" t="e">
        <f aca="false">CEILING(D1201/20;1)</f>
        <v>#VALUE!</v>
      </c>
      <c r="F1201" s="118" t="e">
        <f aca="false">E1201*$F$1</f>
        <v>#VALUE!</v>
      </c>
    </row>
    <row r="1202" customFormat="false" ht="14.25" hidden="false" customHeight="true" outlineLevel="0" collapsed="false">
      <c r="A1202" s="118" t="s">
        <v>1005</v>
      </c>
      <c r="B1202" s="118" t="str">
        <f aca="false">CONCATENATE(C1202&amp;D1202)</f>
        <v>1"817</v>
      </c>
      <c r="C1202" s="118" t="s">
        <v>967</v>
      </c>
      <c r="D1202" s="153" t="n">
        <f aca="false">D1201+1</f>
        <v>817</v>
      </c>
      <c r="E1202" s="118" t="e">
        <f aca="false">CEILING(D1202/20;1)</f>
        <v>#VALUE!</v>
      </c>
      <c r="F1202" s="118" t="e">
        <f aca="false">E1202*$F$1</f>
        <v>#VALUE!</v>
      </c>
    </row>
    <row r="1203" customFormat="false" ht="14.25" hidden="false" customHeight="true" outlineLevel="0" collapsed="false">
      <c r="A1203" s="118" t="s">
        <v>1005</v>
      </c>
      <c r="B1203" s="118" t="str">
        <f aca="false">CONCATENATE(C1203&amp;D1203)</f>
        <v>1"818</v>
      </c>
      <c r="C1203" s="118" t="s">
        <v>967</v>
      </c>
      <c r="D1203" s="153" t="n">
        <f aca="false">D1202+1</f>
        <v>818</v>
      </c>
      <c r="E1203" s="118" t="e">
        <f aca="false">CEILING(D1203/20;1)</f>
        <v>#VALUE!</v>
      </c>
      <c r="F1203" s="118" t="e">
        <f aca="false">E1203*$F$1</f>
        <v>#VALUE!</v>
      </c>
    </row>
    <row r="1204" customFormat="false" ht="14.25" hidden="false" customHeight="true" outlineLevel="0" collapsed="false">
      <c r="A1204" s="118" t="s">
        <v>1005</v>
      </c>
      <c r="B1204" s="118" t="str">
        <f aca="false">CONCATENATE(C1204&amp;D1204)</f>
        <v>1"819</v>
      </c>
      <c r="C1204" s="118" t="s">
        <v>967</v>
      </c>
      <c r="D1204" s="153" t="n">
        <f aca="false">D1203+1</f>
        <v>819</v>
      </c>
      <c r="E1204" s="118" t="e">
        <f aca="false">CEILING(D1204/20;1)</f>
        <v>#VALUE!</v>
      </c>
      <c r="F1204" s="118" t="e">
        <f aca="false">E1204*$F$1</f>
        <v>#VALUE!</v>
      </c>
    </row>
    <row r="1205" customFormat="false" ht="14.25" hidden="false" customHeight="true" outlineLevel="0" collapsed="false">
      <c r="A1205" s="118" t="s">
        <v>1005</v>
      </c>
      <c r="B1205" s="118" t="str">
        <f aca="false">CONCATENATE(C1205&amp;D1205)</f>
        <v>1"820</v>
      </c>
      <c r="C1205" s="118" t="s">
        <v>967</v>
      </c>
      <c r="D1205" s="153" t="n">
        <f aca="false">D1204+1</f>
        <v>820</v>
      </c>
      <c r="E1205" s="118" t="e">
        <f aca="false">CEILING(D1205/20;1)</f>
        <v>#VALUE!</v>
      </c>
      <c r="F1205" s="118" t="e">
        <f aca="false">E1205*$F$1</f>
        <v>#VALUE!</v>
      </c>
    </row>
    <row r="1206" customFormat="false" ht="14.25" hidden="false" customHeight="true" outlineLevel="0" collapsed="false">
      <c r="A1206" s="118" t="s">
        <v>1005</v>
      </c>
      <c r="B1206" s="118" t="str">
        <f aca="false">CONCATENATE(C1206&amp;D1206)</f>
        <v>1"821</v>
      </c>
      <c r="C1206" s="118" t="s">
        <v>967</v>
      </c>
      <c r="D1206" s="153" t="n">
        <f aca="false">D1205+1</f>
        <v>821</v>
      </c>
      <c r="E1206" s="118" t="e">
        <f aca="false">CEILING(D1206/20;1)</f>
        <v>#VALUE!</v>
      </c>
      <c r="F1206" s="118" t="e">
        <f aca="false">E1206*$F$1</f>
        <v>#VALUE!</v>
      </c>
    </row>
    <row r="1207" customFormat="false" ht="14.25" hidden="false" customHeight="true" outlineLevel="0" collapsed="false">
      <c r="A1207" s="118" t="s">
        <v>1005</v>
      </c>
      <c r="B1207" s="118" t="str">
        <f aca="false">CONCATENATE(C1207&amp;D1207)</f>
        <v>1"822</v>
      </c>
      <c r="C1207" s="118" t="s">
        <v>967</v>
      </c>
      <c r="D1207" s="153" t="n">
        <f aca="false">D1206+1</f>
        <v>822</v>
      </c>
      <c r="E1207" s="118" t="e">
        <f aca="false">CEILING(D1207/20;1)</f>
        <v>#VALUE!</v>
      </c>
      <c r="F1207" s="118" t="e">
        <f aca="false">E1207*$F$1</f>
        <v>#VALUE!</v>
      </c>
    </row>
    <row r="1208" customFormat="false" ht="14.25" hidden="false" customHeight="true" outlineLevel="0" collapsed="false">
      <c r="A1208" s="118" t="s">
        <v>1005</v>
      </c>
      <c r="B1208" s="118" t="str">
        <f aca="false">CONCATENATE(C1208&amp;D1208)</f>
        <v>1"823</v>
      </c>
      <c r="C1208" s="118" t="s">
        <v>967</v>
      </c>
      <c r="D1208" s="153" t="n">
        <f aca="false">D1207+1</f>
        <v>823</v>
      </c>
      <c r="E1208" s="118" t="e">
        <f aca="false">CEILING(D1208/20;1)</f>
        <v>#VALUE!</v>
      </c>
      <c r="F1208" s="118" t="e">
        <f aca="false">E1208*$F$1</f>
        <v>#VALUE!</v>
      </c>
    </row>
    <row r="1209" customFormat="false" ht="14.25" hidden="false" customHeight="true" outlineLevel="0" collapsed="false">
      <c r="A1209" s="118" t="s">
        <v>1005</v>
      </c>
      <c r="B1209" s="118" t="str">
        <f aca="false">CONCATENATE(C1209&amp;D1209)</f>
        <v>1"824</v>
      </c>
      <c r="C1209" s="118" t="s">
        <v>967</v>
      </c>
      <c r="D1209" s="153" t="n">
        <f aca="false">D1208+1</f>
        <v>824</v>
      </c>
      <c r="E1209" s="118" t="e">
        <f aca="false">CEILING(D1209/20;1)</f>
        <v>#VALUE!</v>
      </c>
      <c r="F1209" s="118" t="e">
        <f aca="false">E1209*$F$1</f>
        <v>#VALUE!</v>
      </c>
    </row>
    <row r="1210" customFormat="false" ht="14.25" hidden="false" customHeight="true" outlineLevel="0" collapsed="false">
      <c r="A1210" s="118" t="s">
        <v>1005</v>
      </c>
      <c r="B1210" s="118" t="str">
        <f aca="false">CONCATENATE(C1210&amp;D1210)</f>
        <v>1"825</v>
      </c>
      <c r="C1210" s="118" t="s">
        <v>967</v>
      </c>
      <c r="D1210" s="153" t="n">
        <f aca="false">D1209+1</f>
        <v>825</v>
      </c>
      <c r="E1210" s="118" t="e">
        <f aca="false">CEILING(D1210/20;1)</f>
        <v>#VALUE!</v>
      </c>
      <c r="F1210" s="118" t="e">
        <f aca="false">E1210*$F$1</f>
        <v>#VALUE!</v>
      </c>
    </row>
    <row r="1211" customFormat="false" ht="14.25" hidden="false" customHeight="true" outlineLevel="0" collapsed="false">
      <c r="A1211" s="118" t="s">
        <v>1005</v>
      </c>
      <c r="B1211" s="118" t="str">
        <f aca="false">CONCATENATE(C1211&amp;D1211)</f>
        <v>1"826</v>
      </c>
      <c r="C1211" s="118" t="s">
        <v>967</v>
      </c>
      <c r="D1211" s="153" t="n">
        <f aca="false">D1210+1</f>
        <v>826</v>
      </c>
      <c r="E1211" s="118" t="e">
        <f aca="false">CEILING(D1211/20;1)</f>
        <v>#VALUE!</v>
      </c>
      <c r="F1211" s="118" t="e">
        <f aca="false">E1211*$F$1</f>
        <v>#VALUE!</v>
      </c>
    </row>
    <row r="1212" customFormat="false" ht="14.25" hidden="false" customHeight="true" outlineLevel="0" collapsed="false">
      <c r="A1212" s="118" t="s">
        <v>1005</v>
      </c>
      <c r="B1212" s="118" t="str">
        <f aca="false">CONCATENATE(C1212&amp;D1212)</f>
        <v>1"827</v>
      </c>
      <c r="C1212" s="118" t="s">
        <v>967</v>
      </c>
      <c r="D1212" s="153" t="n">
        <f aca="false">D1211+1</f>
        <v>827</v>
      </c>
      <c r="E1212" s="118" t="e">
        <f aca="false">CEILING(D1212/20;1)</f>
        <v>#VALUE!</v>
      </c>
      <c r="F1212" s="118" t="e">
        <f aca="false">E1212*$F$1</f>
        <v>#VALUE!</v>
      </c>
    </row>
    <row r="1213" customFormat="false" ht="14.25" hidden="false" customHeight="true" outlineLevel="0" collapsed="false">
      <c r="A1213" s="118" t="s">
        <v>1005</v>
      </c>
      <c r="B1213" s="118" t="str">
        <f aca="false">CONCATENATE(C1213&amp;D1213)</f>
        <v>1"828</v>
      </c>
      <c r="C1213" s="118" t="s">
        <v>967</v>
      </c>
      <c r="D1213" s="153" t="n">
        <f aca="false">D1212+1</f>
        <v>828</v>
      </c>
      <c r="E1213" s="118" t="e">
        <f aca="false">CEILING(D1213/20;1)</f>
        <v>#VALUE!</v>
      </c>
      <c r="F1213" s="118" t="e">
        <f aca="false">E1213*$F$1</f>
        <v>#VALUE!</v>
      </c>
    </row>
    <row r="1214" customFormat="false" ht="14.25" hidden="false" customHeight="true" outlineLevel="0" collapsed="false">
      <c r="A1214" s="118" t="s">
        <v>1005</v>
      </c>
      <c r="B1214" s="118" t="str">
        <f aca="false">CONCATENATE(C1214&amp;D1214)</f>
        <v>1"829</v>
      </c>
      <c r="C1214" s="118" t="s">
        <v>967</v>
      </c>
      <c r="D1214" s="153" t="n">
        <f aca="false">D1213+1</f>
        <v>829</v>
      </c>
      <c r="E1214" s="118" t="e">
        <f aca="false">CEILING(D1214/20;1)</f>
        <v>#VALUE!</v>
      </c>
      <c r="F1214" s="118" t="e">
        <f aca="false">E1214*$F$1</f>
        <v>#VALUE!</v>
      </c>
    </row>
    <row r="1215" customFormat="false" ht="14.25" hidden="false" customHeight="true" outlineLevel="0" collapsed="false">
      <c r="A1215" s="118" t="s">
        <v>1005</v>
      </c>
      <c r="B1215" s="118" t="str">
        <f aca="false">CONCATENATE(C1215&amp;D1215)</f>
        <v>1"830</v>
      </c>
      <c r="C1215" s="118" t="s">
        <v>967</v>
      </c>
      <c r="D1215" s="153" t="n">
        <f aca="false">D1214+1</f>
        <v>830</v>
      </c>
      <c r="E1215" s="118" t="e">
        <f aca="false">CEILING(D1215/20;1)</f>
        <v>#VALUE!</v>
      </c>
      <c r="F1215" s="118" t="e">
        <f aca="false">E1215*$F$1</f>
        <v>#VALUE!</v>
      </c>
    </row>
    <row r="1216" customFormat="false" ht="14.25" hidden="false" customHeight="true" outlineLevel="0" collapsed="false">
      <c r="A1216" s="118" t="s">
        <v>1005</v>
      </c>
      <c r="B1216" s="118" t="str">
        <f aca="false">CONCATENATE(C1216&amp;D1216)</f>
        <v>1"831</v>
      </c>
      <c r="C1216" s="118" t="s">
        <v>967</v>
      </c>
      <c r="D1216" s="153" t="n">
        <f aca="false">D1215+1</f>
        <v>831</v>
      </c>
      <c r="E1216" s="118" t="e">
        <f aca="false">CEILING(D1216/20;1)</f>
        <v>#VALUE!</v>
      </c>
      <c r="F1216" s="118" t="e">
        <f aca="false">E1216*$F$1</f>
        <v>#VALUE!</v>
      </c>
    </row>
    <row r="1217" customFormat="false" ht="14.25" hidden="false" customHeight="true" outlineLevel="0" collapsed="false">
      <c r="A1217" s="118" t="s">
        <v>1005</v>
      </c>
      <c r="B1217" s="118" t="str">
        <f aca="false">CONCATENATE(C1217&amp;D1217)</f>
        <v>1"832</v>
      </c>
      <c r="C1217" s="118" t="s">
        <v>967</v>
      </c>
      <c r="D1217" s="153" t="n">
        <f aca="false">D1216+1</f>
        <v>832</v>
      </c>
      <c r="E1217" s="118" t="e">
        <f aca="false">CEILING(D1217/20;1)</f>
        <v>#VALUE!</v>
      </c>
      <c r="F1217" s="118" t="e">
        <f aca="false">E1217*$F$1</f>
        <v>#VALUE!</v>
      </c>
    </row>
    <row r="1218" customFormat="false" ht="14.25" hidden="false" customHeight="true" outlineLevel="0" collapsed="false">
      <c r="A1218" s="118" t="s">
        <v>1005</v>
      </c>
      <c r="B1218" s="118" t="str">
        <f aca="false">CONCATENATE(C1218&amp;D1218)</f>
        <v>1"833</v>
      </c>
      <c r="C1218" s="118" t="s">
        <v>967</v>
      </c>
      <c r="D1218" s="153" t="n">
        <f aca="false">D1217+1</f>
        <v>833</v>
      </c>
      <c r="E1218" s="118" t="e">
        <f aca="false">CEILING(D1218/20;1)</f>
        <v>#VALUE!</v>
      </c>
      <c r="F1218" s="118" t="e">
        <f aca="false">E1218*$F$1</f>
        <v>#VALUE!</v>
      </c>
    </row>
    <row r="1219" customFormat="false" ht="14.25" hidden="false" customHeight="true" outlineLevel="0" collapsed="false">
      <c r="A1219" s="118" t="s">
        <v>1005</v>
      </c>
      <c r="B1219" s="118" t="str">
        <f aca="false">CONCATENATE(C1219&amp;D1219)</f>
        <v>1"834</v>
      </c>
      <c r="C1219" s="118" t="s">
        <v>967</v>
      </c>
      <c r="D1219" s="153" t="n">
        <f aca="false">D1218+1</f>
        <v>834</v>
      </c>
      <c r="E1219" s="118" t="e">
        <f aca="false">CEILING(D1219/20;1)</f>
        <v>#VALUE!</v>
      </c>
      <c r="F1219" s="118" t="e">
        <f aca="false">E1219*$F$1</f>
        <v>#VALUE!</v>
      </c>
    </row>
    <row r="1220" customFormat="false" ht="14.25" hidden="false" customHeight="true" outlineLevel="0" collapsed="false">
      <c r="A1220" s="118" t="s">
        <v>1005</v>
      </c>
      <c r="B1220" s="118" t="str">
        <f aca="false">CONCATENATE(C1220&amp;D1220)</f>
        <v>1"835</v>
      </c>
      <c r="C1220" s="118" t="s">
        <v>967</v>
      </c>
      <c r="D1220" s="153" t="n">
        <f aca="false">D1219+1</f>
        <v>835</v>
      </c>
      <c r="E1220" s="118" t="e">
        <f aca="false">CEILING(D1220/20;1)</f>
        <v>#VALUE!</v>
      </c>
      <c r="F1220" s="118" t="e">
        <f aca="false">E1220*$F$1</f>
        <v>#VALUE!</v>
      </c>
    </row>
    <row r="1221" customFormat="false" ht="14.25" hidden="false" customHeight="true" outlineLevel="0" collapsed="false">
      <c r="A1221" s="118" t="s">
        <v>1005</v>
      </c>
      <c r="B1221" s="118" t="str">
        <f aca="false">CONCATENATE(C1221&amp;D1221)</f>
        <v>1"836</v>
      </c>
      <c r="C1221" s="118" t="s">
        <v>967</v>
      </c>
      <c r="D1221" s="153" t="n">
        <f aca="false">D1220+1</f>
        <v>836</v>
      </c>
      <c r="E1221" s="118" t="e">
        <f aca="false">CEILING(D1221/20;1)</f>
        <v>#VALUE!</v>
      </c>
      <c r="F1221" s="118" t="e">
        <f aca="false">E1221*$F$1</f>
        <v>#VALUE!</v>
      </c>
    </row>
    <row r="1222" customFormat="false" ht="14.25" hidden="false" customHeight="true" outlineLevel="0" collapsed="false">
      <c r="A1222" s="118" t="s">
        <v>1005</v>
      </c>
      <c r="B1222" s="118" t="str">
        <f aca="false">CONCATENATE(C1222&amp;D1222)</f>
        <v>1"837</v>
      </c>
      <c r="C1222" s="118" t="s">
        <v>967</v>
      </c>
      <c r="D1222" s="153" t="n">
        <f aca="false">D1221+1</f>
        <v>837</v>
      </c>
      <c r="E1222" s="118" t="e">
        <f aca="false">CEILING(D1222/20;1)</f>
        <v>#VALUE!</v>
      </c>
      <c r="F1222" s="118" t="e">
        <f aca="false">E1222*$F$1</f>
        <v>#VALUE!</v>
      </c>
    </row>
    <row r="1223" customFormat="false" ht="14.25" hidden="false" customHeight="true" outlineLevel="0" collapsed="false">
      <c r="A1223" s="118" t="s">
        <v>1005</v>
      </c>
      <c r="B1223" s="118" t="str">
        <f aca="false">CONCATENATE(C1223&amp;D1223)</f>
        <v>1"838</v>
      </c>
      <c r="C1223" s="118" t="s">
        <v>967</v>
      </c>
      <c r="D1223" s="153" t="n">
        <f aca="false">D1222+1</f>
        <v>838</v>
      </c>
      <c r="E1223" s="118" t="e">
        <f aca="false">CEILING(D1223/20;1)</f>
        <v>#VALUE!</v>
      </c>
      <c r="F1223" s="118" t="e">
        <f aca="false">E1223*$F$1</f>
        <v>#VALUE!</v>
      </c>
    </row>
    <row r="1224" customFormat="false" ht="14.25" hidden="false" customHeight="true" outlineLevel="0" collapsed="false">
      <c r="A1224" s="118" t="s">
        <v>1005</v>
      </c>
      <c r="B1224" s="118" t="str">
        <f aca="false">CONCATENATE(C1224&amp;D1224)</f>
        <v>1"839</v>
      </c>
      <c r="C1224" s="118" t="s">
        <v>967</v>
      </c>
      <c r="D1224" s="153" t="n">
        <f aca="false">D1223+1</f>
        <v>839</v>
      </c>
      <c r="E1224" s="118" t="e">
        <f aca="false">CEILING(D1224/20;1)</f>
        <v>#VALUE!</v>
      </c>
      <c r="F1224" s="118" t="e">
        <f aca="false">E1224*$F$1</f>
        <v>#VALUE!</v>
      </c>
    </row>
    <row r="1225" customFormat="false" ht="14.25" hidden="false" customHeight="true" outlineLevel="0" collapsed="false">
      <c r="A1225" s="118" t="s">
        <v>1005</v>
      </c>
      <c r="B1225" s="118" t="str">
        <f aca="false">CONCATENATE(C1225&amp;D1225)</f>
        <v>1"840</v>
      </c>
      <c r="C1225" s="118" t="s">
        <v>967</v>
      </c>
      <c r="D1225" s="153" t="n">
        <f aca="false">D1224+1</f>
        <v>840</v>
      </c>
      <c r="E1225" s="118" t="e">
        <f aca="false">CEILING(D1225/20;1)</f>
        <v>#VALUE!</v>
      </c>
      <c r="F1225" s="118" t="e">
        <f aca="false">E1225*$F$1</f>
        <v>#VALUE!</v>
      </c>
    </row>
    <row r="1226" customFormat="false" ht="14.25" hidden="false" customHeight="true" outlineLevel="0" collapsed="false">
      <c r="A1226" s="118" t="s">
        <v>1005</v>
      </c>
      <c r="B1226" s="118" t="str">
        <f aca="false">CONCATENATE(C1226&amp;D1226)</f>
        <v>1"841</v>
      </c>
      <c r="C1226" s="118" t="s">
        <v>967</v>
      </c>
      <c r="D1226" s="153" t="n">
        <f aca="false">D1225+1</f>
        <v>841</v>
      </c>
      <c r="E1226" s="118" t="e">
        <f aca="false">CEILING(D1226/20;1)</f>
        <v>#VALUE!</v>
      </c>
      <c r="F1226" s="118" t="e">
        <f aca="false">E1226*$F$1</f>
        <v>#VALUE!</v>
      </c>
    </row>
    <row r="1227" customFormat="false" ht="14.25" hidden="false" customHeight="true" outlineLevel="0" collapsed="false">
      <c r="A1227" s="118" t="s">
        <v>1005</v>
      </c>
      <c r="B1227" s="118" t="str">
        <f aca="false">CONCATENATE(C1227&amp;D1227)</f>
        <v>1"842</v>
      </c>
      <c r="C1227" s="118" t="s">
        <v>967</v>
      </c>
      <c r="D1227" s="153" t="n">
        <f aca="false">D1226+1</f>
        <v>842</v>
      </c>
      <c r="E1227" s="118" t="e">
        <f aca="false">CEILING(D1227/20;1)</f>
        <v>#VALUE!</v>
      </c>
      <c r="F1227" s="118" t="e">
        <f aca="false">E1227*$F$1</f>
        <v>#VALUE!</v>
      </c>
    </row>
    <row r="1228" customFormat="false" ht="14.25" hidden="false" customHeight="true" outlineLevel="0" collapsed="false">
      <c r="A1228" s="118" t="s">
        <v>1005</v>
      </c>
      <c r="B1228" s="118" t="str">
        <f aca="false">CONCATENATE(C1228&amp;D1228)</f>
        <v>1"843</v>
      </c>
      <c r="C1228" s="118" t="s">
        <v>967</v>
      </c>
      <c r="D1228" s="153" t="n">
        <f aca="false">D1227+1</f>
        <v>843</v>
      </c>
      <c r="E1228" s="118" t="e">
        <f aca="false">CEILING(D1228/20;1)</f>
        <v>#VALUE!</v>
      </c>
      <c r="F1228" s="118" t="e">
        <f aca="false">E1228*$F$1</f>
        <v>#VALUE!</v>
      </c>
    </row>
    <row r="1229" customFormat="false" ht="14.25" hidden="false" customHeight="true" outlineLevel="0" collapsed="false">
      <c r="A1229" s="118" t="s">
        <v>1005</v>
      </c>
      <c r="B1229" s="118" t="str">
        <f aca="false">CONCATENATE(C1229&amp;D1229)</f>
        <v>1"844</v>
      </c>
      <c r="C1229" s="118" t="s">
        <v>967</v>
      </c>
      <c r="D1229" s="153" t="n">
        <f aca="false">D1228+1</f>
        <v>844</v>
      </c>
      <c r="E1229" s="118" t="e">
        <f aca="false">CEILING(D1229/20;1)</f>
        <v>#VALUE!</v>
      </c>
      <c r="F1229" s="118" t="e">
        <f aca="false">E1229*$F$1</f>
        <v>#VALUE!</v>
      </c>
    </row>
    <row r="1230" customFormat="false" ht="14.25" hidden="false" customHeight="true" outlineLevel="0" collapsed="false">
      <c r="A1230" s="118" t="s">
        <v>1005</v>
      </c>
      <c r="B1230" s="118" t="str">
        <f aca="false">CONCATENATE(C1230&amp;D1230)</f>
        <v>1"845</v>
      </c>
      <c r="C1230" s="118" t="s">
        <v>967</v>
      </c>
      <c r="D1230" s="153" t="n">
        <f aca="false">D1229+1</f>
        <v>845</v>
      </c>
      <c r="E1230" s="118" t="e">
        <f aca="false">CEILING(D1230/20;1)</f>
        <v>#VALUE!</v>
      </c>
      <c r="F1230" s="118" t="e">
        <f aca="false">E1230*$F$1</f>
        <v>#VALUE!</v>
      </c>
    </row>
    <row r="1231" customFormat="false" ht="14.25" hidden="false" customHeight="true" outlineLevel="0" collapsed="false">
      <c r="A1231" s="118" t="s">
        <v>1005</v>
      </c>
      <c r="B1231" s="118" t="str">
        <f aca="false">CONCATENATE(C1231&amp;D1231)</f>
        <v>1"846</v>
      </c>
      <c r="C1231" s="118" t="s">
        <v>967</v>
      </c>
      <c r="D1231" s="153" t="n">
        <f aca="false">D1230+1</f>
        <v>846</v>
      </c>
      <c r="E1231" s="118" t="e">
        <f aca="false">CEILING(D1231/20;1)</f>
        <v>#VALUE!</v>
      </c>
      <c r="F1231" s="118" t="e">
        <f aca="false">E1231*$F$1</f>
        <v>#VALUE!</v>
      </c>
    </row>
    <row r="1232" customFormat="false" ht="14.25" hidden="false" customHeight="true" outlineLevel="0" collapsed="false">
      <c r="A1232" s="118" t="s">
        <v>1005</v>
      </c>
      <c r="B1232" s="118" t="str">
        <f aca="false">CONCATENATE(C1232&amp;D1232)</f>
        <v>1"847</v>
      </c>
      <c r="C1232" s="118" t="s">
        <v>967</v>
      </c>
      <c r="D1232" s="153" t="n">
        <f aca="false">D1231+1</f>
        <v>847</v>
      </c>
      <c r="E1232" s="118" t="e">
        <f aca="false">CEILING(D1232/20;1)</f>
        <v>#VALUE!</v>
      </c>
      <c r="F1232" s="118" t="e">
        <f aca="false">E1232*$F$1</f>
        <v>#VALUE!</v>
      </c>
    </row>
    <row r="1233" customFormat="false" ht="14.25" hidden="false" customHeight="true" outlineLevel="0" collapsed="false">
      <c r="A1233" s="118" t="s">
        <v>1005</v>
      </c>
      <c r="B1233" s="118" t="str">
        <f aca="false">CONCATENATE(C1233&amp;D1233)</f>
        <v>1"848</v>
      </c>
      <c r="C1233" s="118" t="s">
        <v>967</v>
      </c>
      <c r="D1233" s="153" t="n">
        <f aca="false">D1232+1</f>
        <v>848</v>
      </c>
      <c r="E1233" s="118" t="e">
        <f aca="false">CEILING(D1233/20;1)</f>
        <v>#VALUE!</v>
      </c>
      <c r="F1233" s="118" t="e">
        <f aca="false">E1233*$F$1</f>
        <v>#VALUE!</v>
      </c>
    </row>
    <row r="1234" customFormat="false" ht="14.25" hidden="false" customHeight="true" outlineLevel="0" collapsed="false">
      <c r="A1234" s="118" t="s">
        <v>1005</v>
      </c>
      <c r="B1234" s="118" t="str">
        <f aca="false">CONCATENATE(C1234&amp;D1234)</f>
        <v>1"849</v>
      </c>
      <c r="C1234" s="118" t="s">
        <v>967</v>
      </c>
      <c r="D1234" s="153" t="n">
        <f aca="false">D1233+1</f>
        <v>849</v>
      </c>
      <c r="E1234" s="118" t="e">
        <f aca="false">CEILING(D1234/20;1)</f>
        <v>#VALUE!</v>
      </c>
      <c r="F1234" s="118" t="e">
        <f aca="false">E1234*$F$1</f>
        <v>#VALUE!</v>
      </c>
    </row>
    <row r="1235" customFormat="false" ht="14.25" hidden="false" customHeight="true" outlineLevel="0" collapsed="false">
      <c r="A1235" s="118" t="s">
        <v>1005</v>
      </c>
      <c r="B1235" s="118" t="str">
        <f aca="false">CONCATENATE(C1235&amp;D1235)</f>
        <v>1"850</v>
      </c>
      <c r="C1235" s="118" t="s">
        <v>967</v>
      </c>
      <c r="D1235" s="153" t="n">
        <f aca="false">D1234+1</f>
        <v>850</v>
      </c>
      <c r="E1235" s="118" t="e">
        <f aca="false">CEILING(D1235/20;1)</f>
        <v>#VALUE!</v>
      </c>
      <c r="F1235" s="118" t="e">
        <f aca="false">E1235*$F$1</f>
        <v>#VALUE!</v>
      </c>
    </row>
    <row r="1236" customFormat="false" ht="14.25" hidden="false" customHeight="true" outlineLevel="0" collapsed="false">
      <c r="A1236" s="118" t="s">
        <v>1005</v>
      </c>
      <c r="B1236" s="118" t="str">
        <f aca="false">CONCATENATE(C1236&amp;D1236)</f>
        <v>1"851</v>
      </c>
      <c r="C1236" s="118" t="s">
        <v>967</v>
      </c>
      <c r="D1236" s="153" t="n">
        <f aca="false">D1235+1</f>
        <v>851</v>
      </c>
      <c r="E1236" s="118" t="e">
        <f aca="false">CEILING(D1236/20;1)</f>
        <v>#VALUE!</v>
      </c>
      <c r="F1236" s="118" t="e">
        <f aca="false">E1236*$F$1</f>
        <v>#VALUE!</v>
      </c>
    </row>
    <row r="1237" customFormat="false" ht="14.25" hidden="false" customHeight="true" outlineLevel="0" collapsed="false">
      <c r="A1237" s="118" t="s">
        <v>1005</v>
      </c>
      <c r="B1237" s="118" t="str">
        <f aca="false">CONCATENATE(C1237&amp;D1237)</f>
        <v>1"852</v>
      </c>
      <c r="C1237" s="118" t="s">
        <v>967</v>
      </c>
      <c r="D1237" s="153" t="n">
        <f aca="false">D1236+1</f>
        <v>852</v>
      </c>
      <c r="E1237" s="118" t="e">
        <f aca="false">CEILING(D1237/20;1)</f>
        <v>#VALUE!</v>
      </c>
      <c r="F1237" s="118" t="e">
        <f aca="false">E1237*$F$1</f>
        <v>#VALUE!</v>
      </c>
    </row>
    <row r="1238" customFormat="false" ht="14.25" hidden="false" customHeight="true" outlineLevel="0" collapsed="false">
      <c r="A1238" s="118" t="s">
        <v>1005</v>
      </c>
      <c r="B1238" s="118" t="str">
        <f aca="false">CONCATENATE(C1238&amp;D1238)</f>
        <v>1"853</v>
      </c>
      <c r="C1238" s="118" t="s">
        <v>967</v>
      </c>
      <c r="D1238" s="153" t="n">
        <f aca="false">D1237+1</f>
        <v>853</v>
      </c>
      <c r="E1238" s="118" t="e">
        <f aca="false">CEILING(D1238/20;1)</f>
        <v>#VALUE!</v>
      </c>
      <c r="F1238" s="118" t="e">
        <f aca="false">E1238*$F$1</f>
        <v>#VALUE!</v>
      </c>
    </row>
    <row r="1239" customFormat="false" ht="14.25" hidden="false" customHeight="true" outlineLevel="0" collapsed="false">
      <c r="A1239" s="118" t="s">
        <v>1005</v>
      </c>
      <c r="B1239" s="118" t="str">
        <f aca="false">CONCATENATE(C1239&amp;D1239)</f>
        <v>1"854</v>
      </c>
      <c r="C1239" s="118" t="s">
        <v>967</v>
      </c>
      <c r="D1239" s="153" t="n">
        <f aca="false">D1238+1</f>
        <v>854</v>
      </c>
      <c r="E1239" s="118" t="e">
        <f aca="false">CEILING(D1239/20;1)</f>
        <v>#VALUE!</v>
      </c>
      <c r="F1239" s="118" t="e">
        <f aca="false">E1239*$F$1</f>
        <v>#VALUE!</v>
      </c>
    </row>
    <row r="1240" customFormat="false" ht="14.25" hidden="false" customHeight="true" outlineLevel="0" collapsed="false">
      <c r="A1240" s="118" t="s">
        <v>1005</v>
      </c>
      <c r="B1240" s="118" t="str">
        <f aca="false">CONCATENATE(C1240&amp;D1240)</f>
        <v>1"855</v>
      </c>
      <c r="C1240" s="118" t="s">
        <v>967</v>
      </c>
      <c r="D1240" s="153" t="n">
        <f aca="false">D1239+1</f>
        <v>855</v>
      </c>
      <c r="E1240" s="118" t="e">
        <f aca="false">CEILING(D1240/20;1)</f>
        <v>#VALUE!</v>
      </c>
      <c r="F1240" s="118" t="e">
        <f aca="false">E1240*$F$1</f>
        <v>#VALUE!</v>
      </c>
    </row>
    <row r="1241" customFormat="false" ht="14.25" hidden="false" customHeight="true" outlineLevel="0" collapsed="false">
      <c r="A1241" s="118" t="s">
        <v>1005</v>
      </c>
      <c r="B1241" s="118" t="str">
        <f aca="false">CONCATENATE(C1241&amp;D1241)</f>
        <v>1"856</v>
      </c>
      <c r="C1241" s="118" t="s">
        <v>967</v>
      </c>
      <c r="D1241" s="153" t="n">
        <f aca="false">D1240+1</f>
        <v>856</v>
      </c>
      <c r="E1241" s="118" t="e">
        <f aca="false">CEILING(D1241/20;1)</f>
        <v>#VALUE!</v>
      </c>
      <c r="F1241" s="118" t="e">
        <f aca="false">E1241*$F$1</f>
        <v>#VALUE!</v>
      </c>
    </row>
    <row r="1242" customFormat="false" ht="14.25" hidden="false" customHeight="true" outlineLevel="0" collapsed="false">
      <c r="A1242" s="118" t="s">
        <v>1005</v>
      </c>
      <c r="B1242" s="118" t="str">
        <f aca="false">CONCATENATE(C1242&amp;D1242)</f>
        <v>1"857</v>
      </c>
      <c r="C1242" s="118" t="s">
        <v>967</v>
      </c>
      <c r="D1242" s="153" t="n">
        <f aca="false">D1241+1</f>
        <v>857</v>
      </c>
      <c r="E1242" s="118" t="e">
        <f aca="false">CEILING(D1242/20;1)</f>
        <v>#VALUE!</v>
      </c>
      <c r="F1242" s="118" t="e">
        <f aca="false">E1242*$F$1</f>
        <v>#VALUE!</v>
      </c>
    </row>
    <row r="1243" customFormat="false" ht="14.25" hidden="false" customHeight="true" outlineLevel="0" collapsed="false">
      <c r="A1243" s="118" t="s">
        <v>1005</v>
      </c>
      <c r="B1243" s="118" t="str">
        <f aca="false">CONCATENATE(C1243&amp;D1243)</f>
        <v>1"858</v>
      </c>
      <c r="C1243" s="118" t="s">
        <v>967</v>
      </c>
      <c r="D1243" s="153" t="n">
        <f aca="false">D1242+1</f>
        <v>858</v>
      </c>
      <c r="E1243" s="118" t="e">
        <f aca="false">CEILING(D1243/20;1)</f>
        <v>#VALUE!</v>
      </c>
      <c r="F1243" s="118" t="e">
        <f aca="false">E1243*$F$1</f>
        <v>#VALUE!</v>
      </c>
    </row>
    <row r="1244" customFormat="false" ht="14.25" hidden="false" customHeight="true" outlineLevel="0" collapsed="false">
      <c r="A1244" s="118" t="s">
        <v>1005</v>
      </c>
      <c r="B1244" s="118" t="str">
        <f aca="false">CONCATENATE(C1244&amp;D1244)</f>
        <v>1"859</v>
      </c>
      <c r="C1244" s="118" t="s">
        <v>967</v>
      </c>
      <c r="D1244" s="153" t="n">
        <f aca="false">D1243+1</f>
        <v>859</v>
      </c>
      <c r="E1244" s="118" t="e">
        <f aca="false">CEILING(D1244/20;1)</f>
        <v>#VALUE!</v>
      </c>
      <c r="F1244" s="118" t="e">
        <f aca="false">E1244*$F$1</f>
        <v>#VALUE!</v>
      </c>
    </row>
    <row r="1245" customFormat="false" ht="14.25" hidden="false" customHeight="true" outlineLevel="0" collapsed="false">
      <c r="A1245" s="118" t="s">
        <v>1005</v>
      </c>
      <c r="B1245" s="118" t="str">
        <f aca="false">CONCATENATE(C1245&amp;D1245)</f>
        <v>1"860</v>
      </c>
      <c r="C1245" s="118" t="s">
        <v>967</v>
      </c>
      <c r="D1245" s="153" t="n">
        <f aca="false">D1244+1</f>
        <v>860</v>
      </c>
      <c r="E1245" s="118" t="e">
        <f aca="false">CEILING(D1245/20;1)</f>
        <v>#VALUE!</v>
      </c>
      <c r="F1245" s="118" t="e">
        <f aca="false">E1245*$F$1</f>
        <v>#VALUE!</v>
      </c>
    </row>
    <row r="1246" customFormat="false" ht="14.25" hidden="false" customHeight="true" outlineLevel="0" collapsed="false">
      <c r="A1246" s="118" t="s">
        <v>1005</v>
      </c>
      <c r="B1246" s="118" t="str">
        <f aca="false">CONCATENATE(C1246&amp;D1246)</f>
        <v>1"861</v>
      </c>
      <c r="C1246" s="118" t="s">
        <v>967</v>
      </c>
      <c r="D1246" s="153" t="n">
        <f aca="false">D1245+1</f>
        <v>861</v>
      </c>
      <c r="E1246" s="118" t="e">
        <f aca="false">CEILING(D1246/20;1)</f>
        <v>#VALUE!</v>
      </c>
      <c r="F1246" s="118" t="e">
        <f aca="false">E1246*$F$1</f>
        <v>#VALUE!</v>
      </c>
    </row>
    <row r="1247" customFormat="false" ht="14.25" hidden="false" customHeight="true" outlineLevel="0" collapsed="false">
      <c r="A1247" s="118" t="s">
        <v>1005</v>
      </c>
      <c r="B1247" s="118" t="str">
        <f aca="false">CONCATENATE(C1247&amp;D1247)</f>
        <v>1"862</v>
      </c>
      <c r="C1247" s="118" t="s">
        <v>967</v>
      </c>
      <c r="D1247" s="153" t="n">
        <f aca="false">D1246+1</f>
        <v>862</v>
      </c>
      <c r="E1247" s="118" t="e">
        <f aca="false">CEILING(D1247/20;1)</f>
        <v>#VALUE!</v>
      </c>
      <c r="F1247" s="118" t="e">
        <f aca="false">E1247*$F$1</f>
        <v>#VALUE!</v>
      </c>
    </row>
    <row r="1248" customFormat="false" ht="14.25" hidden="false" customHeight="true" outlineLevel="0" collapsed="false">
      <c r="A1248" s="118" t="s">
        <v>1005</v>
      </c>
      <c r="B1248" s="118" t="str">
        <f aca="false">CONCATENATE(C1248&amp;D1248)</f>
        <v>1"863</v>
      </c>
      <c r="C1248" s="118" t="s">
        <v>967</v>
      </c>
      <c r="D1248" s="153" t="n">
        <f aca="false">D1247+1</f>
        <v>863</v>
      </c>
      <c r="E1248" s="118" t="e">
        <f aca="false">CEILING(D1248/20;1)</f>
        <v>#VALUE!</v>
      </c>
      <c r="F1248" s="118" t="e">
        <f aca="false">E1248*$F$1</f>
        <v>#VALUE!</v>
      </c>
    </row>
    <row r="1249" customFormat="false" ht="14.25" hidden="false" customHeight="true" outlineLevel="0" collapsed="false">
      <c r="A1249" s="118" t="s">
        <v>1005</v>
      </c>
      <c r="B1249" s="118" t="str">
        <f aca="false">CONCATENATE(C1249&amp;D1249)</f>
        <v>1"864</v>
      </c>
      <c r="C1249" s="118" t="s">
        <v>967</v>
      </c>
      <c r="D1249" s="153" t="n">
        <f aca="false">D1248+1</f>
        <v>864</v>
      </c>
      <c r="E1249" s="118" t="e">
        <f aca="false">CEILING(D1249/20;1)</f>
        <v>#VALUE!</v>
      </c>
      <c r="F1249" s="118" t="e">
        <f aca="false">E1249*$F$1</f>
        <v>#VALUE!</v>
      </c>
    </row>
    <row r="1250" customFormat="false" ht="14.25" hidden="false" customHeight="true" outlineLevel="0" collapsed="false">
      <c r="A1250" s="118" t="s">
        <v>1005</v>
      </c>
      <c r="B1250" s="118" t="str">
        <f aca="false">CONCATENATE(C1250&amp;D1250)</f>
        <v>1"865</v>
      </c>
      <c r="C1250" s="118" t="s">
        <v>967</v>
      </c>
      <c r="D1250" s="153" t="n">
        <f aca="false">D1249+1</f>
        <v>865</v>
      </c>
      <c r="E1250" s="118" t="e">
        <f aca="false">CEILING(D1250/20;1)</f>
        <v>#VALUE!</v>
      </c>
      <c r="F1250" s="118" t="e">
        <f aca="false">E1250*$F$1</f>
        <v>#VALUE!</v>
      </c>
    </row>
    <row r="1251" customFormat="false" ht="14.25" hidden="false" customHeight="true" outlineLevel="0" collapsed="false">
      <c r="A1251" s="118" t="s">
        <v>1005</v>
      </c>
      <c r="B1251" s="118" t="str">
        <f aca="false">CONCATENATE(C1251&amp;D1251)</f>
        <v>1"866</v>
      </c>
      <c r="C1251" s="118" t="s">
        <v>967</v>
      </c>
      <c r="D1251" s="153" t="n">
        <f aca="false">D1250+1</f>
        <v>866</v>
      </c>
      <c r="E1251" s="118" t="e">
        <f aca="false">CEILING(D1251/20;1)</f>
        <v>#VALUE!</v>
      </c>
      <c r="F1251" s="118" t="e">
        <f aca="false">E1251*$F$1</f>
        <v>#VALUE!</v>
      </c>
    </row>
    <row r="1252" customFormat="false" ht="14.25" hidden="false" customHeight="true" outlineLevel="0" collapsed="false">
      <c r="A1252" s="118" t="s">
        <v>1005</v>
      </c>
      <c r="B1252" s="118" t="str">
        <f aca="false">CONCATENATE(C1252&amp;D1252)</f>
        <v>1"867</v>
      </c>
      <c r="C1252" s="118" t="s">
        <v>967</v>
      </c>
      <c r="D1252" s="153" t="n">
        <f aca="false">D1251+1</f>
        <v>867</v>
      </c>
      <c r="E1252" s="118" t="e">
        <f aca="false">CEILING(D1252/20;1)</f>
        <v>#VALUE!</v>
      </c>
      <c r="F1252" s="118" t="e">
        <f aca="false">E1252*$F$1</f>
        <v>#VALUE!</v>
      </c>
    </row>
    <row r="1253" customFormat="false" ht="14.25" hidden="false" customHeight="true" outlineLevel="0" collapsed="false">
      <c r="A1253" s="118" t="s">
        <v>1005</v>
      </c>
      <c r="B1253" s="118" t="str">
        <f aca="false">CONCATENATE(C1253&amp;D1253)</f>
        <v>1"868</v>
      </c>
      <c r="C1253" s="118" t="s">
        <v>967</v>
      </c>
      <c r="D1253" s="153" t="n">
        <f aca="false">D1252+1</f>
        <v>868</v>
      </c>
      <c r="E1253" s="118" t="e">
        <f aca="false">CEILING(D1253/20;1)</f>
        <v>#VALUE!</v>
      </c>
      <c r="F1253" s="118" t="e">
        <f aca="false">E1253*$F$1</f>
        <v>#VALUE!</v>
      </c>
    </row>
    <row r="1254" customFormat="false" ht="14.25" hidden="false" customHeight="true" outlineLevel="0" collapsed="false">
      <c r="A1254" s="118" t="s">
        <v>1005</v>
      </c>
      <c r="B1254" s="118" t="str">
        <f aca="false">CONCATENATE(C1254&amp;D1254)</f>
        <v>1"869</v>
      </c>
      <c r="C1254" s="118" t="s">
        <v>967</v>
      </c>
      <c r="D1254" s="153" t="n">
        <f aca="false">D1253+1</f>
        <v>869</v>
      </c>
      <c r="E1254" s="118" t="e">
        <f aca="false">CEILING(D1254/20;1)</f>
        <v>#VALUE!</v>
      </c>
      <c r="F1254" s="118" t="e">
        <f aca="false">E1254*$F$1</f>
        <v>#VALUE!</v>
      </c>
    </row>
    <row r="1255" customFormat="false" ht="14.25" hidden="false" customHeight="true" outlineLevel="0" collapsed="false">
      <c r="A1255" s="118" t="s">
        <v>1005</v>
      </c>
      <c r="B1255" s="118" t="str">
        <f aca="false">CONCATENATE(C1255&amp;D1255)</f>
        <v>1"870</v>
      </c>
      <c r="C1255" s="118" t="s">
        <v>967</v>
      </c>
      <c r="D1255" s="153" t="n">
        <f aca="false">D1254+1</f>
        <v>870</v>
      </c>
      <c r="E1255" s="118" t="e">
        <f aca="false">CEILING(D1255/20;1)</f>
        <v>#VALUE!</v>
      </c>
      <c r="F1255" s="118" t="e">
        <f aca="false">E1255*$F$1</f>
        <v>#VALUE!</v>
      </c>
    </row>
    <row r="1256" customFormat="false" ht="14.25" hidden="false" customHeight="true" outlineLevel="0" collapsed="false">
      <c r="A1256" s="118" t="s">
        <v>1005</v>
      </c>
      <c r="B1256" s="118" t="str">
        <f aca="false">CONCATENATE(C1256&amp;D1256)</f>
        <v>1"871</v>
      </c>
      <c r="C1256" s="118" t="s">
        <v>967</v>
      </c>
      <c r="D1256" s="153" t="n">
        <f aca="false">D1255+1</f>
        <v>871</v>
      </c>
      <c r="E1256" s="118" t="e">
        <f aca="false">CEILING(D1256/20;1)</f>
        <v>#VALUE!</v>
      </c>
      <c r="F1256" s="118" t="e">
        <f aca="false">E1256*$F$1</f>
        <v>#VALUE!</v>
      </c>
    </row>
    <row r="1257" customFormat="false" ht="14.25" hidden="false" customHeight="true" outlineLevel="0" collapsed="false">
      <c r="A1257" s="118" t="s">
        <v>1005</v>
      </c>
      <c r="B1257" s="118" t="str">
        <f aca="false">CONCATENATE(C1257&amp;D1257)</f>
        <v>1"872</v>
      </c>
      <c r="C1257" s="118" t="s">
        <v>967</v>
      </c>
      <c r="D1257" s="153" t="n">
        <f aca="false">D1256+1</f>
        <v>872</v>
      </c>
      <c r="E1257" s="118" t="e">
        <f aca="false">CEILING(D1257/20;1)</f>
        <v>#VALUE!</v>
      </c>
      <c r="F1257" s="118" t="e">
        <f aca="false">E1257*$F$1</f>
        <v>#VALUE!</v>
      </c>
    </row>
    <row r="1258" customFormat="false" ht="14.25" hidden="false" customHeight="true" outlineLevel="0" collapsed="false">
      <c r="A1258" s="118" t="s">
        <v>1005</v>
      </c>
      <c r="B1258" s="118" t="str">
        <f aca="false">CONCATENATE(C1258&amp;D1258)</f>
        <v>1"873</v>
      </c>
      <c r="C1258" s="118" t="s">
        <v>967</v>
      </c>
      <c r="D1258" s="153" t="n">
        <f aca="false">D1257+1</f>
        <v>873</v>
      </c>
      <c r="E1258" s="118" t="e">
        <f aca="false">CEILING(D1258/20;1)</f>
        <v>#VALUE!</v>
      </c>
      <c r="F1258" s="118" t="e">
        <f aca="false">E1258*$F$1</f>
        <v>#VALUE!</v>
      </c>
    </row>
    <row r="1259" customFormat="false" ht="14.25" hidden="false" customHeight="true" outlineLevel="0" collapsed="false">
      <c r="A1259" s="118" t="s">
        <v>1005</v>
      </c>
      <c r="B1259" s="118" t="str">
        <f aca="false">CONCATENATE(C1259&amp;D1259)</f>
        <v>1"874</v>
      </c>
      <c r="C1259" s="118" t="s">
        <v>967</v>
      </c>
      <c r="D1259" s="153" t="n">
        <f aca="false">D1258+1</f>
        <v>874</v>
      </c>
      <c r="E1259" s="118" t="e">
        <f aca="false">CEILING(D1259/20;1)</f>
        <v>#VALUE!</v>
      </c>
      <c r="F1259" s="118" t="e">
        <f aca="false">E1259*$F$1</f>
        <v>#VALUE!</v>
      </c>
    </row>
    <row r="1260" customFormat="false" ht="14.25" hidden="false" customHeight="true" outlineLevel="0" collapsed="false">
      <c r="A1260" s="118" t="s">
        <v>1005</v>
      </c>
      <c r="B1260" s="118" t="str">
        <f aca="false">CONCATENATE(C1260&amp;D1260)</f>
        <v>1"875</v>
      </c>
      <c r="C1260" s="118" t="s">
        <v>967</v>
      </c>
      <c r="D1260" s="153" t="n">
        <f aca="false">D1259+1</f>
        <v>875</v>
      </c>
      <c r="E1260" s="118" t="e">
        <f aca="false">CEILING(D1260/20;1)</f>
        <v>#VALUE!</v>
      </c>
      <c r="F1260" s="118" t="e">
        <f aca="false">E1260*$F$1</f>
        <v>#VALUE!</v>
      </c>
    </row>
    <row r="1261" customFormat="false" ht="14.25" hidden="false" customHeight="true" outlineLevel="0" collapsed="false">
      <c r="A1261" s="118" t="s">
        <v>1005</v>
      </c>
      <c r="B1261" s="118" t="str">
        <f aca="false">CONCATENATE(C1261&amp;D1261)</f>
        <v>1"876</v>
      </c>
      <c r="C1261" s="118" t="s">
        <v>967</v>
      </c>
      <c r="D1261" s="153" t="n">
        <f aca="false">D1260+1</f>
        <v>876</v>
      </c>
      <c r="E1261" s="118" t="e">
        <f aca="false">CEILING(D1261/20;1)</f>
        <v>#VALUE!</v>
      </c>
      <c r="F1261" s="118" t="e">
        <f aca="false">E1261*$F$1</f>
        <v>#VALUE!</v>
      </c>
    </row>
    <row r="1262" customFormat="false" ht="14.25" hidden="false" customHeight="true" outlineLevel="0" collapsed="false">
      <c r="A1262" s="118" t="s">
        <v>1005</v>
      </c>
      <c r="B1262" s="118" t="str">
        <f aca="false">CONCATENATE(C1262&amp;D1262)</f>
        <v>1"877</v>
      </c>
      <c r="C1262" s="118" t="s">
        <v>967</v>
      </c>
      <c r="D1262" s="153" t="n">
        <f aca="false">D1261+1</f>
        <v>877</v>
      </c>
      <c r="E1262" s="118" t="e">
        <f aca="false">CEILING(D1262/20;1)</f>
        <v>#VALUE!</v>
      </c>
      <c r="F1262" s="118" t="e">
        <f aca="false">E1262*$F$1</f>
        <v>#VALUE!</v>
      </c>
    </row>
    <row r="1263" customFormat="false" ht="14.25" hidden="false" customHeight="true" outlineLevel="0" collapsed="false">
      <c r="A1263" s="118" t="s">
        <v>1005</v>
      </c>
      <c r="B1263" s="118" t="str">
        <f aca="false">CONCATENATE(C1263&amp;D1263)</f>
        <v>1"878</v>
      </c>
      <c r="C1263" s="118" t="s">
        <v>967</v>
      </c>
      <c r="D1263" s="153" t="n">
        <f aca="false">D1262+1</f>
        <v>878</v>
      </c>
      <c r="E1263" s="118" t="e">
        <f aca="false">CEILING(D1263/20;1)</f>
        <v>#VALUE!</v>
      </c>
      <c r="F1263" s="118" t="e">
        <f aca="false">E1263*$F$1</f>
        <v>#VALUE!</v>
      </c>
    </row>
    <row r="1264" customFormat="false" ht="14.25" hidden="false" customHeight="true" outlineLevel="0" collapsed="false">
      <c r="A1264" s="118" t="s">
        <v>1005</v>
      </c>
      <c r="B1264" s="118" t="str">
        <f aca="false">CONCATENATE(C1264&amp;D1264)</f>
        <v>1"879</v>
      </c>
      <c r="C1264" s="118" t="s">
        <v>967</v>
      </c>
      <c r="D1264" s="153" t="n">
        <f aca="false">D1263+1</f>
        <v>879</v>
      </c>
      <c r="E1264" s="118" t="e">
        <f aca="false">CEILING(D1264/20;1)</f>
        <v>#VALUE!</v>
      </c>
      <c r="F1264" s="118" t="e">
        <f aca="false">E1264*$F$1</f>
        <v>#VALUE!</v>
      </c>
    </row>
    <row r="1265" customFormat="false" ht="14.25" hidden="false" customHeight="true" outlineLevel="0" collapsed="false">
      <c r="A1265" s="118" t="s">
        <v>1005</v>
      </c>
      <c r="B1265" s="118" t="str">
        <f aca="false">CONCATENATE(C1265&amp;D1265)</f>
        <v>1"880</v>
      </c>
      <c r="C1265" s="118" t="s">
        <v>967</v>
      </c>
      <c r="D1265" s="153" t="n">
        <f aca="false">D1264+1</f>
        <v>880</v>
      </c>
      <c r="E1265" s="118" t="e">
        <f aca="false">CEILING(D1265/20;1)</f>
        <v>#VALUE!</v>
      </c>
      <c r="F1265" s="118" t="e">
        <f aca="false">E1265*$F$1</f>
        <v>#VALUE!</v>
      </c>
    </row>
    <row r="1266" customFormat="false" ht="14.25" hidden="false" customHeight="true" outlineLevel="0" collapsed="false">
      <c r="A1266" s="118" t="s">
        <v>1005</v>
      </c>
      <c r="B1266" s="118" t="str">
        <f aca="false">CONCATENATE(C1266&amp;D1266)</f>
        <v>1"881</v>
      </c>
      <c r="C1266" s="118" t="s">
        <v>967</v>
      </c>
      <c r="D1266" s="153" t="n">
        <f aca="false">D1265+1</f>
        <v>881</v>
      </c>
      <c r="E1266" s="118" t="e">
        <f aca="false">CEILING(D1266/20;1)</f>
        <v>#VALUE!</v>
      </c>
      <c r="F1266" s="118" t="e">
        <f aca="false">E1266*$F$1</f>
        <v>#VALUE!</v>
      </c>
    </row>
    <row r="1267" customFormat="false" ht="14.25" hidden="false" customHeight="true" outlineLevel="0" collapsed="false">
      <c r="A1267" s="118" t="s">
        <v>1005</v>
      </c>
      <c r="B1267" s="118" t="str">
        <f aca="false">CONCATENATE(C1267&amp;D1267)</f>
        <v>1"882</v>
      </c>
      <c r="C1267" s="118" t="s">
        <v>967</v>
      </c>
      <c r="D1267" s="153" t="n">
        <f aca="false">D1266+1</f>
        <v>882</v>
      </c>
      <c r="E1267" s="118" t="e">
        <f aca="false">CEILING(D1267/20;1)</f>
        <v>#VALUE!</v>
      </c>
      <c r="F1267" s="118" t="e">
        <f aca="false">E1267*$F$1</f>
        <v>#VALUE!</v>
      </c>
    </row>
    <row r="1268" customFormat="false" ht="14.25" hidden="false" customHeight="true" outlineLevel="0" collapsed="false">
      <c r="A1268" s="118" t="s">
        <v>1005</v>
      </c>
      <c r="B1268" s="118" t="str">
        <f aca="false">CONCATENATE(C1268&amp;D1268)</f>
        <v>1"883</v>
      </c>
      <c r="C1268" s="118" t="s">
        <v>967</v>
      </c>
      <c r="D1268" s="153" t="n">
        <f aca="false">D1267+1</f>
        <v>883</v>
      </c>
      <c r="E1268" s="118" t="e">
        <f aca="false">CEILING(D1268/20;1)</f>
        <v>#VALUE!</v>
      </c>
      <c r="F1268" s="118" t="e">
        <f aca="false">E1268*$F$1</f>
        <v>#VALUE!</v>
      </c>
    </row>
    <row r="1269" customFormat="false" ht="14.25" hidden="false" customHeight="true" outlineLevel="0" collapsed="false">
      <c r="A1269" s="118" t="s">
        <v>1005</v>
      </c>
      <c r="B1269" s="118" t="str">
        <f aca="false">CONCATENATE(C1269&amp;D1269)</f>
        <v>1"884</v>
      </c>
      <c r="C1269" s="118" t="s">
        <v>967</v>
      </c>
      <c r="D1269" s="153" t="n">
        <f aca="false">D1268+1</f>
        <v>884</v>
      </c>
      <c r="E1269" s="118" t="e">
        <f aca="false">CEILING(D1269/20;1)</f>
        <v>#VALUE!</v>
      </c>
      <c r="F1269" s="118" t="e">
        <f aca="false">E1269*$F$1</f>
        <v>#VALUE!</v>
      </c>
    </row>
    <row r="1270" customFormat="false" ht="14.25" hidden="false" customHeight="true" outlineLevel="0" collapsed="false">
      <c r="A1270" s="118" t="s">
        <v>1005</v>
      </c>
      <c r="B1270" s="118" t="str">
        <f aca="false">CONCATENATE(C1270&amp;D1270)</f>
        <v>1"885</v>
      </c>
      <c r="C1270" s="118" t="s">
        <v>967</v>
      </c>
      <c r="D1270" s="153" t="n">
        <f aca="false">D1269+1</f>
        <v>885</v>
      </c>
      <c r="E1270" s="118" t="e">
        <f aca="false">CEILING(D1270/20;1)</f>
        <v>#VALUE!</v>
      </c>
      <c r="F1270" s="118" t="e">
        <f aca="false">E1270*$F$1</f>
        <v>#VALUE!</v>
      </c>
    </row>
    <row r="1271" customFormat="false" ht="14.25" hidden="false" customHeight="true" outlineLevel="0" collapsed="false">
      <c r="A1271" s="118" t="s">
        <v>1005</v>
      </c>
      <c r="B1271" s="118" t="str">
        <f aca="false">CONCATENATE(C1271&amp;D1271)</f>
        <v>1"886</v>
      </c>
      <c r="C1271" s="118" t="s">
        <v>967</v>
      </c>
      <c r="D1271" s="153" t="n">
        <f aca="false">D1270+1</f>
        <v>886</v>
      </c>
      <c r="E1271" s="118" t="e">
        <f aca="false">CEILING(D1271/20;1)</f>
        <v>#VALUE!</v>
      </c>
      <c r="F1271" s="118" t="e">
        <f aca="false">E1271*$F$1</f>
        <v>#VALUE!</v>
      </c>
    </row>
    <row r="1272" customFormat="false" ht="14.25" hidden="false" customHeight="true" outlineLevel="0" collapsed="false">
      <c r="A1272" s="118" t="s">
        <v>1005</v>
      </c>
      <c r="B1272" s="118" t="str">
        <f aca="false">CONCATENATE(C1272&amp;D1272)</f>
        <v>1"887</v>
      </c>
      <c r="C1272" s="118" t="s">
        <v>967</v>
      </c>
      <c r="D1272" s="153" t="n">
        <f aca="false">D1271+1</f>
        <v>887</v>
      </c>
      <c r="E1272" s="118" t="e">
        <f aca="false">CEILING(D1272/20;1)</f>
        <v>#VALUE!</v>
      </c>
      <c r="F1272" s="118" t="e">
        <f aca="false">E1272*$F$1</f>
        <v>#VALUE!</v>
      </c>
    </row>
    <row r="1273" customFormat="false" ht="14.25" hidden="false" customHeight="true" outlineLevel="0" collapsed="false">
      <c r="A1273" s="118" t="s">
        <v>1005</v>
      </c>
      <c r="B1273" s="118" t="str">
        <f aca="false">CONCATENATE(C1273&amp;D1273)</f>
        <v>1"888</v>
      </c>
      <c r="C1273" s="118" t="s">
        <v>967</v>
      </c>
      <c r="D1273" s="153" t="n">
        <f aca="false">D1272+1</f>
        <v>888</v>
      </c>
      <c r="E1273" s="118" t="e">
        <f aca="false">CEILING(D1273/20;1)</f>
        <v>#VALUE!</v>
      </c>
      <c r="F1273" s="118" t="e">
        <f aca="false">E1273*$F$1</f>
        <v>#VALUE!</v>
      </c>
    </row>
    <row r="1274" customFormat="false" ht="14.25" hidden="false" customHeight="true" outlineLevel="0" collapsed="false">
      <c r="A1274" s="118" t="s">
        <v>1005</v>
      </c>
      <c r="B1274" s="118" t="str">
        <f aca="false">CONCATENATE(C1274&amp;D1274)</f>
        <v>1"889</v>
      </c>
      <c r="C1274" s="118" t="s">
        <v>967</v>
      </c>
      <c r="D1274" s="153" t="n">
        <f aca="false">D1273+1</f>
        <v>889</v>
      </c>
      <c r="E1274" s="118" t="e">
        <f aca="false">CEILING(D1274/20;1)</f>
        <v>#VALUE!</v>
      </c>
      <c r="F1274" s="118" t="e">
        <f aca="false">E1274*$F$1</f>
        <v>#VALUE!</v>
      </c>
    </row>
    <row r="1275" customFormat="false" ht="14.25" hidden="false" customHeight="true" outlineLevel="0" collapsed="false">
      <c r="A1275" s="118" t="s">
        <v>1005</v>
      </c>
      <c r="B1275" s="118" t="str">
        <f aca="false">CONCATENATE(C1275&amp;D1275)</f>
        <v>1"890</v>
      </c>
      <c r="C1275" s="118" t="s">
        <v>967</v>
      </c>
      <c r="D1275" s="153" t="n">
        <f aca="false">D1274+1</f>
        <v>890</v>
      </c>
      <c r="E1275" s="118" t="e">
        <f aca="false">CEILING(D1275/20;1)</f>
        <v>#VALUE!</v>
      </c>
      <c r="F1275" s="118" t="e">
        <f aca="false">E1275*$F$1</f>
        <v>#VALUE!</v>
      </c>
    </row>
    <row r="1276" customFormat="false" ht="14.25" hidden="false" customHeight="true" outlineLevel="0" collapsed="false">
      <c r="A1276" s="118" t="s">
        <v>1005</v>
      </c>
      <c r="B1276" s="118" t="str">
        <f aca="false">CONCATENATE(C1276&amp;D1276)</f>
        <v>1"891</v>
      </c>
      <c r="C1276" s="118" t="s">
        <v>967</v>
      </c>
      <c r="D1276" s="153" t="n">
        <f aca="false">D1275+1</f>
        <v>891</v>
      </c>
      <c r="E1276" s="118" t="e">
        <f aca="false">CEILING(D1276/20;1)</f>
        <v>#VALUE!</v>
      </c>
      <c r="F1276" s="118" t="e">
        <f aca="false">E1276*$F$1</f>
        <v>#VALUE!</v>
      </c>
    </row>
    <row r="1277" customFormat="false" ht="14.25" hidden="false" customHeight="true" outlineLevel="0" collapsed="false">
      <c r="A1277" s="118" t="s">
        <v>1005</v>
      </c>
      <c r="B1277" s="118" t="str">
        <f aca="false">CONCATENATE(C1277&amp;D1277)</f>
        <v>1"892</v>
      </c>
      <c r="C1277" s="118" t="s">
        <v>967</v>
      </c>
      <c r="D1277" s="153" t="n">
        <f aca="false">D1276+1</f>
        <v>892</v>
      </c>
      <c r="E1277" s="118" t="e">
        <f aca="false">CEILING(D1277/20;1)</f>
        <v>#VALUE!</v>
      </c>
      <c r="F1277" s="118" t="e">
        <f aca="false">E1277*$F$1</f>
        <v>#VALUE!</v>
      </c>
    </row>
    <row r="1278" customFormat="false" ht="14.25" hidden="false" customHeight="true" outlineLevel="0" collapsed="false">
      <c r="A1278" s="118" t="s">
        <v>1005</v>
      </c>
      <c r="B1278" s="118" t="str">
        <f aca="false">CONCATENATE(C1278&amp;D1278)</f>
        <v>1"893</v>
      </c>
      <c r="C1278" s="118" t="s">
        <v>967</v>
      </c>
      <c r="D1278" s="153" t="n">
        <f aca="false">D1277+1</f>
        <v>893</v>
      </c>
      <c r="E1278" s="118" t="e">
        <f aca="false">CEILING(D1278/20;1)</f>
        <v>#VALUE!</v>
      </c>
      <c r="F1278" s="118" t="e">
        <f aca="false">E1278*$F$1</f>
        <v>#VALUE!</v>
      </c>
    </row>
    <row r="1279" customFormat="false" ht="14.25" hidden="false" customHeight="true" outlineLevel="0" collapsed="false">
      <c r="A1279" s="118" t="s">
        <v>1005</v>
      </c>
      <c r="B1279" s="118" t="str">
        <f aca="false">CONCATENATE(C1279&amp;D1279)</f>
        <v>1"894</v>
      </c>
      <c r="C1279" s="118" t="s">
        <v>967</v>
      </c>
      <c r="D1279" s="153" t="n">
        <f aca="false">D1278+1</f>
        <v>894</v>
      </c>
      <c r="E1279" s="118" t="e">
        <f aca="false">CEILING(D1279/20;1)</f>
        <v>#VALUE!</v>
      </c>
      <c r="F1279" s="118" t="e">
        <f aca="false">E1279*$F$1</f>
        <v>#VALUE!</v>
      </c>
    </row>
    <row r="1280" customFormat="false" ht="14.25" hidden="false" customHeight="true" outlineLevel="0" collapsed="false">
      <c r="A1280" s="118" t="s">
        <v>1005</v>
      </c>
      <c r="B1280" s="118" t="str">
        <f aca="false">CONCATENATE(C1280&amp;D1280)</f>
        <v>1"895</v>
      </c>
      <c r="C1280" s="118" t="s">
        <v>967</v>
      </c>
      <c r="D1280" s="153" t="n">
        <f aca="false">D1279+1</f>
        <v>895</v>
      </c>
      <c r="E1280" s="118" t="e">
        <f aca="false">CEILING(D1280/20;1)</f>
        <v>#VALUE!</v>
      </c>
      <c r="F1280" s="118" t="e">
        <f aca="false">E1280*$F$1</f>
        <v>#VALUE!</v>
      </c>
    </row>
    <row r="1281" customFormat="false" ht="14.25" hidden="false" customHeight="true" outlineLevel="0" collapsed="false">
      <c r="A1281" s="118" t="s">
        <v>1005</v>
      </c>
      <c r="B1281" s="118" t="str">
        <f aca="false">CONCATENATE(C1281&amp;D1281)</f>
        <v>1"896</v>
      </c>
      <c r="C1281" s="118" t="s">
        <v>967</v>
      </c>
      <c r="D1281" s="153" t="n">
        <f aca="false">D1280+1</f>
        <v>896</v>
      </c>
      <c r="E1281" s="118" t="e">
        <f aca="false">CEILING(D1281/20;1)</f>
        <v>#VALUE!</v>
      </c>
      <c r="F1281" s="118" t="e">
        <f aca="false">E1281*$F$1</f>
        <v>#VALUE!</v>
      </c>
    </row>
    <row r="1282" customFormat="false" ht="14.25" hidden="false" customHeight="true" outlineLevel="0" collapsed="false">
      <c r="A1282" s="118" t="s">
        <v>1005</v>
      </c>
      <c r="B1282" s="118" t="str">
        <f aca="false">CONCATENATE(C1282&amp;D1282)</f>
        <v>1"897</v>
      </c>
      <c r="C1282" s="118" t="s">
        <v>967</v>
      </c>
      <c r="D1282" s="153" t="n">
        <f aca="false">D1281+1</f>
        <v>897</v>
      </c>
      <c r="E1282" s="118" t="e">
        <f aca="false">CEILING(D1282/20;1)</f>
        <v>#VALUE!</v>
      </c>
      <c r="F1282" s="118" t="e">
        <f aca="false">E1282*$F$1</f>
        <v>#VALUE!</v>
      </c>
    </row>
    <row r="1283" customFormat="false" ht="14.25" hidden="false" customHeight="true" outlineLevel="0" collapsed="false">
      <c r="A1283" s="118" t="s">
        <v>1005</v>
      </c>
      <c r="B1283" s="118" t="str">
        <f aca="false">CONCATENATE(C1283&amp;D1283)</f>
        <v>1"898</v>
      </c>
      <c r="C1283" s="118" t="s">
        <v>967</v>
      </c>
      <c r="D1283" s="153" t="n">
        <f aca="false">D1282+1</f>
        <v>898</v>
      </c>
      <c r="E1283" s="118" t="e">
        <f aca="false">CEILING(D1283/20;1)</f>
        <v>#VALUE!</v>
      </c>
      <c r="F1283" s="118" t="e">
        <f aca="false">E1283*$F$1</f>
        <v>#VALUE!</v>
      </c>
    </row>
    <row r="1284" customFormat="false" ht="14.25" hidden="false" customHeight="true" outlineLevel="0" collapsed="false">
      <c r="A1284" s="118" t="s">
        <v>1005</v>
      </c>
      <c r="B1284" s="118" t="str">
        <f aca="false">CONCATENATE(C1284&amp;D1284)</f>
        <v>1"899</v>
      </c>
      <c r="C1284" s="118" t="s">
        <v>967</v>
      </c>
      <c r="D1284" s="153" t="n">
        <f aca="false">D1283+1</f>
        <v>899</v>
      </c>
      <c r="E1284" s="118" t="e">
        <f aca="false">CEILING(D1284/20;1)</f>
        <v>#VALUE!</v>
      </c>
      <c r="F1284" s="118" t="e">
        <f aca="false">E1284*$F$1</f>
        <v>#VALUE!</v>
      </c>
    </row>
    <row r="1285" customFormat="false" ht="14.25" hidden="false" customHeight="true" outlineLevel="0" collapsed="false">
      <c r="A1285" s="118" t="s">
        <v>1005</v>
      </c>
      <c r="B1285" s="118" t="str">
        <f aca="false">CONCATENATE(C1285&amp;D1285)</f>
        <v>1"900</v>
      </c>
      <c r="C1285" s="118" t="s">
        <v>967</v>
      </c>
      <c r="D1285" s="153" t="n">
        <f aca="false">D1284+1</f>
        <v>900</v>
      </c>
      <c r="E1285" s="118" t="e">
        <f aca="false">CEILING(D1285/20;1)</f>
        <v>#VALUE!</v>
      </c>
      <c r="F1285" s="118" t="e">
        <f aca="false">E1285*$F$1</f>
        <v>#VALUE!</v>
      </c>
    </row>
    <row r="1286" customFormat="false" ht="14.25" hidden="false" customHeight="true" outlineLevel="0" collapsed="false">
      <c r="A1286" s="118" t="s">
        <v>1005</v>
      </c>
      <c r="B1286" s="118" t="str">
        <f aca="false">CONCATENATE(C1286&amp;D1286)</f>
        <v>1"901</v>
      </c>
      <c r="C1286" s="118" t="s">
        <v>967</v>
      </c>
      <c r="D1286" s="153" t="n">
        <f aca="false">D1285+1</f>
        <v>901</v>
      </c>
      <c r="E1286" s="118" t="e">
        <f aca="false">CEILING(D1286/20;1)</f>
        <v>#VALUE!</v>
      </c>
      <c r="F1286" s="118" t="e">
        <f aca="false">E1286*$F$1</f>
        <v>#VALUE!</v>
      </c>
    </row>
    <row r="1287" customFormat="false" ht="14.25" hidden="false" customHeight="true" outlineLevel="0" collapsed="false">
      <c r="A1287" s="118" t="s">
        <v>1005</v>
      </c>
      <c r="B1287" s="118" t="str">
        <f aca="false">CONCATENATE(C1287&amp;D1287)</f>
        <v>1"902</v>
      </c>
      <c r="C1287" s="118" t="s">
        <v>967</v>
      </c>
      <c r="D1287" s="153" t="n">
        <f aca="false">D1286+1</f>
        <v>902</v>
      </c>
      <c r="E1287" s="118" t="e">
        <f aca="false">CEILING(D1287/20;1)</f>
        <v>#VALUE!</v>
      </c>
      <c r="F1287" s="118" t="e">
        <f aca="false">E1287*$F$1</f>
        <v>#VALUE!</v>
      </c>
    </row>
    <row r="1288" customFormat="false" ht="14.25" hidden="false" customHeight="true" outlineLevel="0" collapsed="false">
      <c r="A1288" s="118" t="s">
        <v>1005</v>
      </c>
      <c r="B1288" s="118" t="str">
        <f aca="false">CONCATENATE(C1288&amp;D1288)</f>
        <v>1"903</v>
      </c>
      <c r="C1288" s="118" t="s">
        <v>967</v>
      </c>
      <c r="D1288" s="153" t="n">
        <f aca="false">D1287+1</f>
        <v>903</v>
      </c>
      <c r="E1288" s="118" t="e">
        <f aca="false">CEILING(D1288/20;1)</f>
        <v>#VALUE!</v>
      </c>
      <c r="F1288" s="118" t="e">
        <f aca="false">E1288*$F$1</f>
        <v>#VALUE!</v>
      </c>
    </row>
    <row r="1289" customFormat="false" ht="14.25" hidden="false" customHeight="true" outlineLevel="0" collapsed="false">
      <c r="A1289" s="118" t="s">
        <v>1005</v>
      </c>
      <c r="B1289" s="118" t="str">
        <f aca="false">CONCATENATE(C1289&amp;D1289)</f>
        <v>1"904</v>
      </c>
      <c r="C1289" s="118" t="s">
        <v>967</v>
      </c>
      <c r="D1289" s="153" t="n">
        <f aca="false">D1288+1</f>
        <v>904</v>
      </c>
      <c r="E1289" s="118" t="e">
        <f aca="false">CEILING(D1289/20;1)</f>
        <v>#VALUE!</v>
      </c>
      <c r="F1289" s="118" t="e">
        <f aca="false">E1289*$F$1</f>
        <v>#VALUE!</v>
      </c>
    </row>
    <row r="1290" customFormat="false" ht="14.25" hidden="false" customHeight="true" outlineLevel="0" collapsed="false">
      <c r="A1290" s="118" t="s">
        <v>1005</v>
      </c>
      <c r="B1290" s="118" t="str">
        <f aca="false">CONCATENATE(C1290&amp;D1290)</f>
        <v>1"905</v>
      </c>
      <c r="C1290" s="118" t="s">
        <v>967</v>
      </c>
      <c r="D1290" s="153" t="n">
        <f aca="false">D1289+1</f>
        <v>905</v>
      </c>
      <c r="E1290" s="118" t="e">
        <f aca="false">CEILING(D1290/20;1)</f>
        <v>#VALUE!</v>
      </c>
      <c r="F1290" s="118" t="e">
        <f aca="false">E1290*$F$1</f>
        <v>#VALUE!</v>
      </c>
    </row>
    <row r="1291" customFormat="false" ht="14.25" hidden="false" customHeight="true" outlineLevel="0" collapsed="false">
      <c r="A1291" s="118" t="s">
        <v>1005</v>
      </c>
      <c r="B1291" s="118" t="str">
        <f aca="false">CONCATENATE(C1291&amp;D1291)</f>
        <v>1"906</v>
      </c>
      <c r="C1291" s="118" t="s">
        <v>967</v>
      </c>
      <c r="D1291" s="153" t="n">
        <f aca="false">D1290+1</f>
        <v>906</v>
      </c>
      <c r="E1291" s="118" t="e">
        <f aca="false">CEILING(D1291/20;1)</f>
        <v>#VALUE!</v>
      </c>
      <c r="F1291" s="118" t="e">
        <f aca="false">E1291*$F$1</f>
        <v>#VALUE!</v>
      </c>
    </row>
    <row r="1292" customFormat="false" ht="14.25" hidden="false" customHeight="true" outlineLevel="0" collapsed="false">
      <c r="A1292" s="118" t="s">
        <v>1005</v>
      </c>
      <c r="B1292" s="118" t="str">
        <f aca="false">CONCATENATE(C1292&amp;D1292)</f>
        <v>1"907</v>
      </c>
      <c r="C1292" s="118" t="s">
        <v>967</v>
      </c>
      <c r="D1292" s="153" t="n">
        <f aca="false">D1291+1</f>
        <v>907</v>
      </c>
      <c r="E1292" s="118" t="e">
        <f aca="false">CEILING(D1292/20;1)</f>
        <v>#VALUE!</v>
      </c>
      <c r="F1292" s="118" t="e">
        <f aca="false">E1292*$F$1</f>
        <v>#VALUE!</v>
      </c>
    </row>
    <row r="1293" customFormat="false" ht="14.25" hidden="false" customHeight="true" outlineLevel="0" collapsed="false">
      <c r="A1293" s="118" t="s">
        <v>1005</v>
      </c>
      <c r="B1293" s="118" t="str">
        <f aca="false">CONCATENATE(C1293&amp;D1293)</f>
        <v>1"908</v>
      </c>
      <c r="C1293" s="118" t="s">
        <v>967</v>
      </c>
      <c r="D1293" s="153" t="n">
        <f aca="false">D1292+1</f>
        <v>908</v>
      </c>
      <c r="E1293" s="118" t="e">
        <f aca="false">CEILING(D1293/20;1)</f>
        <v>#VALUE!</v>
      </c>
      <c r="F1293" s="118" t="e">
        <f aca="false">E1293*$F$1</f>
        <v>#VALUE!</v>
      </c>
    </row>
    <row r="1294" customFormat="false" ht="14.25" hidden="false" customHeight="true" outlineLevel="0" collapsed="false">
      <c r="A1294" s="118" t="s">
        <v>1005</v>
      </c>
      <c r="B1294" s="118" t="str">
        <f aca="false">CONCATENATE(C1294&amp;D1294)</f>
        <v>1"909</v>
      </c>
      <c r="C1294" s="118" t="s">
        <v>967</v>
      </c>
      <c r="D1294" s="153" t="n">
        <f aca="false">D1293+1</f>
        <v>909</v>
      </c>
      <c r="E1294" s="118" t="e">
        <f aca="false">CEILING(D1294/20;1)</f>
        <v>#VALUE!</v>
      </c>
      <c r="F1294" s="118" t="e">
        <f aca="false">E1294*$F$1</f>
        <v>#VALUE!</v>
      </c>
    </row>
    <row r="1295" customFormat="false" ht="14.25" hidden="false" customHeight="true" outlineLevel="0" collapsed="false">
      <c r="A1295" s="118" t="s">
        <v>1005</v>
      </c>
      <c r="B1295" s="118" t="str">
        <f aca="false">CONCATENATE(C1295&amp;D1295)</f>
        <v>1"910</v>
      </c>
      <c r="C1295" s="118" t="s">
        <v>967</v>
      </c>
      <c r="D1295" s="153" t="n">
        <f aca="false">D1294+1</f>
        <v>910</v>
      </c>
      <c r="E1295" s="118" t="e">
        <f aca="false">CEILING(D1295/20;1)</f>
        <v>#VALUE!</v>
      </c>
      <c r="F1295" s="118" t="e">
        <f aca="false">E1295*$F$1</f>
        <v>#VALUE!</v>
      </c>
    </row>
    <row r="1296" customFormat="false" ht="14.25" hidden="false" customHeight="true" outlineLevel="0" collapsed="false">
      <c r="A1296" s="118" t="s">
        <v>1005</v>
      </c>
      <c r="B1296" s="118" t="str">
        <f aca="false">CONCATENATE(C1296&amp;D1296)</f>
        <v>1"911</v>
      </c>
      <c r="C1296" s="118" t="s">
        <v>967</v>
      </c>
      <c r="D1296" s="153" t="n">
        <f aca="false">D1295+1</f>
        <v>911</v>
      </c>
      <c r="E1296" s="118" t="e">
        <f aca="false">CEILING(D1296/20;1)</f>
        <v>#VALUE!</v>
      </c>
      <c r="F1296" s="118" t="e">
        <f aca="false">E1296*$F$1</f>
        <v>#VALUE!</v>
      </c>
    </row>
    <row r="1297" customFormat="false" ht="14.25" hidden="false" customHeight="true" outlineLevel="0" collapsed="false">
      <c r="A1297" s="118" t="s">
        <v>1005</v>
      </c>
      <c r="B1297" s="118" t="str">
        <f aca="false">CONCATENATE(C1297&amp;D1297)</f>
        <v>1"912</v>
      </c>
      <c r="C1297" s="118" t="s">
        <v>967</v>
      </c>
      <c r="D1297" s="153" t="n">
        <f aca="false">D1296+1</f>
        <v>912</v>
      </c>
      <c r="E1297" s="118" t="e">
        <f aca="false">CEILING(D1297/20;1)</f>
        <v>#VALUE!</v>
      </c>
      <c r="F1297" s="118" t="e">
        <f aca="false">E1297*$F$1</f>
        <v>#VALUE!</v>
      </c>
    </row>
    <row r="1298" customFormat="false" ht="14.25" hidden="false" customHeight="true" outlineLevel="0" collapsed="false">
      <c r="A1298" s="118" t="s">
        <v>1005</v>
      </c>
      <c r="B1298" s="118" t="str">
        <f aca="false">CONCATENATE(C1298&amp;D1298)</f>
        <v>1"913</v>
      </c>
      <c r="C1298" s="118" t="s">
        <v>967</v>
      </c>
      <c r="D1298" s="153" t="n">
        <f aca="false">D1297+1</f>
        <v>913</v>
      </c>
      <c r="E1298" s="118" t="e">
        <f aca="false">CEILING(D1298/20;1)</f>
        <v>#VALUE!</v>
      </c>
      <c r="F1298" s="118" t="e">
        <f aca="false">E1298*$F$1</f>
        <v>#VALUE!</v>
      </c>
    </row>
    <row r="1299" customFormat="false" ht="14.25" hidden="false" customHeight="true" outlineLevel="0" collapsed="false">
      <c r="A1299" s="118" t="s">
        <v>1005</v>
      </c>
      <c r="B1299" s="118" t="str">
        <f aca="false">CONCATENATE(C1299&amp;D1299)</f>
        <v>1"914</v>
      </c>
      <c r="C1299" s="118" t="s">
        <v>967</v>
      </c>
      <c r="D1299" s="153" t="n">
        <f aca="false">D1298+1</f>
        <v>914</v>
      </c>
      <c r="E1299" s="118" t="e">
        <f aca="false">CEILING(D1299/20;1)</f>
        <v>#VALUE!</v>
      </c>
      <c r="F1299" s="118" t="e">
        <f aca="false">E1299*$F$1</f>
        <v>#VALUE!</v>
      </c>
    </row>
    <row r="1300" customFormat="false" ht="14.25" hidden="false" customHeight="true" outlineLevel="0" collapsed="false">
      <c r="A1300" s="118" t="s">
        <v>1005</v>
      </c>
      <c r="B1300" s="118" t="str">
        <f aca="false">CONCATENATE(C1300&amp;D1300)</f>
        <v>1"915</v>
      </c>
      <c r="C1300" s="118" t="s">
        <v>967</v>
      </c>
      <c r="D1300" s="153" t="n">
        <f aca="false">D1299+1</f>
        <v>915</v>
      </c>
      <c r="E1300" s="118" t="e">
        <f aca="false">CEILING(D1300/20;1)</f>
        <v>#VALUE!</v>
      </c>
      <c r="F1300" s="118" t="e">
        <f aca="false">E1300*$F$1</f>
        <v>#VALUE!</v>
      </c>
    </row>
    <row r="1301" customFormat="false" ht="14.25" hidden="false" customHeight="true" outlineLevel="0" collapsed="false">
      <c r="A1301" s="118" t="s">
        <v>1005</v>
      </c>
      <c r="B1301" s="118" t="str">
        <f aca="false">CONCATENATE(C1301&amp;D1301)</f>
        <v>1"916</v>
      </c>
      <c r="C1301" s="118" t="s">
        <v>967</v>
      </c>
      <c r="D1301" s="153" t="n">
        <f aca="false">D1300+1</f>
        <v>916</v>
      </c>
      <c r="E1301" s="118" t="e">
        <f aca="false">CEILING(D1301/20;1)</f>
        <v>#VALUE!</v>
      </c>
      <c r="F1301" s="118" t="e">
        <f aca="false">E1301*$F$1</f>
        <v>#VALUE!</v>
      </c>
    </row>
    <row r="1302" customFormat="false" ht="14.25" hidden="false" customHeight="true" outlineLevel="0" collapsed="false">
      <c r="A1302" s="118" t="s">
        <v>1005</v>
      </c>
      <c r="B1302" s="118" t="str">
        <f aca="false">CONCATENATE(C1302&amp;D1302)</f>
        <v>1"917</v>
      </c>
      <c r="C1302" s="118" t="s">
        <v>967</v>
      </c>
      <c r="D1302" s="153" t="n">
        <f aca="false">D1301+1</f>
        <v>917</v>
      </c>
      <c r="E1302" s="118" t="e">
        <f aca="false">CEILING(D1302/20;1)</f>
        <v>#VALUE!</v>
      </c>
      <c r="F1302" s="118" t="e">
        <f aca="false">E1302*$F$1</f>
        <v>#VALUE!</v>
      </c>
    </row>
    <row r="1303" customFormat="false" ht="14.25" hidden="false" customHeight="true" outlineLevel="0" collapsed="false">
      <c r="A1303" s="118" t="s">
        <v>1005</v>
      </c>
      <c r="B1303" s="118" t="str">
        <f aca="false">CONCATENATE(C1303&amp;D1303)</f>
        <v>1"918</v>
      </c>
      <c r="C1303" s="118" t="s">
        <v>967</v>
      </c>
      <c r="D1303" s="153" t="n">
        <f aca="false">D1302+1</f>
        <v>918</v>
      </c>
      <c r="E1303" s="118" t="e">
        <f aca="false">CEILING(D1303/20;1)</f>
        <v>#VALUE!</v>
      </c>
      <c r="F1303" s="118" t="e">
        <f aca="false">E1303*$F$1</f>
        <v>#VALUE!</v>
      </c>
    </row>
    <row r="1304" customFormat="false" ht="14.25" hidden="false" customHeight="true" outlineLevel="0" collapsed="false">
      <c r="A1304" s="118" t="s">
        <v>1005</v>
      </c>
      <c r="B1304" s="118" t="str">
        <f aca="false">CONCATENATE(C1304&amp;D1304)</f>
        <v>1"919</v>
      </c>
      <c r="C1304" s="118" t="s">
        <v>967</v>
      </c>
      <c r="D1304" s="153" t="n">
        <f aca="false">D1303+1</f>
        <v>919</v>
      </c>
      <c r="E1304" s="118" t="e">
        <f aca="false">CEILING(D1304/20;1)</f>
        <v>#VALUE!</v>
      </c>
      <c r="F1304" s="118" t="e">
        <f aca="false">E1304*$F$1</f>
        <v>#VALUE!</v>
      </c>
    </row>
    <row r="1305" customFormat="false" ht="14.25" hidden="false" customHeight="true" outlineLevel="0" collapsed="false">
      <c r="A1305" s="118" t="s">
        <v>1005</v>
      </c>
      <c r="B1305" s="118" t="str">
        <f aca="false">CONCATENATE(C1305&amp;D1305)</f>
        <v>1"920</v>
      </c>
      <c r="C1305" s="118" t="s">
        <v>967</v>
      </c>
      <c r="D1305" s="153" t="n">
        <f aca="false">D1304+1</f>
        <v>920</v>
      </c>
      <c r="E1305" s="118" t="e">
        <f aca="false">CEILING(D1305/20;1)</f>
        <v>#VALUE!</v>
      </c>
      <c r="F1305" s="118" t="e">
        <f aca="false">E1305*$F$1</f>
        <v>#VALUE!</v>
      </c>
    </row>
    <row r="1306" customFormat="false" ht="14.25" hidden="false" customHeight="true" outlineLevel="0" collapsed="false">
      <c r="A1306" s="118" t="s">
        <v>1005</v>
      </c>
      <c r="B1306" s="118" t="str">
        <f aca="false">CONCATENATE(C1306&amp;D1306)</f>
        <v>1"921</v>
      </c>
      <c r="C1306" s="118" t="s">
        <v>967</v>
      </c>
      <c r="D1306" s="153" t="n">
        <f aca="false">D1305+1</f>
        <v>921</v>
      </c>
      <c r="E1306" s="118" t="e">
        <f aca="false">CEILING(D1306/20;1)</f>
        <v>#VALUE!</v>
      </c>
      <c r="F1306" s="118" t="e">
        <f aca="false">E1306*$F$1</f>
        <v>#VALUE!</v>
      </c>
    </row>
    <row r="1307" customFormat="false" ht="14.25" hidden="false" customHeight="true" outlineLevel="0" collapsed="false">
      <c r="A1307" s="118" t="s">
        <v>1005</v>
      </c>
      <c r="B1307" s="118" t="str">
        <f aca="false">CONCATENATE(C1307&amp;D1307)</f>
        <v>1"922</v>
      </c>
      <c r="C1307" s="118" t="s">
        <v>967</v>
      </c>
      <c r="D1307" s="153" t="n">
        <f aca="false">D1306+1</f>
        <v>922</v>
      </c>
      <c r="E1307" s="118" t="e">
        <f aca="false">CEILING(D1307/20;1)</f>
        <v>#VALUE!</v>
      </c>
      <c r="F1307" s="118" t="e">
        <f aca="false">E1307*$F$1</f>
        <v>#VALUE!</v>
      </c>
    </row>
    <row r="1308" customFormat="false" ht="14.25" hidden="false" customHeight="true" outlineLevel="0" collapsed="false">
      <c r="A1308" s="118" t="s">
        <v>1005</v>
      </c>
      <c r="B1308" s="118" t="str">
        <f aca="false">CONCATENATE(C1308&amp;D1308)</f>
        <v>1"923</v>
      </c>
      <c r="C1308" s="118" t="s">
        <v>967</v>
      </c>
      <c r="D1308" s="153" t="n">
        <f aca="false">D1307+1</f>
        <v>923</v>
      </c>
      <c r="E1308" s="118" t="e">
        <f aca="false">CEILING(D1308/20;1)</f>
        <v>#VALUE!</v>
      </c>
      <c r="F1308" s="118" t="e">
        <f aca="false">E1308*$F$1</f>
        <v>#VALUE!</v>
      </c>
    </row>
    <row r="1309" customFormat="false" ht="14.25" hidden="false" customHeight="true" outlineLevel="0" collapsed="false">
      <c r="A1309" s="118" t="s">
        <v>1005</v>
      </c>
      <c r="B1309" s="118" t="str">
        <f aca="false">CONCATENATE(C1309&amp;D1309)</f>
        <v>1"924</v>
      </c>
      <c r="C1309" s="118" t="s">
        <v>967</v>
      </c>
      <c r="D1309" s="153" t="n">
        <f aca="false">D1308+1</f>
        <v>924</v>
      </c>
      <c r="E1309" s="118" t="e">
        <f aca="false">CEILING(D1309/20;1)</f>
        <v>#VALUE!</v>
      </c>
      <c r="F1309" s="118" t="e">
        <f aca="false">E1309*$F$1</f>
        <v>#VALUE!</v>
      </c>
    </row>
    <row r="1310" customFormat="false" ht="14.25" hidden="false" customHeight="true" outlineLevel="0" collapsed="false">
      <c r="A1310" s="118" t="s">
        <v>1005</v>
      </c>
      <c r="B1310" s="118" t="str">
        <f aca="false">CONCATENATE(C1310&amp;D1310)</f>
        <v>1"925</v>
      </c>
      <c r="C1310" s="118" t="s">
        <v>967</v>
      </c>
      <c r="D1310" s="153" t="n">
        <f aca="false">D1309+1</f>
        <v>925</v>
      </c>
      <c r="E1310" s="118" t="e">
        <f aca="false">CEILING(D1310/20;1)</f>
        <v>#VALUE!</v>
      </c>
      <c r="F1310" s="118" t="e">
        <f aca="false">E1310*$F$1</f>
        <v>#VALUE!</v>
      </c>
    </row>
    <row r="1311" customFormat="false" ht="14.25" hidden="false" customHeight="true" outlineLevel="0" collapsed="false">
      <c r="A1311" s="118" t="s">
        <v>1005</v>
      </c>
      <c r="B1311" s="118" t="str">
        <f aca="false">CONCATENATE(C1311&amp;D1311)</f>
        <v>1"926</v>
      </c>
      <c r="C1311" s="118" t="s">
        <v>967</v>
      </c>
      <c r="D1311" s="153" t="n">
        <f aca="false">D1310+1</f>
        <v>926</v>
      </c>
      <c r="E1311" s="118" t="e">
        <f aca="false">CEILING(D1311/20;1)</f>
        <v>#VALUE!</v>
      </c>
      <c r="F1311" s="118" t="e">
        <f aca="false">E1311*$F$1</f>
        <v>#VALUE!</v>
      </c>
    </row>
    <row r="1312" customFormat="false" ht="14.25" hidden="false" customHeight="true" outlineLevel="0" collapsed="false">
      <c r="A1312" s="118" t="s">
        <v>1005</v>
      </c>
      <c r="B1312" s="118" t="str">
        <f aca="false">CONCATENATE(C1312&amp;D1312)</f>
        <v>1"927</v>
      </c>
      <c r="C1312" s="118" t="s">
        <v>967</v>
      </c>
      <c r="D1312" s="153" t="n">
        <f aca="false">D1311+1</f>
        <v>927</v>
      </c>
      <c r="E1312" s="118" t="e">
        <f aca="false">CEILING(D1312/20;1)</f>
        <v>#VALUE!</v>
      </c>
      <c r="F1312" s="118" t="e">
        <f aca="false">E1312*$F$1</f>
        <v>#VALUE!</v>
      </c>
    </row>
    <row r="1313" customFormat="false" ht="14.25" hidden="false" customHeight="true" outlineLevel="0" collapsed="false">
      <c r="A1313" s="118" t="s">
        <v>1005</v>
      </c>
      <c r="B1313" s="118" t="str">
        <f aca="false">CONCATENATE(C1313&amp;D1313)</f>
        <v>1"928</v>
      </c>
      <c r="C1313" s="118" t="s">
        <v>967</v>
      </c>
      <c r="D1313" s="153" t="n">
        <f aca="false">D1312+1</f>
        <v>928</v>
      </c>
      <c r="E1313" s="118" t="e">
        <f aca="false">CEILING(D1313/20;1)</f>
        <v>#VALUE!</v>
      </c>
      <c r="F1313" s="118" t="e">
        <f aca="false">E1313*$F$1</f>
        <v>#VALUE!</v>
      </c>
    </row>
    <row r="1314" customFormat="false" ht="14.25" hidden="false" customHeight="true" outlineLevel="0" collapsed="false">
      <c r="A1314" s="118" t="s">
        <v>1005</v>
      </c>
      <c r="B1314" s="118" t="str">
        <f aca="false">CONCATENATE(C1314&amp;D1314)</f>
        <v>1"929</v>
      </c>
      <c r="C1314" s="118" t="s">
        <v>967</v>
      </c>
      <c r="D1314" s="153" t="n">
        <f aca="false">D1313+1</f>
        <v>929</v>
      </c>
      <c r="E1314" s="118" t="e">
        <f aca="false">CEILING(D1314/20;1)</f>
        <v>#VALUE!</v>
      </c>
      <c r="F1314" s="118" t="e">
        <f aca="false">E1314*$F$1</f>
        <v>#VALUE!</v>
      </c>
    </row>
    <row r="1315" customFormat="false" ht="14.25" hidden="false" customHeight="true" outlineLevel="0" collapsed="false">
      <c r="A1315" s="118" t="s">
        <v>1005</v>
      </c>
      <c r="B1315" s="118" t="str">
        <f aca="false">CONCATENATE(C1315&amp;D1315)</f>
        <v>1"930</v>
      </c>
      <c r="C1315" s="118" t="s">
        <v>967</v>
      </c>
      <c r="D1315" s="153" t="n">
        <f aca="false">D1314+1</f>
        <v>930</v>
      </c>
      <c r="E1315" s="118" t="e">
        <f aca="false">CEILING(D1315/20;1)</f>
        <v>#VALUE!</v>
      </c>
      <c r="F1315" s="118" t="e">
        <f aca="false">E1315*$F$1</f>
        <v>#VALUE!</v>
      </c>
    </row>
    <row r="1316" customFormat="false" ht="14.25" hidden="false" customHeight="true" outlineLevel="0" collapsed="false">
      <c r="A1316" s="118" t="s">
        <v>1005</v>
      </c>
      <c r="B1316" s="118" t="str">
        <f aca="false">CONCATENATE(C1316&amp;D1316)</f>
        <v>1"931</v>
      </c>
      <c r="C1316" s="118" t="s">
        <v>967</v>
      </c>
      <c r="D1316" s="153" t="n">
        <f aca="false">D1315+1</f>
        <v>931</v>
      </c>
      <c r="E1316" s="118" t="e">
        <f aca="false">CEILING(D1316/20;1)</f>
        <v>#VALUE!</v>
      </c>
      <c r="F1316" s="118" t="e">
        <f aca="false">E1316*$F$1</f>
        <v>#VALUE!</v>
      </c>
    </row>
    <row r="1317" customFormat="false" ht="14.25" hidden="false" customHeight="true" outlineLevel="0" collapsed="false">
      <c r="A1317" s="118" t="s">
        <v>1005</v>
      </c>
      <c r="B1317" s="118" t="str">
        <f aca="false">CONCATENATE(C1317&amp;D1317)</f>
        <v>1"932</v>
      </c>
      <c r="C1317" s="118" t="s">
        <v>967</v>
      </c>
      <c r="D1317" s="153" t="n">
        <f aca="false">D1316+1</f>
        <v>932</v>
      </c>
      <c r="E1317" s="118" t="e">
        <f aca="false">CEILING(D1317/20;1)</f>
        <v>#VALUE!</v>
      </c>
      <c r="F1317" s="118" t="e">
        <f aca="false">E1317*$F$1</f>
        <v>#VALUE!</v>
      </c>
    </row>
    <row r="1318" customFormat="false" ht="14.25" hidden="false" customHeight="true" outlineLevel="0" collapsed="false">
      <c r="A1318" s="118" t="s">
        <v>1005</v>
      </c>
      <c r="B1318" s="118" t="str">
        <f aca="false">CONCATENATE(C1318&amp;D1318)</f>
        <v>1"933</v>
      </c>
      <c r="C1318" s="118" t="s">
        <v>967</v>
      </c>
      <c r="D1318" s="153" t="n">
        <f aca="false">D1317+1</f>
        <v>933</v>
      </c>
      <c r="E1318" s="118" t="e">
        <f aca="false">CEILING(D1318/20;1)</f>
        <v>#VALUE!</v>
      </c>
      <c r="F1318" s="118" t="e">
        <f aca="false">E1318*$F$1</f>
        <v>#VALUE!</v>
      </c>
    </row>
    <row r="1319" customFormat="false" ht="14.25" hidden="false" customHeight="true" outlineLevel="0" collapsed="false">
      <c r="A1319" s="118" t="s">
        <v>1005</v>
      </c>
      <c r="B1319" s="118" t="str">
        <f aca="false">CONCATENATE(C1319&amp;D1319)</f>
        <v>1"934</v>
      </c>
      <c r="C1319" s="118" t="s">
        <v>967</v>
      </c>
      <c r="D1319" s="153" t="n">
        <f aca="false">D1318+1</f>
        <v>934</v>
      </c>
      <c r="E1319" s="118" t="e">
        <f aca="false">CEILING(D1319/20;1)</f>
        <v>#VALUE!</v>
      </c>
      <c r="F1319" s="118" t="e">
        <f aca="false">E1319*$F$1</f>
        <v>#VALUE!</v>
      </c>
    </row>
    <row r="1320" customFormat="false" ht="14.25" hidden="false" customHeight="true" outlineLevel="0" collapsed="false">
      <c r="A1320" s="118" t="s">
        <v>1005</v>
      </c>
      <c r="B1320" s="118" t="str">
        <f aca="false">CONCATENATE(C1320&amp;D1320)</f>
        <v>1"935</v>
      </c>
      <c r="C1320" s="118" t="s">
        <v>967</v>
      </c>
      <c r="D1320" s="153" t="n">
        <f aca="false">D1319+1</f>
        <v>935</v>
      </c>
      <c r="E1320" s="118" t="e">
        <f aca="false">CEILING(D1320/20;1)</f>
        <v>#VALUE!</v>
      </c>
      <c r="F1320" s="118" t="e">
        <f aca="false">E1320*$F$1</f>
        <v>#VALUE!</v>
      </c>
    </row>
    <row r="1321" customFormat="false" ht="14.25" hidden="false" customHeight="true" outlineLevel="0" collapsed="false">
      <c r="A1321" s="118" t="s">
        <v>1005</v>
      </c>
      <c r="B1321" s="118" t="str">
        <f aca="false">CONCATENATE(C1321&amp;D1321)</f>
        <v>1"936</v>
      </c>
      <c r="C1321" s="118" t="s">
        <v>967</v>
      </c>
      <c r="D1321" s="153" t="n">
        <f aca="false">D1320+1</f>
        <v>936</v>
      </c>
      <c r="E1321" s="118" t="e">
        <f aca="false">CEILING(D1321/20;1)</f>
        <v>#VALUE!</v>
      </c>
      <c r="F1321" s="118" t="e">
        <f aca="false">E1321*$F$1</f>
        <v>#VALUE!</v>
      </c>
    </row>
    <row r="1322" customFormat="false" ht="14.25" hidden="false" customHeight="true" outlineLevel="0" collapsed="false">
      <c r="A1322" s="118" t="s">
        <v>1005</v>
      </c>
      <c r="B1322" s="118" t="str">
        <f aca="false">CONCATENATE(C1322&amp;D1322)</f>
        <v>1"937</v>
      </c>
      <c r="C1322" s="118" t="s">
        <v>967</v>
      </c>
      <c r="D1322" s="153" t="n">
        <f aca="false">D1321+1</f>
        <v>937</v>
      </c>
      <c r="E1322" s="118" t="e">
        <f aca="false">CEILING(D1322/20;1)</f>
        <v>#VALUE!</v>
      </c>
      <c r="F1322" s="118" t="e">
        <f aca="false">E1322*$F$1</f>
        <v>#VALUE!</v>
      </c>
    </row>
    <row r="1323" customFormat="false" ht="14.25" hidden="false" customHeight="true" outlineLevel="0" collapsed="false">
      <c r="A1323" s="118" t="s">
        <v>1005</v>
      </c>
      <c r="B1323" s="118" t="str">
        <f aca="false">CONCATENATE(C1323&amp;D1323)</f>
        <v>1"938</v>
      </c>
      <c r="C1323" s="118" t="s">
        <v>967</v>
      </c>
      <c r="D1323" s="153" t="n">
        <f aca="false">D1322+1</f>
        <v>938</v>
      </c>
      <c r="E1323" s="118" t="e">
        <f aca="false">CEILING(D1323/20;1)</f>
        <v>#VALUE!</v>
      </c>
      <c r="F1323" s="118" t="e">
        <f aca="false">E1323*$F$1</f>
        <v>#VALUE!</v>
      </c>
    </row>
    <row r="1324" customFormat="false" ht="14.25" hidden="false" customHeight="true" outlineLevel="0" collapsed="false">
      <c r="A1324" s="118" t="s">
        <v>1005</v>
      </c>
      <c r="B1324" s="118" t="str">
        <f aca="false">CONCATENATE(C1324&amp;D1324)</f>
        <v>1"939</v>
      </c>
      <c r="C1324" s="118" t="s">
        <v>967</v>
      </c>
      <c r="D1324" s="153" t="n">
        <f aca="false">D1323+1</f>
        <v>939</v>
      </c>
      <c r="E1324" s="118" t="e">
        <f aca="false">CEILING(D1324/20;1)</f>
        <v>#VALUE!</v>
      </c>
      <c r="F1324" s="118" t="e">
        <f aca="false">E1324*$F$1</f>
        <v>#VALUE!</v>
      </c>
    </row>
    <row r="1325" customFormat="false" ht="14.25" hidden="false" customHeight="true" outlineLevel="0" collapsed="false">
      <c r="A1325" s="118" t="s">
        <v>1005</v>
      </c>
      <c r="B1325" s="118" t="str">
        <f aca="false">CONCATENATE(C1325&amp;D1325)</f>
        <v>1"940</v>
      </c>
      <c r="C1325" s="118" t="s">
        <v>967</v>
      </c>
      <c r="D1325" s="153" t="n">
        <f aca="false">D1324+1</f>
        <v>940</v>
      </c>
      <c r="E1325" s="118" t="e">
        <f aca="false">CEILING(D1325/20;1)</f>
        <v>#VALUE!</v>
      </c>
      <c r="F1325" s="118" t="e">
        <f aca="false">E1325*$F$1</f>
        <v>#VALUE!</v>
      </c>
    </row>
    <row r="1326" customFormat="false" ht="14.25" hidden="false" customHeight="true" outlineLevel="0" collapsed="false">
      <c r="A1326" s="118" t="s">
        <v>1005</v>
      </c>
      <c r="B1326" s="118" t="str">
        <f aca="false">CONCATENATE(C1326&amp;D1326)</f>
        <v>1"941</v>
      </c>
      <c r="C1326" s="118" t="s">
        <v>967</v>
      </c>
      <c r="D1326" s="153" t="n">
        <f aca="false">D1325+1</f>
        <v>941</v>
      </c>
      <c r="E1326" s="118" t="e">
        <f aca="false">CEILING(D1326/20;1)</f>
        <v>#VALUE!</v>
      </c>
      <c r="F1326" s="118" t="e">
        <f aca="false">E1326*$F$1</f>
        <v>#VALUE!</v>
      </c>
    </row>
    <row r="1327" customFormat="false" ht="14.25" hidden="false" customHeight="true" outlineLevel="0" collapsed="false">
      <c r="A1327" s="118" t="s">
        <v>1005</v>
      </c>
      <c r="B1327" s="118" t="str">
        <f aca="false">CONCATENATE(C1327&amp;D1327)</f>
        <v>1"942</v>
      </c>
      <c r="C1327" s="118" t="s">
        <v>967</v>
      </c>
      <c r="D1327" s="153" t="n">
        <f aca="false">D1326+1</f>
        <v>942</v>
      </c>
      <c r="E1327" s="118" t="e">
        <f aca="false">CEILING(D1327/20;1)</f>
        <v>#VALUE!</v>
      </c>
      <c r="F1327" s="118" t="e">
        <f aca="false">E1327*$F$1</f>
        <v>#VALUE!</v>
      </c>
    </row>
    <row r="1328" customFormat="false" ht="14.25" hidden="false" customHeight="true" outlineLevel="0" collapsed="false">
      <c r="A1328" s="118" t="s">
        <v>1005</v>
      </c>
      <c r="B1328" s="118" t="str">
        <f aca="false">CONCATENATE(C1328&amp;D1328)</f>
        <v>1"943</v>
      </c>
      <c r="C1328" s="118" t="s">
        <v>967</v>
      </c>
      <c r="D1328" s="153" t="n">
        <f aca="false">D1327+1</f>
        <v>943</v>
      </c>
      <c r="E1328" s="118" t="e">
        <f aca="false">CEILING(D1328/20;1)</f>
        <v>#VALUE!</v>
      </c>
      <c r="F1328" s="118" t="e">
        <f aca="false">E1328*$F$1</f>
        <v>#VALUE!</v>
      </c>
    </row>
    <row r="1329" customFormat="false" ht="14.25" hidden="false" customHeight="true" outlineLevel="0" collapsed="false">
      <c r="A1329" s="118" t="s">
        <v>1005</v>
      </c>
      <c r="B1329" s="118" t="str">
        <f aca="false">CONCATENATE(C1329&amp;D1329)</f>
        <v>1"944</v>
      </c>
      <c r="C1329" s="118" t="s">
        <v>967</v>
      </c>
      <c r="D1329" s="153" t="n">
        <f aca="false">D1328+1</f>
        <v>944</v>
      </c>
      <c r="E1329" s="118" t="e">
        <f aca="false">CEILING(D1329/20;1)</f>
        <v>#VALUE!</v>
      </c>
      <c r="F1329" s="118" t="e">
        <f aca="false">E1329*$F$1</f>
        <v>#VALUE!</v>
      </c>
    </row>
    <row r="1330" customFormat="false" ht="14.25" hidden="false" customHeight="true" outlineLevel="0" collapsed="false">
      <c r="A1330" s="118" t="s">
        <v>1005</v>
      </c>
      <c r="B1330" s="118" t="str">
        <f aca="false">CONCATENATE(C1330&amp;D1330)</f>
        <v>1"945</v>
      </c>
      <c r="C1330" s="118" t="s">
        <v>967</v>
      </c>
      <c r="D1330" s="153" t="n">
        <f aca="false">D1329+1</f>
        <v>945</v>
      </c>
      <c r="E1330" s="118" t="e">
        <f aca="false">CEILING(D1330/20;1)</f>
        <v>#VALUE!</v>
      </c>
      <c r="F1330" s="118" t="e">
        <f aca="false">E1330*$F$1</f>
        <v>#VALUE!</v>
      </c>
    </row>
    <row r="1331" customFormat="false" ht="14.25" hidden="false" customHeight="true" outlineLevel="0" collapsed="false">
      <c r="A1331" s="118" t="s">
        <v>1005</v>
      </c>
      <c r="B1331" s="118" t="str">
        <f aca="false">CONCATENATE(C1331&amp;D1331)</f>
        <v>1"946</v>
      </c>
      <c r="C1331" s="118" t="s">
        <v>967</v>
      </c>
      <c r="D1331" s="153" t="n">
        <f aca="false">D1330+1</f>
        <v>946</v>
      </c>
      <c r="E1331" s="118" t="e">
        <f aca="false">CEILING(D1331/20;1)</f>
        <v>#VALUE!</v>
      </c>
      <c r="F1331" s="118" t="e">
        <f aca="false">E1331*$F$1</f>
        <v>#VALUE!</v>
      </c>
    </row>
    <row r="1332" customFormat="false" ht="14.25" hidden="false" customHeight="true" outlineLevel="0" collapsed="false">
      <c r="A1332" s="118" t="s">
        <v>1005</v>
      </c>
      <c r="B1332" s="118" t="str">
        <f aca="false">CONCATENATE(C1332&amp;D1332)</f>
        <v>1"947</v>
      </c>
      <c r="C1332" s="118" t="s">
        <v>967</v>
      </c>
      <c r="D1332" s="153" t="n">
        <f aca="false">D1331+1</f>
        <v>947</v>
      </c>
      <c r="E1332" s="118" t="e">
        <f aca="false">CEILING(D1332/20;1)</f>
        <v>#VALUE!</v>
      </c>
      <c r="F1332" s="118" t="e">
        <f aca="false">E1332*$F$1</f>
        <v>#VALUE!</v>
      </c>
    </row>
    <row r="1333" customFormat="false" ht="14.25" hidden="false" customHeight="true" outlineLevel="0" collapsed="false">
      <c r="A1333" s="118" t="s">
        <v>1005</v>
      </c>
      <c r="B1333" s="118" t="str">
        <f aca="false">CONCATENATE(C1333&amp;D1333)</f>
        <v>1"948</v>
      </c>
      <c r="C1333" s="118" t="s">
        <v>967</v>
      </c>
      <c r="D1333" s="153" t="n">
        <f aca="false">D1332+1</f>
        <v>948</v>
      </c>
      <c r="E1333" s="118" t="e">
        <f aca="false">CEILING(D1333/20;1)</f>
        <v>#VALUE!</v>
      </c>
      <c r="F1333" s="118" t="e">
        <f aca="false">E1333*$F$1</f>
        <v>#VALUE!</v>
      </c>
    </row>
    <row r="1334" customFormat="false" ht="14.25" hidden="false" customHeight="true" outlineLevel="0" collapsed="false">
      <c r="A1334" s="118" t="s">
        <v>1005</v>
      </c>
      <c r="B1334" s="118" t="str">
        <f aca="false">CONCATENATE(C1334&amp;D1334)</f>
        <v>1"949</v>
      </c>
      <c r="C1334" s="118" t="s">
        <v>967</v>
      </c>
      <c r="D1334" s="153" t="n">
        <f aca="false">D1333+1</f>
        <v>949</v>
      </c>
      <c r="E1334" s="118" t="e">
        <f aca="false">CEILING(D1334/20;1)</f>
        <v>#VALUE!</v>
      </c>
      <c r="F1334" s="118" t="e">
        <f aca="false">E1334*$F$1</f>
        <v>#VALUE!</v>
      </c>
    </row>
    <row r="1335" customFormat="false" ht="14.25" hidden="false" customHeight="true" outlineLevel="0" collapsed="false">
      <c r="A1335" s="118" t="s">
        <v>1005</v>
      </c>
      <c r="B1335" s="118" t="str">
        <f aca="false">CONCATENATE(C1335&amp;D1335)</f>
        <v>1"950</v>
      </c>
      <c r="C1335" s="118" t="s">
        <v>967</v>
      </c>
      <c r="D1335" s="153" t="n">
        <f aca="false">D1334+1</f>
        <v>950</v>
      </c>
      <c r="E1335" s="118" t="e">
        <f aca="false">CEILING(D1335/20;1)</f>
        <v>#VALUE!</v>
      </c>
      <c r="F1335" s="118" t="e">
        <f aca="false">E1335*$F$1</f>
        <v>#VALUE!</v>
      </c>
    </row>
    <row r="1336" customFormat="false" ht="14.25" hidden="false" customHeight="true" outlineLevel="0" collapsed="false">
      <c r="A1336" s="118" t="s">
        <v>1005</v>
      </c>
      <c r="B1336" s="118" t="str">
        <f aca="false">CONCATENATE(C1336&amp;D1336)</f>
        <v>1"951</v>
      </c>
      <c r="C1336" s="118" t="s">
        <v>967</v>
      </c>
      <c r="D1336" s="153" t="n">
        <f aca="false">D1335+1</f>
        <v>951</v>
      </c>
      <c r="E1336" s="118" t="e">
        <f aca="false">CEILING(D1336/20;1)</f>
        <v>#VALUE!</v>
      </c>
      <c r="F1336" s="118" t="e">
        <f aca="false">E1336*$F$1</f>
        <v>#VALUE!</v>
      </c>
    </row>
    <row r="1337" customFormat="false" ht="14.25" hidden="false" customHeight="true" outlineLevel="0" collapsed="false">
      <c r="A1337" s="118" t="s">
        <v>1005</v>
      </c>
      <c r="B1337" s="118" t="str">
        <f aca="false">CONCATENATE(C1337&amp;D1337)</f>
        <v>1"952</v>
      </c>
      <c r="C1337" s="118" t="s">
        <v>967</v>
      </c>
      <c r="D1337" s="153" t="n">
        <f aca="false">D1336+1</f>
        <v>952</v>
      </c>
      <c r="E1337" s="118" t="e">
        <f aca="false">CEILING(D1337/20;1)</f>
        <v>#VALUE!</v>
      </c>
      <c r="F1337" s="118" t="e">
        <f aca="false">E1337*$F$1</f>
        <v>#VALUE!</v>
      </c>
    </row>
    <row r="1338" customFormat="false" ht="14.25" hidden="false" customHeight="true" outlineLevel="0" collapsed="false">
      <c r="A1338" s="118" t="s">
        <v>1005</v>
      </c>
      <c r="B1338" s="118" t="str">
        <f aca="false">CONCATENATE(C1338&amp;D1338)</f>
        <v>1"953</v>
      </c>
      <c r="C1338" s="118" t="s">
        <v>967</v>
      </c>
      <c r="D1338" s="153" t="n">
        <f aca="false">D1337+1</f>
        <v>953</v>
      </c>
      <c r="E1338" s="118" t="e">
        <f aca="false">CEILING(D1338/20;1)</f>
        <v>#VALUE!</v>
      </c>
      <c r="F1338" s="118" t="e">
        <f aca="false">E1338*$F$1</f>
        <v>#VALUE!</v>
      </c>
    </row>
    <row r="1339" customFormat="false" ht="14.25" hidden="false" customHeight="true" outlineLevel="0" collapsed="false">
      <c r="A1339" s="118" t="s">
        <v>1005</v>
      </c>
      <c r="B1339" s="118" t="str">
        <f aca="false">CONCATENATE(C1339&amp;D1339)</f>
        <v>1"954</v>
      </c>
      <c r="C1339" s="118" t="s">
        <v>967</v>
      </c>
      <c r="D1339" s="153" t="n">
        <f aca="false">D1338+1</f>
        <v>954</v>
      </c>
      <c r="E1339" s="118" t="e">
        <f aca="false">CEILING(D1339/20;1)</f>
        <v>#VALUE!</v>
      </c>
      <c r="F1339" s="118" t="e">
        <f aca="false">E1339*$F$1</f>
        <v>#VALUE!</v>
      </c>
    </row>
    <row r="1340" customFormat="false" ht="14.25" hidden="false" customHeight="true" outlineLevel="0" collapsed="false">
      <c r="A1340" s="118" t="s">
        <v>1005</v>
      </c>
      <c r="B1340" s="118" t="str">
        <f aca="false">CONCATENATE(C1340&amp;D1340)</f>
        <v>1"955</v>
      </c>
      <c r="C1340" s="118" t="s">
        <v>967</v>
      </c>
      <c r="D1340" s="153" t="n">
        <f aca="false">D1339+1</f>
        <v>955</v>
      </c>
      <c r="E1340" s="118" t="e">
        <f aca="false">CEILING(D1340/20;1)</f>
        <v>#VALUE!</v>
      </c>
      <c r="F1340" s="118" t="e">
        <f aca="false">E1340*$F$1</f>
        <v>#VALUE!</v>
      </c>
    </row>
    <row r="1341" customFormat="false" ht="14.25" hidden="false" customHeight="true" outlineLevel="0" collapsed="false">
      <c r="A1341" s="118" t="s">
        <v>1005</v>
      </c>
      <c r="B1341" s="118" t="str">
        <f aca="false">CONCATENATE(C1341&amp;D1341)</f>
        <v>1"956</v>
      </c>
      <c r="C1341" s="118" t="s">
        <v>967</v>
      </c>
      <c r="D1341" s="153" t="n">
        <f aca="false">D1340+1</f>
        <v>956</v>
      </c>
      <c r="E1341" s="118" t="e">
        <f aca="false">CEILING(D1341/20;1)</f>
        <v>#VALUE!</v>
      </c>
      <c r="F1341" s="118" t="e">
        <f aca="false">E1341*$F$1</f>
        <v>#VALUE!</v>
      </c>
    </row>
    <row r="1342" customFormat="false" ht="14.25" hidden="false" customHeight="true" outlineLevel="0" collapsed="false">
      <c r="A1342" s="118" t="s">
        <v>1005</v>
      </c>
      <c r="B1342" s="118" t="str">
        <f aca="false">CONCATENATE(C1342&amp;D1342)</f>
        <v>1"957</v>
      </c>
      <c r="C1342" s="118" t="s">
        <v>967</v>
      </c>
      <c r="D1342" s="153" t="n">
        <f aca="false">D1341+1</f>
        <v>957</v>
      </c>
      <c r="E1342" s="118" t="e">
        <f aca="false">CEILING(D1342/20;1)</f>
        <v>#VALUE!</v>
      </c>
      <c r="F1342" s="118" t="e">
        <f aca="false">E1342*$F$1</f>
        <v>#VALUE!</v>
      </c>
    </row>
    <row r="1343" customFormat="false" ht="14.25" hidden="false" customHeight="true" outlineLevel="0" collapsed="false">
      <c r="A1343" s="118" t="s">
        <v>1005</v>
      </c>
      <c r="B1343" s="118" t="str">
        <f aca="false">CONCATENATE(C1343&amp;D1343)</f>
        <v>1"958</v>
      </c>
      <c r="C1343" s="118" t="s">
        <v>967</v>
      </c>
      <c r="D1343" s="153" t="n">
        <f aca="false">D1342+1</f>
        <v>958</v>
      </c>
      <c r="E1343" s="118" t="e">
        <f aca="false">CEILING(D1343/20;1)</f>
        <v>#VALUE!</v>
      </c>
      <c r="F1343" s="118" t="e">
        <f aca="false">E1343*$F$1</f>
        <v>#VALUE!</v>
      </c>
    </row>
    <row r="1344" customFormat="false" ht="14.25" hidden="false" customHeight="true" outlineLevel="0" collapsed="false">
      <c r="A1344" s="118" t="s">
        <v>1005</v>
      </c>
      <c r="B1344" s="118" t="str">
        <f aca="false">CONCATENATE(C1344&amp;D1344)</f>
        <v>1"959</v>
      </c>
      <c r="C1344" s="118" t="s">
        <v>967</v>
      </c>
      <c r="D1344" s="153" t="n">
        <f aca="false">D1343+1</f>
        <v>959</v>
      </c>
      <c r="E1344" s="118" t="e">
        <f aca="false">CEILING(D1344/20;1)</f>
        <v>#VALUE!</v>
      </c>
      <c r="F1344" s="118" t="e">
        <f aca="false">E1344*$F$1</f>
        <v>#VALUE!</v>
      </c>
    </row>
    <row r="1345" customFormat="false" ht="14.25" hidden="false" customHeight="true" outlineLevel="0" collapsed="false">
      <c r="A1345" s="118" t="s">
        <v>1005</v>
      </c>
      <c r="B1345" s="118" t="str">
        <f aca="false">CONCATENATE(C1345&amp;D1345)</f>
        <v>1"960</v>
      </c>
      <c r="C1345" s="118" t="s">
        <v>967</v>
      </c>
      <c r="D1345" s="153" t="n">
        <f aca="false">D1344+1</f>
        <v>960</v>
      </c>
      <c r="E1345" s="118" t="e">
        <f aca="false">CEILING(D1345/20;1)</f>
        <v>#VALUE!</v>
      </c>
      <c r="F1345" s="118" t="e">
        <f aca="false">E1345*$F$1</f>
        <v>#VALUE!</v>
      </c>
    </row>
    <row r="1346" customFormat="false" ht="14.25" hidden="false" customHeight="true" outlineLevel="0" collapsed="false">
      <c r="A1346" s="118" t="s">
        <v>1005</v>
      </c>
      <c r="B1346" s="118" t="str">
        <f aca="false">CONCATENATE(C1346&amp;D1346)</f>
        <v>1"961</v>
      </c>
      <c r="C1346" s="118" t="s">
        <v>967</v>
      </c>
      <c r="D1346" s="153" t="n">
        <f aca="false">D1345+1</f>
        <v>961</v>
      </c>
      <c r="E1346" s="118" t="e">
        <f aca="false">CEILING(D1346/20;1)</f>
        <v>#VALUE!</v>
      </c>
      <c r="F1346" s="118" t="e">
        <f aca="false">E1346*$F$1</f>
        <v>#VALUE!</v>
      </c>
    </row>
    <row r="1347" customFormat="false" ht="14.25" hidden="false" customHeight="true" outlineLevel="0" collapsed="false">
      <c r="A1347" s="118" t="s">
        <v>1005</v>
      </c>
      <c r="B1347" s="118" t="str">
        <f aca="false">CONCATENATE(C1347&amp;D1347)</f>
        <v>1"962</v>
      </c>
      <c r="C1347" s="118" t="s">
        <v>967</v>
      </c>
      <c r="D1347" s="153" t="n">
        <f aca="false">D1346+1</f>
        <v>962</v>
      </c>
      <c r="E1347" s="118" t="e">
        <f aca="false">CEILING(D1347/20;1)</f>
        <v>#VALUE!</v>
      </c>
      <c r="F1347" s="118" t="e">
        <f aca="false">E1347*$F$1</f>
        <v>#VALUE!</v>
      </c>
    </row>
    <row r="1348" customFormat="false" ht="14.25" hidden="false" customHeight="true" outlineLevel="0" collapsed="false">
      <c r="A1348" s="118" t="s">
        <v>1005</v>
      </c>
      <c r="B1348" s="118" t="str">
        <f aca="false">CONCATENATE(C1348&amp;D1348)</f>
        <v>1"963</v>
      </c>
      <c r="C1348" s="118" t="s">
        <v>967</v>
      </c>
      <c r="D1348" s="153" t="n">
        <f aca="false">D1347+1</f>
        <v>963</v>
      </c>
      <c r="E1348" s="118" t="e">
        <f aca="false">CEILING(D1348/20;1)</f>
        <v>#VALUE!</v>
      </c>
      <c r="F1348" s="118" t="e">
        <f aca="false">E1348*$F$1</f>
        <v>#VALUE!</v>
      </c>
    </row>
    <row r="1349" customFormat="false" ht="14.25" hidden="false" customHeight="true" outlineLevel="0" collapsed="false">
      <c r="A1349" s="118" t="s">
        <v>1005</v>
      </c>
      <c r="B1349" s="118" t="str">
        <f aca="false">CONCATENATE(C1349&amp;D1349)</f>
        <v>1"964</v>
      </c>
      <c r="C1349" s="118" t="s">
        <v>967</v>
      </c>
      <c r="D1349" s="153" t="n">
        <f aca="false">D1348+1</f>
        <v>964</v>
      </c>
      <c r="E1349" s="118" t="e">
        <f aca="false">CEILING(D1349/20;1)</f>
        <v>#VALUE!</v>
      </c>
      <c r="F1349" s="118" t="e">
        <f aca="false">E1349*$F$1</f>
        <v>#VALUE!</v>
      </c>
    </row>
    <row r="1350" customFormat="false" ht="14.25" hidden="false" customHeight="true" outlineLevel="0" collapsed="false">
      <c r="A1350" s="118" t="s">
        <v>1005</v>
      </c>
      <c r="B1350" s="118" t="str">
        <f aca="false">CONCATENATE(C1350&amp;D1350)</f>
        <v>1"965</v>
      </c>
      <c r="C1350" s="118" t="s">
        <v>967</v>
      </c>
      <c r="D1350" s="153" t="n">
        <f aca="false">D1349+1</f>
        <v>965</v>
      </c>
      <c r="E1350" s="118" t="e">
        <f aca="false">CEILING(D1350/20;1)</f>
        <v>#VALUE!</v>
      </c>
      <c r="F1350" s="118" t="e">
        <f aca="false">E1350*$F$1</f>
        <v>#VALUE!</v>
      </c>
    </row>
    <row r="1351" customFormat="false" ht="14.25" hidden="false" customHeight="true" outlineLevel="0" collapsed="false">
      <c r="A1351" s="118" t="s">
        <v>1005</v>
      </c>
      <c r="B1351" s="118" t="str">
        <f aca="false">CONCATENATE(C1351&amp;D1351)</f>
        <v>1"966</v>
      </c>
      <c r="C1351" s="118" t="s">
        <v>967</v>
      </c>
      <c r="D1351" s="153" t="n">
        <f aca="false">D1350+1</f>
        <v>966</v>
      </c>
      <c r="E1351" s="118" t="e">
        <f aca="false">CEILING(D1351/20;1)</f>
        <v>#VALUE!</v>
      </c>
      <c r="F1351" s="118" t="e">
        <f aca="false">E1351*$F$1</f>
        <v>#VALUE!</v>
      </c>
    </row>
    <row r="1352" customFormat="false" ht="14.25" hidden="false" customHeight="true" outlineLevel="0" collapsed="false">
      <c r="A1352" s="118" t="s">
        <v>1005</v>
      </c>
      <c r="B1352" s="118" t="str">
        <f aca="false">CONCATENATE(C1352&amp;D1352)</f>
        <v>1"967</v>
      </c>
      <c r="C1352" s="118" t="s">
        <v>967</v>
      </c>
      <c r="D1352" s="153" t="n">
        <f aca="false">D1351+1</f>
        <v>967</v>
      </c>
      <c r="E1352" s="118" t="e">
        <f aca="false">CEILING(D1352/20;1)</f>
        <v>#VALUE!</v>
      </c>
      <c r="F1352" s="118" t="e">
        <f aca="false">E1352*$F$1</f>
        <v>#VALUE!</v>
      </c>
    </row>
    <row r="1353" customFormat="false" ht="14.25" hidden="false" customHeight="true" outlineLevel="0" collapsed="false">
      <c r="A1353" s="118" t="s">
        <v>1005</v>
      </c>
      <c r="B1353" s="118" t="str">
        <f aca="false">CONCATENATE(C1353&amp;D1353)</f>
        <v>1"968</v>
      </c>
      <c r="C1353" s="118" t="s">
        <v>967</v>
      </c>
      <c r="D1353" s="153" t="n">
        <f aca="false">D1352+1</f>
        <v>968</v>
      </c>
      <c r="E1353" s="118" t="e">
        <f aca="false">CEILING(D1353/20;1)</f>
        <v>#VALUE!</v>
      </c>
      <c r="F1353" s="118" t="e">
        <f aca="false">E1353*$F$1</f>
        <v>#VALUE!</v>
      </c>
    </row>
    <row r="1354" customFormat="false" ht="14.25" hidden="false" customHeight="true" outlineLevel="0" collapsed="false">
      <c r="A1354" s="118" t="s">
        <v>1005</v>
      </c>
      <c r="B1354" s="118" t="str">
        <f aca="false">CONCATENATE(C1354&amp;D1354)</f>
        <v>1"969</v>
      </c>
      <c r="C1354" s="118" t="s">
        <v>967</v>
      </c>
      <c r="D1354" s="153" t="n">
        <f aca="false">D1353+1</f>
        <v>969</v>
      </c>
      <c r="E1354" s="118" t="e">
        <f aca="false">CEILING(D1354/20;1)</f>
        <v>#VALUE!</v>
      </c>
      <c r="F1354" s="118" t="e">
        <f aca="false">E1354*$F$1</f>
        <v>#VALUE!</v>
      </c>
    </row>
    <row r="1355" customFormat="false" ht="14.25" hidden="false" customHeight="true" outlineLevel="0" collapsed="false">
      <c r="A1355" s="118" t="s">
        <v>1005</v>
      </c>
      <c r="B1355" s="118" t="str">
        <f aca="false">CONCATENATE(C1355&amp;D1355)</f>
        <v>1"970</v>
      </c>
      <c r="C1355" s="118" t="s">
        <v>967</v>
      </c>
      <c r="D1355" s="153" t="n">
        <f aca="false">D1354+1</f>
        <v>970</v>
      </c>
      <c r="E1355" s="118" t="e">
        <f aca="false">CEILING(D1355/20;1)</f>
        <v>#VALUE!</v>
      </c>
      <c r="F1355" s="118" t="e">
        <f aca="false">E1355*$F$1</f>
        <v>#VALUE!</v>
      </c>
    </row>
    <row r="1356" customFormat="false" ht="14.25" hidden="false" customHeight="true" outlineLevel="0" collapsed="false">
      <c r="A1356" s="118" t="s">
        <v>1005</v>
      </c>
      <c r="B1356" s="118" t="str">
        <f aca="false">CONCATENATE(C1356&amp;D1356)</f>
        <v>1"971</v>
      </c>
      <c r="C1356" s="118" t="s">
        <v>967</v>
      </c>
      <c r="D1356" s="153" t="n">
        <f aca="false">D1355+1</f>
        <v>971</v>
      </c>
      <c r="E1356" s="118" t="e">
        <f aca="false">CEILING(D1356/20;1)</f>
        <v>#VALUE!</v>
      </c>
      <c r="F1356" s="118" t="e">
        <f aca="false">E1356*$F$1</f>
        <v>#VALUE!</v>
      </c>
    </row>
    <row r="1357" customFormat="false" ht="14.25" hidden="false" customHeight="true" outlineLevel="0" collapsed="false">
      <c r="A1357" s="118" t="s">
        <v>1005</v>
      </c>
      <c r="B1357" s="118" t="str">
        <f aca="false">CONCATENATE(C1357&amp;D1357)</f>
        <v>1"972</v>
      </c>
      <c r="C1357" s="118" t="s">
        <v>967</v>
      </c>
      <c r="D1357" s="153" t="n">
        <f aca="false">D1356+1</f>
        <v>972</v>
      </c>
      <c r="E1357" s="118" t="e">
        <f aca="false">CEILING(D1357/20;1)</f>
        <v>#VALUE!</v>
      </c>
      <c r="F1357" s="118" t="e">
        <f aca="false">E1357*$F$1</f>
        <v>#VALUE!</v>
      </c>
    </row>
    <row r="1358" customFormat="false" ht="14.25" hidden="false" customHeight="true" outlineLevel="0" collapsed="false">
      <c r="A1358" s="118" t="s">
        <v>1005</v>
      </c>
      <c r="B1358" s="118" t="str">
        <f aca="false">CONCATENATE(C1358&amp;D1358)</f>
        <v>1"973</v>
      </c>
      <c r="C1358" s="118" t="s">
        <v>967</v>
      </c>
      <c r="D1358" s="153" t="n">
        <f aca="false">D1357+1</f>
        <v>973</v>
      </c>
      <c r="E1358" s="118" t="e">
        <f aca="false">CEILING(D1358/20;1)</f>
        <v>#VALUE!</v>
      </c>
      <c r="F1358" s="118" t="e">
        <f aca="false">E1358*$F$1</f>
        <v>#VALUE!</v>
      </c>
    </row>
    <row r="1359" customFormat="false" ht="14.25" hidden="false" customHeight="true" outlineLevel="0" collapsed="false">
      <c r="A1359" s="118" t="s">
        <v>1005</v>
      </c>
      <c r="B1359" s="118" t="str">
        <f aca="false">CONCATENATE(C1359&amp;D1359)</f>
        <v>1"974</v>
      </c>
      <c r="C1359" s="118" t="s">
        <v>967</v>
      </c>
      <c r="D1359" s="153" t="n">
        <f aca="false">D1358+1</f>
        <v>974</v>
      </c>
      <c r="E1359" s="118" t="e">
        <f aca="false">CEILING(D1359/20;1)</f>
        <v>#VALUE!</v>
      </c>
      <c r="F1359" s="118" t="e">
        <f aca="false">E1359*$F$1</f>
        <v>#VALUE!</v>
      </c>
    </row>
    <row r="1360" customFormat="false" ht="14.25" hidden="false" customHeight="true" outlineLevel="0" collapsed="false">
      <c r="A1360" s="118" t="s">
        <v>1005</v>
      </c>
      <c r="B1360" s="118" t="str">
        <f aca="false">CONCATENATE(C1360&amp;D1360)</f>
        <v>1"975</v>
      </c>
      <c r="C1360" s="118" t="s">
        <v>967</v>
      </c>
      <c r="D1360" s="153" t="n">
        <f aca="false">D1359+1</f>
        <v>975</v>
      </c>
      <c r="E1360" s="118" t="e">
        <f aca="false">CEILING(D1360/20;1)</f>
        <v>#VALUE!</v>
      </c>
      <c r="F1360" s="118" t="e">
        <f aca="false">E1360*$F$1</f>
        <v>#VALUE!</v>
      </c>
    </row>
    <row r="1361" customFormat="false" ht="14.25" hidden="false" customHeight="true" outlineLevel="0" collapsed="false">
      <c r="A1361" s="118" t="s">
        <v>1005</v>
      </c>
      <c r="B1361" s="118" t="str">
        <f aca="false">CONCATENATE(C1361&amp;D1361)</f>
        <v>1"976</v>
      </c>
      <c r="C1361" s="118" t="s">
        <v>967</v>
      </c>
      <c r="D1361" s="153" t="n">
        <f aca="false">D1360+1</f>
        <v>976</v>
      </c>
      <c r="E1361" s="118" t="e">
        <f aca="false">CEILING(D1361/20;1)</f>
        <v>#VALUE!</v>
      </c>
      <c r="F1361" s="118" t="e">
        <f aca="false">E1361*$F$1</f>
        <v>#VALUE!</v>
      </c>
    </row>
    <row r="1362" customFormat="false" ht="14.25" hidden="false" customHeight="true" outlineLevel="0" collapsed="false">
      <c r="A1362" s="118" t="s">
        <v>1005</v>
      </c>
      <c r="B1362" s="118" t="str">
        <f aca="false">CONCATENATE(C1362&amp;D1362)</f>
        <v>1"977</v>
      </c>
      <c r="C1362" s="118" t="s">
        <v>967</v>
      </c>
      <c r="D1362" s="153" t="n">
        <f aca="false">D1361+1</f>
        <v>977</v>
      </c>
      <c r="E1362" s="118" t="e">
        <f aca="false">CEILING(D1362/20;1)</f>
        <v>#VALUE!</v>
      </c>
      <c r="F1362" s="118" t="e">
        <f aca="false">E1362*$F$1</f>
        <v>#VALUE!</v>
      </c>
    </row>
    <row r="1363" customFormat="false" ht="14.25" hidden="false" customHeight="true" outlineLevel="0" collapsed="false">
      <c r="A1363" s="118" t="s">
        <v>1005</v>
      </c>
      <c r="B1363" s="118" t="str">
        <f aca="false">CONCATENATE(C1363&amp;D1363)</f>
        <v>1"978</v>
      </c>
      <c r="C1363" s="118" t="s">
        <v>967</v>
      </c>
      <c r="D1363" s="153" t="n">
        <f aca="false">D1362+1</f>
        <v>978</v>
      </c>
      <c r="E1363" s="118" t="e">
        <f aca="false">CEILING(D1363/20;1)</f>
        <v>#VALUE!</v>
      </c>
      <c r="F1363" s="118" t="e">
        <f aca="false">E1363*$F$1</f>
        <v>#VALUE!</v>
      </c>
    </row>
    <row r="1364" customFormat="false" ht="14.25" hidden="false" customHeight="true" outlineLevel="0" collapsed="false">
      <c r="A1364" s="118" t="s">
        <v>1005</v>
      </c>
      <c r="B1364" s="118" t="str">
        <f aca="false">CONCATENATE(C1364&amp;D1364)</f>
        <v>1"979</v>
      </c>
      <c r="C1364" s="118" t="s">
        <v>967</v>
      </c>
      <c r="D1364" s="153" t="n">
        <f aca="false">D1363+1</f>
        <v>979</v>
      </c>
      <c r="E1364" s="118" t="e">
        <f aca="false">CEILING(D1364/20;1)</f>
        <v>#VALUE!</v>
      </c>
      <c r="F1364" s="118" t="e">
        <f aca="false">E1364*$F$1</f>
        <v>#VALUE!</v>
      </c>
    </row>
    <row r="1365" customFormat="false" ht="14.25" hidden="false" customHeight="true" outlineLevel="0" collapsed="false">
      <c r="A1365" s="118" t="s">
        <v>1005</v>
      </c>
      <c r="B1365" s="118" t="str">
        <f aca="false">CONCATENATE(C1365&amp;D1365)</f>
        <v>1"980</v>
      </c>
      <c r="C1365" s="118" t="s">
        <v>967</v>
      </c>
      <c r="D1365" s="153" t="n">
        <f aca="false">D1364+1</f>
        <v>980</v>
      </c>
      <c r="E1365" s="118" t="e">
        <f aca="false">CEILING(D1365/20;1)</f>
        <v>#VALUE!</v>
      </c>
      <c r="F1365" s="118" t="e">
        <f aca="false">E1365*$F$1</f>
        <v>#VALUE!</v>
      </c>
    </row>
    <row r="1366" customFormat="false" ht="14.25" hidden="false" customHeight="true" outlineLevel="0" collapsed="false">
      <c r="A1366" s="118" t="s">
        <v>1005</v>
      </c>
      <c r="B1366" s="118" t="str">
        <f aca="false">CONCATENATE(C1366&amp;D1366)</f>
        <v>1"981</v>
      </c>
      <c r="C1366" s="118" t="s">
        <v>967</v>
      </c>
      <c r="D1366" s="153" t="n">
        <f aca="false">D1365+1</f>
        <v>981</v>
      </c>
      <c r="E1366" s="118" t="e">
        <f aca="false">CEILING(D1366/20;1)</f>
        <v>#VALUE!</v>
      </c>
      <c r="F1366" s="118" t="e">
        <f aca="false">E1366*$F$1</f>
        <v>#VALUE!</v>
      </c>
    </row>
    <row r="1367" customFormat="false" ht="14.25" hidden="false" customHeight="true" outlineLevel="0" collapsed="false">
      <c r="A1367" s="118" t="s">
        <v>1005</v>
      </c>
      <c r="B1367" s="118" t="str">
        <f aca="false">CONCATENATE(C1367&amp;D1367)</f>
        <v>1"982</v>
      </c>
      <c r="C1367" s="118" t="s">
        <v>967</v>
      </c>
      <c r="D1367" s="153" t="n">
        <f aca="false">D1366+1</f>
        <v>982</v>
      </c>
      <c r="E1367" s="118" t="e">
        <f aca="false">CEILING(D1367/20;1)</f>
        <v>#VALUE!</v>
      </c>
      <c r="F1367" s="118" t="e">
        <f aca="false">E1367*$F$1</f>
        <v>#VALUE!</v>
      </c>
    </row>
    <row r="1368" customFormat="false" ht="14.25" hidden="false" customHeight="true" outlineLevel="0" collapsed="false">
      <c r="A1368" s="118" t="s">
        <v>1005</v>
      </c>
      <c r="B1368" s="118" t="str">
        <f aca="false">CONCATENATE(C1368&amp;D1368)</f>
        <v>1"983</v>
      </c>
      <c r="C1368" s="118" t="s">
        <v>967</v>
      </c>
      <c r="D1368" s="153" t="n">
        <f aca="false">D1367+1</f>
        <v>983</v>
      </c>
      <c r="E1368" s="118" t="e">
        <f aca="false">CEILING(D1368/20;1)</f>
        <v>#VALUE!</v>
      </c>
      <c r="F1368" s="118" t="e">
        <f aca="false">E1368*$F$1</f>
        <v>#VALUE!</v>
      </c>
    </row>
    <row r="1369" customFormat="false" ht="14.25" hidden="false" customHeight="true" outlineLevel="0" collapsed="false">
      <c r="A1369" s="118" t="s">
        <v>1005</v>
      </c>
      <c r="B1369" s="118" t="str">
        <f aca="false">CONCATENATE(C1369&amp;D1369)</f>
        <v>1"984</v>
      </c>
      <c r="C1369" s="118" t="s">
        <v>967</v>
      </c>
      <c r="D1369" s="153" t="n">
        <f aca="false">D1368+1</f>
        <v>984</v>
      </c>
      <c r="E1369" s="118" t="e">
        <f aca="false">CEILING(D1369/20;1)</f>
        <v>#VALUE!</v>
      </c>
      <c r="F1369" s="118" t="e">
        <f aca="false">E1369*$F$1</f>
        <v>#VALUE!</v>
      </c>
    </row>
    <row r="1370" customFormat="false" ht="14.25" hidden="false" customHeight="true" outlineLevel="0" collapsed="false">
      <c r="A1370" s="118" t="s">
        <v>1005</v>
      </c>
      <c r="B1370" s="118" t="str">
        <f aca="false">CONCATENATE(C1370&amp;D1370)</f>
        <v>1"985</v>
      </c>
      <c r="C1370" s="118" t="s">
        <v>967</v>
      </c>
      <c r="D1370" s="153" t="n">
        <f aca="false">D1369+1</f>
        <v>985</v>
      </c>
      <c r="E1370" s="118" t="e">
        <f aca="false">CEILING(D1370/20;1)</f>
        <v>#VALUE!</v>
      </c>
      <c r="F1370" s="118" t="e">
        <f aca="false">E1370*$F$1</f>
        <v>#VALUE!</v>
      </c>
    </row>
    <row r="1371" customFormat="false" ht="14.25" hidden="false" customHeight="true" outlineLevel="0" collapsed="false">
      <c r="A1371" s="118" t="s">
        <v>1005</v>
      </c>
      <c r="B1371" s="118" t="str">
        <f aca="false">CONCATENATE(C1371&amp;D1371)</f>
        <v>1"986</v>
      </c>
      <c r="C1371" s="118" t="s">
        <v>967</v>
      </c>
      <c r="D1371" s="153" t="n">
        <f aca="false">D1370+1</f>
        <v>986</v>
      </c>
      <c r="E1371" s="118" t="e">
        <f aca="false">CEILING(D1371/20;1)</f>
        <v>#VALUE!</v>
      </c>
      <c r="F1371" s="118" t="e">
        <f aca="false">E1371*$F$1</f>
        <v>#VALUE!</v>
      </c>
    </row>
    <row r="1372" customFormat="false" ht="14.25" hidden="false" customHeight="true" outlineLevel="0" collapsed="false">
      <c r="A1372" s="118" t="s">
        <v>1005</v>
      </c>
      <c r="B1372" s="118" t="str">
        <f aca="false">CONCATENATE(C1372&amp;D1372)</f>
        <v>1"987</v>
      </c>
      <c r="C1372" s="118" t="s">
        <v>967</v>
      </c>
      <c r="D1372" s="153" t="n">
        <f aca="false">D1371+1</f>
        <v>987</v>
      </c>
      <c r="E1372" s="118" t="e">
        <f aca="false">CEILING(D1372/20;1)</f>
        <v>#VALUE!</v>
      </c>
      <c r="F1372" s="118" t="e">
        <f aca="false">E1372*$F$1</f>
        <v>#VALUE!</v>
      </c>
    </row>
    <row r="1373" customFormat="false" ht="14.25" hidden="false" customHeight="true" outlineLevel="0" collapsed="false">
      <c r="A1373" s="118" t="s">
        <v>1005</v>
      </c>
      <c r="B1373" s="118" t="str">
        <f aca="false">CONCATENATE(C1373&amp;D1373)</f>
        <v>1"988</v>
      </c>
      <c r="C1373" s="118" t="s">
        <v>967</v>
      </c>
      <c r="D1373" s="153" t="n">
        <f aca="false">D1372+1</f>
        <v>988</v>
      </c>
      <c r="E1373" s="118" t="e">
        <f aca="false">CEILING(D1373/20;1)</f>
        <v>#VALUE!</v>
      </c>
      <c r="F1373" s="118" t="e">
        <f aca="false">E1373*$F$1</f>
        <v>#VALUE!</v>
      </c>
    </row>
    <row r="1374" customFormat="false" ht="14.25" hidden="false" customHeight="true" outlineLevel="0" collapsed="false">
      <c r="A1374" s="118" t="s">
        <v>1005</v>
      </c>
      <c r="B1374" s="118" t="str">
        <f aca="false">CONCATENATE(C1374&amp;D1374)</f>
        <v>1"989</v>
      </c>
      <c r="C1374" s="118" t="s">
        <v>967</v>
      </c>
      <c r="D1374" s="153" t="n">
        <f aca="false">D1373+1</f>
        <v>989</v>
      </c>
      <c r="E1374" s="118" t="e">
        <f aca="false">CEILING(D1374/20;1)</f>
        <v>#VALUE!</v>
      </c>
      <c r="F1374" s="118" t="e">
        <f aca="false">E1374*$F$1</f>
        <v>#VALUE!</v>
      </c>
    </row>
    <row r="1375" customFormat="false" ht="14.25" hidden="false" customHeight="true" outlineLevel="0" collapsed="false">
      <c r="A1375" s="118" t="s">
        <v>1005</v>
      </c>
      <c r="B1375" s="118" t="str">
        <f aca="false">CONCATENATE(C1375&amp;D1375)</f>
        <v>1"990</v>
      </c>
      <c r="C1375" s="118" t="s">
        <v>967</v>
      </c>
      <c r="D1375" s="153" t="n">
        <f aca="false">D1374+1</f>
        <v>990</v>
      </c>
      <c r="E1375" s="118" t="e">
        <f aca="false">CEILING(D1375/20;1)</f>
        <v>#VALUE!</v>
      </c>
      <c r="F1375" s="118" t="e">
        <f aca="false">E1375*$F$1</f>
        <v>#VALUE!</v>
      </c>
    </row>
    <row r="1376" customFormat="false" ht="14.25" hidden="false" customHeight="true" outlineLevel="0" collapsed="false">
      <c r="A1376" s="118" t="s">
        <v>1005</v>
      </c>
      <c r="B1376" s="118" t="str">
        <f aca="false">CONCATENATE(C1376&amp;D1376)</f>
        <v>1"991</v>
      </c>
      <c r="C1376" s="118" t="s">
        <v>967</v>
      </c>
      <c r="D1376" s="153" t="n">
        <f aca="false">D1375+1</f>
        <v>991</v>
      </c>
      <c r="E1376" s="118" t="e">
        <f aca="false">CEILING(D1376/20;1)</f>
        <v>#VALUE!</v>
      </c>
      <c r="F1376" s="118" t="e">
        <f aca="false">E1376*$F$1</f>
        <v>#VALUE!</v>
      </c>
    </row>
    <row r="1377" customFormat="false" ht="14.25" hidden="false" customHeight="true" outlineLevel="0" collapsed="false">
      <c r="A1377" s="118" t="s">
        <v>1005</v>
      </c>
      <c r="B1377" s="118" t="str">
        <f aca="false">CONCATENATE(C1377&amp;D1377)</f>
        <v>1"992</v>
      </c>
      <c r="C1377" s="118" t="s">
        <v>967</v>
      </c>
      <c r="D1377" s="153" t="n">
        <f aca="false">D1376+1</f>
        <v>992</v>
      </c>
      <c r="E1377" s="118" t="e">
        <f aca="false">CEILING(D1377/20;1)</f>
        <v>#VALUE!</v>
      </c>
      <c r="F1377" s="118" t="e">
        <f aca="false">E1377*$F$1</f>
        <v>#VALUE!</v>
      </c>
    </row>
    <row r="1378" customFormat="false" ht="14.25" hidden="false" customHeight="true" outlineLevel="0" collapsed="false">
      <c r="A1378" s="118" t="s">
        <v>1005</v>
      </c>
      <c r="B1378" s="118" t="str">
        <f aca="false">CONCATENATE(C1378&amp;D1378)</f>
        <v>1"993</v>
      </c>
      <c r="C1378" s="118" t="s">
        <v>967</v>
      </c>
      <c r="D1378" s="153" t="n">
        <f aca="false">D1377+1</f>
        <v>993</v>
      </c>
      <c r="E1378" s="118" t="e">
        <f aca="false">CEILING(D1378/20;1)</f>
        <v>#VALUE!</v>
      </c>
      <c r="F1378" s="118" t="e">
        <f aca="false">E1378*$F$1</f>
        <v>#VALUE!</v>
      </c>
    </row>
    <row r="1379" customFormat="false" ht="14.25" hidden="false" customHeight="true" outlineLevel="0" collapsed="false">
      <c r="A1379" s="118" t="s">
        <v>1005</v>
      </c>
      <c r="B1379" s="118" t="str">
        <f aca="false">CONCATENATE(C1379&amp;D1379)</f>
        <v>1"994</v>
      </c>
      <c r="C1379" s="118" t="s">
        <v>967</v>
      </c>
      <c r="D1379" s="153" t="n">
        <f aca="false">D1378+1</f>
        <v>994</v>
      </c>
      <c r="E1379" s="118" t="e">
        <f aca="false">CEILING(D1379/20;1)</f>
        <v>#VALUE!</v>
      </c>
      <c r="F1379" s="118" t="e">
        <f aca="false">E1379*$F$1</f>
        <v>#VALUE!</v>
      </c>
    </row>
    <row r="1380" customFormat="false" ht="14.25" hidden="false" customHeight="true" outlineLevel="0" collapsed="false">
      <c r="A1380" s="118" t="s">
        <v>1005</v>
      </c>
      <c r="B1380" s="118" t="str">
        <f aca="false">CONCATENATE(C1380&amp;D1380)</f>
        <v>1"995</v>
      </c>
      <c r="C1380" s="118" t="s">
        <v>967</v>
      </c>
      <c r="D1380" s="153" t="n">
        <f aca="false">D1379+1</f>
        <v>995</v>
      </c>
      <c r="E1380" s="118" t="e">
        <f aca="false">CEILING(D1380/20;1)</f>
        <v>#VALUE!</v>
      </c>
      <c r="F1380" s="118" t="e">
        <f aca="false">E1380*$F$1</f>
        <v>#VALUE!</v>
      </c>
    </row>
    <row r="1381" customFormat="false" ht="14.25" hidden="false" customHeight="true" outlineLevel="0" collapsed="false">
      <c r="A1381" s="118" t="s">
        <v>1005</v>
      </c>
      <c r="B1381" s="118" t="str">
        <f aca="false">CONCATENATE(C1381&amp;D1381)</f>
        <v>1"996</v>
      </c>
      <c r="C1381" s="118" t="s">
        <v>967</v>
      </c>
      <c r="D1381" s="153" t="n">
        <f aca="false">D1380+1</f>
        <v>996</v>
      </c>
      <c r="E1381" s="118" t="e">
        <f aca="false">CEILING(D1381/20;1)</f>
        <v>#VALUE!</v>
      </c>
      <c r="F1381" s="118" t="e">
        <f aca="false">E1381*$F$1</f>
        <v>#VALUE!</v>
      </c>
    </row>
    <row r="1382" customFormat="false" ht="14.25" hidden="false" customHeight="true" outlineLevel="0" collapsed="false">
      <c r="A1382" s="118" t="s">
        <v>1005</v>
      </c>
      <c r="B1382" s="118" t="str">
        <f aca="false">CONCATENATE(C1382&amp;D1382)</f>
        <v>1"997</v>
      </c>
      <c r="C1382" s="118" t="s">
        <v>967</v>
      </c>
      <c r="D1382" s="153" t="n">
        <f aca="false">D1381+1</f>
        <v>997</v>
      </c>
      <c r="E1382" s="118" t="e">
        <f aca="false">CEILING(D1382/20;1)</f>
        <v>#VALUE!</v>
      </c>
      <c r="F1382" s="118" t="e">
        <f aca="false">E1382*$F$1</f>
        <v>#VALUE!</v>
      </c>
    </row>
    <row r="1383" customFormat="false" ht="14.25" hidden="false" customHeight="true" outlineLevel="0" collapsed="false">
      <c r="A1383" s="118" t="s">
        <v>1005</v>
      </c>
      <c r="B1383" s="118" t="str">
        <f aca="false">CONCATENATE(C1383&amp;D1383)</f>
        <v>1"998</v>
      </c>
      <c r="C1383" s="118" t="s">
        <v>967</v>
      </c>
      <c r="D1383" s="153" t="n">
        <f aca="false">D1382+1</f>
        <v>998</v>
      </c>
      <c r="E1383" s="118" t="e">
        <f aca="false">CEILING(D1383/20;1)</f>
        <v>#VALUE!</v>
      </c>
      <c r="F1383" s="118" t="e">
        <f aca="false">E1383*$F$1</f>
        <v>#VALUE!</v>
      </c>
    </row>
    <row r="1384" customFormat="false" ht="14.25" hidden="false" customHeight="true" outlineLevel="0" collapsed="false">
      <c r="A1384" s="118" t="s">
        <v>1005</v>
      </c>
      <c r="B1384" s="118" t="str">
        <f aca="false">CONCATENATE(C1384&amp;D1384)</f>
        <v>1"999</v>
      </c>
      <c r="C1384" s="118" t="s">
        <v>967</v>
      </c>
      <c r="D1384" s="153" t="n">
        <f aca="false">D1383+1</f>
        <v>999</v>
      </c>
      <c r="E1384" s="118" t="e">
        <f aca="false">CEILING(D1384/20;1)</f>
        <v>#VALUE!</v>
      </c>
      <c r="F1384" s="118" t="e">
        <f aca="false">E1384*$F$1</f>
        <v>#VALUE!</v>
      </c>
    </row>
    <row r="1385" customFormat="false" ht="14.25" hidden="false" customHeight="true" outlineLevel="0" collapsed="false">
      <c r="A1385" s="118" t="s">
        <v>1005</v>
      </c>
      <c r="B1385" s="118" t="str">
        <f aca="false">CONCATENATE(C1385&amp;D1385)</f>
        <v>1"1000</v>
      </c>
      <c r="C1385" s="118" t="s">
        <v>967</v>
      </c>
      <c r="D1385" s="153" t="n">
        <f aca="false">D1384+1</f>
        <v>1000</v>
      </c>
      <c r="E1385" s="118" t="e">
        <f aca="false">CEILING(D1385/20;1)</f>
        <v>#VALUE!</v>
      </c>
      <c r="F1385" s="118" t="e">
        <f aca="false">E1385*$F$1</f>
        <v>#VALUE!</v>
      </c>
    </row>
    <row r="1386" customFormat="false" ht="14.25" hidden="false" customHeight="true" outlineLevel="0" collapsed="false">
      <c r="A1386" s="118" t="s">
        <v>1005</v>
      </c>
      <c r="B1386" s="118" t="str">
        <f aca="false">CONCATENATE(C1386&amp;D1386)</f>
        <v>1"1001</v>
      </c>
      <c r="C1386" s="118" t="s">
        <v>967</v>
      </c>
      <c r="D1386" s="153" t="n">
        <f aca="false">D1385+1</f>
        <v>1001</v>
      </c>
      <c r="E1386" s="118" t="e">
        <f aca="false">CEILING(D1386/20;1)</f>
        <v>#VALUE!</v>
      </c>
      <c r="F1386" s="118" t="e">
        <f aca="false">E1386*$F$1</f>
        <v>#VALUE!</v>
      </c>
    </row>
    <row r="1387" customFormat="false" ht="14.25" hidden="false" customHeight="true" outlineLevel="0" collapsed="false">
      <c r="A1387" s="118" t="s">
        <v>1005</v>
      </c>
      <c r="B1387" s="118" t="str">
        <f aca="false">CONCATENATE(C1387&amp;D1387)</f>
        <v>1"1002</v>
      </c>
      <c r="C1387" s="118" t="s">
        <v>967</v>
      </c>
      <c r="D1387" s="153" t="n">
        <f aca="false">D1386+1</f>
        <v>1002</v>
      </c>
      <c r="E1387" s="118" t="e">
        <f aca="false">CEILING(D1387/20;1)</f>
        <v>#VALUE!</v>
      </c>
      <c r="F1387" s="118" t="e">
        <f aca="false">E1387*$F$1</f>
        <v>#VALUE!</v>
      </c>
    </row>
    <row r="1388" customFormat="false" ht="14.25" hidden="false" customHeight="true" outlineLevel="0" collapsed="false">
      <c r="A1388" s="118" t="s">
        <v>1005</v>
      </c>
      <c r="B1388" s="118" t="str">
        <f aca="false">CONCATENATE(C1388&amp;D1388)</f>
        <v>1"1003</v>
      </c>
      <c r="C1388" s="118" t="s">
        <v>967</v>
      </c>
      <c r="D1388" s="153" t="n">
        <f aca="false">D1387+1</f>
        <v>1003</v>
      </c>
      <c r="E1388" s="118" t="e">
        <f aca="false">CEILING(D1388/20;1)</f>
        <v>#VALUE!</v>
      </c>
      <c r="F1388" s="118" t="e">
        <f aca="false">E1388*$F$1</f>
        <v>#VALUE!</v>
      </c>
    </row>
    <row r="1389" customFormat="false" ht="14.25" hidden="false" customHeight="true" outlineLevel="0" collapsed="false">
      <c r="A1389" s="118" t="s">
        <v>1005</v>
      </c>
      <c r="B1389" s="118" t="str">
        <f aca="false">CONCATENATE(C1389&amp;D1389)</f>
        <v>1"1004</v>
      </c>
      <c r="C1389" s="118" t="s">
        <v>967</v>
      </c>
      <c r="D1389" s="153" t="n">
        <f aca="false">D1388+1</f>
        <v>1004</v>
      </c>
      <c r="E1389" s="118" t="e">
        <f aca="false">CEILING(D1389/20;1)</f>
        <v>#VALUE!</v>
      </c>
      <c r="F1389" s="118" t="e">
        <f aca="false">E1389*$F$1</f>
        <v>#VALUE!</v>
      </c>
    </row>
    <row r="1390" customFormat="false" ht="14.25" hidden="false" customHeight="true" outlineLevel="0" collapsed="false">
      <c r="A1390" s="118" t="s">
        <v>1005</v>
      </c>
      <c r="B1390" s="118" t="str">
        <f aca="false">CONCATENATE(C1390&amp;D1390)</f>
        <v>1"1005</v>
      </c>
      <c r="C1390" s="118" t="s">
        <v>967</v>
      </c>
      <c r="D1390" s="153" t="n">
        <f aca="false">D1389+1</f>
        <v>1005</v>
      </c>
      <c r="E1390" s="118" t="e">
        <f aca="false">CEILING(D1390/20;1)</f>
        <v>#VALUE!</v>
      </c>
      <c r="F1390" s="118" t="e">
        <f aca="false">E1390*$F$1</f>
        <v>#VALUE!</v>
      </c>
    </row>
    <row r="1391" customFormat="false" ht="14.25" hidden="false" customHeight="true" outlineLevel="0" collapsed="false">
      <c r="A1391" s="118" t="s">
        <v>1005</v>
      </c>
      <c r="B1391" s="118" t="str">
        <f aca="false">CONCATENATE(C1391&amp;D1391)</f>
        <v>1"1006</v>
      </c>
      <c r="C1391" s="118" t="s">
        <v>967</v>
      </c>
      <c r="D1391" s="153" t="n">
        <f aca="false">D1390+1</f>
        <v>1006</v>
      </c>
      <c r="E1391" s="118" t="e">
        <f aca="false">CEILING(D1391/20;1)</f>
        <v>#VALUE!</v>
      </c>
      <c r="F1391" s="118" t="e">
        <f aca="false">E1391*$F$1</f>
        <v>#VALUE!</v>
      </c>
    </row>
    <row r="1392" customFormat="false" ht="14.25" hidden="false" customHeight="true" outlineLevel="0" collapsed="false">
      <c r="A1392" s="118" t="s">
        <v>1005</v>
      </c>
      <c r="B1392" s="118" t="str">
        <f aca="false">CONCATENATE(C1392&amp;D1392)</f>
        <v>1"1007</v>
      </c>
      <c r="C1392" s="118" t="s">
        <v>967</v>
      </c>
      <c r="D1392" s="153" t="n">
        <f aca="false">D1391+1</f>
        <v>1007</v>
      </c>
      <c r="E1392" s="118" t="e">
        <f aca="false">CEILING(D1392/20;1)</f>
        <v>#VALUE!</v>
      </c>
      <c r="F1392" s="118" t="e">
        <f aca="false">E1392*$F$1</f>
        <v>#VALUE!</v>
      </c>
    </row>
    <row r="1393" customFormat="false" ht="14.25" hidden="false" customHeight="true" outlineLevel="0" collapsed="false">
      <c r="A1393" s="118" t="s">
        <v>1005</v>
      </c>
      <c r="B1393" s="118" t="str">
        <f aca="false">CONCATENATE(C1393&amp;D1393)</f>
        <v>1"1008</v>
      </c>
      <c r="C1393" s="118" t="s">
        <v>967</v>
      </c>
      <c r="D1393" s="153" t="n">
        <f aca="false">D1392+1</f>
        <v>1008</v>
      </c>
      <c r="E1393" s="118" t="e">
        <f aca="false">CEILING(D1393/20;1)</f>
        <v>#VALUE!</v>
      </c>
      <c r="F1393" s="118" t="e">
        <f aca="false">E1393*$F$1</f>
        <v>#VALUE!</v>
      </c>
    </row>
    <row r="1394" customFormat="false" ht="14.25" hidden="false" customHeight="true" outlineLevel="0" collapsed="false">
      <c r="A1394" s="118" t="s">
        <v>1005</v>
      </c>
      <c r="B1394" s="118" t="str">
        <f aca="false">CONCATENATE(C1394&amp;D1394)</f>
        <v>1"1009</v>
      </c>
      <c r="C1394" s="118" t="s">
        <v>967</v>
      </c>
      <c r="D1394" s="153" t="n">
        <f aca="false">D1393+1</f>
        <v>1009</v>
      </c>
      <c r="E1394" s="118" t="e">
        <f aca="false">CEILING(D1394/20;1)</f>
        <v>#VALUE!</v>
      </c>
      <c r="F1394" s="118" t="e">
        <f aca="false">E1394*$F$1</f>
        <v>#VALUE!</v>
      </c>
    </row>
    <row r="1395" customFormat="false" ht="14.25" hidden="false" customHeight="true" outlineLevel="0" collapsed="false">
      <c r="A1395" s="118" t="s">
        <v>1005</v>
      </c>
      <c r="B1395" s="118" t="str">
        <f aca="false">CONCATENATE(C1395&amp;D1395)</f>
        <v>1"1010</v>
      </c>
      <c r="C1395" s="118" t="s">
        <v>967</v>
      </c>
      <c r="D1395" s="153" t="n">
        <f aca="false">D1394+1</f>
        <v>1010</v>
      </c>
      <c r="E1395" s="118" t="e">
        <f aca="false">CEILING(D1395/20;1)</f>
        <v>#VALUE!</v>
      </c>
      <c r="F1395" s="118" t="e">
        <f aca="false">E1395*$F$1</f>
        <v>#VALUE!</v>
      </c>
    </row>
    <row r="1396" customFormat="false" ht="14.25" hidden="false" customHeight="true" outlineLevel="0" collapsed="false">
      <c r="A1396" s="118" t="s">
        <v>1005</v>
      </c>
      <c r="B1396" s="118" t="str">
        <f aca="false">CONCATENATE(C1396&amp;D1396)</f>
        <v>1"1011</v>
      </c>
      <c r="C1396" s="118" t="s">
        <v>967</v>
      </c>
      <c r="D1396" s="153" t="n">
        <f aca="false">D1395+1</f>
        <v>1011</v>
      </c>
      <c r="E1396" s="118" t="e">
        <f aca="false">CEILING(D1396/20;1)</f>
        <v>#VALUE!</v>
      </c>
      <c r="F1396" s="118" t="e">
        <f aca="false">E1396*$F$1</f>
        <v>#VALUE!</v>
      </c>
    </row>
    <row r="1397" customFormat="false" ht="14.25" hidden="false" customHeight="true" outlineLevel="0" collapsed="false">
      <c r="A1397" s="118" t="s">
        <v>1005</v>
      </c>
      <c r="B1397" s="118" t="str">
        <f aca="false">CONCATENATE(C1397&amp;D1397)</f>
        <v>1"1012</v>
      </c>
      <c r="C1397" s="118" t="s">
        <v>967</v>
      </c>
      <c r="D1397" s="153" t="n">
        <f aca="false">D1396+1</f>
        <v>1012</v>
      </c>
      <c r="E1397" s="118" t="e">
        <f aca="false">CEILING(D1397/20;1)</f>
        <v>#VALUE!</v>
      </c>
      <c r="F1397" s="118" t="e">
        <f aca="false">E1397*$F$1</f>
        <v>#VALUE!</v>
      </c>
    </row>
    <row r="1398" customFormat="false" ht="14.25" hidden="false" customHeight="true" outlineLevel="0" collapsed="false">
      <c r="A1398" s="118" t="s">
        <v>1005</v>
      </c>
      <c r="B1398" s="118" t="str">
        <f aca="false">CONCATENATE(C1398&amp;D1398)</f>
        <v>1"1013</v>
      </c>
      <c r="C1398" s="118" t="s">
        <v>967</v>
      </c>
      <c r="D1398" s="153" t="n">
        <f aca="false">D1397+1</f>
        <v>1013</v>
      </c>
      <c r="E1398" s="118" t="e">
        <f aca="false">CEILING(D1398/20;1)</f>
        <v>#VALUE!</v>
      </c>
      <c r="F1398" s="118" t="e">
        <f aca="false">E1398*$F$1</f>
        <v>#VALUE!</v>
      </c>
    </row>
    <row r="1399" customFormat="false" ht="14.25" hidden="false" customHeight="true" outlineLevel="0" collapsed="false">
      <c r="A1399" s="118" t="s">
        <v>1005</v>
      </c>
      <c r="B1399" s="118" t="str">
        <f aca="false">CONCATENATE(C1399&amp;D1399)</f>
        <v>1"1014</v>
      </c>
      <c r="C1399" s="118" t="s">
        <v>967</v>
      </c>
      <c r="D1399" s="153" t="n">
        <f aca="false">D1398+1</f>
        <v>1014</v>
      </c>
      <c r="E1399" s="118" t="e">
        <f aca="false">CEILING(D1399/20;1)</f>
        <v>#VALUE!</v>
      </c>
      <c r="F1399" s="118" t="e">
        <f aca="false">E1399*$F$1</f>
        <v>#VALUE!</v>
      </c>
    </row>
    <row r="1400" customFormat="false" ht="14.25" hidden="false" customHeight="true" outlineLevel="0" collapsed="false">
      <c r="A1400" s="118" t="s">
        <v>1005</v>
      </c>
      <c r="B1400" s="118" t="str">
        <f aca="false">CONCATENATE(C1400&amp;D1400)</f>
        <v>1"1015</v>
      </c>
      <c r="C1400" s="118" t="s">
        <v>967</v>
      </c>
      <c r="D1400" s="153" t="n">
        <f aca="false">D1399+1</f>
        <v>1015</v>
      </c>
      <c r="E1400" s="118" t="e">
        <f aca="false">CEILING(D1400/20;1)</f>
        <v>#VALUE!</v>
      </c>
      <c r="F1400" s="118" t="e">
        <f aca="false">E1400*$F$1</f>
        <v>#VALUE!</v>
      </c>
    </row>
    <row r="1401" customFormat="false" ht="14.25" hidden="false" customHeight="true" outlineLevel="0" collapsed="false">
      <c r="A1401" s="118" t="s">
        <v>1005</v>
      </c>
      <c r="B1401" s="118" t="str">
        <f aca="false">CONCATENATE(C1401&amp;D1401)</f>
        <v>1"1016</v>
      </c>
      <c r="C1401" s="118" t="s">
        <v>967</v>
      </c>
      <c r="D1401" s="153" t="n">
        <f aca="false">D1400+1</f>
        <v>1016</v>
      </c>
      <c r="E1401" s="118" t="e">
        <f aca="false">CEILING(D1401/20;1)</f>
        <v>#VALUE!</v>
      </c>
      <c r="F1401" s="118" t="e">
        <f aca="false">E1401*$F$1</f>
        <v>#VALUE!</v>
      </c>
    </row>
    <row r="1402" customFormat="false" ht="14.25" hidden="false" customHeight="true" outlineLevel="0" collapsed="false">
      <c r="A1402" s="118" t="s">
        <v>1005</v>
      </c>
      <c r="B1402" s="118" t="str">
        <f aca="false">CONCATENATE(C1402&amp;D1402)</f>
        <v>1"1017</v>
      </c>
      <c r="C1402" s="118" t="s">
        <v>967</v>
      </c>
      <c r="D1402" s="153" t="n">
        <f aca="false">D1401+1</f>
        <v>1017</v>
      </c>
      <c r="E1402" s="118" t="e">
        <f aca="false">CEILING(D1402/20;1)</f>
        <v>#VALUE!</v>
      </c>
      <c r="F1402" s="118" t="e">
        <f aca="false">E1402*$F$1</f>
        <v>#VALUE!</v>
      </c>
    </row>
    <row r="1403" customFormat="false" ht="14.25" hidden="false" customHeight="true" outlineLevel="0" collapsed="false">
      <c r="A1403" s="118" t="s">
        <v>1005</v>
      </c>
      <c r="B1403" s="118" t="str">
        <f aca="false">CONCATENATE(C1403&amp;D1403)</f>
        <v>1"1018</v>
      </c>
      <c r="C1403" s="118" t="s">
        <v>967</v>
      </c>
      <c r="D1403" s="153" t="n">
        <f aca="false">D1402+1</f>
        <v>1018</v>
      </c>
      <c r="E1403" s="118" t="e">
        <f aca="false">CEILING(D1403/20;1)</f>
        <v>#VALUE!</v>
      </c>
      <c r="F1403" s="118" t="e">
        <f aca="false">E1403*$F$1</f>
        <v>#VALUE!</v>
      </c>
    </row>
    <row r="1404" customFormat="false" ht="14.25" hidden="false" customHeight="true" outlineLevel="0" collapsed="false">
      <c r="A1404" s="118" t="s">
        <v>1005</v>
      </c>
      <c r="B1404" s="118" t="str">
        <f aca="false">CONCATENATE(C1404&amp;D1404)</f>
        <v>1"1019</v>
      </c>
      <c r="C1404" s="118" t="s">
        <v>967</v>
      </c>
      <c r="D1404" s="153" t="n">
        <f aca="false">D1403+1</f>
        <v>1019</v>
      </c>
      <c r="E1404" s="118" t="e">
        <f aca="false">CEILING(D1404/20;1)</f>
        <v>#VALUE!</v>
      </c>
      <c r="F1404" s="118" t="e">
        <f aca="false">E1404*$F$1</f>
        <v>#VALUE!</v>
      </c>
    </row>
    <row r="1405" customFormat="false" ht="14.25" hidden="false" customHeight="true" outlineLevel="0" collapsed="false">
      <c r="A1405" s="118" t="s">
        <v>1005</v>
      </c>
      <c r="B1405" s="118" t="str">
        <f aca="false">CONCATENATE(C1405&amp;D1405)</f>
        <v>1"1020</v>
      </c>
      <c r="C1405" s="118" t="s">
        <v>967</v>
      </c>
      <c r="D1405" s="153" t="n">
        <f aca="false">D1404+1</f>
        <v>1020</v>
      </c>
      <c r="E1405" s="118" t="e">
        <f aca="false">CEILING(D1405/20;1)</f>
        <v>#VALUE!</v>
      </c>
      <c r="F1405" s="118" t="e">
        <f aca="false">E1405*$F$1</f>
        <v>#VALUE!</v>
      </c>
    </row>
    <row r="1406" customFormat="false" ht="14.25" hidden="false" customHeight="true" outlineLevel="0" collapsed="false">
      <c r="A1406" s="118" t="s">
        <v>1005</v>
      </c>
      <c r="B1406" s="118" t="str">
        <f aca="false">CONCATENATE(C1406&amp;D1406)</f>
        <v>1"1021</v>
      </c>
      <c r="C1406" s="118" t="s">
        <v>967</v>
      </c>
      <c r="D1406" s="153" t="n">
        <f aca="false">D1405+1</f>
        <v>1021</v>
      </c>
      <c r="E1406" s="118" t="e">
        <f aca="false">CEILING(D1406/20;1)</f>
        <v>#VALUE!</v>
      </c>
      <c r="F1406" s="118" t="e">
        <f aca="false">E1406*$F$1</f>
        <v>#VALUE!</v>
      </c>
    </row>
    <row r="1407" customFormat="false" ht="14.25" hidden="false" customHeight="true" outlineLevel="0" collapsed="false">
      <c r="A1407" s="118" t="s">
        <v>1005</v>
      </c>
      <c r="B1407" s="118" t="str">
        <f aca="false">CONCATENATE(C1407&amp;D1407)</f>
        <v>1"1022</v>
      </c>
      <c r="C1407" s="118" t="s">
        <v>967</v>
      </c>
      <c r="D1407" s="153" t="n">
        <f aca="false">D1406+1</f>
        <v>1022</v>
      </c>
      <c r="E1407" s="118" t="e">
        <f aca="false">CEILING(D1407/20;1)</f>
        <v>#VALUE!</v>
      </c>
      <c r="F1407" s="118" t="e">
        <f aca="false">E1407*$F$1</f>
        <v>#VALUE!</v>
      </c>
    </row>
    <row r="1408" customFormat="false" ht="14.25" hidden="false" customHeight="true" outlineLevel="0" collapsed="false">
      <c r="A1408" s="118" t="s">
        <v>1005</v>
      </c>
      <c r="B1408" s="118" t="str">
        <f aca="false">CONCATENATE(C1408&amp;D1408)</f>
        <v>1"1023</v>
      </c>
      <c r="C1408" s="118" t="s">
        <v>967</v>
      </c>
      <c r="D1408" s="153" t="n">
        <f aca="false">D1407+1</f>
        <v>1023</v>
      </c>
      <c r="E1408" s="118" t="e">
        <f aca="false">CEILING(D1408/20;1)</f>
        <v>#VALUE!</v>
      </c>
      <c r="F1408" s="118" t="e">
        <f aca="false">E1408*$F$1</f>
        <v>#VALUE!</v>
      </c>
    </row>
    <row r="1409" customFormat="false" ht="14.25" hidden="false" customHeight="true" outlineLevel="0" collapsed="false">
      <c r="A1409" s="118" t="s">
        <v>1005</v>
      </c>
      <c r="B1409" s="118" t="str">
        <f aca="false">CONCATENATE(C1409&amp;D1409)</f>
        <v>1"1024</v>
      </c>
      <c r="C1409" s="118" t="s">
        <v>967</v>
      </c>
      <c r="D1409" s="153" t="n">
        <f aca="false">D1408+1</f>
        <v>1024</v>
      </c>
      <c r="E1409" s="118" t="e">
        <f aca="false">CEILING(D1409/20;1)</f>
        <v>#VALUE!</v>
      </c>
      <c r="F1409" s="118" t="e">
        <f aca="false">E1409*$F$1</f>
        <v>#VALUE!</v>
      </c>
    </row>
    <row r="1410" customFormat="false" ht="14.25" hidden="false" customHeight="true" outlineLevel="0" collapsed="false">
      <c r="A1410" s="118" t="s">
        <v>1005</v>
      </c>
      <c r="B1410" s="118" t="str">
        <f aca="false">CONCATENATE(C1410&amp;D1410)</f>
        <v>1"1025</v>
      </c>
      <c r="C1410" s="118" t="s">
        <v>967</v>
      </c>
      <c r="D1410" s="153" t="n">
        <f aca="false">D1409+1</f>
        <v>1025</v>
      </c>
      <c r="E1410" s="118" t="e">
        <f aca="false">CEILING(D1410/20;1)</f>
        <v>#VALUE!</v>
      </c>
      <c r="F1410" s="118" t="e">
        <f aca="false">E1410*$F$1</f>
        <v>#VALUE!</v>
      </c>
    </row>
    <row r="1411" customFormat="false" ht="14.25" hidden="false" customHeight="true" outlineLevel="0" collapsed="false">
      <c r="A1411" s="118" t="s">
        <v>1005</v>
      </c>
      <c r="B1411" s="118" t="str">
        <f aca="false">CONCATENATE(C1411&amp;D1411)</f>
        <v>1"1026</v>
      </c>
      <c r="C1411" s="118" t="s">
        <v>967</v>
      </c>
      <c r="D1411" s="153" t="n">
        <f aca="false">D1410+1</f>
        <v>1026</v>
      </c>
      <c r="E1411" s="118" t="e">
        <f aca="false">CEILING(D1411/20;1)</f>
        <v>#VALUE!</v>
      </c>
      <c r="F1411" s="118" t="e">
        <f aca="false">E1411*$F$1</f>
        <v>#VALUE!</v>
      </c>
    </row>
    <row r="1412" customFormat="false" ht="14.25" hidden="false" customHeight="true" outlineLevel="0" collapsed="false">
      <c r="A1412" s="118" t="s">
        <v>1005</v>
      </c>
      <c r="B1412" s="118" t="str">
        <f aca="false">CONCATENATE(C1412&amp;D1412)</f>
        <v>1"1027</v>
      </c>
      <c r="C1412" s="118" t="s">
        <v>967</v>
      </c>
      <c r="D1412" s="153" t="n">
        <f aca="false">D1411+1</f>
        <v>1027</v>
      </c>
      <c r="E1412" s="118" t="e">
        <f aca="false">CEILING(D1412/20;1)</f>
        <v>#VALUE!</v>
      </c>
      <c r="F1412" s="118" t="e">
        <f aca="false">E1412*$F$1</f>
        <v>#VALUE!</v>
      </c>
    </row>
    <row r="1413" customFormat="false" ht="14.25" hidden="false" customHeight="true" outlineLevel="0" collapsed="false">
      <c r="A1413" s="118" t="s">
        <v>1005</v>
      </c>
      <c r="B1413" s="118" t="str">
        <f aca="false">CONCATENATE(C1413&amp;D1413)</f>
        <v>1"1028</v>
      </c>
      <c r="C1413" s="118" t="s">
        <v>967</v>
      </c>
      <c r="D1413" s="153" t="n">
        <f aca="false">D1412+1</f>
        <v>1028</v>
      </c>
      <c r="E1413" s="118" t="e">
        <f aca="false">CEILING(D1413/20;1)</f>
        <v>#VALUE!</v>
      </c>
      <c r="F1413" s="118" t="e">
        <f aca="false">E1413*$F$1</f>
        <v>#VALUE!</v>
      </c>
    </row>
    <row r="1414" customFormat="false" ht="14.25" hidden="false" customHeight="true" outlineLevel="0" collapsed="false">
      <c r="A1414" s="118" t="s">
        <v>1005</v>
      </c>
      <c r="B1414" s="118" t="str">
        <f aca="false">CONCATENATE(C1414&amp;D1414)</f>
        <v>1"1029</v>
      </c>
      <c r="C1414" s="118" t="s">
        <v>967</v>
      </c>
      <c r="D1414" s="153" t="n">
        <f aca="false">D1413+1</f>
        <v>1029</v>
      </c>
      <c r="E1414" s="118" t="e">
        <f aca="false">CEILING(D1414/20;1)</f>
        <v>#VALUE!</v>
      </c>
      <c r="F1414" s="118" t="e">
        <f aca="false">E1414*$F$1</f>
        <v>#VALUE!</v>
      </c>
    </row>
    <row r="1415" customFormat="false" ht="14.25" hidden="false" customHeight="true" outlineLevel="0" collapsed="false">
      <c r="A1415" s="118" t="s">
        <v>1005</v>
      </c>
      <c r="B1415" s="118" t="str">
        <f aca="false">CONCATENATE(C1415&amp;D1415)</f>
        <v>1"1030</v>
      </c>
      <c r="C1415" s="118" t="s">
        <v>967</v>
      </c>
      <c r="D1415" s="153" t="n">
        <f aca="false">D1414+1</f>
        <v>1030</v>
      </c>
      <c r="E1415" s="118" t="e">
        <f aca="false">CEILING(D1415/20;1)</f>
        <v>#VALUE!</v>
      </c>
      <c r="F1415" s="118" t="e">
        <f aca="false">E1415*$F$1</f>
        <v>#VALUE!</v>
      </c>
    </row>
    <row r="1416" customFormat="false" ht="14.25" hidden="false" customHeight="true" outlineLevel="0" collapsed="false">
      <c r="A1416" s="118" t="s">
        <v>1005</v>
      </c>
      <c r="B1416" s="118" t="str">
        <f aca="false">CONCATENATE(C1416&amp;D1416)</f>
        <v>1"1031</v>
      </c>
      <c r="C1416" s="118" t="s">
        <v>967</v>
      </c>
      <c r="D1416" s="153" t="n">
        <f aca="false">D1415+1</f>
        <v>1031</v>
      </c>
      <c r="E1416" s="118" t="e">
        <f aca="false">CEILING(D1416/20;1)</f>
        <v>#VALUE!</v>
      </c>
      <c r="F1416" s="118" t="e">
        <f aca="false">E1416*$F$1</f>
        <v>#VALUE!</v>
      </c>
    </row>
    <row r="1417" customFormat="false" ht="14.25" hidden="false" customHeight="true" outlineLevel="0" collapsed="false">
      <c r="A1417" s="118" t="s">
        <v>1005</v>
      </c>
      <c r="B1417" s="118" t="str">
        <f aca="false">CONCATENATE(C1417&amp;D1417)</f>
        <v>1"1032</v>
      </c>
      <c r="C1417" s="118" t="s">
        <v>967</v>
      </c>
      <c r="D1417" s="153" t="n">
        <f aca="false">D1416+1</f>
        <v>1032</v>
      </c>
      <c r="E1417" s="118" t="e">
        <f aca="false">CEILING(D1417/20;1)</f>
        <v>#VALUE!</v>
      </c>
      <c r="F1417" s="118" t="e">
        <f aca="false">E1417*$F$1</f>
        <v>#VALUE!</v>
      </c>
    </row>
    <row r="1418" customFormat="false" ht="14.25" hidden="false" customHeight="true" outlineLevel="0" collapsed="false">
      <c r="A1418" s="118" t="s">
        <v>1005</v>
      </c>
      <c r="B1418" s="118" t="str">
        <f aca="false">CONCATENATE(C1418&amp;D1418)</f>
        <v>1"1033</v>
      </c>
      <c r="C1418" s="118" t="s">
        <v>967</v>
      </c>
      <c r="D1418" s="153" t="n">
        <f aca="false">D1417+1</f>
        <v>1033</v>
      </c>
      <c r="E1418" s="118" t="e">
        <f aca="false">CEILING(D1418/20;1)</f>
        <v>#VALUE!</v>
      </c>
      <c r="F1418" s="118" t="e">
        <f aca="false">E1418*$F$1</f>
        <v>#VALUE!</v>
      </c>
    </row>
    <row r="1419" customFormat="false" ht="14.25" hidden="false" customHeight="true" outlineLevel="0" collapsed="false">
      <c r="A1419" s="118" t="s">
        <v>1005</v>
      </c>
      <c r="B1419" s="118" t="str">
        <f aca="false">CONCATENATE(C1419&amp;D1419)</f>
        <v>1"1034</v>
      </c>
      <c r="C1419" s="118" t="s">
        <v>967</v>
      </c>
      <c r="D1419" s="153" t="n">
        <f aca="false">D1418+1</f>
        <v>1034</v>
      </c>
      <c r="E1419" s="118" t="e">
        <f aca="false">CEILING(D1419/20;1)</f>
        <v>#VALUE!</v>
      </c>
      <c r="F1419" s="118" t="e">
        <f aca="false">E1419*$F$1</f>
        <v>#VALUE!</v>
      </c>
    </row>
    <row r="1420" customFormat="false" ht="14.25" hidden="false" customHeight="true" outlineLevel="0" collapsed="false">
      <c r="A1420" s="118" t="s">
        <v>1005</v>
      </c>
      <c r="B1420" s="118" t="str">
        <f aca="false">CONCATENATE(C1420&amp;D1420)</f>
        <v>1"1035</v>
      </c>
      <c r="C1420" s="118" t="s">
        <v>967</v>
      </c>
      <c r="D1420" s="153" t="n">
        <f aca="false">D1419+1</f>
        <v>1035</v>
      </c>
      <c r="E1420" s="118" t="e">
        <f aca="false">CEILING(D1420/20;1)</f>
        <v>#VALUE!</v>
      </c>
      <c r="F1420" s="118" t="e">
        <f aca="false">E1420*$F$1</f>
        <v>#VALUE!</v>
      </c>
    </row>
    <row r="1421" customFormat="false" ht="14.25" hidden="false" customHeight="true" outlineLevel="0" collapsed="false">
      <c r="A1421" s="118" t="s">
        <v>1005</v>
      </c>
      <c r="B1421" s="118" t="str">
        <f aca="false">CONCATENATE(C1421&amp;D1421)</f>
        <v>1"1036</v>
      </c>
      <c r="C1421" s="118" t="s">
        <v>967</v>
      </c>
      <c r="D1421" s="153" t="n">
        <f aca="false">D1420+1</f>
        <v>1036</v>
      </c>
      <c r="E1421" s="118" t="e">
        <f aca="false">CEILING(D1421/20;1)</f>
        <v>#VALUE!</v>
      </c>
      <c r="F1421" s="118" t="e">
        <f aca="false">E1421*$F$1</f>
        <v>#VALUE!</v>
      </c>
    </row>
    <row r="1422" customFormat="false" ht="14.25" hidden="false" customHeight="true" outlineLevel="0" collapsed="false">
      <c r="A1422" s="118" t="s">
        <v>1005</v>
      </c>
      <c r="B1422" s="118" t="str">
        <f aca="false">CONCATENATE(C1422&amp;D1422)</f>
        <v>1"1037</v>
      </c>
      <c r="C1422" s="118" t="s">
        <v>967</v>
      </c>
      <c r="D1422" s="153" t="n">
        <f aca="false">D1421+1</f>
        <v>1037</v>
      </c>
      <c r="E1422" s="118" t="e">
        <f aca="false">CEILING(D1422/20;1)</f>
        <v>#VALUE!</v>
      </c>
      <c r="F1422" s="118" t="e">
        <f aca="false">E1422*$F$1</f>
        <v>#VALUE!</v>
      </c>
    </row>
    <row r="1423" customFormat="false" ht="14.25" hidden="false" customHeight="true" outlineLevel="0" collapsed="false">
      <c r="A1423" s="118" t="s">
        <v>1005</v>
      </c>
      <c r="B1423" s="118" t="str">
        <f aca="false">CONCATENATE(C1423&amp;D1423)</f>
        <v>1"1038</v>
      </c>
      <c r="C1423" s="118" t="s">
        <v>967</v>
      </c>
      <c r="D1423" s="153" t="n">
        <f aca="false">D1422+1</f>
        <v>1038</v>
      </c>
      <c r="E1423" s="118" t="e">
        <f aca="false">CEILING(D1423/20;1)</f>
        <v>#VALUE!</v>
      </c>
      <c r="F1423" s="118" t="e">
        <f aca="false">E1423*$F$1</f>
        <v>#VALUE!</v>
      </c>
    </row>
    <row r="1424" customFormat="false" ht="14.25" hidden="false" customHeight="true" outlineLevel="0" collapsed="false">
      <c r="A1424" s="118" t="s">
        <v>1005</v>
      </c>
      <c r="B1424" s="118" t="str">
        <f aca="false">CONCATENATE(C1424&amp;D1424)</f>
        <v>1"1039</v>
      </c>
      <c r="C1424" s="118" t="s">
        <v>967</v>
      </c>
      <c r="D1424" s="153" t="n">
        <f aca="false">D1423+1</f>
        <v>1039</v>
      </c>
      <c r="E1424" s="118" t="e">
        <f aca="false">CEILING(D1424/20;1)</f>
        <v>#VALUE!</v>
      </c>
      <c r="F1424" s="118" t="e">
        <f aca="false">E1424*$F$1</f>
        <v>#VALUE!</v>
      </c>
    </row>
    <row r="1425" customFormat="false" ht="14.25" hidden="false" customHeight="true" outlineLevel="0" collapsed="false">
      <c r="A1425" s="118" t="s">
        <v>1005</v>
      </c>
      <c r="B1425" s="118" t="str">
        <f aca="false">CONCATENATE(C1425&amp;D1425)</f>
        <v>1"1040</v>
      </c>
      <c r="C1425" s="118" t="s">
        <v>967</v>
      </c>
      <c r="D1425" s="153" t="n">
        <f aca="false">D1424+1</f>
        <v>1040</v>
      </c>
      <c r="E1425" s="118" t="e">
        <f aca="false">CEILING(D1425/20;1)</f>
        <v>#VALUE!</v>
      </c>
      <c r="F1425" s="118" t="e">
        <f aca="false">E1425*$F$1</f>
        <v>#VALUE!</v>
      </c>
    </row>
    <row r="1426" customFormat="false" ht="14.25" hidden="false" customHeight="true" outlineLevel="0" collapsed="false">
      <c r="A1426" s="118" t="s">
        <v>1005</v>
      </c>
      <c r="B1426" s="118" t="str">
        <f aca="false">CONCATENATE(C1426&amp;D1426)</f>
        <v>1"1041</v>
      </c>
      <c r="C1426" s="118" t="s">
        <v>967</v>
      </c>
      <c r="D1426" s="153" t="n">
        <f aca="false">D1425+1</f>
        <v>1041</v>
      </c>
      <c r="E1426" s="118" t="e">
        <f aca="false">CEILING(D1426/20;1)</f>
        <v>#VALUE!</v>
      </c>
      <c r="F1426" s="118" t="e">
        <f aca="false">E1426*$F$1</f>
        <v>#VALUE!</v>
      </c>
    </row>
    <row r="1427" customFormat="false" ht="14.25" hidden="false" customHeight="true" outlineLevel="0" collapsed="false">
      <c r="A1427" s="118" t="s">
        <v>1005</v>
      </c>
      <c r="B1427" s="118" t="str">
        <f aca="false">CONCATENATE(C1427&amp;D1427)</f>
        <v>1"1042</v>
      </c>
      <c r="C1427" s="118" t="s">
        <v>967</v>
      </c>
      <c r="D1427" s="153" t="n">
        <f aca="false">D1426+1</f>
        <v>1042</v>
      </c>
      <c r="E1427" s="118" t="e">
        <f aca="false">CEILING(D1427/20;1)</f>
        <v>#VALUE!</v>
      </c>
      <c r="F1427" s="118" t="e">
        <f aca="false">E1427*$F$1</f>
        <v>#VALUE!</v>
      </c>
    </row>
    <row r="1428" customFormat="false" ht="14.25" hidden="false" customHeight="true" outlineLevel="0" collapsed="false">
      <c r="A1428" s="118" t="s">
        <v>1005</v>
      </c>
      <c r="B1428" s="118" t="str">
        <f aca="false">CONCATENATE(C1428&amp;D1428)</f>
        <v>1"1043</v>
      </c>
      <c r="C1428" s="118" t="s">
        <v>967</v>
      </c>
      <c r="D1428" s="153" t="n">
        <f aca="false">D1427+1</f>
        <v>1043</v>
      </c>
      <c r="E1428" s="118" t="e">
        <f aca="false">CEILING(D1428/20;1)</f>
        <v>#VALUE!</v>
      </c>
      <c r="F1428" s="118" t="e">
        <f aca="false">E1428*$F$1</f>
        <v>#VALUE!</v>
      </c>
    </row>
    <row r="1429" customFormat="false" ht="14.25" hidden="false" customHeight="true" outlineLevel="0" collapsed="false">
      <c r="A1429" s="118" t="s">
        <v>1005</v>
      </c>
      <c r="B1429" s="118" t="str">
        <f aca="false">CONCATENATE(C1429&amp;D1429)</f>
        <v>1"1044</v>
      </c>
      <c r="C1429" s="118" t="s">
        <v>967</v>
      </c>
      <c r="D1429" s="153" t="n">
        <f aca="false">D1428+1</f>
        <v>1044</v>
      </c>
      <c r="E1429" s="118" t="e">
        <f aca="false">CEILING(D1429/20;1)</f>
        <v>#VALUE!</v>
      </c>
      <c r="F1429" s="118" t="e">
        <f aca="false">E1429*$F$1</f>
        <v>#VALUE!</v>
      </c>
    </row>
    <row r="1430" customFormat="false" ht="14.25" hidden="false" customHeight="true" outlineLevel="0" collapsed="false">
      <c r="A1430" s="118" t="s">
        <v>1005</v>
      </c>
      <c r="B1430" s="118" t="str">
        <f aca="false">CONCATENATE(C1430&amp;D1430)</f>
        <v>1"1045</v>
      </c>
      <c r="C1430" s="118" t="s">
        <v>967</v>
      </c>
      <c r="D1430" s="153" t="n">
        <f aca="false">D1429+1</f>
        <v>1045</v>
      </c>
      <c r="E1430" s="118" t="e">
        <f aca="false">CEILING(D1430/20;1)</f>
        <v>#VALUE!</v>
      </c>
      <c r="F1430" s="118" t="e">
        <f aca="false">E1430*$F$1</f>
        <v>#VALUE!</v>
      </c>
    </row>
    <row r="1431" customFormat="false" ht="14.25" hidden="false" customHeight="true" outlineLevel="0" collapsed="false">
      <c r="A1431" s="118" t="s">
        <v>1005</v>
      </c>
      <c r="B1431" s="118" t="str">
        <f aca="false">CONCATENATE(C1431&amp;D1431)</f>
        <v>1"1046</v>
      </c>
      <c r="C1431" s="118" t="s">
        <v>967</v>
      </c>
      <c r="D1431" s="153" t="n">
        <f aca="false">D1430+1</f>
        <v>1046</v>
      </c>
      <c r="E1431" s="118" t="e">
        <f aca="false">CEILING(D1431/20;1)</f>
        <v>#VALUE!</v>
      </c>
      <c r="F1431" s="118" t="e">
        <f aca="false">E1431*$F$1</f>
        <v>#VALUE!</v>
      </c>
    </row>
    <row r="1432" customFormat="false" ht="14.25" hidden="false" customHeight="true" outlineLevel="0" collapsed="false">
      <c r="A1432" s="118" t="s">
        <v>1005</v>
      </c>
      <c r="B1432" s="118" t="str">
        <f aca="false">CONCATENATE(C1432&amp;D1432)</f>
        <v>1"1047</v>
      </c>
      <c r="C1432" s="118" t="s">
        <v>967</v>
      </c>
      <c r="D1432" s="153" t="n">
        <f aca="false">D1431+1</f>
        <v>1047</v>
      </c>
      <c r="E1432" s="118" t="e">
        <f aca="false">CEILING(D1432/20;1)</f>
        <v>#VALUE!</v>
      </c>
      <c r="F1432" s="118" t="e">
        <f aca="false">E1432*$F$1</f>
        <v>#VALUE!</v>
      </c>
    </row>
    <row r="1433" customFormat="false" ht="14.25" hidden="false" customHeight="true" outlineLevel="0" collapsed="false">
      <c r="A1433" s="118" t="s">
        <v>1005</v>
      </c>
      <c r="B1433" s="118" t="str">
        <f aca="false">CONCATENATE(C1433&amp;D1433)</f>
        <v>1"1048</v>
      </c>
      <c r="C1433" s="118" t="s">
        <v>967</v>
      </c>
      <c r="D1433" s="153" t="n">
        <f aca="false">D1432+1</f>
        <v>1048</v>
      </c>
      <c r="E1433" s="118" t="e">
        <f aca="false">CEILING(D1433/20;1)</f>
        <v>#VALUE!</v>
      </c>
      <c r="F1433" s="118" t="e">
        <f aca="false">E1433*$F$1</f>
        <v>#VALUE!</v>
      </c>
    </row>
    <row r="1434" customFormat="false" ht="14.25" hidden="false" customHeight="true" outlineLevel="0" collapsed="false">
      <c r="A1434" s="118" t="s">
        <v>1005</v>
      </c>
      <c r="B1434" s="118" t="str">
        <f aca="false">CONCATENATE(C1434&amp;D1434)</f>
        <v>1"1049</v>
      </c>
      <c r="C1434" s="118" t="s">
        <v>967</v>
      </c>
      <c r="D1434" s="153" t="n">
        <f aca="false">D1433+1</f>
        <v>1049</v>
      </c>
      <c r="E1434" s="118" t="e">
        <f aca="false">CEILING(D1434/20;1)</f>
        <v>#VALUE!</v>
      </c>
      <c r="F1434" s="118" t="e">
        <f aca="false">E1434*$F$1</f>
        <v>#VALUE!</v>
      </c>
    </row>
    <row r="1435" customFormat="false" ht="14.25" hidden="false" customHeight="true" outlineLevel="0" collapsed="false">
      <c r="A1435" s="118" t="s">
        <v>1005</v>
      </c>
      <c r="B1435" s="118" t="str">
        <f aca="false">CONCATENATE(C1435&amp;D1435)</f>
        <v>1"1050</v>
      </c>
      <c r="C1435" s="118" t="s">
        <v>967</v>
      </c>
      <c r="D1435" s="153" t="n">
        <f aca="false">D1434+1</f>
        <v>1050</v>
      </c>
      <c r="E1435" s="118" t="e">
        <f aca="false">CEILING(D1435/20;1)</f>
        <v>#VALUE!</v>
      </c>
      <c r="F1435" s="118" t="e">
        <f aca="false">E1435*$F$1</f>
        <v>#VALUE!</v>
      </c>
    </row>
    <row r="1436" customFormat="false" ht="14.25" hidden="false" customHeight="true" outlineLevel="0" collapsed="false">
      <c r="A1436" s="118" t="s">
        <v>1005</v>
      </c>
      <c r="B1436" s="118" t="str">
        <f aca="false">CONCATENATE(C1436&amp;D1436)</f>
        <v>1"1051</v>
      </c>
      <c r="C1436" s="118" t="s">
        <v>967</v>
      </c>
      <c r="D1436" s="153" t="n">
        <f aca="false">D1435+1</f>
        <v>1051</v>
      </c>
      <c r="E1436" s="118" t="e">
        <f aca="false">CEILING(D1436/20;1)</f>
        <v>#VALUE!</v>
      </c>
      <c r="F1436" s="118" t="e">
        <f aca="false">E1436*$F$1</f>
        <v>#VALUE!</v>
      </c>
    </row>
    <row r="1437" customFormat="false" ht="14.25" hidden="false" customHeight="true" outlineLevel="0" collapsed="false">
      <c r="A1437" s="118" t="s">
        <v>1005</v>
      </c>
      <c r="B1437" s="118" t="str">
        <f aca="false">CONCATENATE(C1437&amp;D1437)</f>
        <v>1"1052</v>
      </c>
      <c r="C1437" s="118" t="s">
        <v>967</v>
      </c>
      <c r="D1437" s="153" t="n">
        <f aca="false">D1436+1</f>
        <v>1052</v>
      </c>
      <c r="E1437" s="118" t="e">
        <f aca="false">CEILING(D1437/20;1)</f>
        <v>#VALUE!</v>
      </c>
      <c r="F1437" s="118" t="e">
        <f aca="false">E1437*$F$1</f>
        <v>#VALUE!</v>
      </c>
    </row>
    <row r="1438" customFormat="false" ht="14.25" hidden="false" customHeight="true" outlineLevel="0" collapsed="false">
      <c r="A1438" s="118" t="s">
        <v>1005</v>
      </c>
      <c r="B1438" s="118" t="str">
        <f aca="false">CONCATENATE(C1438&amp;D1438)</f>
        <v>1"1053</v>
      </c>
      <c r="C1438" s="118" t="s">
        <v>967</v>
      </c>
      <c r="D1438" s="153" t="n">
        <f aca="false">D1437+1</f>
        <v>1053</v>
      </c>
      <c r="E1438" s="118" t="e">
        <f aca="false">CEILING(D1438/20;1)</f>
        <v>#VALUE!</v>
      </c>
      <c r="F1438" s="118" t="e">
        <f aca="false">E1438*$F$1</f>
        <v>#VALUE!</v>
      </c>
    </row>
    <row r="1439" customFormat="false" ht="14.25" hidden="false" customHeight="true" outlineLevel="0" collapsed="false">
      <c r="A1439" s="118" t="s">
        <v>1005</v>
      </c>
      <c r="B1439" s="118" t="str">
        <f aca="false">CONCATENATE(C1439&amp;D1439)</f>
        <v>1"1054</v>
      </c>
      <c r="C1439" s="118" t="s">
        <v>967</v>
      </c>
      <c r="D1439" s="153" t="n">
        <f aca="false">D1438+1</f>
        <v>1054</v>
      </c>
      <c r="E1439" s="118" t="e">
        <f aca="false">CEILING(D1439/20;1)</f>
        <v>#VALUE!</v>
      </c>
      <c r="F1439" s="118" t="e">
        <f aca="false">E1439*$F$1</f>
        <v>#VALUE!</v>
      </c>
    </row>
    <row r="1440" customFormat="false" ht="14.25" hidden="false" customHeight="true" outlineLevel="0" collapsed="false">
      <c r="A1440" s="118" t="s">
        <v>1005</v>
      </c>
      <c r="B1440" s="118" t="str">
        <f aca="false">CONCATENATE(C1440&amp;D1440)</f>
        <v>1"1055</v>
      </c>
      <c r="C1440" s="118" t="s">
        <v>967</v>
      </c>
      <c r="D1440" s="153" t="n">
        <f aca="false">D1439+1</f>
        <v>1055</v>
      </c>
      <c r="E1440" s="118" t="e">
        <f aca="false">CEILING(D1440/20;1)</f>
        <v>#VALUE!</v>
      </c>
      <c r="F1440" s="118" t="e">
        <f aca="false">E1440*$F$1</f>
        <v>#VALUE!</v>
      </c>
    </row>
    <row r="1441" customFormat="false" ht="14.25" hidden="false" customHeight="true" outlineLevel="0" collapsed="false">
      <c r="A1441" s="118" t="s">
        <v>1005</v>
      </c>
      <c r="B1441" s="118" t="str">
        <f aca="false">CONCATENATE(C1441&amp;D1441)</f>
        <v>1"1056</v>
      </c>
      <c r="C1441" s="118" t="s">
        <v>967</v>
      </c>
      <c r="D1441" s="153" t="n">
        <f aca="false">D1440+1</f>
        <v>1056</v>
      </c>
      <c r="E1441" s="118" t="e">
        <f aca="false">CEILING(D1441/20;1)</f>
        <v>#VALUE!</v>
      </c>
      <c r="F1441" s="118" t="e">
        <f aca="false">E1441*$F$1</f>
        <v>#VALUE!</v>
      </c>
    </row>
    <row r="1442" customFormat="false" ht="14.25" hidden="false" customHeight="true" outlineLevel="0" collapsed="false">
      <c r="A1442" s="118" t="s">
        <v>1005</v>
      </c>
      <c r="B1442" s="118" t="str">
        <f aca="false">CONCATENATE(C1442&amp;D1442)</f>
        <v>1"1057</v>
      </c>
      <c r="C1442" s="118" t="s">
        <v>967</v>
      </c>
      <c r="D1442" s="153" t="n">
        <f aca="false">D1441+1</f>
        <v>1057</v>
      </c>
      <c r="E1442" s="118" t="e">
        <f aca="false">CEILING(D1442/20;1)</f>
        <v>#VALUE!</v>
      </c>
      <c r="F1442" s="118" t="e">
        <f aca="false">E1442*$F$1</f>
        <v>#VALUE!</v>
      </c>
    </row>
    <row r="1443" customFormat="false" ht="14.25" hidden="false" customHeight="true" outlineLevel="0" collapsed="false">
      <c r="A1443" s="118" t="s">
        <v>1005</v>
      </c>
      <c r="B1443" s="118" t="str">
        <f aca="false">CONCATENATE(C1443&amp;D1443)</f>
        <v>1"1058</v>
      </c>
      <c r="C1443" s="118" t="s">
        <v>967</v>
      </c>
      <c r="D1443" s="153" t="n">
        <f aca="false">D1442+1</f>
        <v>1058</v>
      </c>
      <c r="E1443" s="118" t="e">
        <f aca="false">CEILING(D1443/20;1)</f>
        <v>#VALUE!</v>
      </c>
      <c r="F1443" s="118" t="e">
        <f aca="false">E1443*$F$1</f>
        <v>#VALUE!</v>
      </c>
    </row>
    <row r="1444" customFormat="false" ht="14.25" hidden="false" customHeight="true" outlineLevel="0" collapsed="false">
      <c r="A1444" s="118" t="s">
        <v>1005</v>
      </c>
      <c r="B1444" s="118" t="str">
        <f aca="false">CONCATENATE(C1444&amp;D1444)</f>
        <v>1"1059</v>
      </c>
      <c r="C1444" s="118" t="s">
        <v>967</v>
      </c>
      <c r="D1444" s="153" t="n">
        <f aca="false">D1443+1</f>
        <v>1059</v>
      </c>
      <c r="E1444" s="118" t="e">
        <f aca="false">CEILING(D1444/20;1)</f>
        <v>#VALUE!</v>
      </c>
      <c r="F1444" s="118" t="e">
        <f aca="false">E1444*$F$1</f>
        <v>#VALUE!</v>
      </c>
    </row>
    <row r="1445" customFormat="false" ht="14.25" hidden="false" customHeight="true" outlineLevel="0" collapsed="false">
      <c r="A1445" s="118" t="s">
        <v>1005</v>
      </c>
      <c r="B1445" s="118" t="str">
        <f aca="false">CONCATENATE(C1445&amp;D1445)</f>
        <v>1"1060</v>
      </c>
      <c r="C1445" s="118" t="s">
        <v>967</v>
      </c>
      <c r="D1445" s="153" t="n">
        <f aca="false">D1444+1</f>
        <v>1060</v>
      </c>
      <c r="E1445" s="118" t="e">
        <f aca="false">CEILING(D1445/20;1)</f>
        <v>#VALUE!</v>
      </c>
      <c r="F1445" s="118" t="e">
        <f aca="false">E1445*$F$1</f>
        <v>#VALUE!</v>
      </c>
    </row>
    <row r="1446" customFormat="false" ht="14.25" hidden="false" customHeight="true" outlineLevel="0" collapsed="false">
      <c r="A1446" s="118" t="s">
        <v>1005</v>
      </c>
      <c r="B1446" s="118" t="str">
        <f aca="false">CONCATENATE(C1446&amp;D1446)</f>
        <v>1"1061</v>
      </c>
      <c r="C1446" s="118" t="s">
        <v>967</v>
      </c>
      <c r="D1446" s="153" t="n">
        <f aca="false">D1445+1</f>
        <v>1061</v>
      </c>
      <c r="E1446" s="118" t="e">
        <f aca="false">CEILING(D1446/20;1)</f>
        <v>#VALUE!</v>
      </c>
      <c r="F1446" s="118" t="e">
        <f aca="false">E1446*$F$1</f>
        <v>#VALUE!</v>
      </c>
    </row>
    <row r="1447" customFormat="false" ht="14.25" hidden="false" customHeight="true" outlineLevel="0" collapsed="false">
      <c r="A1447" s="118" t="s">
        <v>1005</v>
      </c>
      <c r="B1447" s="118" t="str">
        <f aca="false">CONCATENATE(C1447&amp;D1447)</f>
        <v>1"1062</v>
      </c>
      <c r="C1447" s="118" t="s">
        <v>967</v>
      </c>
      <c r="D1447" s="153" t="n">
        <f aca="false">D1446+1</f>
        <v>1062</v>
      </c>
      <c r="E1447" s="118" t="e">
        <f aca="false">CEILING(D1447/20;1)</f>
        <v>#VALUE!</v>
      </c>
      <c r="F1447" s="118" t="e">
        <f aca="false">E1447*$F$1</f>
        <v>#VALUE!</v>
      </c>
    </row>
    <row r="1448" customFormat="false" ht="14.25" hidden="false" customHeight="true" outlineLevel="0" collapsed="false">
      <c r="A1448" s="118" t="s">
        <v>1005</v>
      </c>
      <c r="B1448" s="118" t="str">
        <f aca="false">CONCATENATE(C1448&amp;D1448)</f>
        <v>1"1063</v>
      </c>
      <c r="C1448" s="118" t="s">
        <v>967</v>
      </c>
      <c r="D1448" s="153" t="n">
        <f aca="false">D1447+1</f>
        <v>1063</v>
      </c>
      <c r="E1448" s="118" t="e">
        <f aca="false">CEILING(D1448/20;1)</f>
        <v>#VALUE!</v>
      </c>
      <c r="F1448" s="118" t="e">
        <f aca="false">E1448*$F$1</f>
        <v>#VALUE!</v>
      </c>
    </row>
    <row r="1449" customFormat="false" ht="14.25" hidden="false" customHeight="true" outlineLevel="0" collapsed="false">
      <c r="A1449" s="118" t="s">
        <v>1005</v>
      </c>
      <c r="B1449" s="118" t="str">
        <f aca="false">CONCATENATE(C1449&amp;D1449)</f>
        <v>1"1064</v>
      </c>
      <c r="C1449" s="118" t="s">
        <v>967</v>
      </c>
      <c r="D1449" s="153" t="n">
        <f aca="false">D1448+1</f>
        <v>1064</v>
      </c>
      <c r="E1449" s="118" t="e">
        <f aca="false">CEILING(D1449/20;1)</f>
        <v>#VALUE!</v>
      </c>
      <c r="F1449" s="118" t="e">
        <f aca="false">E1449*$F$1</f>
        <v>#VALUE!</v>
      </c>
    </row>
    <row r="1450" customFormat="false" ht="14.25" hidden="false" customHeight="true" outlineLevel="0" collapsed="false">
      <c r="A1450" s="118" t="s">
        <v>1005</v>
      </c>
      <c r="B1450" s="118" t="str">
        <f aca="false">CONCATENATE(C1450&amp;D1450)</f>
        <v>1"1065</v>
      </c>
      <c r="C1450" s="118" t="s">
        <v>967</v>
      </c>
      <c r="D1450" s="153" t="n">
        <f aca="false">D1449+1</f>
        <v>1065</v>
      </c>
      <c r="E1450" s="118" t="e">
        <f aca="false">CEILING(D1450/20;1)</f>
        <v>#VALUE!</v>
      </c>
      <c r="F1450" s="118" t="e">
        <f aca="false">E1450*$F$1</f>
        <v>#VALUE!</v>
      </c>
    </row>
    <row r="1451" customFormat="false" ht="14.25" hidden="false" customHeight="true" outlineLevel="0" collapsed="false">
      <c r="A1451" s="118" t="s">
        <v>1005</v>
      </c>
      <c r="B1451" s="118" t="str">
        <f aca="false">CONCATENATE(C1451&amp;D1451)</f>
        <v>1"1066</v>
      </c>
      <c r="C1451" s="118" t="s">
        <v>967</v>
      </c>
      <c r="D1451" s="153" t="n">
        <f aca="false">D1450+1</f>
        <v>1066</v>
      </c>
      <c r="E1451" s="118" t="e">
        <f aca="false">CEILING(D1451/20;1)</f>
        <v>#VALUE!</v>
      </c>
      <c r="F1451" s="118" t="e">
        <f aca="false">E1451*$F$1</f>
        <v>#VALUE!</v>
      </c>
    </row>
    <row r="1452" customFormat="false" ht="14.25" hidden="false" customHeight="true" outlineLevel="0" collapsed="false">
      <c r="A1452" s="118" t="s">
        <v>1005</v>
      </c>
      <c r="B1452" s="118" t="str">
        <f aca="false">CONCATENATE(C1452&amp;D1452)</f>
        <v>1"1067</v>
      </c>
      <c r="C1452" s="118" t="s">
        <v>967</v>
      </c>
      <c r="D1452" s="153" t="n">
        <f aca="false">D1451+1</f>
        <v>1067</v>
      </c>
      <c r="E1452" s="118" t="e">
        <f aca="false">CEILING(D1452/20;1)</f>
        <v>#VALUE!</v>
      </c>
      <c r="F1452" s="118" t="e">
        <f aca="false">E1452*$F$1</f>
        <v>#VALUE!</v>
      </c>
    </row>
    <row r="1453" customFormat="false" ht="14.25" hidden="false" customHeight="true" outlineLevel="0" collapsed="false">
      <c r="A1453" s="118" t="s">
        <v>1005</v>
      </c>
      <c r="B1453" s="118" t="str">
        <f aca="false">CONCATENATE(C1453&amp;D1453)</f>
        <v>1"1068</v>
      </c>
      <c r="C1453" s="118" t="s">
        <v>967</v>
      </c>
      <c r="D1453" s="153" t="n">
        <f aca="false">D1452+1</f>
        <v>1068</v>
      </c>
      <c r="E1453" s="118" t="e">
        <f aca="false">CEILING(D1453/20;1)</f>
        <v>#VALUE!</v>
      </c>
      <c r="F1453" s="118" t="e">
        <f aca="false">E1453*$F$1</f>
        <v>#VALUE!</v>
      </c>
    </row>
    <row r="1454" customFormat="false" ht="14.25" hidden="false" customHeight="true" outlineLevel="0" collapsed="false">
      <c r="A1454" s="118" t="s">
        <v>1005</v>
      </c>
      <c r="B1454" s="118" t="str">
        <f aca="false">CONCATENATE(C1454&amp;D1454)</f>
        <v>1"1069</v>
      </c>
      <c r="C1454" s="118" t="s">
        <v>967</v>
      </c>
      <c r="D1454" s="153" t="n">
        <f aca="false">D1453+1</f>
        <v>1069</v>
      </c>
      <c r="E1454" s="118" t="e">
        <f aca="false">CEILING(D1454/20;1)</f>
        <v>#VALUE!</v>
      </c>
      <c r="F1454" s="118" t="e">
        <f aca="false">E1454*$F$1</f>
        <v>#VALUE!</v>
      </c>
    </row>
    <row r="1455" customFormat="false" ht="14.25" hidden="false" customHeight="true" outlineLevel="0" collapsed="false">
      <c r="A1455" s="118" t="s">
        <v>1005</v>
      </c>
      <c r="B1455" s="118" t="str">
        <f aca="false">CONCATENATE(C1455&amp;D1455)</f>
        <v>1"1070</v>
      </c>
      <c r="C1455" s="118" t="s">
        <v>967</v>
      </c>
      <c r="D1455" s="153" t="n">
        <f aca="false">D1454+1</f>
        <v>1070</v>
      </c>
      <c r="E1455" s="118" t="e">
        <f aca="false">CEILING(D1455/20;1)</f>
        <v>#VALUE!</v>
      </c>
      <c r="F1455" s="118" t="e">
        <f aca="false">E1455*$F$1</f>
        <v>#VALUE!</v>
      </c>
    </row>
    <row r="1456" customFormat="false" ht="14.25" hidden="false" customHeight="true" outlineLevel="0" collapsed="false">
      <c r="A1456" s="118" t="s">
        <v>1005</v>
      </c>
      <c r="B1456" s="118" t="str">
        <f aca="false">CONCATENATE(C1456&amp;D1456)</f>
        <v>1"1071</v>
      </c>
      <c r="C1456" s="118" t="s">
        <v>967</v>
      </c>
      <c r="D1456" s="153" t="n">
        <f aca="false">D1455+1</f>
        <v>1071</v>
      </c>
      <c r="E1456" s="118" t="e">
        <f aca="false">CEILING(D1456/20;1)</f>
        <v>#VALUE!</v>
      </c>
      <c r="F1456" s="118" t="e">
        <f aca="false">E1456*$F$1</f>
        <v>#VALUE!</v>
      </c>
    </row>
    <row r="1457" customFormat="false" ht="14.25" hidden="false" customHeight="true" outlineLevel="0" collapsed="false">
      <c r="A1457" s="118" t="s">
        <v>1005</v>
      </c>
      <c r="B1457" s="118" t="str">
        <f aca="false">CONCATENATE(C1457&amp;D1457)</f>
        <v>1"1072</v>
      </c>
      <c r="C1457" s="118" t="s">
        <v>967</v>
      </c>
      <c r="D1457" s="153" t="n">
        <f aca="false">D1456+1</f>
        <v>1072</v>
      </c>
      <c r="E1457" s="118" t="e">
        <f aca="false">CEILING(D1457/20;1)</f>
        <v>#VALUE!</v>
      </c>
      <c r="F1457" s="118" t="e">
        <f aca="false">E1457*$F$1</f>
        <v>#VALUE!</v>
      </c>
    </row>
    <row r="1458" customFormat="false" ht="14.25" hidden="false" customHeight="true" outlineLevel="0" collapsed="false">
      <c r="A1458" s="118" t="s">
        <v>1005</v>
      </c>
      <c r="B1458" s="118" t="str">
        <f aca="false">CONCATENATE(C1458&amp;D1458)</f>
        <v>1"1073</v>
      </c>
      <c r="C1458" s="118" t="s">
        <v>967</v>
      </c>
      <c r="D1458" s="153" t="n">
        <f aca="false">D1457+1</f>
        <v>1073</v>
      </c>
      <c r="E1458" s="118" t="e">
        <f aca="false">CEILING(D1458/20;1)</f>
        <v>#VALUE!</v>
      </c>
      <c r="F1458" s="118" t="e">
        <f aca="false">E1458*$F$1</f>
        <v>#VALUE!</v>
      </c>
    </row>
    <row r="1459" customFormat="false" ht="14.25" hidden="false" customHeight="true" outlineLevel="0" collapsed="false">
      <c r="A1459" s="118" t="s">
        <v>1005</v>
      </c>
      <c r="B1459" s="118" t="str">
        <f aca="false">CONCATENATE(C1459&amp;D1459)</f>
        <v>1"1074</v>
      </c>
      <c r="C1459" s="118" t="s">
        <v>967</v>
      </c>
      <c r="D1459" s="153" t="n">
        <f aca="false">D1458+1</f>
        <v>1074</v>
      </c>
      <c r="E1459" s="118" t="e">
        <f aca="false">CEILING(D1459/20;1)</f>
        <v>#VALUE!</v>
      </c>
      <c r="F1459" s="118" t="e">
        <f aca="false">E1459*$F$1</f>
        <v>#VALUE!</v>
      </c>
    </row>
    <row r="1460" customFormat="false" ht="14.25" hidden="false" customHeight="true" outlineLevel="0" collapsed="false">
      <c r="A1460" s="118" t="s">
        <v>1005</v>
      </c>
      <c r="B1460" s="118" t="str">
        <f aca="false">CONCATENATE(C1460&amp;D1460)</f>
        <v>1"1075</v>
      </c>
      <c r="C1460" s="118" t="s">
        <v>967</v>
      </c>
      <c r="D1460" s="153" t="n">
        <f aca="false">D1459+1</f>
        <v>1075</v>
      </c>
      <c r="E1460" s="118" t="e">
        <f aca="false">CEILING(D1460/20;1)</f>
        <v>#VALUE!</v>
      </c>
      <c r="F1460" s="118" t="e">
        <f aca="false">E1460*$F$1</f>
        <v>#VALUE!</v>
      </c>
    </row>
    <row r="1461" customFormat="false" ht="14.25" hidden="false" customHeight="true" outlineLevel="0" collapsed="false">
      <c r="A1461" s="118" t="s">
        <v>1005</v>
      </c>
      <c r="B1461" s="118" t="str">
        <f aca="false">CONCATENATE(C1461&amp;D1461)</f>
        <v>1"1076</v>
      </c>
      <c r="C1461" s="118" t="s">
        <v>967</v>
      </c>
      <c r="D1461" s="153" t="n">
        <f aca="false">D1460+1</f>
        <v>1076</v>
      </c>
      <c r="E1461" s="118" t="e">
        <f aca="false">CEILING(D1461/20;1)</f>
        <v>#VALUE!</v>
      </c>
      <c r="F1461" s="118" t="e">
        <f aca="false">E1461*$F$1</f>
        <v>#VALUE!</v>
      </c>
    </row>
    <row r="1462" customFormat="false" ht="14.25" hidden="false" customHeight="true" outlineLevel="0" collapsed="false">
      <c r="A1462" s="118" t="s">
        <v>1005</v>
      </c>
      <c r="B1462" s="118" t="str">
        <f aca="false">CONCATENATE(C1462&amp;D1462)</f>
        <v>1"1077</v>
      </c>
      <c r="C1462" s="118" t="s">
        <v>967</v>
      </c>
      <c r="D1462" s="153" t="n">
        <f aca="false">D1461+1</f>
        <v>1077</v>
      </c>
      <c r="E1462" s="118" t="e">
        <f aca="false">CEILING(D1462/20;1)</f>
        <v>#VALUE!</v>
      </c>
      <c r="F1462" s="118" t="e">
        <f aca="false">E1462*$F$1</f>
        <v>#VALUE!</v>
      </c>
    </row>
    <row r="1463" customFormat="false" ht="14.25" hidden="false" customHeight="true" outlineLevel="0" collapsed="false">
      <c r="A1463" s="118" t="s">
        <v>1005</v>
      </c>
      <c r="B1463" s="118" t="str">
        <f aca="false">CONCATENATE(C1463&amp;D1463)</f>
        <v>1"1078</v>
      </c>
      <c r="C1463" s="118" t="s">
        <v>967</v>
      </c>
      <c r="D1463" s="153" t="n">
        <f aca="false">D1462+1</f>
        <v>1078</v>
      </c>
      <c r="E1463" s="118" t="e">
        <f aca="false">CEILING(D1463/20;1)</f>
        <v>#VALUE!</v>
      </c>
      <c r="F1463" s="118" t="e">
        <f aca="false">E1463*$F$1</f>
        <v>#VALUE!</v>
      </c>
    </row>
    <row r="1464" customFormat="false" ht="14.25" hidden="false" customHeight="true" outlineLevel="0" collapsed="false">
      <c r="A1464" s="118" t="s">
        <v>1005</v>
      </c>
      <c r="B1464" s="118" t="str">
        <f aca="false">CONCATENATE(C1464&amp;D1464)</f>
        <v>1"1079</v>
      </c>
      <c r="C1464" s="118" t="s">
        <v>967</v>
      </c>
      <c r="D1464" s="153" t="n">
        <f aca="false">D1463+1</f>
        <v>1079</v>
      </c>
      <c r="E1464" s="118" t="e">
        <f aca="false">CEILING(D1464/20;1)</f>
        <v>#VALUE!</v>
      </c>
      <c r="F1464" s="118" t="e">
        <f aca="false">E1464*$F$1</f>
        <v>#VALUE!</v>
      </c>
    </row>
    <row r="1465" customFormat="false" ht="14.25" hidden="false" customHeight="true" outlineLevel="0" collapsed="false">
      <c r="A1465" s="118" t="s">
        <v>1005</v>
      </c>
      <c r="B1465" s="118" t="str">
        <f aca="false">CONCATENATE(C1465&amp;D1465)</f>
        <v>1"1080</v>
      </c>
      <c r="C1465" s="118" t="s">
        <v>967</v>
      </c>
      <c r="D1465" s="153" t="n">
        <f aca="false">D1464+1</f>
        <v>1080</v>
      </c>
      <c r="E1465" s="118" t="e">
        <f aca="false">CEILING(D1465/20;1)</f>
        <v>#VALUE!</v>
      </c>
      <c r="F1465" s="118" t="e">
        <f aca="false">E1465*$F$1</f>
        <v>#VALUE!</v>
      </c>
    </row>
    <row r="1466" customFormat="false" ht="14.25" hidden="false" customHeight="true" outlineLevel="0" collapsed="false">
      <c r="A1466" s="118" t="s">
        <v>1005</v>
      </c>
      <c r="B1466" s="118" t="str">
        <f aca="false">CONCATENATE(C1466&amp;D1466)</f>
        <v>1"1081</v>
      </c>
      <c r="C1466" s="118" t="s">
        <v>967</v>
      </c>
      <c r="D1466" s="153" t="n">
        <f aca="false">D1465+1</f>
        <v>1081</v>
      </c>
      <c r="E1466" s="118" t="e">
        <f aca="false">CEILING(D1466/20;1)</f>
        <v>#VALUE!</v>
      </c>
      <c r="F1466" s="118" t="e">
        <f aca="false">E1466*$F$1</f>
        <v>#VALUE!</v>
      </c>
    </row>
    <row r="1467" customFormat="false" ht="14.25" hidden="false" customHeight="true" outlineLevel="0" collapsed="false">
      <c r="A1467" s="118" t="s">
        <v>1005</v>
      </c>
      <c r="B1467" s="118" t="str">
        <f aca="false">CONCATENATE(C1467&amp;D1467)</f>
        <v>1"1082</v>
      </c>
      <c r="C1467" s="118" t="s">
        <v>967</v>
      </c>
      <c r="D1467" s="153" t="n">
        <f aca="false">D1466+1</f>
        <v>1082</v>
      </c>
      <c r="E1467" s="118" t="e">
        <f aca="false">CEILING(D1467/20;1)</f>
        <v>#VALUE!</v>
      </c>
      <c r="F1467" s="118" t="e">
        <f aca="false">E1467*$F$1</f>
        <v>#VALUE!</v>
      </c>
    </row>
    <row r="1468" customFormat="false" ht="14.25" hidden="false" customHeight="true" outlineLevel="0" collapsed="false">
      <c r="A1468" s="118" t="s">
        <v>1005</v>
      </c>
      <c r="B1468" s="118" t="str">
        <f aca="false">CONCATENATE(C1468&amp;D1468)</f>
        <v>1"1083</v>
      </c>
      <c r="C1468" s="118" t="s">
        <v>967</v>
      </c>
      <c r="D1468" s="153" t="n">
        <f aca="false">D1467+1</f>
        <v>1083</v>
      </c>
      <c r="E1468" s="118" t="e">
        <f aca="false">CEILING(D1468/20;1)</f>
        <v>#VALUE!</v>
      </c>
      <c r="F1468" s="118" t="e">
        <f aca="false">E1468*$F$1</f>
        <v>#VALUE!</v>
      </c>
    </row>
    <row r="1469" customFormat="false" ht="14.25" hidden="false" customHeight="true" outlineLevel="0" collapsed="false">
      <c r="A1469" s="118" t="s">
        <v>1005</v>
      </c>
      <c r="B1469" s="118" t="str">
        <f aca="false">CONCATENATE(C1469&amp;D1469)</f>
        <v>1"1084</v>
      </c>
      <c r="C1469" s="118" t="s">
        <v>967</v>
      </c>
      <c r="D1469" s="153" t="n">
        <f aca="false">D1468+1</f>
        <v>1084</v>
      </c>
      <c r="E1469" s="118" t="e">
        <f aca="false">CEILING(D1469/20;1)</f>
        <v>#VALUE!</v>
      </c>
      <c r="F1469" s="118" t="e">
        <f aca="false">E1469*$F$1</f>
        <v>#VALUE!</v>
      </c>
    </row>
    <row r="1470" customFormat="false" ht="14.25" hidden="false" customHeight="true" outlineLevel="0" collapsed="false">
      <c r="A1470" s="118" t="s">
        <v>1005</v>
      </c>
      <c r="B1470" s="118" t="str">
        <f aca="false">CONCATENATE(C1470&amp;D1470)</f>
        <v>1"1085</v>
      </c>
      <c r="C1470" s="118" t="s">
        <v>967</v>
      </c>
      <c r="D1470" s="153" t="n">
        <f aca="false">D1469+1</f>
        <v>1085</v>
      </c>
      <c r="E1470" s="118" t="e">
        <f aca="false">CEILING(D1470/20;1)</f>
        <v>#VALUE!</v>
      </c>
      <c r="F1470" s="118" t="e">
        <f aca="false">E1470*$F$1</f>
        <v>#VALUE!</v>
      </c>
    </row>
    <row r="1471" customFormat="false" ht="14.25" hidden="false" customHeight="true" outlineLevel="0" collapsed="false">
      <c r="A1471" s="118" t="s">
        <v>1005</v>
      </c>
      <c r="B1471" s="118" t="str">
        <f aca="false">CONCATENATE(C1471&amp;D1471)</f>
        <v>1"1086</v>
      </c>
      <c r="C1471" s="118" t="s">
        <v>967</v>
      </c>
      <c r="D1471" s="153" t="n">
        <f aca="false">D1470+1</f>
        <v>1086</v>
      </c>
      <c r="E1471" s="118" t="e">
        <f aca="false">CEILING(D1471/20;1)</f>
        <v>#VALUE!</v>
      </c>
      <c r="F1471" s="118" t="e">
        <f aca="false">E1471*$F$1</f>
        <v>#VALUE!</v>
      </c>
    </row>
    <row r="1472" customFormat="false" ht="14.25" hidden="false" customHeight="true" outlineLevel="0" collapsed="false">
      <c r="A1472" s="118" t="s">
        <v>1005</v>
      </c>
      <c r="B1472" s="118" t="str">
        <f aca="false">CONCATENATE(C1472&amp;D1472)</f>
        <v>1"1087</v>
      </c>
      <c r="C1472" s="118" t="s">
        <v>967</v>
      </c>
      <c r="D1472" s="153" t="n">
        <f aca="false">D1471+1</f>
        <v>1087</v>
      </c>
      <c r="E1472" s="118" t="e">
        <f aca="false">CEILING(D1472/20;1)</f>
        <v>#VALUE!</v>
      </c>
      <c r="F1472" s="118" t="e">
        <f aca="false">E1472*$F$1</f>
        <v>#VALUE!</v>
      </c>
    </row>
    <row r="1473" customFormat="false" ht="14.25" hidden="false" customHeight="true" outlineLevel="0" collapsed="false">
      <c r="A1473" s="118" t="s">
        <v>1005</v>
      </c>
      <c r="B1473" s="118" t="str">
        <f aca="false">CONCATENATE(C1473&amp;D1473)</f>
        <v>1"1088</v>
      </c>
      <c r="C1473" s="118" t="s">
        <v>967</v>
      </c>
      <c r="D1473" s="153" t="n">
        <f aca="false">D1472+1</f>
        <v>1088</v>
      </c>
      <c r="E1473" s="118" t="e">
        <f aca="false">CEILING(D1473/20;1)</f>
        <v>#VALUE!</v>
      </c>
      <c r="F1473" s="118" t="e">
        <f aca="false">E1473*$F$1</f>
        <v>#VALUE!</v>
      </c>
    </row>
    <row r="1474" customFormat="false" ht="14.25" hidden="false" customHeight="true" outlineLevel="0" collapsed="false">
      <c r="A1474" s="118" t="s">
        <v>1005</v>
      </c>
      <c r="B1474" s="118" t="str">
        <f aca="false">CONCATENATE(C1474&amp;D1474)</f>
        <v>1"1089</v>
      </c>
      <c r="C1474" s="118" t="s">
        <v>967</v>
      </c>
      <c r="D1474" s="153" t="n">
        <f aca="false">D1473+1</f>
        <v>1089</v>
      </c>
      <c r="E1474" s="118" t="e">
        <f aca="false">CEILING(D1474/20;1)</f>
        <v>#VALUE!</v>
      </c>
      <c r="F1474" s="118" t="e">
        <f aca="false">E1474*$F$1</f>
        <v>#VALUE!</v>
      </c>
    </row>
    <row r="1475" customFormat="false" ht="14.25" hidden="false" customHeight="true" outlineLevel="0" collapsed="false">
      <c r="A1475" s="118" t="s">
        <v>1005</v>
      </c>
      <c r="B1475" s="118" t="str">
        <f aca="false">CONCATENATE(C1475&amp;D1475)</f>
        <v>1"1090</v>
      </c>
      <c r="C1475" s="118" t="s">
        <v>967</v>
      </c>
      <c r="D1475" s="153" t="n">
        <f aca="false">D1474+1</f>
        <v>1090</v>
      </c>
      <c r="E1475" s="118" t="e">
        <f aca="false">CEILING(D1475/20;1)</f>
        <v>#VALUE!</v>
      </c>
      <c r="F1475" s="118" t="e">
        <f aca="false">E1475*$F$1</f>
        <v>#VALUE!</v>
      </c>
    </row>
    <row r="1476" customFormat="false" ht="14.25" hidden="false" customHeight="true" outlineLevel="0" collapsed="false">
      <c r="A1476" s="118" t="s">
        <v>1005</v>
      </c>
      <c r="B1476" s="118" t="str">
        <f aca="false">CONCATENATE(C1476&amp;D1476)</f>
        <v>1"1091</v>
      </c>
      <c r="C1476" s="118" t="s">
        <v>967</v>
      </c>
      <c r="D1476" s="153" t="n">
        <f aca="false">D1475+1</f>
        <v>1091</v>
      </c>
      <c r="E1476" s="118" t="e">
        <f aca="false">CEILING(D1476/20;1)</f>
        <v>#VALUE!</v>
      </c>
      <c r="F1476" s="118" t="e">
        <f aca="false">E1476*$F$1</f>
        <v>#VALUE!</v>
      </c>
    </row>
    <row r="1477" customFormat="false" ht="14.25" hidden="false" customHeight="true" outlineLevel="0" collapsed="false">
      <c r="A1477" s="118" t="s">
        <v>1005</v>
      </c>
      <c r="B1477" s="118" t="str">
        <f aca="false">CONCATENATE(C1477&amp;D1477)</f>
        <v>1"1092</v>
      </c>
      <c r="C1477" s="118" t="s">
        <v>967</v>
      </c>
      <c r="D1477" s="153" t="n">
        <f aca="false">D1476+1</f>
        <v>1092</v>
      </c>
      <c r="E1477" s="118" t="e">
        <f aca="false">CEILING(D1477/20;1)</f>
        <v>#VALUE!</v>
      </c>
      <c r="F1477" s="118" t="e">
        <f aca="false">E1477*$F$1</f>
        <v>#VALUE!</v>
      </c>
    </row>
    <row r="1478" customFormat="false" ht="14.25" hidden="false" customHeight="true" outlineLevel="0" collapsed="false">
      <c r="A1478" s="118" t="s">
        <v>1005</v>
      </c>
      <c r="B1478" s="118" t="str">
        <f aca="false">CONCATENATE(C1478&amp;D1478)</f>
        <v>1"1093</v>
      </c>
      <c r="C1478" s="118" t="s">
        <v>967</v>
      </c>
      <c r="D1478" s="153" t="n">
        <f aca="false">D1477+1</f>
        <v>1093</v>
      </c>
      <c r="E1478" s="118" t="e">
        <f aca="false">CEILING(D1478/20;1)</f>
        <v>#VALUE!</v>
      </c>
      <c r="F1478" s="118" t="e">
        <f aca="false">E1478*$F$1</f>
        <v>#VALUE!</v>
      </c>
    </row>
    <row r="1479" customFormat="false" ht="14.25" hidden="false" customHeight="true" outlineLevel="0" collapsed="false">
      <c r="A1479" s="118" t="s">
        <v>1005</v>
      </c>
      <c r="B1479" s="118" t="str">
        <f aca="false">CONCATENATE(C1479&amp;D1479)</f>
        <v>1"1094</v>
      </c>
      <c r="C1479" s="118" t="s">
        <v>967</v>
      </c>
      <c r="D1479" s="153" t="n">
        <f aca="false">D1478+1</f>
        <v>1094</v>
      </c>
      <c r="E1479" s="118" t="e">
        <f aca="false">CEILING(D1479/20;1)</f>
        <v>#VALUE!</v>
      </c>
      <c r="F1479" s="118" t="e">
        <f aca="false">E1479*$F$1</f>
        <v>#VALUE!</v>
      </c>
    </row>
    <row r="1480" customFormat="false" ht="14.25" hidden="false" customHeight="true" outlineLevel="0" collapsed="false">
      <c r="A1480" s="118" t="s">
        <v>1005</v>
      </c>
      <c r="B1480" s="118" t="str">
        <f aca="false">CONCATENATE(C1480&amp;D1480)</f>
        <v>1"1095</v>
      </c>
      <c r="C1480" s="118" t="s">
        <v>967</v>
      </c>
      <c r="D1480" s="153" t="n">
        <f aca="false">D1479+1</f>
        <v>1095</v>
      </c>
      <c r="E1480" s="118" t="e">
        <f aca="false">CEILING(D1480/20;1)</f>
        <v>#VALUE!</v>
      </c>
      <c r="F1480" s="118" t="e">
        <f aca="false">E1480*$F$1</f>
        <v>#VALUE!</v>
      </c>
    </row>
    <row r="1481" customFormat="false" ht="14.25" hidden="false" customHeight="true" outlineLevel="0" collapsed="false">
      <c r="A1481" s="118" t="s">
        <v>1005</v>
      </c>
      <c r="B1481" s="118" t="str">
        <f aca="false">CONCATENATE(C1481&amp;D1481)</f>
        <v>1"1096</v>
      </c>
      <c r="C1481" s="118" t="s">
        <v>967</v>
      </c>
      <c r="D1481" s="153" t="n">
        <f aca="false">D1480+1</f>
        <v>1096</v>
      </c>
      <c r="E1481" s="118" t="e">
        <f aca="false">CEILING(D1481/20;1)</f>
        <v>#VALUE!</v>
      </c>
      <c r="F1481" s="118" t="e">
        <f aca="false">E1481*$F$1</f>
        <v>#VALUE!</v>
      </c>
    </row>
    <row r="1482" customFormat="false" ht="14.25" hidden="false" customHeight="true" outlineLevel="0" collapsed="false">
      <c r="A1482" s="118" t="s">
        <v>1005</v>
      </c>
      <c r="B1482" s="118" t="str">
        <f aca="false">CONCATENATE(C1482&amp;D1482)</f>
        <v>1"1097</v>
      </c>
      <c r="C1482" s="118" t="s">
        <v>967</v>
      </c>
      <c r="D1482" s="153" t="n">
        <f aca="false">D1481+1</f>
        <v>1097</v>
      </c>
      <c r="E1482" s="118" t="e">
        <f aca="false">CEILING(D1482/20;1)</f>
        <v>#VALUE!</v>
      </c>
      <c r="F1482" s="118" t="e">
        <f aca="false">E1482*$F$1</f>
        <v>#VALUE!</v>
      </c>
    </row>
    <row r="1483" customFormat="false" ht="14.25" hidden="false" customHeight="true" outlineLevel="0" collapsed="false">
      <c r="A1483" s="118" t="s">
        <v>1005</v>
      </c>
      <c r="B1483" s="118" t="str">
        <f aca="false">CONCATENATE(C1483&amp;D1483)</f>
        <v>1"1098</v>
      </c>
      <c r="C1483" s="118" t="s">
        <v>967</v>
      </c>
      <c r="D1483" s="153" t="n">
        <f aca="false">D1482+1</f>
        <v>1098</v>
      </c>
      <c r="E1483" s="118" t="e">
        <f aca="false">CEILING(D1483/20;1)</f>
        <v>#VALUE!</v>
      </c>
      <c r="F1483" s="118" t="e">
        <f aca="false">E1483*$F$1</f>
        <v>#VALUE!</v>
      </c>
    </row>
    <row r="1484" customFormat="false" ht="14.25" hidden="false" customHeight="true" outlineLevel="0" collapsed="false">
      <c r="A1484" s="118" t="s">
        <v>1005</v>
      </c>
      <c r="B1484" s="118" t="str">
        <f aca="false">CONCATENATE(C1484&amp;D1484)</f>
        <v>1"1099</v>
      </c>
      <c r="C1484" s="118" t="s">
        <v>967</v>
      </c>
      <c r="D1484" s="153" t="n">
        <f aca="false">D1483+1</f>
        <v>1099</v>
      </c>
      <c r="E1484" s="118" t="e">
        <f aca="false">CEILING(D1484/20;1)</f>
        <v>#VALUE!</v>
      </c>
      <c r="F1484" s="118" t="e">
        <f aca="false">E1484*$F$1</f>
        <v>#VALUE!</v>
      </c>
    </row>
    <row r="1485" customFormat="false" ht="14.25" hidden="false" customHeight="true" outlineLevel="0" collapsed="false">
      <c r="A1485" s="118" t="s">
        <v>1005</v>
      </c>
      <c r="B1485" s="118" t="str">
        <f aca="false">CONCATENATE(C1485&amp;D1485)</f>
        <v>1"1100</v>
      </c>
      <c r="C1485" s="118" t="s">
        <v>967</v>
      </c>
      <c r="D1485" s="153" t="n">
        <f aca="false">D1484+1</f>
        <v>1100</v>
      </c>
      <c r="E1485" s="118" t="e">
        <f aca="false">CEILING(D1485/20;1)</f>
        <v>#VALUE!</v>
      </c>
      <c r="F1485" s="118" t="e">
        <f aca="false">E1485*$F$1</f>
        <v>#VALUE!</v>
      </c>
    </row>
    <row r="1486" customFormat="false" ht="14.25" hidden="false" customHeight="true" outlineLevel="0" collapsed="false">
      <c r="A1486" s="118" t="s">
        <v>1005</v>
      </c>
      <c r="B1486" s="118" t="str">
        <f aca="false">CONCATENATE(C1486&amp;D1486)</f>
        <v>1"1101</v>
      </c>
      <c r="C1486" s="118" t="s">
        <v>967</v>
      </c>
      <c r="D1486" s="153" t="n">
        <f aca="false">D1485+1</f>
        <v>1101</v>
      </c>
      <c r="E1486" s="118" t="e">
        <f aca="false">CEILING(D1486/20;1)</f>
        <v>#VALUE!</v>
      </c>
      <c r="F1486" s="118" t="e">
        <f aca="false">E1486*$F$1</f>
        <v>#VALUE!</v>
      </c>
    </row>
    <row r="1487" customFormat="false" ht="14.25" hidden="false" customHeight="true" outlineLevel="0" collapsed="false">
      <c r="A1487" s="118" t="s">
        <v>1005</v>
      </c>
      <c r="B1487" s="118" t="str">
        <f aca="false">CONCATENATE(C1487&amp;D1487)</f>
        <v>1"1102</v>
      </c>
      <c r="C1487" s="118" t="s">
        <v>967</v>
      </c>
      <c r="D1487" s="153" t="n">
        <f aca="false">D1486+1</f>
        <v>1102</v>
      </c>
      <c r="E1487" s="118" t="e">
        <f aca="false">CEILING(D1487/20;1)</f>
        <v>#VALUE!</v>
      </c>
      <c r="F1487" s="118" t="e">
        <f aca="false">E1487*$F$1</f>
        <v>#VALUE!</v>
      </c>
    </row>
    <row r="1488" customFormat="false" ht="14.25" hidden="false" customHeight="true" outlineLevel="0" collapsed="false">
      <c r="A1488" s="118" t="s">
        <v>1005</v>
      </c>
      <c r="B1488" s="118" t="str">
        <f aca="false">CONCATENATE(C1488&amp;D1488)</f>
        <v>1"1103</v>
      </c>
      <c r="C1488" s="118" t="s">
        <v>967</v>
      </c>
      <c r="D1488" s="153" t="n">
        <f aca="false">D1487+1</f>
        <v>1103</v>
      </c>
      <c r="E1488" s="118" t="e">
        <f aca="false">CEILING(D1488/20;1)</f>
        <v>#VALUE!</v>
      </c>
      <c r="F1488" s="118" t="e">
        <f aca="false">E1488*$F$1</f>
        <v>#VALUE!</v>
      </c>
    </row>
    <row r="1489" customFormat="false" ht="14.25" hidden="false" customHeight="true" outlineLevel="0" collapsed="false">
      <c r="A1489" s="118" t="s">
        <v>1005</v>
      </c>
      <c r="B1489" s="118" t="str">
        <f aca="false">CONCATENATE(C1489&amp;D1489)</f>
        <v>1"1104</v>
      </c>
      <c r="C1489" s="118" t="s">
        <v>967</v>
      </c>
      <c r="D1489" s="153" t="n">
        <f aca="false">D1488+1</f>
        <v>1104</v>
      </c>
      <c r="E1489" s="118" t="e">
        <f aca="false">CEILING(D1489/20;1)</f>
        <v>#VALUE!</v>
      </c>
      <c r="F1489" s="118" t="e">
        <f aca="false">E1489*$F$1</f>
        <v>#VALUE!</v>
      </c>
    </row>
    <row r="1490" customFormat="false" ht="14.25" hidden="false" customHeight="true" outlineLevel="0" collapsed="false">
      <c r="A1490" s="118" t="s">
        <v>1005</v>
      </c>
      <c r="B1490" s="118" t="str">
        <f aca="false">CONCATENATE(C1490&amp;D1490)</f>
        <v>1"1105</v>
      </c>
      <c r="C1490" s="118" t="s">
        <v>967</v>
      </c>
      <c r="D1490" s="153" t="n">
        <f aca="false">D1489+1</f>
        <v>1105</v>
      </c>
      <c r="E1490" s="118" t="e">
        <f aca="false">CEILING(D1490/20;1)</f>
        <v>#VALUE!</v>
      </c>
      <c r="F1490" s="118" t="e">
        <f aca="false">E1490*$F$1</f>
        <v>#VALUE!</v>
      </c>
    </row>
    <row r="1491" customFormat="false" ht="14.25" hidden="false" customHeight="true" outlineLevel="0" collapsed="false">
      <c r="A1491" s="118" t="s">
        <v>1005</v>
      </c>
      <c r="B1491" s="118" t="str">
        <f aca="false">CONCATENATE(C1491&amp;D1491)</f>
        <v>1"1106</v>
      </c>
      <c r="C1491" s="118" t="s">
        <v>967</v>
      </c>
      <c r="D1491" s="153" t="n">
        <f aca="false">D1490+1</f>
        <v>1106</v>
      </c>
      <c r="E1491" s="118" t="e">
        <f aca="false">CEILING(D1491/20;1)</f>
        <v>#VALUE!</v>
      </c>
      <c r="F1491" s="118" t="e">
        <f aca="false">E1491*$F$1</f>
        <v>#VALUE!</v>
      </c>
    </row>
    <row r="1492" customFormat="false" ht="14.25" hidden="false" customHeight="true" outlineLevel="0" collapsed="false">
      <c r="A1492" s="118" t="s">
        <v>1005</v>
      </c>
      <c r="B1492" s="118" t="str">
        <f aca="false">CONCATENATE(C1492&amp;D1492)</f>
        <v>1"1107</v>
      </c>
      <c r="C1492" s="118" t="s">
        <v>967</v>
      </c>
      <c r="D1492" s="153" t="n">
        <f aca="false">D1491+1</f>
        <v>1107</v>
      </c>
      <c r="E1492" s="118" t="e">
        <f aca="false">CEILING(D1492/20;1)</f>
        <v>#VALUE!</v>
      </c>
      <c r="F1492" s="118" t="e">
        <f aca="false">E1492*$F$1</f>
        <v>#VALUE!</v>
      </c>
    </row>
    <row r="1493" customFormat="false" ht="14.25" hidden="false" customHeight="true" outlineLevel="0" collapsed="false">
      <c r="A1493" s="118" t="s">
        <v>1005</v>
      </c>
      <c r="B1493" s="118" t="str">
        <f aca="false">CONCATENATE(C1493&amp;D1493)</f>
        <v>1"1108</v>
      </c>
      <c r="C1493" s="118" t="s">
        <v>967</v>
      </c>
      <c r="D1493" s="153" t="n">
        <f aca="false">D1492+1</f>
        <v>1108</v>
      </c>
      <c r="E1493" s="118" t="e">
        <f aca="false">CEILING(D1493/20;1)</f>
        <v>#VALUE!</v>
      </c>
      <c r="F1493" s="118" t="e">
        <f aca="false">E1493*$F$1</f>
        <v>#VALUE!</v>
      </c>
    </row>
    <row r="1494" customFormat="false" ht="14.25" hidden="false" customHeight="true" outlineLevel="0" collapsed="false">
      <c r="A1494" s="118" t="s">
        <v>1005</v>
      </c>
      <c r="B1494" s="118" t="str">
        <f aca="false">CONCATENATE(C1494&amp;D1494)</f>
        <v>1"1109</v>
      </c>
      <c r="C1494" s="118" t="s">
        <v>967</v>
      </c>
      <c r="D1494" s="153" t="n">
        <f aca="false">D1493+1</f>
        <v>1109</v>
      </c>
      <c r="E1494" s="118" t="e">
        <f aca="false">CEILING(D1494/20;1)</f>
        <v>#VALUE!</v>
      </c>
      <c r="F1494" s="118" t="e">
        <f aca="false">E1494*$F$1</f>
        <v>#VALUE!</v>
      </c>
    </row>
    <row r="1495" customFormat="false" ht="14.25" hidden="false" customHeight="true" outlineLevel="0" collapsed="false">
      <c r="A1495" s="118" t="s">
        <v>1005</v>
      </c>
      <c r="B1495" s="118" t="str">
        <f aca="false">CONCATENATE(C1495&amp;D1495)</f>
        <v>1"1110</v>
      </c>
      <c r="C1495" s="118" t="s">
        <v>967</v>
      </c>
      <c r="D1495" s="153" t="n">
        <f aca="false">D1494+1</f>
        <v>1110</v>
      </c>
      <c r="E1495" s="118" t="e">
        <f aca="false">CEILING(D1495/20;1)</f>
        <v>#VALUE!</v>
      </c>
      <c r="F1495" s="118" t="e">
        <f aca="false">E1495*$F$1</f>
        <v>#VALUE!</v>
      </c>
    </row>
    <row r="1496" customFormat="false" ht="14.25" hidden="false" customHeight="true" outlineLevel="0" collapsed="false">
      <c r="A1496" s="118" t="s">
        <v>1005</v>
      </c>
      <c r="B1496" s="118" t="str">
        <f aca="false">CONCATENATE(C1496&amp;D1496)</f>
        <v>1"1111</v>
      </c>
      <c r="C1496" s="118" t="s">
        <v>967</v>
      </c>
      <c r="D1496" s="153" t="n">
        <f aca="false">D1495+1</f>
        <v>1111</v>
      </c>
      <c r="E1496" s="118" t="e">
        <f aca="false">CEILING(D1496/20;1)</f>
        <v>#VALUE!</v>
      </c>
      <c r="F1496" s="118" t="e">
        <f aca="false">E1496*$F$1</f>
        <v>#VALUE!</v>
      </c>
    </row>
    <row r="1497" customFormat="false" ht="14.25" hidden="false" customHeight="true" outlineLevel="0" collapsed="false">
      <c r="A1497" s="118" t="s">
        <v>1005</v>
      </c>
      <c r="B1497" s="118" t="str">
        <f aca="false">CONCATENATE(C1497&amp;D1497)</f>
        <v>1"1112</v>
      </c>
      <c r="C1497" s="118" t="s">
        <v>967</v>
      </c>
      <c r="D1497" s="153" t="n">
        <f aca="false">D1496+1</f>
        <v>1112</v>
      </c>
      <c r="E1497" s="118" t="e">
        <f aca="false">CEILING(D1497/20;1)</f>
        <v>#VALUE!</v>
      </c>
      <c r="F1497" s="118" t="e">
        <f aca="false">E1497*$F$1</f>
        <v>#VALUE!</v>
      </c>
    </row>
    <row r="1498" customFormat="false" ht="14.25" hidden="false" customHeight="true" outlineLevel="0" collapsed="false">
      <c r="A1498" s="118" t="s">
        <v>1005</v>
      </c>
      <c r="B1498" s="118" t="str">
        <f aca="false">CONCATENATE(C1498&amp;D1498)</f>
        <v>1"1113</v>
      </c>
      <c r="C1498" s="118" t="s">
        <v>967</v>
      </c>
      <c r="D1498" s="153" t="n">
        <f aca="false">D1497+1</f>
        <v>1113</v>
      </c>
      <c r="E1498" s="118" t="e">
        <f aca="false">CEILING(D1498/20;1)</f>
        <v>#VALUE!</v>
      </c>
      <c r="F1498" s="118" t="e">
        <f aca="false">E1498*$F$1</f>
        <v>#VALUE!</v>
      </c>
    </row>
    <row r="1499" customFormat="false" ht="14.25" hidden="false" customHeight="true" outlineLevel="0" collapsed="false">
      <c r="A1499" s="118" t="s">
        <v>1005</v>
      </c>
      <c r="B1499" s="118" t="str">
        <f aca="false">CONCATENATE(C1499&amp;D1499)</f>
        <v>1"1114</v>
      </c>
      <c r="C1499" s="118" t="s">
        <v>967</v>
      </c>
      <c r="D1499" s="153" t="n">
        <f aca="false">D1498+1</f>
        <v>1114</v>
      </c>
      <c r="E1499" s="118" t="e">
        <f aca="false">CEILING(D1499/20;1)</f>
        <v>#VALUE!</v>
      </c>
      <c r="F1499" s="118" t="e">
        <f aca="false">E1499*$F$1</f>
        <v>#VALUE!</v>
      </c>
    </row>
    <row r="1500" customFormat="false" ht="14.25" hidden="false" customHeight="true" outlineLevel="0" collapsed="false">
      <c r="A1500" s="118" t="s">
        <v>1005</v>
      </c>
      <c r="B1500" s="118" t="str">
        <f aca="false">CONCATENATE(C1500&amp;D1500)</f>
        <v>1"1115</v>
      </c>
      <c r="C1500" s="118" t="s">
        <v>967</v>
      </c>
      <c r="D1500" s="153" t="n">
        <f aca="false">D1499+1</f>
        <v>1115</v>
      </c>
      <c r="E1500" s="118" t="e">
        <f aca="false">CEILING(D1500/20;1)</f>
        <v>#VALUE!</v>
      </c>
      <c r="F1500" s="118" t="e">
        <f aca="false">E1500*$F$1</f>
        <v>#VALUE!</v>
      </c>
    </row>
    <row r="1501" customFormat="false" ht="14.25" hidden="false" customHeight="true" outlineLevel="0" collapsed="false">
      <c r="A1501" s="118" t="s">
        <v>1005</v>
      </c>
      <c r="B1501" s="118" t="str">
        <f aca="false">CONCATENATE(C1501&amp;D1501)</f>
        <v>1"1116</v>
      </c>
      <c r="C1501" s="118" t="s">
        <v>967</v>
      </c>
      <c r="D1501" s="153" t="n">
        <f aca="false">D1500+1</f>
        <v>1116</v>
      </c>
      <c r="E1501" s="118" t="e">
        <f aca="false">CEILING(D1501/20;1)</f>
        <v>#VALUE!</v>
      </c>
      <c r="F1501" s="118" t="e">
        <f aca="false">E1501*$F$1</f>
        <v>#VALUE!</v>
      </c>
    </row>
    <row r="1502" customFormat="false" ht="14.25" hidden="false" customHeight="true" outlineLevel="0" collapsed="false">
      <c r="A1502" s="118" t="s">
        <v>1005</v>
      </c>
      <c r="B1502" s="118" t="str">
        <f aca="false">CONCATENATE(C1502&amp;D1502)</f>
        <v>1"1117</v>
      </c>
      <c r="C1502" s="118" t="s">
        <v>967</v>
      </c>
      <c r="D1502" s="153" t="n">
        <f aca="false">D1501+1</f>
        <v>1117</v>
      </c>
      <c r="E1502" s="118" t="e">
        <f aca="false">CEILING(D1502/20;1)</f>
        <v>#VALUE!</v>
      </c>
      <c r="F1502" s="118" t="e">
        <f aca="false">E1502*$F$1</f>
        <v>#VALUE!</v>
      </c>
    </row>
    <row r="1503" customFormat="false" ht="14.25" hidden="false" customHeight="true" outlineLevel="0" collapsed="false">
      <c r="A1503" s="118" t="s">
        <v>1005</v>
      </c>
      <c r="B1503" s="118" t="str">
        <f aca="false">CONCATENATE(C1503&amp;D1503)</f>
        <v>1"1118</v>
      </c>
      <c r="C1503" s="118" t="s">
        <v>967</v>
      </c>
      <c r="D1503" s="153" t="n">
        <f aca="false">D1502+1</f>
        <v>1118</v>
      </c>
      <c r="E1503" s="118" t="e">
        <f aca="false">CEILING(D1503/20;1)</f>
        <v>#VALUE!</v>
      </c>
      <c r="F1503" s="118" t="e">
        <f aca="false">E1503*$F$1</f>
        <v>#VALUE!</v>
      </c>
    </row>
    <row r="1504" customFormat="false" ht="14.25" hidden="false" customHeight="true" outlineLevel="0" collapsed="false">
      <c r="A1504" s="118" t="s">
        <v>1005</v>
      </c>
      <c r="B1504" s="118" t="str">
        <f aca="false">CONCATENATE(C1504&amp;D1504)</f>
        <v>1"1119</v>
      </c>
      <c r="C1504" s="118" t="s">
        <v>967</v>
      </c>
      <c r="D1504" s="153" t="n">
        <f aca="false">D1503+1</f>
        <v>1119</v>
      </c>
      <c r="E1504" s="118" t="e">
        <f aca="false">CEILING(D1504/20;1)</f>
        <v>#VALUE!</v>
      </c>
      <c r="F1504" s="118" t="e">
        <f aca="false">E1504*$F$1</f>
        <v>#VALUE!</v>
      </c>
    </row>
    <row r="1505" customFormat="false" ht="14.25" hidden="false" customHeight="true" outlineLevel="0" collapsed="false">
      <c r="A1505" s="118" t="s">
        <v>1005</v>
      </c>
      <c r="B1505" s="118" t="str">
        <f aca="false">CONCATENATE(C1505&amp;D1505)</f>
        <v>1"1120</v>
      </c>
      <c r="C1505" s="118" t="s">
        <v>967</v>
      </c>
      <c r="D1505" s="153" t="n">
        <f aca="false">D1504+1</f>
        <v>1120</v>
      </c>
      <c r="E1505" s="118" t="e">
        <f aca="false">CEILING(D1505/20;1)</f>
        <v>#VALUE!</v>
      </c>
      <c r="F1505" s="118" t="e">
        <f aca="false">E1505*$F$1</f>
        <v>#VALUE!</v>
      </c>
    </row>
    <row r="1506" customFormat="false" ht="14.25" hidden="false" customHeight="true" outlineLevel="0" collapsed="false">
      <c r="A1506" s="118" t="s">
        <v>1005</v>
      </c>
      <c r="B1506" s="118" t="str">
        <f aca="false">CONCATENATE(C1506&amp;D1506)</f>
        <v>1"1121</v>
      </c>
      <c r="C1506" s="118" t="s">
        <v>967</v>
      </c>
      <c r="D1506" s="153" t="n">
        <f aca="false">D1505+1</f>
        <v>1121</v>
      </c>
      <c r="E1506" s="118" t="e">
        <f aca="false">CEILING(D1506/20;1)</f>
        <v>#VALUE!</v>
      </c>
      <c r="F1506" s="118" t="e">
        <f aca="false">E1506*$F$1</f>
        <v>#VALUE!</v>
      </c>
    </row>
    <row r="1507" customFormat="false" ht="14.25" hidden="false" customHeight="true" outlineLevel="0" collapsed="false">
      <c r="A1507" s="118" t="s">
        <v>1005</v>
      </c>
      <c r="B1507" s="118" t="str">
        <f aca="false">CONCATENATE(C1507&amp;D1507)</f>
        <v>1"1122</v>
      </c>
      <c r="C1507" s="118" t="s">
        <v>967</v>
      </c>
      <c r="D1507" s="153" t="n">
        <f aca="false">D1506+1</f>
        <v>1122</v>
      </c>
      <c r="E1507" s="118" t="e">
        <f aca="false">CEILING(D1507/20;1)</f>
        <v>#VALUE!</v>
      </c>
      <c r="F1507" s="118" t="e">
        <f aca="false">E1507*$F$1</f>
        <v>#VALUE!</v>
      </c>
    </row>
    <row r="1508" customFormat="false" ht="14.25" hidden="false" customHeight="true" outlineLevel="0" collapsed="false">
      <c r="A1508" s="118" t="s">
        <v>1005</v>
      </c>
      <c r="B1508" s="118" t="str">
        <f aca="false">CONCATENATE(C1508&amp;D1508)</f>
        <v>1"1123</v>
      </c>
      <c r="C1508" s="118" t="s">
        <v>967</v>
      </c>
      <c r="D1508" s="153" t="n">
        <f aca="false">D1507+1</f>
        <v>1123</v>
      </c>
      <c r="E1508" s="118" t="e">
        <f aca="false">CEILING(D1508/20;1)</f>
        <v>#VALUE!</v>
      </c>
      <c r="F1508" s="118" t="e">
        <f aca="false">E1508*$F$1</f>
        <v>#VALUE!</v>
      </c>
    </row>
    <row r="1509" customFormat="false" ht="14.25" hidden="false" customHeight="true" outlineLevel="0" collapsed="false">
      <c r="A1509" s="118" t="s">
        <v>1005</v>
      </c>
      <c r="B1509" s="118" t="str">
        <f aca="false">CONCATENATE(C1509&amp;D1509)</f>
        <v>1"1124</v>
      </c>
      <c r="C1509" s="118" t="s">
        <v>967</v>
      </c>
      <c r="D1509" s="153" t="n">
        <f aca="false">D1508+1</f>
        <v>1124</v>
      </c>
      <c r="E1509" s="118" t="e">
        <f aca="false">CEILING(D1509/20;1)</f>
        <v>#VALUE!</v>
      </c>
      <c r="F1509" s="118" t="e">
        <f aca="false">E1509*$F$1</f>
        <v>#VALUE!</v>
      </c>
    </row>
    <row r="1510" customFormat="false" ht="14.25" hidden="false" customHeight="true" outlineLevel="0" collapsed="false">
      <c r="A1510" s="118" t="s">
        <v>1005</v>
      </c>
      <c r="B1510" s="118" t="str">
        <f aca="false">CONCATENATE(C1510&amp;D1510)</f>
        <v>1"1125</v>
      </c>
      <c r="C1510" s="118" t="s">
        <v>967</v>
      </c>
      <c r="D1510" s="153" t="n">
        <f aca="false">D1509+1</f>
        <v>1125</v>
      </c>
      <c r="E1510" s="118" t="e">
        <f aca="false">CEILING(D1510/20;1)</f>
        <v>#VALUE!</v>
      </c>
      <c r="F1510" s="118" t="e">
        <f aca="false">E1510*$F$1</f>
        <v>#VALUE!</v>
      </c>
    </row>
    <row r="1511" customFormat="false" ht="14.25" hidden="false" customHeight="true" outlineLevel="0" collapsed="false">
      <c r="A1511" s="118" t="s">
        <v>1005</v>
      </c>
      <c r="B1511" s="118" t="str">
        <f aca="false">CONCATENATE(C1511&amp;D1511)</f>
        <v>1"1126</v>
      </c>
      <c r="C1511" s="118" t="s">
        <v>967</v>
      </c>
      <c r="D1511" s="153" t="n">
        <f aca="false">D1510+1</f>
        <v>1126</v>
      </c>
      <c r="E1511" s="118" t="e">
        <f aca="false">CEILING(D1511/20;1)</f>
        <v>#VALUE!</v>
      </c>
      <c r="F1511" s="118" t="e">
        <f aca="false">E1511*$F$1</f>
        <v>#VALUE!</v>
      </c>
    </row>
    <row r="1512" customFormat="false" ht="14.25" hidden="false" customHeight="true" outlineLevel="0" collapsed="false">
      <c r="A1512" s="118" t="s">
        <v>1005</v>
      </c>
      <c r="B1512" s="118" t="str">
        <f aca="false">CONCATENATE(C1512&amp;D1512)</f>
        <v>1"1127</v>
      </c>
      <c r="C1512" s="118" t="s">
        <v>967</v>
      </c>
      <c r="D1512" s="153" t="n">
        <f aca="false">D1511+1</f>
        <v>1127</v>
      </c>
      <c r="E1512" s="118" t="e">
        <f aca="false">CEILING(D1512/20;1)</f>
        <v>#VALUE!</v>
      </c>
      <c r="F1512" s="118" t="e">
        <f aca="false">E1512*$F$1</f>
        <v>#VALUE!</v>
      </c>
    </row>
    <row r="1513" customFormat="false" ht="14.25" hidden="false" customHeight="true" outlineLevel="0" collapsed="false">
      <c r="A1513" s="118" t="s">
        <v>1005</v>
      </c>
      <c r="B1513" s="118" t="str">
        <f aca="false">CONCATENATE(C1513&amp;D1513)</f>
        <v>1"1128</v>
      </c>
      <c r="C1513" s="118" t="s">
        <v>967</v>
      </c>
      <c r="D1513" s="153" t="n">
        <f aca="false">D1512+1</f>
        <v>1128</v>
      </c>
      <c r="E1513" s="118" t="e">
        <f aca="false">CEILING(D1513/20;1)</f>
        <v>#VALUE!</v>
      </c>
      <c r="F1513" s="118" t="e">
        <f aca="false">E1513*$F$1</f>
        <v>#VALUE!</v>
      </c>
    </row>
    <row r="1514" customFormat="false" ht="14.25" hidden="false" customHeight="true" outlineLevel="0" collapsed="false">
      <c r="A1514" s="118" t="s">
        <v>1005</v>
      </c>
      <c r="B1514" s="118" t="str">
        <f aca="false">CONCATENATE(C1514&amp;D1514)</f>
        <v>1"1129</v>
      </c>
      <c r="C1514" s="118" t="s">
        <v>967</v>
      </c>
      <c r="D1514" s="153" t="n">
        <f aca="false">D1513+1</f>
        <v>1129</v>
      </c>
      <c r="E1514" s="118" t="e">
        <f aca="false">CEILING(D1514/20;1)</f>
        <v>#VALUE!</v>
      </c>
      <c r="F1514" s="118" t="e">
        <f aca="false">E1514*$F$1</f>
        <v>#VALUE!</v>
      </c>
    </row>
    <row r="1515" customFormat="false" ht="14.25" hidden="false" customHeight="true" outlineLevel="0" collapsed="false">
      <c r="A1515" s="118" t="s">
        <v>1005</v>
      </c>
      <c r="B1515" s="118" t="str">
        <f aca="false">CONCATENATE(C1515&amp;D1515)</f>
        <v>1"1130</v>
      </c>
      <c r="C1515" s="118" t="s">
        <v>967</v>
      </c>
      <c r="D1515" s="153" t="n">
        <f aca="false">D1514+1</f>
        <v>1130</v>
      </c>
      <c r="E1515" s="118" t="e">
        <f aca="false">CEILING(D1515/20;1)</f>
        <v>#VALUE!</v>
      </c>
      <c r="F1515" s="118" t="e">
        <f aca="false">E1515*$F$1</f>
        <v>#VALUE!</v>
      </c>
    </row>
    <row r="1516" customFormat="false" ht="14.25" hidden="false" customHeight="true" outlineLevel="0" collapsed="false">
      <c r="A1516" s="118" t="s">
        <v>1005</v>
      </c>
      <c r="B1516" s="118" t="str">
        <f aca="false">CONCATENATE(C1516&amp;D1516)</f>
        <v>1"1131</v>
      </c>
      <c r="C1516" s="118" t="s">
        <v>967</v>
      </c>
      <c r="D1516" s="153" t="n">
        <f aca="false">D1515+1</f>
        <v>1131</v>
      </c>
      <c r="E1516" s="118" t="e">
        <f aca="false">CEILING(D1516/20;1)</f>
        <v>#VALUE!</v>
      </c>
      <c r="F1516" s="118" t="e">
        <f aca="false">E1516*$F$1</f>
        <v>#VALUE!</v>
      </c>
    </row>
    <row r="1517" customFormat="false" ht="14.25" hidden="false" customHeight="true" outlineLevel="0" collapsed="false">
      <c r="A1517" s="118" t="s">
        <v>1005</v>
      </c>
      <c r="B1517" s="118" t="str">
        <f aca="false">CONCATENATE(C1517&amp;D1517)</f>
        <v>1"1132</v>
      </c>
      <c r="C1517" s="118" t="s">
        <v>967</v>
      </c>
      <c r="D1517" s="153" t="n">
        <f aca="false">D1516+1</f>
        <v>1132</v>
      </c>
      <c r="E1517" s="118" t="e">
        <f aca="false">CEILING(D1517/20;1)</f>
        <v>#VALUE!</v>
      </c>
      <c r="F1517" s="118" t="e">
        <f aca="false">E1517*$F$1</f>
        <v>#VALUE!</v>
      </c>
    </row>
    <row r="1518" customFormat="false" ht="14.25" hidden="false" customHeight="true" outlineLevel="0" collapsed="false">
      <c r="A1518" s="118" t="s">
        <v>1005</v>
      </c>
      <c r="B1518" s="118" t="str">
        <f aca="false">CONCATENATE(C1518&amp;D1518)</f>
        <v>1"1133</v>
      </c>
      <c r="C1518" s="118" t="s">
        <v>967</v>
      </c>
      <c r="D1518" s="153" t="n">
        <f aca="false">D1517+1</f>
        <v>1133</v>
      </c>
      <c r="E1518" s="118" t="e">
        <f aca="false">CEILING(D1518/20;1)</f>
        <v>#VALUE!</v>
      </c>
      <c r="F1518" s="118" t="e">
        <f aca="false">E1518*$F$1</f>
        <v>#VALUE!</v>
      </c>
    </row>
    <row r="1519" customFormat="false" ht="14.25" hidden="false" customHeight="true" outlineLevel="0" collapsed="false">
      <c r="A1519" s="118" t="s">
        <v>1005</v>
      </c>
      <c r="B1519" s="118" t="str">
        <f aca="false">CONCATENATE(C1519&amp;D1519)</f>
        <v>1"1134</v>
      </c>
      <c r="C1519" s="118" t="s">
        <v>967</v>
      </c>
      <c r="D1519" s="153" t="n">
        <f aca="false">D1518+1</f>
        <v>1134</v>
      </c>
      <c r="E1519" s="118" t="e">
        <f aca="false">CEILING(D1519/20;1)</f>
        <v>#VALUE!</v>
      </c>
      <c r="F1519" s="118" t="e">
        <f aca="false">E1519*$F$1</f>
        <v>#VALUE!</v>
      </c>
    </row>
    <row r="1520" customFormat="false" ht="14.25" hidden="false" customHeight="true" outlineLevel="0" collapsed="false">
      <c r="A1520" s="118" t="s">
        <v>1005</v>
      </c>
      <c r="B1520" s="118" t="str">
        <f aca="false">CONCATENATE(C1520&amp;D1520)</f>
        <v>1"1135</v>
      </c>
      <c r="C1520" s="118" t="s">
        <v>967</v>
      </c>
      <c r="D1520" s="153" t="n">
        <f aca="false">D1519+1</f>
        <v>1135</v>
      </c>
      <c r="E1520" s="118" t="e">
        <f aca="false">CEILING(D1520/20;1)</f>
        <v>#VALUE!</v>
      </c>
      <c r="F1520" s="118" t="e">
        <f aca="false">E1520*$F$1</f>
        <v>#VALUE!</v>
      </c>
    </row>
    <row r="1521" customFormat="false" ht="14.25" hidden="false" customHeight="true" outlineLevel="0" collapsed="false">
      <c r="A1521" s="118" t="s">
        <v>1005</v>
      </c>
      <c r="B1521" s="118" t="str">
        <f aca="false">CONCATENATE(C1521&amp;D1521)</f>
        <v>1"1136</v>
      </c>
      <c r="C1521" s="118" t="s">
        <v>967</v>
      </c>
      <c r="D1521" s="153" t="n">
        <f aca="false">D1520+1</f>
        <v>1136</v>
      </c>
      <c r="E1521" s="118" t="e">
        <f aca="false">CEILING(D1521/20;1)</f>
        <v>#VALUE!</v>
      </c>
      <c r="F1521" s="118" t="e">
        <f aca="false">E1521*$F$1</f>
        <v>#VALUE!</v>
      </c>
    </row>
    <row r="1522" customFormat="false" ht="14.25" hidden="false" customHeight="true" outlineLevel="0" collapsed="false">
      <c r="A1522" s="118" t="s">
        <v>1005</v>
      </c>
      <c r="B1522" s="118" t="str">
        <f aca="false">CONCATENATE(C1522&amp;D1522)</f>
        <v>1"1137</v>
      </c>
      <c r="C1522" s="118" t="s">
        <v>967</v>
      </c>
      <c r="D1522" s="153" t="n">
        <f aca="false">D1521+1</f>
        <v>1137</v>
      </c>
      <c r="E1522" s="118" t="e">
        <f aca="false">CEILING(D1522/20;1)</f>
        <v>#VALUE!</v>
      </c>
      <c r="F1522" s="118" t="e">
        <f aca="false">E1522*$F$1</f>
        <v>#VALUE!</v>
      </c>
    </row>
    <row r="1523" customFormat="false" ht="14.25" hidden="false" customHeight="true" outlineLevel="0" collapsed="false">
      <c r="A1523" s="118" t="s">
        <v>1005</v>
      </c>
      <c r="B1523" s="118" t="str">
        <f aca="false">CONCATENATE(C1523&amp;D1523)</f>
        <v>1"1138</v>
      </c>
      <c r="C1523" s="118" t="s">
        <v>967</v>
      </c>
      <c r="D1523" s="153" t="n">
        <f aca="false">D1522+1</f>
        <v>1138</v>
      </c>
      <c r="E1523" s="118" t="e">
        <f aca="false">CEILING(D1523/20;1)</f>
        <v>#VALUE!</v>
      </c>
      <c r="F1523" s="118" t="e">
        <f aca="false">E1523*$F$1</f>
        <v>#VALUE!</v>
      </c>
    </row>
    <row r="1524" customFormat="false" ht="14.25" hidden="false" customHeight="true" outlineLevel="0" collapsed="false">
      <c r="A1524" s="118" t="s">
        <v>1005</v>
      </c>
      <c r="B1524" s="118" t="str">
        <f aca="false">CONCATENATE(C1524&amp;D1524)</f>
        <v>1"1139</v>
      </c>
      <c r="C1524" s="118" t="s">
        <v>967</v>
      </c>
      <c r="D1524" s="153" t="n">
        <f aca="false">D1523+1</f>
        <v>1139</v>
      </c>
      <c r="E1524" s="118" t="e">
        <f aca="false">CEILING(D1524/20;1)</f>
        <v>#VALUE!</v>
      </c>
      <c r="F1524" s="118" t="e">
        <f aca="false">E1524*$F$1</f>
        <v>#VALUE!</v>
      </c>
    </row>
    <row r="1525" customFormat="false" ht="14.25" hidden="false" customHeight="true" outlineLevel="0" collapsed="false">
      <c r="A1525" s="118" t="s">
        <v>1005</v>
      </c>
      <c r="B1525" s="118" t="str">
        <f aca="false">CONCATENATE(C1525&amp;D1525)</f>
        <v>1"1140</v>
      </c>
      <c r="C1525" s="118" t="s">
        <v>967</v>
      </c>
      <c r="D1525" s="153" t="n">
        <f aca="false">D1524+1</f>
        <v>1140</v>
      </c>
      <c r="E1525" s="118" t="e">
        <f aca="false">CEILING(D1525/20;1)</f>
        <v>#VALUE!</v>
      </c>
      <c r="F1525" s="118" t="e">
        <f aca="false">E1525*$F$1</f>
        <v>#VALUE!</v>
      </c>
    </row>
    <row r="1526" customFormat="false" ht="14.25" hidden="false" customHeight="true" outlineLevel="0" collapsed="false">
      <c r="A1526" s="118" t="s">
        <v>1005</v>
      </c>
      <c r="B1526" s="118" t="str">
        <f aca="false">CONCATENATE(C1526&amp;D1526)</f>
        <v>1"1141</v>
      </c>
      <c r="C1526" s="118" t="s">
        <v>967</v>
      </c>
      <c r="D1526" s="153" t="n">
        <f aca="false">D1525+1</f>
        <v>1141</v>
      </c>
      <c r="E1526" s="118" t="e">
        <f aca="false">CEILING(D1526/20;1)</f>
        <v>#VALUE!</v>
      </c>
      <c r="F1526" s="118" t="e">
        <f aca="false">E1526*$F$1</f>
        <v>#VALUE!</v>
      </c>
    </row>
    <row r="1527" customFormat="false" ht="14.25" hidden="false" customHeight="true" outlineLevel="0" collapsed="false">
      <c r="A1527" s="118" t="s">
        <v>1005</v>
      </c>
      <c r="B1527" s="118" t="str">
        <f aca="false">CONCATENATE(C1527&amp;D1527)</f>
        <v>1"1142</v>
      </c>
      <c r="C1527" s="118" t="s">
        <v>967</v>
      </c>
      <c r="D1527" s="153" t="n">
        <f aca="false">D1526+1</f>
        <v>1142</v>
      </c>
      <c r="E1527" s="118" t="e">
        <f aca="false">CEILING(D1527/20;1)</f>
        <v>#VALUE!</v>
      </c>
      <c r="F1527" s="118" t="e">
        <f aca="false">E1527*$F$1</f>
        <v>#VALUE!</v>
      </c>
    </row>
    <row r="1528" customFormat="false" ht="14.25" hidden="false" customHeight="true" outlineLevel="0" collapsed="false">
      <c r="A1528" s="118" t="s">
        <v>1005</v>
      </c>
      <c r="B1528" s="118" t="str">
        <f aca="false">CONCATENATE(C1528&amp;D1528)</f>
        <v>1"1143</v>
      </c>
      <c r="C1528" s="118" t="s">
        <v>967</v>
      </c>
      <c r="D1528" s="153" t="n">
        <f aca="false">D1527+1</f>
        <v>1143</v>
      </c>
      <c r="E1528" s="118" t="e">
        <f aca="false">CEILING(D1528/20;1)</f>
        <v>#VALUE!</v>
      </c>
      <c r="F1528" s="118" t="e">
        <f aca="false">E1528*$F$1</f>
        <v>#VALUE!</v>
      </c>
    </row>
    <row r="1529" customFormat="false" ht="14.25" hidden="false" customHeight="true" outlineLevel="0" collapsed="false">
      <c r="A1529" s="118" t="s">
        <v>1005</v>
      </c>
      <c r="B1529" s="118" t="str">
        <f aca="false">CONCATENATE(C1529&amp;D1529)</f>
        <v>1"1144</v>
      </c>
      <c r="C1529" s="118" t="s">
        <v>967</v>
      </c>
      <c r="D1529" s="153" t="n">
        <f aca="false">D1528+1</f>
        <v>1144</v>
      </c>
      <c r="E1529" s="118" t="e">
        <f aca="false">CEILING(D1529/20;1)</f>
        <v>#VALUE!</v>
      </c>
      <c r="F1529" s="118" t="e">
        <f aca="false">E1529*$F$1</f>
        <v>#VALUE!</v>
      </c>
    </row>
    <row r="1530" customFormat="false" ht="14.25" hidden="false" customHeight="true" outlineLevel="0" collapsed="false">
      <c r="A1530" s="118" t="s">
        <v>1005</v>
      </c>
      <c r="B1530" s="118" t="str">
        <f aca="false">CONCATENATE(C1530&amp;D1530)</f>
        <v>1"1145</v>
      </c>
      <c r="C1530" s="118" t="s">
        <v>967</v>
      </c>
      <c r="D1530" s="153" t="n">
        <f aca="false">D1529+1</f>
        <v>1145</v>
      </c>
      <c r="E1530" s="118" t="e">
        <f aca="false">CEILING(D1530/20;1)</f>
        <v>#VALUE!</v>
      </c>
      <c r="F1530" s="118" t="e">
        <f aca="false">E1530*$F$1</f>
        <v>#VALUE!</v>
      </c>
    </row>
    <row r="1531" customFormat="false" ht="14.25" hidden="false" customHeight="true" outlineLevel="0" collapsed="false">
      <c r="A1531" s="118" t="s">
        <v>1005</v>
      </c>
      <c r="B1531" s="118" t="str">
        <f aca="false">CONCATENATE(C1531&amp;D1531)</f>
        <v>1"1146</v>
      </c>
      <c r="C1531" s="118" t="s">
        <v>967</v>
      </c>
      <c r="D1531" s="153" t="n">
        <f aca="false">D1530+1</f>
        <v>1146</v>
      </c>
      <c r="E1531" s="118" t="e">
        <f aca="false">CEILING(D1531/20;1)</f>
        <v>#VALUE!</v>
      </c>
      <c r="F1531" s="118" t="e">
        <f aca="false">E1531*$F$1</f>
        <v>#VALUE!</v>
      </c>
    </row>
    <row r="1532" customFormat="false" ht="14.25" hidden="false" customHeight="true" outlineLevel="0" collapsed="false">
      <c r="A1532" s="118" t="s">
        <v>1005</v>
      </c>
      <c r="B1532" s="118" t="str">
        <f aca="false">CONCATENATE(C1532&amp;D1532)</f>
        <v>1"1147</v>
      </c>
      <c r="C1532" s="118" t="s">
        <v>967</v>
      </c>
      <c r="D1532" s="153" t="n">
        <f aca="false">D1531+1</f>
        <v>1147</v>
      </c>
      <c r="E1532" s="118" t="e">
        <f aca="false">CEILING(D1532/20;1)</f>
        <v>#VALUE!</v>
      </c>
      <c r="F1532" s="118" t="e">
        <f aca="false">E1532*$F$1</f>
        <v>#VALUE!</v>
      </c>
    </row>
    <row r="1533" customFormat="false" ht="14.25" hidden="false" customHeight="true" outlineLevel="0" collapsed="false">
      <c r="A1533" s="118" t="s">
        <v>1005</v>
      </c>
      <c r="B1533" s="118" t="str">
        <f aca="false">CONCATENATE(C1533&amp;D1533)</f>
        <v>1"1148</v>
      </c>
      <c r="C1533" s="118" t="s">
        <v>967</v>
      </c>
      <c r="D1533" s="153" t="n">
        <f aca="false">D1532+1</f>
        <v>1148</v>
      </c>
      <c r="E1533" s="118" t="e">
        <f aca="false">CEILING(D1533/20;1)</f>
        <v>#VALUE!</v>
      </c>
      <c r="F1533" s="118" t="e">
        <f aca="false">E1533*$F$1</f>
        <v>#VALUE!</v>
      </c>
    </row>
    <row r="1534" customFormat="false" ht="14.25" hidden="false" customHeight="true" outlineLevel="0" collapsed="false">
      <c r="A1534" s="118" t="s">
        <v>1005</v>
      </c>
      <c r="B1534" s="118" t="str">
        <f aca="false">CONCATENATE(C1534&amp;D1534)</f>
        <v>1"1149</v>
      </c>
      <c r="C1534" s="118" t="s">
        <v>967</v>
      </c>
      <c r="D1534" s="153" t="n">
        <f aca="false">D1533+1</f>
        <v>1149</v>
      </c>
      <c r="E1534" s="118" t="e">
        <f aca="false">CEILING(D1534/20;1)</f>
        <v>#VALUE!</v>
      </c>
      <c r="F1534" s="118" t="e">
        <f aca="false">E1534*$F$1</f>
        <v>#VALUE!</v>
      </c>
    </row>
    <row r="1535" customFormat="false" ht="14.25" hidden="false" customHeight="true" outlineLevel="0" collapsed="false">
      <c r="A1535" s="118" t="s">
        <v>1005</v>
      </c>
      <c r="B1535" s="118" t="str">
        <f aca="false">CONCATENATE(C1535&amp;D1535)</f>
        <v>1"1150</v>
      </c>
      <c r="C1535" s="118" t="s">
        <v>967</v>
      </c>
      <c r="D1535" s="153" t="n">
        <f aca="false">D1534+1</f>
        <v>1150</v>
      </c>
      <c r="E1535" s="118" t="e">
        <f aca="false">CEILING(D1535/20;1)</f>
        <v>#VALUE!</v>
      </c>
      <c r="F1535" s="118" t="e">
        <f aca="false">E1535*$F$1</f>
        <v>#VALUE!</v>
      </c>
    </row>
    <row r="1536" customFormat="false" ht="14.25" hidden="false" customHeight="true" outlineLevel="0" collapsed="false">
      <c r="A1536" s="118" t="s">
        <v>1005</v>
      </c>
      <c r="B1536" s="118" t="str">
        <f aca="false">CONCATENATE(C1536&amp;D1536)</f>
        <v>1"1151</v>
      </c>
      <c r="C1536" s="118" t="s">
        <v>967</v>
      </c>
      <c r="D1536" s="153" t="n">
        <f aca="false">D1535+1</f>
        <v>1151</v>
      </c>
      <c r="E1536" s="118" t="e">
        <f aca="false">CEILING(D1536/20;1)</f>
        <v>#VALUE!</v>
      </c>
      <c r="F1536" s="118" t="e">
        <f aca="false">E1536*$F$1</f>
        <v>#VALUE!</v>
      </c>
    </row>
    <row r="1537" customFormat="false" ht="14.25" hidden="false" customHeight="true" outlineLevel="0" collapsed="false">
      <c r="A1537" s="118" t="s">
        <v>1005</v>
      </c>
      <c r="B1537" s="118" t="str">
        <f aca="false">CONCATENATE(C1537&amp;D1537)</f>
        <v>1"1152</v>
      </c>
      <c r="C1537" s="118" t="s">
        <v>967</v>
      </c>
      <c r="D1537" s="153" t="n">
        <f aca="false">D1536+1</f>
        <v>1152</v>
      </c>
      <c r="E1537" s="118" t="e">
        <f aca="false">CEILING(D1537/20;1)</f>
        <v>#VALUE!</v>
      </c>
      <c r="F1537" s="118" t="e">
        <f aca="false">E1537*$F$1</f>
        <v>#VALUE!</v>
      </c>
    </row>
    <row r="1538" customFormat="false" ht="14.25" hidden="false" customHeight="true" outlineLevel="0" collapsed="false">
      <c r="A1538" s="118" t="s">
        <v>1005</v>
      </c>
      <c r="B1538" s="118" t="str">
        <f aca="false">CONCATENATE(C1538&amp;D1538)</f>
        <v>1"1153</v>
      </c>
      <c r="C1538" s="118" t="s">
        <v>967</v>
      </c>
      <c r="D1538" s="153" t="n">
        <f aca="false">D1537+1</f>
        <v>1153</v>
      </c>
      <c r="E1538" s="118" t="e">
        <f aca="false">CEILING(D1538/20;1)</f>
        <v>#VALUE!</v>
      </c>
      <c r="F1538" s="118" t="e">
        <f aca="false">E1538*$F$1</f>
        <v>#VALUE!</v>
      </c>
    </row>
    <row r="1539" customFormat="false" ht="14.25" hidden="false" customHeight="true" outlineLevel="0" collapsed="false">
      <c r="A1539" s="118" t="s">
        <v>1005</v>
      </c>
      <c r="B1539" s="118" t="str">
        <f aca="false">CONCATENATE(C1539&amp;D1539)</f>
        <v>1"1154</v>
      </c>
      <c r="C1539" s="118" t="s">
        <v>967</v>
      </c>
      <c r="D1539" s="153" t="n">
        <f aca="false">D1538+1</f>
        <v>1154</v>
      </c>
      <c r="E1539" s="118" t="e">
        <f aca="false">CEILING(D1539/20;1)</f>
        <v>#VALUE!</v>
      </c>
      <c r="F1539" s="118" t="e">
        <f aca="false">E1539*$F$1</f>
        <v>#VALUE!</v>
      </c>
    </row>
    <row r="1540" customFormat="false" ht="14.25" hidden="false" customHeight="true" outlineLevel="0" collapsed="false">
      <c r="A1540" s="118" t="s">
        <v>1005</v>
      </c>
      <c r="B1540" s="118" t="str">
        <f aca="false">CONCATENATE(C1540&amp;D1540)</f>
        <v>1"1155</v>
      </c>
      <c r="C1540" s="118" t="s">
        <v>967</v>
      </c>
      <c r="D1540" s="153" t="n">
        <f aca="false">D1539+1</f>
        <v>1155</v>
      </c>
      <c r="E1540" s="118" t="e">
        <f aca="false">CEILING(D1540/20;1)</f>
        <v>#VALUE!</v>
      </c>
      <c r="F1540" s="118" t="e">
        <f aca="false">E1540*$F$1</f>
        <v>#VALUE!</v>
      </c>
    </row>
    <row r="1541" customFormat="false" ht="14.25" hidden="false" customHeight="true" outlineLevel="0" collapsed="false">
      <c r="A1541" s="118" t="s">
        <v>1005</v>
      </c>
      <c r="B1541" s="118" t="str">
        <f aca="false">CONCATENATE(C1541&amp;D1541)</f>
        <v>1"1156</v>
      </c>
      <c r="C1541" s="118" t="s">
        <v>967</v>
      </c>
      <c r="D1541" s="153" t="n">
        <f aca="false">D1540+1</f>
        <v>1156</v>
      </c>
      <c r="E1541" s="118" t="e">
        <f aca="false">CEILING(D1541/20;1)</f>
        <v>#VALUE!</v>
      </c>
      <c r="F1541" s="118" t="e">
        <f aca="false">E1541*$F$1</f>
        <v>#VALUE!</v>
      </c>
    </row>
    <row r="1542" customFormat="false" ht="14.25" hidden="false" customHeight="true" outlineLevel="0" collapsed="false">
      <c r="A1542" s="118" t="s">
        <v>1005</v>
      </c>
      <c r="B1542" s="118" t="str">
        <f aca="false">CONCATENATE(C1542&amp;D1542)</f>
        <v>1"1157</v>
      </c>
      <c r="C1542" s="118" t="s">
        <v>967</v>
      </c>
      <c r="D1542" s="153" t="n">
        <f aca="false">D1541+1</f>
        <v>1157</v>
      </c>
      <c r="E1542" s="118" t="e">
        <f aca="false">CEILING(D1542/20;1)</f>
        <v>#VALUE!</v>
      </c>
      <c r="F1542" s="118" t="e">
        <f aca="false">E1542*$F$1</f>
        <v>#VALUE!</v>
      </c>
    </row>
    <row r="1543" customFormat="false" ht="14.25" hidden="false" customHeight="true" outlineLevel="0" collapsed="false">
      <c r="A1543" s="118" t="s">
        <v>1005</v>
      </c>
      <c r="B1543" s="118" t="str">
        <f aca="false">CONCATENATE(C1543&amp;D1543)</f>
        <v>1"1158</v>
      </c>
      <c r="C1543" s="118" t="s">
        <v>967</v>
      </c>
      <c r="D1543" s="153" t="n">
        <f aca="false">D1542+1</f>
        <v>1158</v>
      </c>
      <c r="E1543" s="118" t="e">
        <f aca="false">CEILING(D1543/20;1)</f>
        <v>#VALUE!</v>
      </c>
      <c r="F1543" s="118" t="e">
        <f aca="false">E1543*$F$1</f>
        <v>#VALUE!</v>
      </c>
    </row>
    <row r="1544" customFormat="false" ht="14.25" hidden="false" customHeight="true" outlineLevel="0" collapsed="false">
      <c r="A1544" s="118" t="s">
        <v>1005</v>
      </c>
      <c r="B1544" s="118" t="str">
        <f aca="false">CONCATENATE(C1544&amp;D1544)</f>
        <v>1"1159</v>
      </c>
      <c r="C1544" s="118" t="s">
        <v>967</v>
      </c>
      <c r="D1544" s="153" t="n">
        <f aca="false">D1543+1</f>
        <v>1159</v>
      </c>
      <c r="E1544" s="118" t="e">
        <f aca="false">CEILING(D1544/20;1)</f>
        <v>#VALUE!</v>
      </c>
      <c r="F1544" s="118" t="e">
        <f aca="false">E1544*$F$1</f>
        <v>#VALUE!</v>
      </c>
    </row>
    <row r="1545" customFormat="false" ht="14.25" hidden="false" customHeight="true" outlineLevel="0" collapsed="false">
      <c r="A1545" s="118" t="s">
        <v>1005</v>
      </c>
      <c r="B1545" s="118" t="str">
        <f aca="false">CONCATENATE(C1545&amp;D1545)</f>
        <v>1"1160</v>
      </c>
      <c r="C1545" s="118" t="s">
        <v>967</v>
      </c>
      <c r="D1545" s="153" t="n">
        <f aca="false">D1544+1</f>
        <v>1160</v>
      </c>
      <c r="E1545" s="118" t="e">
        <f aca="false">CEILING(D1545/20;1)</f>
        <v>#VALUE!</v>
      </c>
      <c r="F1545" s="118" t="e">
        <f aca="false">E1545*$F$1</f>
        <v>#VALUE!</v>
      </c>
    </row>
    <row r="1546" customFormat="false" ht="14.25" hidden="false" customHeight="true" outlineLevel="0" collapsed="false">
      <c r="A1546" s="118" t="s">
        <v>1005</v>
      </c>
      <c r="B1546" s="118" t="str">
        <f aca="false">CONCATENATE(C1546&amp;D1546)</f>
        <v>1"1161</v>
      </c>
      <c r="C1546" s="118" t="s">
        <v>967</v>
      </c>
      <c r="D1546" s="153" t="n">
        <f aca="false">D1545+1</f>
        <v>1161</v>
      </c>
      <c r="E1546" s="118" t="e">
        <f aca="false">CEILING(D1546/20;1)</f>
        <v>#VALUE!</v>
      </c>
      <c r="F1546" s="118" t="e">
        <f aca="false">E1546*$F$1</f>
        <v>#VALUE!</v>
      </c>
    </row>
    <row r="1547" customFormat="false" ht="14.25" hidden="false" customHeight="true" outlineLevel="0" collapsed="false">
      <c r="A1547" s="118" t="s">
        <v>1005</v>
      </c>
      <c r="B1547" s="118" t="str">
        <f aca="false">CONCATENATE(C1547&amp;D1547)</f>
        <v>1"1162</v>
      </c>
      <c r="C1547" s="118" t="s">
        <v>967</v>
      </c>
      <c r="D1547" s="153" t="n">
        <f aca="false">D1546+1</f>
        <v>1162</v>
      </c>
      <c r="E1547" s="118" t="e">
        <f aca="false">CEILING(D1547/20;1)</f>
        <v>#VALUE!</v>
      </c>
      <c r="F1547" s="118" t="e">
        <f aca="false">E1547*$F$1</f>
        <v>#VALUE!</v>
      </c>
    </row>
    <row r="1548" customFormat="false" ht="14.25" hidden="false" customHeight="true" outlineLevel="0" collapsed="false">
      <c r="A1548" s="118" t="s">
        <v>1005</v>
      </c>
      <c r="B1548" s="118" t="str">
        <f aca="false">CONCATENATE(C1548&amp;D1548)</f>
        <v>1"1163</v>
      </c>
      <c r="C1548" s="118" t="s">
        <v>967</v>
      </c>
      <c r="D1548" s="153" t="n">
        <f aca="false">D1547+1</f>
        <v>1163</v>
      </c>
      <c r="E1548" s="118" t="e">
        <f aca="false">CEILING(D1548/20;1)</f>
        <v>#VALUE!</v>
      </c>
      <c r="F1548" s="118" t="e">
        <f aca="false">E1548*$F$1</f>
        <v>#VALUE!</v>
      </c>
    </row>
    <row r="1549" customFormat="false" ht="14.25" hidden="false" customHeight="true" outlineLevel="0" collapsed="false">
      <c r="A1549" s="118" t="s">
        <v>1005</v>
      </c>
      <c r="B1549" s="118" t="str">
        <f aca="false">CONCATENATE(C1549&amp;D1549)</f>
        <v>1"1164</v>
      </c>
      <c r="C1549" s="118" t="s">
        <v>967</v>
      </c>
      <c r="D1549" s="153" t="n">
        <f aca="false">D1548+1</f>
        <v>1164</v>
      </c>
      <c r="E1549" s="118" t="e">
        <f aca="false">CEILING(D1549/20;1)</f>
        <v>#VALUE!</v>
      </c>
      <c r="F1549" s="118" t="e">
        <f aca="false">E1549*$F$1</f>
        <v>#VALUE!</v>
      </c>
    </row>
    <row r="1550" customFormat="false" ht="14.25" hidden="false" customHeight="true" outlineLevel="0" collapsed="false">
      <c r="A1550" s="118" t="s">
        <v>1005</v>
      </c>
      <c r="B1550" s="118" t="str">
        <f aca="false">CONCATENATE(C1550&amp;D1550)</f>
        <v>1"1165</v>
      </c>
      <c r="C1550" s="118" t="s">
        <v>967</v>
      </c>
      <c r="D1550" s="153" t="n">
        <f aca="false">D1549+1</f>
        <v>1165</v>
      </c>
      <c r="E1550" s="118" t="e">
        <f aca="false">CEILING(D1550/20;1)</f>
        <v>#VALUE!</v>
      </c>
      <c r="F1550" s="118" t="e">
        <f aca="false">E1550*$F$1</f>
        <v>#VALUE!</v>
      </c>
    </row>
    <row r="1551" customFormat="false" ht="14.25" hidden="false" customHeight="true" outlineLevel="0" collapsed="false">
      <c r="A1551" s="118" t="s">
        <v>1005</v>
      </c>
      <c r="B1551" s="118" t="str">
        <f aca="false">CONCATENATE(C1551&amp;D1551)</f>
        <v>1"1166</v>
      </c>
      <c r="C1551" s="118" t="s">
        <v>967</v>
      </c>
      <c r="D1551" s="153" t="n">
        <f aca="false">D1550+1</f>
        <v>1166</v>
      </c>
      <c r="E1551" s="118" t="e">
        <f aca="false">CEILING(D1551/20;1)</f>
        <v>#VALUE!</v>
      </c>
      <c r="F1551" s="118" t="e">
        <f aca="false">E1551*$F$1</f>
        <v>#VALUE!</v>
      </c>
    </row>
    <row r="1552" customFormat="false" ht="14.25" hidden="false" customHeight="true" outlineLevel="0" collapsed="false">
      <c r="A1552" s="118" t="s">
        <v>1005</v>
      </c>
      <c r="B1552" s="118" t="str">
        <f aca="false">CONCATENATE(C1552&amp;D1552)</f>
        <v>1"1167</v>
      </c>
      <c r="C1552" s="118" t="s">
        <v>967</v>
      </c>
      <c r="D1552" s="153" t="n">
        <f aca="false">D1551+1</f>
        <v>1167</v>
      </c>
      <c r="E1552" s="118" t="e">
        <f aca="false">CEILING(D1552/20;1)</f>
        <v>#VALUE!</v>
      </c>
      <c r="F1552" s="118" t="e">
        <f aca="false">E1552*$F$1</f>
        <v>#VALUE!</v>
      </c>
    </row>
    <row r="1553" customFormat="false" ht="14.25" hidden="false" customHeight="true" outlineLevel="0" collapsed="false">
      <c r="A1553" s="118" t="s">
        <v>1005</v>
      </c>
      <c r="B1553" s="118" t="str">
        <f aca="false">CONCATENATE(C1553&amp;D1553)</f>
        <v>1"1168</v>
      </c>
      <c r="C1553" s="118" t="s">
        <v>967</v>
      </c>
      <c r="D1553" s="153" t="n">
        <f aca="false">D1552+1</f>
        <v>1168</v>
      </c>
      <c r="E1553" s="118" t="e">
        <f aca="false">CEILING(D1553/20;1)</f>
        <v>#VALUE!</v>
      </c>
      <c r="F1553" s="118" t="e">
        <f aca="false">E1553*$F$1</f>
        <v>#VALUE!</v>
      </c>
    </row>
    <row r="1554" customFormat="false" ht="14.25" hidden="false" customHeight="true" outlineLevel="0" collapsed="false">
      <c r="A1554" s="118" t="s">
        <v>1005</v>
      </c>
      <c r="B1554" s="118" t="str">
        <f aca="false">CONCATENATE(C1554&amp;D1554)</f>
        <v>1"1169</v>
      </c>
      <c r="C1554" s="118" t="s">
        <v>967</v>
      </c>
      <c r="D1554" s="153" t="n">
        <f aca="false">D1553+1</f>
        <v>1169</v>
      </c>
      <c r="E1554" s="118" t="e">
        <f aca="false">CEILING(D1554/20;1)</f>
        <v>#VALUE!</v>
      </c>
      <c r="F1554" s="118" t="e">
        <f aca="false">E1554*$F$1</f>
        <v>#VALUE!</v>
      </c>
    </row>
    <row r="1555" customFormat="false" ht="14.25" hidden="false" customHeight="true" outlineLevel="0" collapsed="false">
      <c r="A1555" s="118" t="s">
        <v>1005</v>
      </c>
      <c r="B1555" s="118" t="str">
        <f aca="false">CONCATENATE(C1555&amp;D1555)</f>
        <v>1"1170</v>
      </c>
      <c r="C1555" s="118" t="s">
        <v>967</v>
      </c>
      <c r="D1555" s="153" t="n">
        <f aca="false">D1554+1</f>
        <v>1170</v>
      </c>
      <c r="E1555" s="118" t="e">
        <f aca="false">CEILING(D1555/20;1)</f>
        <v>#VALUE!</v>
      </c>
      <c r="F1555" s="118" t="e">
        <f aca="false">E1555*$F$1</f>
        <v>#VALUE!</v>
      </c>
    </row>
    <row r="1556" customFormat="false" ht="14.25" hidden="false" customHeight="true" outlineLevel="0" collapsed="false">
      <c r="A1556" s="118" t="s">
        <v>1005</v>
      </c>
      <c r="B1556" s="118" t="str">
        <f aca="false">CONCATENATE(C1556&amp;D1556)</f>
        <v>1"1171</v>
      </c>
      <c r="C1556" s="118" t="s">
        <v>967</v>
      </c>
      <c r="D1556" s="153" t="n">
        <f aca="false">D1555+1</f>
        <v>1171</v>
      </c>
      <c r="E1556" s="118" t="e">
        <f aca="false">CEILING(D1556/20;1)</f>
        <v>#VALUE!</v>
      </c>
      <c r="F1556" s="118" t="e">
        <f aca="false">E1556*$F$1</f>
        <v>#VALUE!</v>
      </c>
    </row>
    <row r="1557" customFormat="false" ht="14.25" hidden="false" customHeight="true" outlineLevel="0" collapsed="false">
      <c r="A1557" s="118" t="s">
        <v>1005</v>
      </c>
      <c r="B1557" s="118" t="str">
        <f aca="false">CONCATENATE(C1557&amp;D1557)</f>
        <v>1"1172</v>
      </c>
      <c r="C1557" s="118" t="s">
        <v>967</v>
      </c>
      <c r="D1557" s="153" t="n">
        <f aca="false">D1556+1</f>
        <v>1172</v>
      </c>
      <c r="E1557" s="118" t="e">
        <f aca="false">CEILING(D1557/20;1)</f>
        <v>#VALUE!</v>
      </c>
      <c r="F1557" s="118" t="e">
        <f aca="false">E1557*$F$1</f>
        <v>#VALUE!</v>
      </c>
    </row>
    <row r="1558" customFormat="false" ht="14.25" hidden="false" customHeight="true" outlineLevel="0" collapsed="false">
      <c r="A1558" s="118" t="s">
        <v>1005</v>
      </c>
      <c r="B1558" s="118" t="str">
        <f aca="false">CONCATENATE(C1558&amp;D1558)</f>
        <v>1"1173</v>
      </c>
      <c r="C1558" s="118" t="s">
        <v>967</v>
      </c>
      <c r="D1558" s="153" t="n">
        <f aca="false">D1557+1</f>
        <v>1173</v>
      </c>
      <c r="E1558" s="118" t="e">
        <f aca="false">CEILING(D1558/20;1)</f>
        <v>#VALUE!</v>
      </c>
      <c r="F1558" s="118" t="e">
        <f aca="false">E1558*$F$1</f>
        <v>#VALUE!</v>
      </c>
    </row>
    <row r="1559" customFormat="false" ht="14.25" hidden="false" customHeight="true" outlineLevel="0" collapsed="false">
      <c r="A1559" s="118" t="s">
        <v>1005</v>
      </c>
      <c r="B1559" s="118" t="str">
        <f aca="false">CONCATENATE(C1559&amp;D1559)</f>
        <v>1"1174</v>
      </c>
      <c r="C1559" s="118" t="s">
        <v>967</v>
      </c>
      <c r="D1559" s="153" t="n">
        <f aca="false">D1558+1</f>
        <v>1174</v>
      </c>
      <c r="E1559" s="118" t="e">
        <f aca="false">CEILING(D1559/20;1)</f>
        <v>#VALUE!</v>
      </c>
      <c r="F1559" s="118" t="e">
        <f aca="false">E1559*$F$1</f>
        <v>#VALUE!</v>
      </c>
    </row>
    <row r="1560" customFormat="false" ht="14.25" hidden="false" customHeight="true" outlineLevel="0" collapsed="false">
      <c r="A1560" s="118" t="s">
        <v>1005</v>
      </c>
      <c r="B1560" s="118" t="str">
        <f aca="false">CONCATENATE(C1560&amp;D1560)</f>
        <v>1"1175</v>
      </c>
      <c r="C1560" s="118" t="s">
        <v>967</v>
      </c>
      <c r="D1560" s="153" t="n">
        <f aca="false">D1559+1</f>
        <v>1175</v>
      </c>
      <c r="E1560" s="118" t="e">
        <f aca="false">CEILING(D1560/20;1)</f>
        <v>#VALUE!</v>
      </c>
      <c r="F1560" s="118" t="e">
        <f aca="false">E1560*$F$1</f>
        <v>#VALUE!</v>
      </c>
    </row>
    <row r="1561" customFormat="false" ht="14.25" hidden="false" customHeight="true" outlineLevel="0" collapsed="false">
      <c r="A1561" s="118" t="s">
        <v>1005</v>
      </c>
      <c r="B1561" s="118" t="str">
        <f aca="false">CONCATENATE(C1561&amp;D1561)</f>
        <v>1"1176</v>
      </c>
      <c r="C1561" s="118" t="s">
        <v>967</v>
      </c>
      <c r="D1561" s="153" t="n">
        <f aca="false">D1560+1</f>
        <v>1176</v>
      </c>
      <c r="E1561" s="118" t="e">
        <f aca="false">CEILING(D1561/20;1)</f>
        <v>#VALUE!</v>
      </c>
      <c r="F1561" s="118" t="e">
        <f aca="false">E1561*$F$1</f>
        <v>#VALUE!</v>
      </c>
    </row>
    <row r="1562" customFormat="false" ht="14.25" hidden="false" customHeight="true" outlineLevel="0" collapsed="false">
      <c r="A1562" s="118" t="s">
        <v>1005</v>
      </c>
      <c r="B1562" s="118" t="str">
        <f aca="false">CONCATENATE(C1562&amp;D1562)</f>
        <v>1"1177</v>
      </c>
      <c r="C1562" s="118" t="s">
        <v>967</v>
      </c>
      <c r="D1562" s="153" t="n">
        <f aca="false">D1561+1</f>
        <v>1177</v>
      </c>
      <c r="E1562" s="118" t="e">
        <f aca="false">CEILING(D1562/20;1)</f>
        <v>#VALUE!</v>
      </c>
      <c r="F1562" s="118" t="e">
        <f aca="false">E1562*$F$1</f>
        <v>#VALUE!</v>
      </c>
    </row>
    <row r="1563" customFormat="false" ht="14.25" hidden="false" customHeight="true" outlineLevel="0" collapsed="false">
      <c r="A1563" s="118" t="s">
        <v>1005</v>
      </c>
      <c r="B1563" s="118" t="str">
        <f aca="false">CONCATENATE(C1563&amp;D1563)</f>
        <v>1"1178</v>
      </c>
      <c r="C1563" s="118" t="s">
        <v>967</v>
      </c>
      <c r="D1563" s="153" t="n">
        <f aca="false">D1562+1</f>
        <v>1178</v>
      </c>
      <c r="E1563" s="118" t="e">
        <f aca="false">CEILING(D1563/20;1)</f>
        <v>#VALUE!</v>
      </c>
      <c r="F1563" s="118" t="e">
        <f aca="false">E1563*$F$1</f>
        <v>#VALUE!</v>
      </c>
    </row>
    <row r="1564" customFormat="false" ht="14.25" hidden="false" customHeight="true" outlineLevel="0" collapsed="false">
      <c r="A1564" s="118" t="s">
        <v>1005</v>
      </c>
      <c r="B1564" s="118" t="str">
        <f aca="false">CONCATENATE(C1564&amp;D1564)</f>
        <v>1"1179</v>
      </c>
      <c r="C1564" s="118" t="s">
        <v>967</v>
      </c>
      <c r="D1564" s="153" t="n">
        <f aca="false">D1563+1</f>
        <v>1179</v>
      </c>
      <c r="E1564" s="118" t="e">
        <f aca="false">CEILING(D1564/20;1)</f>
        <v>#VALUE!</v>
      </c>
      <c r="F1564" s="118" t="e">
        <f aca="false">E1564*$F$1</f>
        <v>#VALUE!</v>
      </c>
    </row>
    <row r="1565" customFormat="false" ht="14.25" hidden="false" customHeight="true" outlineLevel="0" collapsed="false">
      <c r="A1565" s="118" t="s">
        <v>1005</v>
      </c>
      <c r="B1565" s="118" t="str">
        <f aca="false">CONCATENATE(C1565&amp;D1565)</f>
        <v>1"1180</v>
      </c>
      <c r="C1565" s="118" t="s">
        <v>967</v>
      </c>
      <c r="D1565" s="153" t="n">
        <f aca="false">D1564+1</f>
        <v>1180</v>
      </c>
      <c r="E1565" s="118" t="e">
        <f aca="false">CEILING(D1565/20;1)</f>
        <v>#VALUE!</v>
      </c>
      <c r="F1565" s="118" t="e">
        <f aca="false">E1565*$F$1</f>
        <v>#VALUE!</v>
      </c>
    </row>
    <row r="1566" customFormat="false" ht="14.25" hidden="false" customHeight="true" outlineLevel="0" collapsed="false">
      <c r="A1566" s="118" t="s">
        <v>1005</v>
      </c>
      <c r="B1566" s="118" t="str">
        <f aca="false">CONCATENATE(C1566&amp;D1566)</f>
        <v>1"1181</v>
      </c>
      <c r="C1566" s="118" t="s">
        <v>967</v>
      </c>
      <c r="D1566" s="153" t="n">
        <f aca="false">D1565+1</f>
        <v>1181</v>
      </c>
      <c r="E1566" s="118" t="e">
        <f aca="false">CEILING(D1566/20;1)</f>
        <v>#VALUE!</v>
      </c>
      <c r="F1566" s="118" t="e">
        <f aca="false">E1566*$F$1</f>
        <v>#VALUE!</v>
      </c>
    </row>
    <row r="1567" customFormat="false" ht="14.25" hidden="false" customHeight="true" outlineLevel="0" collapsed="false">
      <c r="A1567" s="118" t="s">
        <v>1005</v>
      </c>
      <c r="B1567" s="118" t="str">
        <f aca="false">CONCATENATE(C1567&amp;D1567)</f>
        <v>1"1182</v>
      </c>
      <c r="C1567" s="118" t="s">
        <v>967</v>
      </c>
      <c r="D1567" s="153" t="n">
        <f aca="false">D1566+1</f>
        <v>1182</v>
      </c>
      <c r="E1567" s="118" t="e">
        <f aca="false">CEILING(D1567/20;1)</f>
        <v>#VALUE!</v>
      </c>
      <c r="F1567" s="118" t="e">
        <f aca="false">E1567*$F$1</f>
        <v>#VALUE!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26"/>
  <sheetViews>
    <sheetView showFormulas="false" showGridLines="true" showRowColHeaders="true" showZeros="true" rightToLeft="false" tabSelected="false" showOutlineSymbols="true" defaultGridColor="true" view="normal" topLeftCell="A2" colorId="64" zoomScale="100" zoomScaleNormal="100" zoomScalePageLayoutView="100" workbookViewId="0">
      <selection pane="topLeft" activeCell="G22" activeCellId="0" sqref="G22"/>
    </sheetView>
  </sheetViews>
  <sheetFormatPr defaultColWidth="8.59765625" defaultRowHeight="14.25" zeroHeight="false" outlineLevelRow="0" outlineLevelCol="0"/>
  <sheetData>
    <row r="1" customFormat="false" ht="14.25" hidden="false" customHeight="true" outlineLevel="0" collapsed="false">
      <c r="A1" s="118" t="s">
        <v>82</v>
      </c>
    </row>
    <row r="2" customFormat="false" ht="14.25" hidden="false" customHeight="true" outlineLevel="0" collapsed="false">
      <c r="A2" s="118" t="n">
        <v>0</v>
      </c>
    </row>
    <row r="3" customFormat="false" ht="14.25" hidden="false" customHeight="true" outlineLevel="0" collapsed="false">
      <c r="A3" s="118" t="n">
        <v>1</v>
      </c>
      <c r="B3" s="1" t="n">
        <v>2</v>
      </c>
    </row>
    <row r="4" customFormat="false" ht="14.25" hidden="false" customHeight="true" outlineLevel="0" collapsed="false">
      <c r="A4" s="118" t="n">
        <v>2</v>
      </c>
      <c r="B4" s="1" t="n">
        <v>4</v>
      </c>
    </row>
    <row r="5" customFormat="false" ht="14.25" hidden="false" customHeight="true" outlineLevel="0" collapsed="false">
      <c r="A5" s="154" t="n">
        <v>3</v>
      </c>
      <c r="B5" s="1" t="n">
        <v>5</v>
      </c>
    </row>
    <row r="6" customFormat="false" ht="14.25" hidden="false" customHeight="true" outlineLevel="0" collapsed="false">
      <c r="A6" s="154" t="n">
        <v>4</v>
      </c>
      <c r="B6" s="1" t="n">
        <v>6</v>
      </c>
    </row>
    <row r="7" customFormat="false" ht="14.25" hidden="false" customHeight="true" outlineLevel="0" collapsed="false">
      <c r="A7" s="154" t="n">
        <v>5</v>
      </c>
      <c r="B7" s="1" t="n">
        <v>7</v>
      </c>
    </row>
    <row r="8" customFormat="false" ht="14.25" hidden="false" customHeight="true" outlineLevel="0" collapsed="false">
      <c r="A8" s="154" t="n">
        <v>6</v>
      </c>
      <c r="B8" s="1" t="n">
        <v>8</v>
      </c>
    </row>
    <row r="9" customFormat="false" ht="14.25" hidden="false" customHeight="true" outlineLevel="0" collapsed="false">
      <c r="A9" s="154" t="n">
        <v>7</v>
      </c>
      <c r="B9" s="1" t="n">
        <v>9</v>
      </c>
    </row>
    <row r="10" customFormat="false" ht="14.25" hidden="false" customHeight="true" outlineLevel="0" collapsed="false">
      <c r="A10" s="154" t="n">
        <v>8</v>
      </c>
      <c r="B10" s="1" t="n">
        <v>10</v>
      </c>
    </row>
    <row r="11" customFormat="false" ht="14.25" hidden="false" customHeight="true" outlineLevel="0" collapsed="false">
      <c r="A11" s="154" t="n">
        <v>9</v>
      </c>
      <c r="B11" s="1" t="n">
        <v>11</v>
      </c>
    </row>
    <row r="12" customFormat="false" ht="14.25" hidden="false" customHeight="true" outlineLevel="0" collapsed="false">
      <c r="A12" s="154" t="n">
        <v>10</v>
      </c>
      <c r="B12" s="1" t="n">
        <v>12</v>
      </c>
    </row>
    <row r="13" customFormat="false" ht="14.25" hidden="false" customHeight="true" outlineLevel="0" collapsed="false">
      <c r="A13" s="154" t="n">
        <v>11</v>
      </c>
      <c r="B13" s="1" t="n">
        <v>13</v>
      </c>
    </row>
    <row r="14" customFormat="false" ht="14.25" hidden="false" customHeight="true" outlineLevel="0" collapsed="false">
      <c r="A14" s="154" t="n">
        <v>12</v>
      </c>
      <c r="B14" s="1" t="n">
        <v>14</v>
      </c>
    </row>
    <row r="15" customFormat="false" ht="14.25" hidden="false" customHeight="true" outlineLevel="0" collapsed="false">
      <c r="A15" s="154" t="n">
        <v>13</v>
      </c>
      <c r="B15" s="1" t="n">
        <v>15</v>
      </c>
    </row>
    <row r="16" customFormat="false" ht="14.25" hidden="false" customHeight="true" outlineLevel="0" collapsed="false">
      <c r="A16" s="154" t="n">
        <v>14</v>
      </c>
      <c r="B16" s="1" t="n">
        <v>16</v>
      </c>
    </row>
    <row r="17" customFormat="false" ht="14.25" hidden="false" customHeight="true" outlineLevel="0" collapsed="false">
      <c r="A17" s="154" t="n">
        <v>15</v>
      </c>
      <c r="B17" s="1" t="n">
        <v>17</v>
      </c>
    </row>
    <row r="18" customFormat="false" ht="14.25" hidden="false" customHeight="true" outlineLevel="0" collapsed="false">
      <c r="A18" s="155"/>
    </row>
    <row r="19" customFormat="false" ht="14.25" hidden="false" customHeight="true" outlineLevel="0" collapsed="false">
      <c r="A19" s="155"/>
    </row>
    <row r="20" customFormat="false" ht="14.25" hidden="false" customHeight="true" outlineLevel="0" collapsed="false">
      <c r="A20" s="155"/>
    </row>
    <row r="21" customFormat="false" ht="14.25" hidden="false" customHeight="true" outlineLevel="0" collapsed="false">
      <c r="A21" s="155"/>
    </row>
    <row r="22" customFormat="false" ht="14.25" hidden="false" customHeight="true" outlineLevel="0" collapsed="false">
      <c r="A22" s="155"/>
    </row>
    <row r="23" customFormat="false" ht="14.25" hidden="false" customHeight="true" outlineLevel="0" collapsed="false">
      <c r="A23" s="155"/>
    </row>
    <row r="24" customFormat="false" ht="14.25" hidden="false" customHeight="true" outlineLevel="0" collapsed="false">
      <c r="A24" s="155"/>
    </row>
    <row r="25" customFormat="false" ht="14.25" hidden="false" customHeight="true" outlineLevel="0" collapsed="false">
      <c r="A25" s="155"/>
    </row>
    <row r="26" customFormat="false" ht="14.25" hidden="false" customHeight="true" outlineLevel="0" collapsed="false">
      <c r="A26" s="155"/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9.66"/>
    <col collapsed="false" customWidth="true" hidden="false" outlineLevel="0" max="2" min="2" style="1" width="24.11"/>
  </cols>
  <sheetData>
    <row r="1" customFormat="false" ht="14.25" hidden="false" customHeight="true" outlineLevel="0" collapsed="false">
      <c r="A1" s="1" t="s">
        <v>16</v>
      </c>
      <c r="B1" s="1" t="s">
        <v>16</v>
      </c>
    </row>
    <row r="2" customFormat="false" ht="14.25" hidden="false" customHeight="true" outlineLevel="0" collapsed="false">
      <c r="A2" s="1" t="s">
        <v>319</v>
      </c>
      <c r="B2" s="1" t="s">
        <v>52</v>
      </c>
    </row>
    <row r="3" customFormat="false" ht="14.25" hidden="false" customHeight="true" outlineLevel="0" collapsed="false">
      <c r="A3" s="156" t="n">
        <v>160</v>
      </c>
      <c r="B3" s="1" t="s">
        <v>905</v>
      </c>
    </row>
    <row r="4" customFormat="false" ht="14.25" hidden="false" customHeight="true" outlineLevel="0" collapsed="false">
      <c r="A4" s="156" t="n">
        <v>250</v>
      </c>
      <c r="B4" s="1" t="s">
        <v>908</v>
      </c>
    </row>
    <row r="5" customFormat="false" ht="14.25" hidden="false" customHeight="true" outlineLevel="0" collapsed="false">
      <c r="A5" s="1" t="s">
        <v>284</v>
      </c>
    </row>
    <row r="6" customFormat="false" ht="14.25" hidden="false" customHeight="true" outlineLevel="0" collapsed="false">
      <c r="A6" s="1" t="s">
        <v>905</v>
      </c>
    </row>
    <row r="7" customFormat="false" ht="14.25" hidden="false" customHeight="true" outlineLevel="0" collapsed="false">
      <c r="A7" s="1" t="s">
        <v>908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1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8.59765625" defaultRowHeight="14.25" zeroHeight="false" outlineLevelRow="0" outlineLevelCol="0"/>
  <sheetData>
    <row r="1" customFormat="false" ht="14.25" hidden="false" customHeight="true" outlineLevel="0" collapsed="false">
      <c r="A1" s="1" t="n">
        <v>12</v>
      </c>
    </row>
    <row r="2" customFormat="false" ht="14.25" hidden="false" customHeight="true" outlineLevel="0" collapsed="false">
      <c r="A2" s="1" t="n">
        <v>13</v>
      </c>
    </row>
    <row r="3" customFormat="false" ht="14.25" hidden="false" customHeight="true" outlineLevel="0" collapsed="false">
      <c r="A3" s="1" t="n">
        <v>14</v>
      </c>
    </row>
    <row r="4" customFormat="false" ht="14.25" hidden="false" customHeight="true" outlineLevel="0" collapsed="false">
      <c r="A4" s="1" t="n">
        <v>15</v>
      </c>
    </row>
    <row r="5" customFormat="false" ht="14.25" hidden="false" customHeight="true" outlineLevel="0" collapsed="false">
      <c r="A5" s="1" t="n">
        <v>16</v>
      </c>
    </row>
    <row r="6" customFormat="false" ht="14.25" hidden="false" customHeight="true" outlineLevel="0" collapsed="false">
      <c r="A6" s="1" t="n">
        <v>17</v>
      </c>
    </row>
    <row r="7" customFormat="false" ht="14.25" hidden="false" customHeight="true" outlineLevel="0" collapsed="false">
      <c r="A7" s="1" t="n">
        <v>18</v>
      </c>
    </row>
    <row r="8" customFormat="false" ht="14.25" hidden="false" customHeight="true" outlineLevel="0" collapsed="false">
      <c r="A8" s="1" t="n">
        <v>19</v>
      </c>
    </row>
    <row r="9" customFormat="false" ht="14.25" hidden="false" customHeight="true" outlineLevel="0" collapsed="false">
      <c r="A9" s="1" t="n">
        <v>20</v>
      </c>
    </row>
    <row r="10" customFormat="false" ht="14.25" hidden="false" customHeight="true" outlineLevel="0" collapsed="false">
      <c r="A10" s="1" t="n">
        <v>21</v>
      </c>
    </row>
    <row r="11" customFormat="false" ht="14.25" hidden="false" customHeight="true" outlineLevel="0" collapsed="false">
      <c r="A11" s="1" t="n">
        <v>22</v>
      </c>
    </row>
    <row r="12" customFormat="false" ht="14.25" hidden="false" customHeight="true" outlineLevel="0" collapsed="false">
      <c r="A12" s="1" t="n">
        <v>23</v>
      </c>
    </row>
    <row r="13" customFormat="false" ht="14.25" hidden="false" customHeight="true" outlineLevel="0" collapsed="false">
      <c r="A13" s="1" t="n">
        <v>24</v>
      </c>
    </row>
    <row r="14" customFormat="false" ht="14.25" hidden="false" customHeight="true" outlineLevel="0" collapsed="false">
      <c r="A14" s="1" t="n">
        <v>25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2016-04-01T15:03:36Z</dcterms:created>
  <dc:creator>Helton</dc:creator>
  <dc:description/>
  <dc:language>pt-BR</dc:language>
  <cp:lastModifiedBy/>
  <cp:lastPrinted>2026-07-17T14:29:54Z</cp:lastPrinted>
  <dcterms:modified xsi:type="dcterms:W3CDTF">2026-07-31T01:23:39Z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