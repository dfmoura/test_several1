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luana\Desktop\Reta\Orçamentos\2026 orçamentos\07 JULHO\"/>
    </mc:Choice>
  </mc:AlternateContent>
  <xr:revisionPtr revIDLastSave="0" documentId="8_{6E30EEE4-E781-4F7D-A84F-4E724D174879}" xr6:coauthVersionLast="47" xr6:coauthVersionMax="47" xr10:uidLastSave="{00000000-0000-0000-0000-000000000000}"/>
  <bookViews>
    <workbookView xWindow="-120" yWindow="-120" windowWidth="20730" windowHeight="11040" tabRatio="885" activeTab="2" xr2:uid="{00000000-000D-0000-FFFF-FFFF00000000}"/>
  </bookViews>
  <sheets>
    <sheet name="CONSOLIDADO" sheetId="25" r:id="rId1"/>
    <sheet name="MAPA_DE_FACAS" sheetId="36" r:id="rId2"/>
    <sheet name="ORÇAMENTO" sheetId="4" r:id="rId3"/>
    <sheet name="MAPA DE FACAS 2026 -27 02 xlsm_" sheetId="34" state="hidden" r:id="rId4"/>
    <sheet name="MAPA DE FACAS 20260715 ATUAL" sheetId="39" r:id="rId5"/>
    <sheet name="MATRIZ " sheetId="17" r:id="rId6"/>
    <sheet name="HORA MÁQUINA " sheetId="14" r:id="rId7"/>
    <sheet name="HORA PARADA" sheetId="22" r:id="rId8"/>
    <sheet name="PAPEL" sheetId="12" r:id="rId9"/>
    <sheet name="PERDA DE PAPEL" sheetId="16" r:id="rId10"/>
    <sheet name="PERDA DE ACABAMENTO" sheetId="38" r:id="rId11"/>
    <sheet name="TUBETE" sheetId="18" r:id="rId12"/>
    <sheet name="TINTA" sheetId="29" r:id="rId13"/>
    <sheet name="VERNIZ" sheetId="30" r:id="rId14"/>
    <sheet name="ACABAMENTOS" sheetId="13" r:id="rId15"/>
    <sheet name="CAIXAS" sheetId="21" r:id="rId16"/>
    <sheet name="COMISSÃO" sheetId="19" r:id="rId17"/>
    <sheet name="MÁQUINAS " sheetId="20" state="hidden" r:id="rId18"/>
    <sheet name="IMPOSTO" sheetId="27" r:id="rId19"/>
  </sheets>
  <definedNames>
    <definedName name="_xlnm._FilterDatabase" localSheetId="8" hidden="1">PAPEL!$D$1:$E$1</definedName>
    <definedName name="_xleta.AND" hidden="1" xlm="1">#NAME?</definedName>
    <definedName name="_xleta.CEILING" hidden="1" xlm="1">#NAME?</definedName>
    <definedName name="_xleta.HOUR" hidden="1" xlm="1">#NAME?</definedName>
    <definedName name="_xleta.IF" hidden="1" xlm="1">#NAME?</definedName>
    <definedName name="_xleta.VLOOKUP" hidden="1" xlm="1">#NAME?</definedName>
    <definedName name="_xlnm.Print_Area" localSheetId="2">ORÇAMENTO!$A$7:$N$34</definedName>
    <definedName name="DadosExternos_1" localSheetId="3" hidden="1">'MAPA DE FACAS 2026 -27 02 xlsm_'!$A$1:$P$492</definedName>
  </definedNames>
  <calcPr calcId="191029"/>
  <customWorkbookViews>
    <customWorkbookView name="Cálculo" guid="{D37D6912-536D-43B7-9963-1D0EB3FC6412}" maximized="1" xWindow="1" yWindow="1" windowWidth="1276" windowHeight="570" activeSheetId="4" showComments="commIndAndComment"/>
  </customWorkbookViews>
  <pivotCaches>
    <pivotCache cacheId="3" r:id="rId2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2" i="4" l="1"/>
  <c r="A5" i="4"/>
  <c r="J13" i="4"/>
  <c r="D8" i="4"/>
  <c r="E13" i="4" l="1"/>
  <c r="E21" i="4" s="1"/>
  <c r="C10" i="4"/>
  <c r="B5" i="22" l="1"/>
  <c r="B6" i="22"/>
  <c r="B7" i="22"/>
  <c r="B8" i="22"/>
  <c r="B9" i="22"/>
  <c r="B4" i="22"/>
  <c r="B7" i="13"/>
  <c r="I32" i="4" l="1"/>
  <c r="C32" i="4"/>
  <c r="C14" i="4"/>
  <c r="J14" i="4" s="1"/>
  <c r="C17" i="4"/>
  <c r="J17" i="4" s="1"/>
  <c r="B8" i="4"/>
  <c r="G25" i="4"/>
  <c r="E10" i="4"/>
  <c r="D10" i="4"/>
  <c r="D17" i="4" l="1"/>
  <c r="D14" i="4"/>
  <c r="E14" i="4"/>
  <c r="C15" i="4"/>
  <c r="C16" i="4" l="1"/>
  <c r="J16" i="4" s="1"/>
  <c r="J15" i="4"/>
  <c r="D15" i="4"/>
  <c r="E15" i="4"/>
  <c r="E23" i="4" s="1"/>
  <c r="D13" i="4"/>
  <c r="E16" i="4" l="1"/>
  <c r="D16" i="4"/>
  <c r="E3" i="25"/>
  <c r="I13" i="4"/>
  <c r="F2" i="21" l="1"/>
  <c r="D355" i="21"/>
  <c r="D356" i="21" s="1"/>
  <c r="E355" i="21"/>
  <c r="F355" i="21"/>
  <c r="E356" i="21"/>
  <c r="F356" i="21"/>
  <c r="E357" i="21"/>
  <c r="E358" i="21" s="1"/>
  <c r="F357" i="21"/>
  <c r="D3" i="25"/>
  <c r="D9" i="25"/>
  <c r="B356" i="21" l="1"/>
  <c r="D357" i="21"/>
  <c r="F358" i="21"/>
  <c r="E359" i="21"/>
  <c r="B355" i="21"/>
  <c r="E360" i="21" l="1"/>
  <c r="F359" i="21"/>
  <c r="D358" i="21"/>
  <c r="B357" i="21"/>
  <c r="G13" i="4"/>
  <c r="I21" i="4" s="1"/>
  <c r="D21" i="4"/>
  <c r="I14" i="4" l="1"/>
  <c r="D22" i="4"/>
  <c r="B22" i="4"/>
  <c r="G14" i="4"/>
  <c r="I22" i="4" s="1"/>
  <c r="H14" i="4"/>
  <c r="L14" i="4"/>
  <c r="M14" i="4" s="1"/>
  <c r="K22" i="4" s="1"/>
  <c r="J22" i="4"/>
  <c r="B358" i="21"/>
  <c r="D359" i="21"/>
  <c r="E361" i="21"/>
  <c r="F360" i="21"/>
  <c r="L27" i="4"/>
  <c r="J21" i="4"/>
  <c r="B21" i="4"/>
  <c r="L13" i="4"/>
  <c r="F13" i="21"/>
  <c r="F14" i="21"/>
  <c r="F15" i="21"/>
  <c r="F16" i="21"/>
  <c r="F17" i="21"/>
  <c r="F18" i="21"/>
  <c r="F19" i="21"/>
  <c r="F20" i="21"/>
  <c r="F21" i="21"/>
  <c r="F22" i="21"/>
  <c r="F23" i="21"/>
  <c r="F24" i="21"/>
  <c r="F25" i="21"/>
  <c r="F50" i="21"/>
  <c r="F51" i="21"/>
  <c r="F52" i="21"/>
  <c r="F53" i="21"/>
  <c r="F54" i="21"/>
  <c r="F55" i="21"/>
  <c r="F56" i="21"/>
  <c r="F57" i="21"/>
  <c r="F58" i="21"/>
  <c r="F59" i="21"/>
  <c r="F60" i="21"/>
  <c r="F61" i="21"/>
  <c r="F62" i="21"/>
  <c r="F63" i="21"/>
  <c r="F64" i="21"/>
  <c r="F65" i="21"/>
  <c r="F66" i="21"/>
  <c r="F67" i="21"/>
  <c r="F68" i="21"/>
  <c r="F69" i="21"/>
  <c r="F70" i="21"/>
  <c r="F71" i="21"/>
  <c r="F72" i="21"/>
  <c r="F73" i="21"/>
  <c r="F74" i="21"/>
  <c r="F75" i="21"/>
  <c r="F76" i="21"/>
  <c r="F77" i="21"/>
  <c r="F78" i="21"/>
  <c r="F79" i="21"/>
  <c r="F80" i="21"/>
  <c r="F81" i="21"/>
  <c r="F82" i="21"/>
  <c r="F83" i="21"/>
  <c r="F84" i="21"/>
  <c r="F85" i="21"/>
  <c r="F86" i="21"/>
  <c r="F87" i="21"/>
  <c r="F88" i="21"/>
  <c r="F89" i="21"/>
  <c r="F90" i="21"/>
  <c r="F91" i="21"/>
  <c r="F92" i="21"/>
  <c r="F93" i="21"/>
  <c r="F94" i="21"/>
  <c r="F95" i="21"/>
  <c r="F96" i="21"/>
  <c r="F97" i="21"/>
  <c r="F98" i="21"/>
  <c r="F99" i="21"/>
  <c r="F100" i="21"/>
  <c r="F101" i="21"/>
  <c r="F102" i="21"/>
  <c r="F103" i="21"/>
  <c r="F104" i="21"/>
  <c r="F105" i="21"/>
  <c r="F106" i="21"/>
  <c r="F107" i="21"/>
  <c r="F108" i="21"/>
  <c r="F109" i="21"/>
  <c r="F110" i="21"/>
  <c r="F111" i="21"/>
  <c r="F112" i="21"/>
  <c r="F113" i="21"/>
  <c r="F114" i="21"/>
  <c r="F115" i="21"/>
  <c r="F116" i="21"/>
  <c r="F117" i="21"/>
  <c r="F118" i="21"/>
  <c r="F119" i="21"/>
  <c r="F120" i="21"/>
  <c r="F121" i="21"/>
  <c r="F122" i="21"/>
  <c r="F123" i="21"/>
  <c r="F124" i="21"/>
  <c r="F125" i="21"/>
  <c r="F126" i="21"/>
  <c r="F127" i="21"/>
  <c r="F128" i="21"/>
  <c r="F129" i="21"/>
  <c r="F130" i="21"/>
  <c r="F131" i="21"/>
  <c r="F132" i="21"/>
  <c r="F133" i="21"/>
  <c r="F134" i="21"/>
  <c r="F135" i="21"/>
  <c r="F136" i="21"/>
  <c r="F137" i="21"/>
  <c r="F138" i="21"/>
  <c r="F139" i="21"/>
  <c r="F140" i="21"/>
  <c r="F141" i="21"/>
  <c r="F142" i="21"/>
  <c r="F143" i="21"/>
  <c r="F144" i="21"/>
  <c r="F145" i="21"/>
  <c r="F146" i="21"/>
  <c r="F147" i="21"/>
  <c r="F148" i="21"/>
  <c r="F149" i="21"/>
  <c r="F150" i="21"/>
  <c r="F151" i="21"/>
  <c r="F152" i="21"/>
  <c r="F153" i="21"/>
  <c r="F154" i="21"/>
  <c r="F155" i="21"/>
  <c r="F156" i="21"/>
  <c r="F157" i="21"/>
  <c r="F158" i="21"/>
  <c r="F159" i="21"/>
  <c r="F160" i="21"/>
  <c r="F161" i="21"/>
  <c r="F162" i="21"/>
  <c r="F163" i="21"/>
  <c r="F164" i="21"/>
  <c r="F165" i="21"/>
  <c r="F166" i="21"/>
  <c r="F167" i="21"/>
  <c r="F168" i="21"/>
  <c r="F169" i="21"/>
  <c r="F170" i="21"/>
  <c r="F171" i="21"/>
  <c r="F172" i="21"/>
  <c r="F173" i="21"/>
  <c r="F174" i="21"/>
  <c r="F175" i="21"/>
  <c r="F176" i="21"/>
  <c r="F177" i="21"/>
  <c r="F178" i="21"/>
  <c r="F179" i="21"/>
  <c r="F180" i="21"/>
  <c r="F181" i="21"/>
  <c r="F182" i="21"/>
  <c r="F183" i="21"/>
  <c r="F184" i="21"/>
  <c r="F185" i="21"/>
  <c r="F186" i="21"/>
  <c r="F187" i="21"/>
  <c r="F188" i="21"/>
  <c r="F189" i="21"/>
  <c r="F190" i="21"/>
  <c r="F191" i="21"/>
  <c r="F192" i="21"/>
  <c r="F193" i="21"/>
  <c r="F194" i="21"/>
  <c r="F195" i="21"/>
  <c r="F196" i="21"/>
  <c r="F197" i="21"/>
  <c r="F198" i="21"/>
  <c r="F199" i="21"/>
  <c r="F200" i="21"/>
  <c r="F201" i="21"/>
  <c r="F202" i="21"/>
  <c r="F203" i="21"/>
  <c r="F204" i="21"/>
  <c r="F386" i="21"/>
  <c r="F387" i="21"/>
  <c r="F388" i="21"/>
  <c r="F389" i="21"/>
  <c r="F390" i="21"/>
  <c r="F391" i="21"/>
  <c r="F392" i="21"/>
  <c r="F393" i="21"/>
  <c r="F394" i="21"/>
  <c r="F395" i="21"/>
  <c r="F396" i="21"/>
  <c r="F397" i="21"/>
  <c r="F398" i="21"/>
  <c r="F399" i="21"/>
  <c r="F400" i="21"/>
  <c r="F401" i="21"/>
  <c r="F402" i="21"/>
  <c r="F403" i="21"/>
  <c r="F404" i="21"/>
  <c r="F405" i="21"/>
  <c r="E205" i="21"/>
  <c r="B3" i="17"/>
  <c r="C3" i="17"/>
  <c r="E9" i="25"/>
  <c r="C9" i="25"/>
  <c r="C6" i="25" l="1"/>
  <c r="G22" i="4"/>
  <c r="H22" i="4"/>
  <c r="J24" i="4"/>
  <c r="I15" i="4"/>
  <c r="K14" i="4"/>
  <c r="C22" i="4" s="1"/>
  <c r="F14" i="4"/>
  <c r="G15" i="4"/>
  <c r="I23" i="4" s="1"/>
  <c r="H15" i="4"/>
  <c r="J23" i="4"/>
  <c r="L15" i="4"/>
  <c r="M15" i="4" s="1"/>
  <c r="K23" i="4" s="1"/>
  <c r="D23" i="4"/>
  <c r="B23" i="4"/>
  <c r="F361" i="21"/>
  <c r="E362" i="21"/>
  <c r="B359" i="21"/>
  <c r="D360" i="21"/>
  <c r="E206" i="21"/>
  <c r="F205" i="21"/>
  <c r="G23" i="4" l="1"/>
  <c r="H23" i="4"/>
  <c r="D24" i="4"/>
  <c r="L16" i="4"/>
  <c r="M16" i="4" s="1"/>
  <c r="K24" i="4" s="1"/>
  <c r="G16" i="4"/>
  <c r="I24" i="4" s="1"/>
  <c r="H16" i="4"/>
  <c r="I16" i="4"/>
  <c r="B24" i="4"/>
  <c r="K15" i="4"/>
  <c r="C23" i="4" s="1"/>
  <c r="F15" i="4"/>
  <c r="F22" i="4"/>
  <c r="B360" i="21"/>
  <c r="D361" i="21"/>
  <c r="F362" i="21"/>
  <c r="E363" i="21"/>
  <c r="E207" i="21"/>
  <c r="F206" i="21"/>
  <c r="A3" i="17"/>
  <c r="H2" i="14"/>
  <c r="E406" i="21"/>
  <c r="B386" i="21"/>
  <c r="D387" i="21"/>
  <c r="D388" i="21" s="1"/>
  <c r="D389" i="21" s="1"/>
  <c r="D390" i="21" s="1"/>
  <c r="D391" i="21" s="1"/>
  <c r="D392" i="21" s="1"/>
  <c r="D393" i="21" s="1"/>
  <c r="D394" i="21" s="1"/>
  <c r="D395" i="21" s="1"/>
  <c r="D396" i="21" s="1"/>
  <c r="D397" i="21" s="1"/>
  <c r="D398" i="21" s="1"/>
  <c r="D399" i="21" s="1"/>
  <c r="D400" i="21" s="1"/>
  <c r="D401" i="21" s="1"/>
  <c r="D402" i="21" s="1"/>
  <c r="D403" i="21" s="1"/>
  <c r="D404" i="21" s="1"/>
  <c r="D405" i="21" s="1"/>
  <c r="D406" i="21" s="1"/>
  <c r="D407" i="21" s="1"/>
  <c r="D408" i="21" s="1"/>
  <c r="D409" i="21" s="1"/>
  <c r="D410" i="21" s="1"/>
  <c r="E26" i="21"/>
  <c r="D3" i="21"/>
  <c r="D4" i="21" s="1"/>
  <c r="D5" i="21" s="1"/>
  <c r="D6" i="21" s="1"/>
  <c r="D7" i="21" s="1"/>
  <c r="D8" i="21" s="1"/>
  <c r="D9" i="21" s="1"/>
  <c r="D10" i="21" s="1"/>
  <c r="D11" i="21" s="1"/>
  <c r="D12" i="21" s="1"/>
  <c r="D13" i="21" s="1"/>
  <c r="E12" i="21"/>
  <c r="G24" i="4" l="1"/>
  <c r="C29" i="4"/>
  <c r="F23" i="4"/>
  <c r="F16" i="4"/>
  <c r="H24" i="4"/>
  <c r="K16" i="4"/>
  <c r="C24" i="4" s="1"/>
  <c r="I17" i="4"/>
  <c r="B25" i="4"/>
  <c r="D25" i="4"/>
  <c r="H17" i="4"/>
  <c r="G17" i="4"/>
  <c r="I25" i="4" s="1"/>
  <c r="L17" i="4"/>
  <c r="M17" i="4" s="1"/>
  <c r="K25" i="4" s="1"/>
  <c r="J25" i="4"/>
  <c r="E364" i="21"/>
  <c r="F363" i="21"/>
  <c r="D362" i="21"/>
  <c r="B361" i="21"/>
  <c r="E27" i="21"/>
  <c r="F26" i="21"/>
  <c r="E407" i="21"/>
  <c r="F406" i="21"/>
  <c r="E208" i="21"/>
  <c r="F207" i="21"/>
  <c r="E11" i="21"/>
  <c r="F12" i="21"/>
  <c r="E3" i="17"/>
  <c r="N13" i="4" s="1"/>
  <c r="I31" i="4" s="1"/>
  <c r="B410" i="21"/>
  <c r="D411" i="21"/>
  <c r="B409" i="21"/>
  <c r="B387" i="21"/>
  <c r="B397" i="21"/>
  <c r="B408" i="21"/>
  <c r="B396" i="21"/>
  <c r="B405" i="21"/>
  <c r="B407" i="21"/>
  <c r="B395" i="21"/>
  <c r="B398" i="21"/>
  <c r="B406" i="21"/>
  <c r="B394" i="21"/>
  <c r="B393" i="21"/>
  <c r="B404" i="21"/>
  <c r="B403" i="21"/>
  <c r="B391" i="21"/>
  <c r="B402" i="21"/>
  <c r="B390" i="21"/>
  <c r="B392" i="21"/>
  <c r="B401" i="21"/>
  <c r="B389" i="21"/>
  <c r="B400" i="21"/>
  <c r="B388" i="21"/>
  <c r="B399" i="21"/>
  <c r="B13" i="21"/>
  <c r="D14" i="21"/>
  <c r="B3" i="21"/>
  <c r="B8" i="21"/>
  <c r="B11" i="21"/>
  <c r="B10" i="21"/>
  <c r="B2" i="21"/>
  <c r="B12" i="21"/>
  <c r="B9" i="21"/>
  <c r="B7" i="21"/>
  <c r="B6" i="21"/>
  <c r="B5" i="21"/>
  <c r="B4" i="21"/>
  <c r="C30" i="4" l="1"/>
  <c r="I28" i="4"/>
  <c r="E15" i="25" s="1"/>
  <c r="I30" i="4"/>
  <c r="I29" i="4"/>
  <c r="F24" i="4"/>
  <c r="E24" i="4"/>
  <c r="H25" i="4"/>
  <c r="K17" i="4"/>
  <c r="C25" i="4" s="1"/>
  <c r="F17" i="4"/>
  <c r="E25" i="4" s="1"/>
  <c r="F364" i="21"/>
  <c r="E365" i="21"/>
  <c r="B362" i="21"/>
  <c r="D363" i="21"/>
  <c r="E10" i="21"/>
  <c r="F11" i="21"/>
  <c r="E209" i="21"/>
  <c r="F208" i="21"/>
  <c r="E408" i="21"/>
  <c r="F407" i="21"/>
  <c r="E28" i="21"/>
  <c r="F27" i="21"/>
  <c r="L28" i="4"/>
  <c r="D412" i="21"/>
  <c r="B411" i="21"/>
  <c r="D15" i="21"/>
  <c r="B14" i="21"/>
  <c r="C31" i="4" l="1"/>
  <c r="F25" i="4"/>
  <c r="L25" i="4" s="1"/>
  <c r="E17" i="4"/>
  <c r="F365" i="21"/>
  <c r="E366" i="21"/>
  <c r="D364" i="21"/>
  <c r="B363" i="21"/>
  <c r="E29" i="21"/>
  <c r="F28" i="21"/>
  <c r="E409" i="21"/>
  <c r="F408" i="21"/>
  <c r="E210" i="21"/>
  <c r="F209" i="21"/>
  <c r="E9" i="21"/>
  <c r="F10" i="21"/>
  <c r="B412" i="21"/>
  <c r="D413" i="21"/>
  <c r="D16" i="21"/>
  <c r="B15" i="21"/>
  <c r="G32" i="4" l="1"/>
  <c r="G13" i="25" s="1"/>
  <c r="F13" i="25" s="1"/>
  <c r="D32" i="4"/>
  <c r="E32" i="4" s="1"/>
  <c r="H32" i="4" s="1"/>
  <c r="J32" i="4" s="1"/>
  <c r="D365" i="21"/>
  <c r="B364" i="21"/>
  <c r="E367" i="21"/>
  <c r="F366" i="21"/>
  <c r="E8" i="21"/>
  <c r="F9" i="21"/>
  <c r="E211" i="21"/>
  <c r="F210" i="21"/>
  <c r="E410" i="21"/>
  <c r="F409" i="21"/>
  <c r="E30" i="21"/>
  <c r="F29" i="21"/>
  <c r="B413" i="21"/>
  <c r="D414" i="21"/>
  <c r="D17" i="21"/>
  <c r="B16" i="21"/>
  <c r="H13" i="25" l="1"/>
  <c r="I13" i="25" s="1"/>
  <c r="J13" i="25" s="1"/>
  <c r="F367" i="21"/>
  <c r="E368" i="21"/>
  <c r="D366" i="21"/>
  <c r="B365" i="21"/>
  <c r="E212" i="21"/>
  <c r="F211" i="21"/>
  <c r="E411" i="21"/>
  <c r="F410" i="21"/>
  <c r="E31" i="21"/>
  <c r="F30" i="21"/>
  <c r="E7" i="21"/>
  <c r="F8" i="21"/>
  <c r="B414" i="21"/>
  <c r="D415" i="21"/>
  <c r="D18" i="21"/>
  <c r="B17" i="21"/>
  <c r="B366" i="21" l="1"/>
  <c r="D367" i="21"/>
  <c r="F368" i="21"/>
  <c r="E369" i="21"/>
  <c r="E6" i="21"/>
  <c r="F7" i="21"/>
  <c r="E412" i="21"/>
  <c r="F411" i="21"/>
  <c r="E213" i="21"/>
  <c r="F212" i="21"/>
  <c r="E32" i="21"/>
  <c r="F31" i="21"/>
  <c r="B415" i="21"/>
  <c r="D416" i="21"/>
  <c r="D19" i="21"/>
  <c r="B18" i="21"/>
  <c r="D368" i="21" l="1"/>
  <c r="B367" i="21"/>
  <c r="E370" i="21"/>
  <c r="F369" i="21"/>
  <c r="E33" i="21"/>
  <c r="F32" i="21"/>
  <c r="E214" i="21"/>
  <c r="F213" i="21"/>
  <c r="E413" i="21"/>
  <c r="F412" i="21"/>
  <c r="E5" i="21"/>
  <c r="F6" i="21"/>
  <c r="B416" i="21"/>
  <c r="D417" i="21"/>
  <c r="D20" i="21"/>
  <c r="B19" i="21"/>
  <c r="F370" i="21" l="1"/>
  <c r="E371" i="21"/>
  <c r="B368" i="21"/>
  <c r="D369" i="21"/>
  <c r="E4" i="21"/>
  <c r="F5" i="21"/>
  <c r="E414" i="21"/>
  <c r="F413" i="21"/>
  <c r="E215" i="21"/>
  <c r="F214" i="21"/>
  <c r="E34" i="21"/>
  <c r="F33" i="21"/>
  <c r="D418" i="21"/>
  <c r="B417" i="21"/>
  <c r="D21" i="21"/>
  <c r="B20" i="21"/>
  <c r="B369" i="21" l="1"/>
  <c r="D370" i="21"/>
  <c r="F371" i="21"/>
  <c r="E372" i="21"/>
  <c r="E35" i="21"/>
  <c r="F34" i="21"/>
  <c r="E216" i="21"/>
  <c r="F215" i="21"/>
  <c r="E415" i="21"/>
  <c r="F414" i="21"/>
  <c r="E3" i="21"/>
  <c r="F4" i="21"/>
  <c r="D419" i="21"/>
  <c r="B418" i="21"/>
  <c r="D22" i="21"/>
  <c r="B21" i="21"/>
  <c r="E373" i="21" l="1"/>
  <c r="F372" i="21"/>
  <c r="B370" i="21"/>
  <c r="D371" i="21"/>
  <c r="E2" i="21"/>
  <c r="F3" i="21"/>
  <c r="E416" i="21"/>
  <c r="F415" i="21"/>
  <c r="E217" i="21"/>
  <c r="F216" i="21"/>
  <c r="E36" i="21"/>
  <c r="F35" i="21"/>
  <c r="D420" i="21"/>
  <c r="B419" i="21"/>
  <c r="D23" i="21"/>
  <c r="B22" i="21"/>
  <c r="B371" i="21" l="1"/>
  <c r="D372" i="21"/>
  <c r="F373" i="21"/>
  <c r="E374" i="21"/>
  <c r="E37" i="21"/>
  <c r="F36" i="21"/>
  <c r="E218" i="21"/>
  <c r="F217" i="21"/>
  <c r="E417" i="21"/>
  <c r="F416" i="21"/>
  <c r="B420" i="21"/>
  <c r="D421" i="21"/>
  <c r="D24" i="21"/>
  <c r="B23" i="21"/>
  <c r="F374" i="21" l="1"/>
  <c r="E375" i="21"/>
  <c r="B372" i="21"/>
  <c r="D373" i="21"/>
  <c r="E418" i="21"/>
  <c r="F417" i="21"/>
  <c r="E219" i="21"/>
  <c r="F218" i="21"/>
  <c r="E38" i="21"/>
  <c r="F37" i="21"/>
  <c r="B421" i="21"/>
  <c r="D422" i="21"/>
  <c r="D25" i="21"/>
  <c r="D26" i="21" s="1"/>
  <c r="B24" i="21"/>
  <c r="B373" i="21" l="1"/>
  <c r="D374" i="21"/>
  <c r="E376" i="21"/>
  <c r="F375" i="21"/>
  <c r="E39" i="21"/>
  <c r="F38" i="21"/>
  <c r="E220" i="21"/>
  <c r="F219" i="21"/>
  <c r="E419" i="21"/>
  <c r="F418" i="21"/>
  <c r="D423" i="21"/>
  <c r="B422" i="21"/>
  <c r="D27" i="21"/>
  <c r="B26" i="21"/>
  <c r="B25" i="21"/>
  <c r="F376" i="21" l="1"/>
  <c r="E377" i="21"/>
  <c r="B374" i="21"/>
  <c r="D375" i="21"/>
  <c r="E420" i="21"/>
  <c r="F419" i="21"/>
  <c r="E221" i="21"/>
  <c r="F220" i="21"/>
  <c r="E40" i="21"/>
  <c r="F39" i="21"/>
  <c r="D424" i="21"/>
  <c r="B423" i="21"/>
  <c r="D28" i="21"/>
  <c r="B27" i="21"/>
  <c r="B375" i="21" l="1"/>
  <c r="D376" i="21"/>
  <c r="E378" i="21"/>
  <c r="F377" i="21"/>
  <c r="E41" i="21"/>
  <c r="F40" i="21"/>
  <c r="E222" i="21"/>
  <c r="F221" i="21"/>
  <c r="E421" i="21"/>
  <c r="F420" i="21"/>
  <c r="B424" i="21"/>
  <c r="D425" i="21"/>
  <c r="D426" i="21" s="1"/>
  <c r="D427" i="21" s="1"/>
  <c r="D428" i="21" s="1"/>
  <c r="D429" i="21" s="1"/>
  <c r="D430" i="21" s="1"/>
  <c r="D431" i="21" s="1"/>
  <c r="D432" i="21" s="1"/>
  <c r="D433" i="21" s="1"/>
  <c r="D434" i="21" s="1"/>
  <c r="D435" i="21" s="1"/>
  <c r="D29" i="21"/>
  <c r="B28" i="21"/>
  <c r="E379" i="21" l="1"/>
  <c r="F378" i="21"/>
  <c r="D377" i="21"/>
  <c r="B376" i="21"/>
  <c r="E422" i="21"/>
  <c r="F421" i="21"/>
  <c r="E223" i="21"/>
  <c r="F222" i="21"/>
  <c r="E42" i="21"/>
  <c r="F41" i="21"/>
  <c r="D436" i="21"/>
  <c r="B435" i="21"/>
  <c r="B425" i="21"/>
  <c r="D30" i="21"/>
  <c r="B29" i="21"/>
  <c r="F379" i="21" l="1"/>
  <c r="E380" i="21"/>
  <c r="D378" i="21"/>
  <c r="B377" i="21"/>
  <c r="E43" i="21"/>
  <c r="F42" i="21"/>
  <c r="E224" i="21"/>
  <c r="F223" i="21"/>
  <c r="E423" i="21"/>
  <c r="F422" i="21"/>
  <c r="B436" i="21"/>
  <c r="D437" i="21"/>
  <c r="B426" i="21"/>
  <c r="D31" i="21"/>
  <c r="B30" i="21"/>
  <c r="B378" i="21" l="1"/>
  <c r="D379" i="21"/>
  <c r="F380" i="21"/>
  <c r="E381" i="21"/>
  <c r="E424" i="21"/>
  <c r="F423" i="21"/>
  <c r="E225" i="21"/>
  <c r="F224" i="21"/>
  <c r="E44" i="21"/>
  <c r="F43" i="21"/>
  <c r="B437" i="21"/>
  <c r="D438" i="21"/>
  <c r="B427" i="21"/>
  <c r="D32" i="21"/>
  <c r="B31" i="21"/>
  <c r="E382" i="21" l="1"/>
  <c r="F381" i="21"/>
  <c r="D380" i="21"/>
  <c r="B379" i="21"/>
  <c r="E45" i="21"/>
  <c r="F44" i="21"/>
  <c r="E226" i="21"/>
  <c r="F225" i="21"/>
  <c r="E425" i="21"/>
  <c r="F424" i="21"/>
  <c r="D439" i="21"/>
  <c r="B438" i="21"/>
  <c r="B428" i="21"/>
  <c r="D33" i="21"/>
  <c r="B32" i="21"/>
  <c r="F382" i="21" l="1"/>
  <c r="E383" i="21"/>
  <c r="B380" i="21"/>
  <c r="D381" i="21"/>
  <c r="E426" i="21"/>
  <c r="F425" i="21"/>
  <c r="E227" i="21"/>
  <c r="F226" i="21"/>
  <c r="E46" i="21"/>
  <c r="F45" i="21"/>
  <c r="B439" i="21"/>
  <c r="D440" i="21"/>
  <c r="B429" i="21"/>
  <c r="D34" i="21"/>
  <c r="B33" i="21"/>
  <c r="D382" i="21" l="1"/>
  <c r="B381" i="21"/>
  <c r="F383" i="21"/>
  <c r="E384" i="21"/>
  <c r="E47" i="21"/>
  <c r="F46" i="21"/>
  <c r="E228" i="21"/>
  <c r="F227" i="21"/>
  <c r="E427" i="21"/>
  <c r="F426" i="21"/>
  <c r="B440" i="21"/>
  <c r="D441" i="21"/>
  <c r="B430" i="21"/>
  <c r="D35" i="21"/>
  <c r="B34" i="21"/>
  <c r="D383" i="21" l="1"/>
  <c r="B382" i="21"/>
  <c r="E385" i="21"/>
  <c r="F385" i="21" s="1"/>
  <c r="F384" i="21"/>
  <c r="E428" i="21"/>
  <c r="F427" i="21"/>
  <c r="E229" i="21"/>
  <c r="F228" i="21"/>
  <c r="E48" i="21"/>
  <c r="F47" i="21"/>
  <c r="D442" i="21"/>
  <c r="B441" i="21"/>
  <c r="B431" i="21"/>
  <c r="D36" i="21"/>
  <c r="B35" i="21"/>
  <c r="B383" i="21" l="1"/>
  <c r="D384" i="21"/>
  <c r="E49" i="21"/>
  <c r="F49" i="21" s="1"/>
  <c r="F48" i="21"/>
  <c r="E230" i="21"/>
  <c r="F229" i="21"/>
  <c r="E429" i="21"/>
  <c r="F428" i="21"/>
  <c r="D443" i="21"/>
  <c r="B442" i="21"/>
  <c r="B432" i="21"/>
  <c r="D37" i="21"/>
  <c r="B36" i="21"/>
  <c r="B384" i="21" l="1"/>
  <c r="D385" i="21"/>
  <c r="B385" i="21" s="1"/>
  <c r="E430" i="21"/>
  <c r="F429" i="21"/>
  <c r="E231" i="21"/>
  <c r="F230" i="21"/>
  <c r="D444" i="21"/>
  <c r="B443" i="21"/>
  <c r="B434" i="21"/>
  <c r="B433" i="21"/>
  <c r="B37" i="21"/>
  <c r="D38" i="21"/>
  <c r="E232" i="21" l="1"/>
  <c r="F231" i="21"/>
  <c r="E431" i="21"/>
  <c r="F430" i="21"/>
  <c r="D445" i="21"/>
  <c r="B444" i="21"/>
  <c r="D39" i="21"/>
  <c r="B38" i="21"/>
  <c r="E432" i="21" l="1"/>
  <c r="F431" i="21"/>
  <c r="E233" i="21"/>
  <c r="F232" i="21"/>
  <c r="D446" i="21"/>
  <c r="B445" i="21"/>
  <c r="D40" i="21"/>
  <c r="B39" i="21"/>
  <c r="E234" i="21" l="1"/>
  <c r="F233" i="21"/>
  <c r="E433" i="21"/>
  <c r="F432" i="21"/>
  <c r="D447" i="21"/>
  <c r="B446" i="21"/>
  <c r="D41" i="21"/>
  <c r="B40" i="21"/>
  <c r="E434" i="21" l="1"/>
  <c r="F433" i="21"/>
  <c r="E235" i="21"/>
  <c r="F234" i="21"/>
  <c r="D448" i="21"/>
  <c r="B447" i="21"/>
  <c r="D42" i="21"/>
  <c r="B41" i="21"/>
  <c r="E236" i="21" l="1"/>
  <c r="F235" i="21"/>
  <c r="E435" i="21"/>
  <c r="F434" i="21"/>
  <c r="D449" i="21"/>
  <c r="B448" i="21"/>
  <c r="D43" i="21"/>
  <c r="B42" i="21"/>
  <c r="E436" i="21" l="1"/>
  <c r="F435" i="21"/>
  <c r="E237" i="21"/>
  <c r="F236" i="21"/>
  <c r="D450" i="21"/>
  <c r="B449" i="21"/>
  <c r="D44" i="21"/>
  <c r="B43" i="21"/>
  <c r="E238" i="21" l="1"/>
  <c r="F237" i="21"/>
  <c r="E437" i="21"/>
  <c r="F436" i="21"/>
  <c r="D451" i="21"/>
  <c r="B450" i="21"/>
  <c r="D45" i="21"/>
  <c r="B44" i="21"/>
  <c r="E438" i="21" l="1"/>
  <c r="F437" i="21"/>
  <c r="E239" i="21"/>
  <c r="F238" i="21"/>
  <c r="D452" i="21"/>
  <c r="B451" i="21"/>
  <c r="D46" i="21"/>
  <c r="B45" i="21"/>
  <c r="E240" i="21" l="1"/>
  <c r="F239" i="21"/>
  <c r="E439" i="21"/>
  <c r="F438" i="21"/>
  <c r="D453" i="21"/>
  <c r="B452" i="21"/>
  <c r="D47" i="21"/>
  <c r="B46" i="21"/>
  <c r="E440" i="21" l="1"/>
  <c r="F439" i="21"/>
  <c r="E241" i="21"/>
  <c r="F240" i="21"/>
  <c r="D454" i="21"/>
  <c r="B453" i="21"/>
  <c r="D48" i="21"/>
  <c r="B47" i="21"/>
  <c r="E242" i="21" l="1"/>
  <c r="F241" i="21"/>
  <c r="E441" i="21"/>
  <c r="F440" i="21"/>
  <c r="D455" i="21"/>
  <c r="B454" i="21"/>
  <c r="D49" i="21"/>
  <c r="B48" i="21"/>
  <c r="E442" i="21" l="1"/>
  <c r="F441" i="21"/>
  <c r="E243" i="21"/>
  <c r="F242" i="21"/>
  <c r="D456" i="21"/>
  <c r="B455" i="21"/>
  <c r="B49" i="21"/>
  <c r="D50" i="21"/>
  <c r="E244" i="21" l="1"/>
  <c r="F243" i="21"/>
  <c r="E443" i="21"/>
  <c r="F442" i="21"/>
  <c r="D457" i="21"/>
  <c r="B456" i="21"/>
  <c r="B50" i="21"/>
  <c r="D51" i="21"/>
  <c r="E444" i="21" l="1"/>
  <c r="F443" i="21"/>
  <c r="E245" i="21"/>
  <c r="F244" i="21"/>
  <c r="D458" i="21"/>
  <c r="B457" i="21"/>
  <c r="B51" i="21"/>
  <c r="D52" i="21"/>
  <c r="E246" i="21" l="1"/>
  <c r="F245" i="21"/>
  <c r="E445" i="21"/>
  <c r="F444" i="21"/>
  <c r="D459" i="21"/>
  <c r="B458" i="21"/>
  <c r="B52" i="21"/>
  <c r="D53" i="21"/>
  <c r="E446" i="21" l="1"/>
  <c r="F445" i="21"/>
  <c r="E247" i="21"/>
  <c r="F246" i="21"/>
  <c r="D460" i="21"/>
  <c r="B459" i="21"/>
  <c r="D54" i="21"/>
  <c r="B53" i="21"/>
  <c r="E248" i="21" l="1"/>
  <c r="F247" i="21"/>
  <c r="E447" i="21"/>
  <c r="F446" i="21"/>
  <c r="D461" i="21"/>
  <c r="B460" i="21"/>
  <c r="D55" i="21"/>
  <c r="B54" i="21"/>
  <c r="E448" i="21" l="1"/>
  <c r="F447" i="21"/>
  <c r="E249" i="21"/>
  <c r="F248" i="21"/>
  <c r="D462" i="21"/>
  <c r="B461" i="21"/>
  <c r="D56" i="21"/>
  <c r="B55" i="21"/>
  <c r="E250" i="21" l="1"/>
  <c r="F249" i="21"/>
  <c r="E449" i="21"/>
  <c r="F448" i="21"/>
  <c r="D463" i="21"/>
  <c r="B462" i="21"/>
  <c r="D57" i="21"/>
  <c r="B56" i="21"/>
  <c r="E450" i="21" l="1"/>
  <c r="F449" i="21"/>
  <c r="E251" i="21"/>
  <c r="F250" i="21"/>
  <c r="D464" i="21"/>
  <c r="B463" i="21"/>
  <c r="D58" i="21"/>
  <c r="B57" i="21"/>
  <c r="E252" i="21" l="1"/>
  <c r="F251" i="21"/>
  <c r="E451" i="21"/>
  <c r="F450" i="21"/>
  <c r="D465" i="21"/>
  <c r="B464" i="21"/>
  <c r="D59" i="21"/>
  <c r="B58" i="21"/>
  <c r="E452" i="21" l="1"/>
  <c r="F451" i="21"/>
  <c r="E253" i="21"/>
  <c r="F252" i="21"/>
  <c r="D466" i="21"/>
  <c r="B465" i="21"/>
  <c r="D60" i="21"/>
  <c r="B59" i="21"/>
  <c r="E254" i="21" l="1"/>
  <c r="F253" i="21"/>
  <c r="E453" i="21"/>
  <c r="F452" i="21"/>
  <c r="D467" i="21"/>
  <c r="B466" i="21"/>
  <c r="B60" i="21"/>
  <c r="D61" i="21"/>
  <c r="E454" i="21" l="1"/>
  <c r="F453" i="21"/>
  <c r="E255" i="21"/>
  <c r="F254" i="21"/>
  <c r="D468" i="21"/>
  <c r="B467" i="21"/>
  <c r="B61" i="21"/>
  <c r="D62" i="21"/>
  <c r="E256" i="21" l="1"/>
  <c r="F255" i="21"/>
  <c r="E455" i="21"/>
  <c r="F454" i="21"/>
  <c r="D469" i="21"/>
  <c r="B468" i="21"/>
  <c r="D63" i="21"/>
  <c r="B62" i="21"/>
  <c r="E456" i="21" l="1"/>
  <c r="F455" i="21"/>
  <c r="E257" i="21"/>
  <c r="F256" i="21"/>
  <c r="D470" i="21"/>
  <c r="B469" i="21"/>
  <c r="D64" i="21"/>
  <c r="B63" i="21"/>
  <c r="E258" i="21" l="1"/>
  <c r="F257" i="21"/>
  <c r="E457" i="21"/>
  <c r="F456" i="21"/>
  <c r="D471" i="21"/>
  <c r="B470" i="21"/>
  <c r="D65" i="21"/>
  <c r="B64" i="21"/>
  <c r="E458" i="21" l="1"/>
  <c r="F457" i="21"/>
  <c r="E259" i="21"/>
  <c r="F258" i="21"/>
  <c r="D472" i="21"/>
  <c r="B471" i="21"/>
  <c r="B65" i="21"/>
  <c r="D66" i="21"/>
  <c r="E260" i="21" l="1"/>
  <c r="F259" i="21"/>
  <c r="E459" i="21"/>
  <c r="F458" i="21"/>
  <c r="D473" i="21"/>
  <c r="B472" i="21"/>
  <c r="B66" i="21"/>
  <c r="D67" i="21"/>
  <c r="E460" i="21" l="1"/>
  <c r="F459" i="21"/>
  <c r="E261" i="21"/>
  <c r="F260" i="21"/>
  <c r="D474" i="21"/>
  <c r="B473" i="21"/>
  <c r="D68" i="21"/>
  <c r="B67" i="21"/>
  <c r="E262" i="21" l="1"/>
  <c r="F261" i="21"/>
  <c r="E461" i="21"/>
  <c r="F460" i="21"/>
  <c r="D475" i="21"/>
  <c r="B474" i="21"/>
  <c r="B68" i="21"/>
  <c r="D69" i="21"/>
  <c r="E462" i="21" l="1"/>
  <c r="F461" i="21"/>
  <c r="E263" i="21"/>
  <c r="F262" i="21"/>
  <c r="D476" i="21"/>
  <c r="B475" i="21"/>
  <c r="B69" i="21"/>
  <c r="D70" i="21"/>
  <c r="E264" i="21" l="1"/>
  <c r="F263" i="21"/>
  <c r="E463" i="21"/>
  <c r="F462" i="21"/>
  <c r="D477" i="21"/>
  <c r="B476" i="21"/>
  <c r="D71" i="21"/>
  <c r="B70" i="21"/>
  <c r="E464" i="21" l="1"/>
  <c r="F463" i="21"/>
  <c r="E265" i="21"/>
  <c r="F264" i="21"/>
  <c r="D478" i="21"/>
  <c r="B477" i="21"/>
  <c r="B71" i="21"/>
  <c r="D72" i="21"/>
  <c r="E266" i="21" l="1"/>
  <c r="F265" i="21"/>
  <c r="E465" i="21"/>
  <c r="F464" i="21"/>
  <c r="D479" i="21"/>
  <c r="B478" i="21"/>
  <c r="B72" i="21"/>
  <c r="D73" i="21"/>
  <c r="E466" i="21" l="1"/>
  <c r="F465" i="21"/>
  <c r="E267" i="21"/>
  <c r="F266" i="21"/>
  <c r="D480" i="21"/>
  <c r="B479" i="21"/>
  <c r="B73" i="21"/>
  <c r="D74" i="21"/>
  <c r="E268" i="21" l="1"/>
  <c r="F267" i="21"/>
  <c r="E467" i="21"/>
  <c r="F466" i="21"/>
  <c r="D481" i="21"/>
  <c r="B480" i="21"/>
  <c r="D75" i="21"/>
  <c r="B74" i="21"/>
  <c r="E468" i="21" l="1"/>
  <c r="F467" i="21"/>
  <c r="E269" i="21"/>
  <c r="F268" i="21"/>
  <c r="D482" i="21"/>
  <c r="B481" i="21"/>
  <c r="B75" i="21"/>
  <c r="D76" i="21"/>
  <c r="E270" i="21" l="1"/>
  <c r="F269" i="21"/>
  <c r="E469" i="21"/>
  <c r="F468" i="21"/>
  <c r="D483" i="21"/>
  <c r="B482" i="21"/>
  <c r="D77" i="21"/>
  <c r="B76" i="21"/>
  <c r="E470" i="21" l="1"/>
  <c r="F469" i="21"/>
  <c r="E271" i="21"/>
  <c r="F270" i="21"/>
  <c r="D484" i="21"/>
  <c r="B483" i="21"/>
  <c r="B77" i="21"/>
  <c r="D78" i="21"/>
  <c r="E272" i="21" l="1"/>
  <c r="F271" i="21"/>
  <c r="E471" i="21"/>
  <c r="F470" i="21"/>
  <c r="D485" i="21"/>
  <c r="B484" i="21"/>
  <c r="D79" i="21"/>
  <c r="B78" i="21"/>
  <c r="E472" i="21" l="1"/>
  <c r="F471" i="21"/>
  <c r="E273" i="21"/>
  <c r="F272" i="21"/>
  <c r="D486" i="21"/>
  <c r="B485" i="21"/>
  <c r="D80" i="21"/>
  <c r="B79" i="21"/>
  <c r="E274" i="21" l="1"/>
  <c r="F273" i="21"/>
  <c r="E473" i="21"/>
  <c r="F472" i="21"/>
  <c r="D487" i="21"/>
  <c r="B486" i="21"/>
  <c r="D81" i="21"/>
  <c r="B80" i="21"/>
  <c r="E474" i="21" l="1"/>
  <c r="F473" i="21"/>
  <c r="E275" i="21"/>
  <c r="F274" i="21"/>
  <c r="D488" i="21"/>
  <c r="B487" i="21"/>
  <c r="B81" i="21"/>
  <c r="D82" i="21"/>
  <c r="E276" i="21" l="1"/>
  <c r="F275" i="21"/>
  <c r="E475" i="21"/>
  <c r="F474" i="21"/>
  <c r="D489" i="21"/>
  <c r="B488" i="21"/>
  <c r="B82" i="21"/>
  <c r="D83" i="21"/>
  <c r="E476" i="21" l="1"/>
  <c r="F475" i="21"/>
  <c r="E277" i="21"/>
  <c r="F276" i="21"/>
  <c r="D490" i="21"/>
  <c r="B489" i="21"/>
  <c r="D84" i="21"/>
  <c r="B83" i="21"/>
  <c r="E278" i="21" l="1"/>
  <c r="F277" i="21"/>
  <c r="E477" i="21"/>
  <c r="F476" i="21"/>
  <c r="D491" i="21"/>
  <c r="B490" i="21"/>
  <c r="B84" i="21"/>
  <c r="D85" i="21"/>
  <c r="E478" i="21" l="1"/>
  <c r="F477" i="21"/>
  <c r="E279" i="21"/>
  <c r="F278" i="21"/>
  <c r="D492" i="21"/>
  <c r="B491" i="21"/>
  <c r="B85" i="21"/>
  <c r="D86" i="21"/>
  <c r="E280" i="21" l="1"/>
  <c r="F279" i="21"/>
  <c r="E479" i="21"/>
  <c r="F478" i="21"/>
  <c r="D493" i="21"/>
  <c r="B492" i="21"/>
  <c r="D87" i="21"/>
  <c r="B86" i="21"/>
  <c r="E480" i="21" l="1"/>
  <c r="F479" i="21"/>
  <c r="E281" i="21"/>
  <c r="F280" i="21"/>
  <c r="D494" i="21"/>
  <c r="B493" i="21"/>
  <c r="D88" i="21"/>
  <c r="B87" i="21"/>
  <c r="E282" i="21" l="1"/>
  <c r="F281" i="21"/>
  <c r="E481" i="21"/>
  <c r="F480" i="21"/>
  <c r="D495" i="21"/>
  <c r="B494" i="21"/>
  <c r="D89" i="21"/>
  <c r="B88" i="21"/>
  <c r="E482" i="21" l="1"/>
  <c r="F481" i="21"/>
  <c r="E283" i="21"/>
  <c r="F282" i="21"/>
  <c r="D496" i="21"/>
  <c r="B495" i="21"/>
  <c r="D90" i="21"/>
  <c r="B89" i="21"/>
  <c r="E284" i="21" l="1"/>
  <c r="F283" i="21"/>
  <c r="E483" i="21"/>
  <c r="F482" i="21"/>
  <c r="D497" i="21"/>
  <c r="B496" i="21"/>
  <c r="D91" i="21"/>
  <c r="B90" i="21"/>
  <c r="E484" i="21" l="1"/>
  <c r="F483" i="21"/>
  <c r="E285" i="21"/>
  <c r="F284" i="21"/>
  <c r="D498" i="21"/>
  <c r="B497" i="21"/>
  <c r="D92" i="21"/>
  <c r="B91" i="21"/>
  <c r="E286" i="21" l="1"/>
  <c r="F285" i="21"/>
  <c r="E485" i="21"/>
  <c r="F484" i="21"/>
  <c r="D499" i="21"/>
  <c r="B498" i="21"/>
  <c r="D93" i="21"/>
  <c r="B92" i="21"/>
  <c r="E486" i="21" l="1"/>
  <c r="F485" i="21"/>
  <c r="E287" i="21"/>
  <c r="F286" i="21"/>
  <c r="D500" i="21"/>
  <c r="B499" i="21"/>
  <c r="D94" i="21"/>
  <c r="B93" i="21"/>
  <c r="E288" i="21" l="1"/>
  <c r="F287" i="21"/>
  <c r="E487" i="21"/>
  <c r="F486" i="21"/>
  <c r="D501" i="21"/>
  <c r="B500" i="21"/>
  <c r="D95" i="21"/>
  <c r="B94" i="21"/>
  <c r="E488" i="21" l="1"/>
  <c r="F487" i="21"/>
  <c r="E289" i="21"/>
  <c r="F288" i="21"/>
  <c r="D502" i="21"/>
  <c r="B501" i="21"/>
  <c r="D96" i="21"/>
  <c r="B95" i="21"/>
  <c r="E290" i="21" l="1"/>
  <c r="F289" i="21"/>
  <c r="E489" i="21"/>
  <c r="F488" i="21"/>
  <c r="D503" i="21"/>
  <c r="B502" i="21"/>
  <c r="D97" i="21"/>
  <c r="B96" i="21"/>
  <c r="E490" i="21" l="1"/>
  <c r="F489" i="21"/>
  <c r="E291" i="21"/>
  <c r="F290" i="21"/>
  <c r="D504" i="21"/>
  <c r="B503" i="21"/>
  <c r="B97" i="21"/>
  <c r="D98" i="21"/>
  <c r="E292" i="21" l="1"/>
  <c r="F291" i="21"/>
  <c r="E491" i="21"/>
  <c r="F490" i="21"/>
  <c r="D505" i="21"/>
  <c r="B504" i="21"/>
  <c r="D99" i="21"/>
  <c r="B98" i="21"/>
  <c r="E492" i="21" l="1"/>
  <c r="F491" i="21"/>
  <c r="E293" i="21"/>
  <c r="F292" i="21"/>
  <c r="D506" i="21"/>
  <c r="B505" i="21"/>
  <c r="D100" i="21"/>
  <c r="B99" i="21"/>
  <c r="E294" i="21" l="1"/>
  <c r="F293" i="21"/>
  <c r="E493" i="21"/>
  <c r="F492" i="21"/>
  <c r="D507" i="21"/>
  <c r="B506" i="21"/>
  <c r="D101" i="21"/>
  <c r="B100" i="21"/>
  <c r="E494" i="21" l="1"/>
  <c r="F493" i="21"/>
  <c r="E295" i="21"/>
  <c r="F294" i="21"/>
  <c r="D508" i="21"/>
  <c r="B507" i="21"/>
  <c r="D102" i="21"/>
  <c r="B101" i="21"/>
  <c r="E296" i="21" l="1"/>
  <c r="F295" i="21"/>
  <c r="E495" i="21"/>
  <c r="F494" i="21"/>
  <c r="D509" i="21"/>
  <c r="B508" i="21"/>
  <c r="D103" i="21"/>
  <c r="B102" i="21"/>
  <c r="E496" i="21" l="1"/>
  <c r="F495" i="21"/>
  <c r="E297" i="21"/>
  <c r="F296" i="21"/>
  <c r="D510" i="21"/>
  <c r="B509" i="21"/>
  <c r="D104" i="21"/>
  <c r="B103" i="21"/>
  <c r="E298" i="21" l="1"/>
  <c r="F297" i="21"/>
  <c r="E497" i="21"/>
  <c r="F496" i="21"/>
  <c r="D511" i="21"/>
  <c r="B510" i="21"/>
  <c r="D105" i="21"/>
  <c r="B104" i="21"/>
  <c r="E498" i="21" l="1"/>
  <c r="F497" i="21"/>
  <c r="E299" i="21"/>
  <c r="F298" i="21"/>
  <c r="D512" i="21"/>
  <c r="B511" i="21"/>
  <c r="D106" i="21"/>
  <c r="B105" i="21"/>
  <c r="E300" i="21" l="1"/>
  <c r="F299" i="21"/>
  <c r="E499" i="21"/>
  <c r="F498" i="21"/>
  <c r="D513" i="21"/>
  <c r="B512" i="21"/>
  <c r="D107" i="21"/>
  <c r="B106" i="21"/>
  <c r="E500" i="21" l="1"/>
  <c r="F499" i="21"/>
  <c r="E301" i="21"/>
  <c r="F300" i="21"/>
  <c r="D514" i="21"/>
  <c r="B513" i="21"/>
  <c r="D108" i="21"/>
  <c r="B107" i="21"/>
  <c r="E302" i="21" l="1"/>
  <c r="F301" i="21"/>
  <c r="E501" i="21"/>
  <c r="F500" i="21"/>
  <c r="D515" i="21"/>
  <c r="B514" i="21"/>
  <c r="D109" i="21"/>
  <c r="B108" i="21"/>
  <c r="E502" i="21" l="1"/>
  <c r="F501" i="21"/>
  <c r="E303" i="21"/>
  <c r="F302" i="21"/>
  <c r="D516" i="21"/>
  <c r="B515" i="21"/>
  <c r="B109" i="21"/>
  <c r="D110" i="21"/>
  <c r="E304" i="21" l="1"/>
  <c r="F303" i="21"/>
  <c r="E503" i="21"/>
  <c r="F502" i="21"/>
  <c r="D517" i="21"/>
  <c r="B516" i="21"/>
  <c r="B110" i="21"/>
  <c r="D111" i="21"/>
  <c r="E504" i="21" l="1"/>
  <c r="F503" i="21"/>
  <c r="E305" i="21"/>
  <c r="F304" i="21"/>
  <c r="D518" i="21"/>
  <c r="B517" i="21"/>
  <c r="D112" i="21"/>
  <c r="B111" i="21"/>
  <c r="E306" i="21" l="1"/>
  <c r="F305" i="21"/>
  <c r="E505" i="21"/>
  <c r="F504" i="21"/>
  <c r="D519" i="21"/>
  <c r="B518" i="21"/>
  <c r="D113" i="21"/>
  <c r="B112" i="21"/>
  <c r="E506" i="21" l="1"/>
  <c r="F505" i="21"/>
  <c r="E307" i="21"/>
  <c r="F306" i="21"/>
  <c r="D520" i="21"/>
  <c r="B519" i="21"/>
  <c r="D114" i="21"/>
  <c r="B113" i="21"/>
  <c r="E308" i="21" l="1"/>
  <c r="F307" i="21"/>
  <c r="E507" i="21"/>
  <c r="F506" i="21"/>
  <c r="D521" i="21"/>
  <c r="B520" i="21"/>
  <c r="D115" i="21"/>
  <c r="B114" i="21"/>
  <c r="E508" i="21" l="1"/>
  <c r="F507" i="21"/>
  <c r="E309" i="21"/>
  <c r="F308" i="21"/>
  <c r="D522" i="21"/>
  <c r="B521" i="21"/>
  <c r="D116" i="21"/>
  <c r="B115" i="21"/>
  <c r="E310" i="21" l="1"/>
  <c r="F309" i="21"/>
  <c r="E509" i="21"/>
  <c r="F508" i="21"/>
  <c r="D523" i="21"/>
  <c r="B522" i="21"/>
  <c r="D117" i="21"/>
  <c r="B116" i="21"/>
  <c r="E510" i="21" l="1"/>
  <c r="F509" i="21"/>
  <c r="E311" i="21"/>
  <c r="F310" i="21"/>
  <c r="D524" i="21"/>
  <c r="B523" i="21"/>
  <c r="D118" i="21"/>
  <c r="B117" i="21"/>
  <c r="E312" i="21" l="1"/>
  <c r="F311" i="21"/>
  <c r="E511" i="21"/>
  <c r="F510" i="21"/>
  <c r="D525" i="21"/>
  <c r="B524" i="21"/>
  <c r="D119" i="21"/>
  <c r="B118" i="21"/>
  <c r="E512" i="21" l="1"/>
  <c r="F511" i="21"/>
  <c r="F312" i="21"/>
  <c r="E313" i="21"/>
  <c r="D526" i="21"/>
  <c r="B525" i="21"/>
  <c r="D120" i="21"/>
  <c r="B119" i="21"/>
  <c r="F313" i="21" l="1"/>
  <c r="E314" i="21"/>
  <c r="E513" i="21"/>
  <c r="F512" i="21"/>
  <c r="D527" i="21"/>
  <c r="B526" i="21"/>
  <c r="D121" i="21"/>
  <c r="B120" i="21"/>
  <c r="E315" i="21" l="1"/>
  <c r="F314" i="21"/>
  <c r="E514" i="21"/>
  <c r="F513" i="21"/>
  <c r="D528" i="21"/>
  <c r="B527" i="21"/>
  <c r="B121" i="21"/>
  <c r="D122" i="21"/>
  <c r="F315" i="21" l="1"/>
  <c r="E316" i="21"/>
  <c r="E515" i="21"/>
  <c r="F514" i="21"/>
  <c r="D529" i="21"/>
  <c r="B528" i="21"/>
  <c r="D123" i="21"/>
  <c r="B122" i="21"/>
  <c r="F316" i="21" l="1"/>
  <c r="E317" i="21"/>
  <c r="E516" i="21"/>
  <c r="F515" i="21"/>
  <c r="D530" i="21"/>
  <c r="B529" i="21"/>
  <c r="D124" i="21"/>
  <c r="B123" i="21"/>
  <c r="E318" i="21" l="1"/>
  <c r="F317" i="21"/>
  <c r="E517" i="21"/>
  <c r="F516" i="21"/>
  <c r="D531" i="21"/>
  <c r="B530" i="21"/>
  <c r="D125" i="21"/>
  <c r="B124" i="21"/>
  <c r="F318" i="21" l="1"/>
  <c r="E319" i="21"/>
  <c r="E518" i="21"/>
  <c r="F517" i="21"/>
  <c r="D532" i="21"/>
  <c r="B531" i="21"/>
  <c r="D126" i="21"/>
  <c r="B125" i="21"/>
  <c r="F319" i="21" l="1"/>
  <c r="E320" i="21"/>
  <c r="E519" i="21"/>
  <c r="F518" i="21"/>
  <c r="D533" i="21"/>
  <c r="B532" i="21"/>
  <c r="D127" i="21"/>
  <c r="B126" i="21"/>
  <c r="E321" i="21" l="1"/>
  <c r="F320" i="21"/>
  <c r="E520" i="21"/>
  <c r="F519" i="21"/>
  <c r="D534" i="21"/>
  <c r="B533" i="21"/>
  <c r="D128" i="21"/>
  <c r="B127" i="21"/>
  <c r="E322" i="21" l="1"/>
  <c r="F321" i="21"/>
  <c r="E521" i="21"/>
  <c r="F520" i="21"/>
  <c r="D535" i="21"/>
  <c r="B534" i="21"/>
  <c r="D129" i="21"/>
  <c r="B128" i="21"/>
  <c r="F322" i="21" l="1"/>
  <c r="E323" i="21"/>
  <c r="E522" i="21"/>
  <c r="F521" i="21"/>
  <c r="D536" i="21"/>
  <c r="B535" i="21"/>
  <c r="D130" i="21"/>
  <c r="B129" i="21"/>
  <c r="E324" i="21" l="1"/>
  <c r="F323" i="21"/>
  <c r="E523" i="21"/>
  <c r="F522" i="21"/>
  <c r="D537" i="21"/>
  <c r="B536" i="21"/>
  <c r="D131" i="21"/>
  <c r="B130" i="21"/>
  <c r="F324" i="21" l="1"/>
  <c r="E325" i="21"/>
  <c r="E524" i="21"/>
  <c r="F523" i="21"/>
  <c r="D538" i="21"/>
  <c r="B537" i="21"/>
  <c r="D132" i="21"/>
  <c r="B131" i="21"/>
  <c r="F325" i="21" l="1"/>
  <c r="E326" i="21"/>
  <c r="E525" i="21"/>
  <c r="F524" i="21"/>
  <c r="D539" i="21"/>
  <c r="B538" i="21"/>
  <c r="B132" i="21"/>
  <c r="D133" i="21"/>
  <c r="F326" i="21" l="1"/>
  <c r="E327" i="21"/>
  <c r="E526" i="21"/>
  <c r="F525" i="21"/>
  <c r="D540" i="21"/>
  <c r="B539" i="21"/>
  <c r="B133" i="21"/>
  <c r="D134" i="21"/>
  <c r="F327" i="21" l="1"/>
  <c r="E328" i="21"/>
  <c r="E527" i="21"/>
  <c r="F526" i="21"/>
  <c r="D541" i="21"/>
  <c r="B540" i="21"/>
  <c r="D135" i="21"/>
  <c r="B134" i="21"/>
  <c r="F328" i="21" l="1"/>
  <c r="E329" i="21"/>
  <c r="E528" i="21"/>
  <c r="F527" i="21"/>
  <c r="D542" i="21"/>
  <c r="B541" i="21"/>
  <c r="D136" i="21"/>
  <c r="B135" i="21"/>
  <c r="E330" i="21" l="1"/>
  <c r="F329" i="21"/>
  <c r="E529" i="21"/>
  <c r="F528" i="21"/>
  <c r="D543" i="21"/>
  <c r="B542" i="21"/>
  <c r="D137" i="21"/>
  <c r="B136" i="21"/>
  <c r="F330" i="21" l="1"/>
  <c r="E331" i="21"/>
  <c r="E530" i="21"/>
  <c r="F529" i="21"/>
  <c r="D544" i="21"/>
  <c r="B543" i="21"/>
  <c r="D138" i="21"/>
  <c r="B137" i="21"/>
  <c r="F331" i="21" l="1"/>
  <c r="E332" i="21"/>
  <c r="E531" i="21"/>
  <c r="F530" i="21"/>
  <c r="D545" i="21"/>
  <c r="B544" i="21"/>
  <c r="D139" i="21"/>
  <c r="B138" i="21"/>
  <c r="F332" i="21" l="1"/>
  <c r="E333" i="21"/>
  <c r="E532" i="21"/>
  <c r="F531" i="21"/>
  <c r="D546" i="21"/>
  <c r="B545" i="21"/>
  <c r="D140" i="21"/>
  <c r="B139" i="21"/>
  <c r="E334" i="21" l="1"/>
  <c r="F333" i="21"/>
  <c r="E533" i="21"/>
  <c r="F532" i="21"/>
  <c r="D547" i="21"/>
  <c r="B546" i="21"/>
  <c r="D141" i="21"/>
  <c r="B140" i="21"/>
  <c r="F334" i="21" l="1"/>
  <c r="E335" i="21"/>
  <c r="E534" i="21"/>
  <c r="F533" i="21"/>
  <c r="D548" i="21"/>
  <c r="B547" i="21"/>
  <c r="D142" i="21"/>
  <c r="B141" i="21"/>
  <c r="F335" i="21" l="1"/>
  <c r="E336" i="21"/>
  <c r="E535" i="21"/>
  <c r="F534" i="21"/>
  <c r="D549" i="21"/>
  <c r="B548" i="21"/>
  <c r="D143" i="21"/>
  <c r="B142" i="21"/>
  <c r="E337" i="21" l="1"/>
  <c r="F336" i="21"/>
  <c r="E536" i="21"/>
  <c r="F535" i="21"/>
  <c r="D550" i="21"/>
  <c r="B549" i="21"/>
  <c r="D144" i="21"/>
  <c r="B143" i="21"/>
  <c r="F337" i="21" l="1"/>
  <c r="E338" i="21"/>
  <c r="E537" i="21"/>
  <c r="F536" i="21"/>
  <c r="D551" i="21"/>
  <c r="B550" i="21"/>
  <c r="D145" i="21"/>
  <c r="B144" i="21"/>
  <c r="F338" i="21" l="1"/>
  <c r="E339" i="21"/>
  <c r="E538" i="21"/>
  <c r="F537" i="21"/>
  <c r="D552" i="21"/>
  <c r="B551" i="21"/>
  <c r="B145" i="21"/>
  <c r="D146" i="21"/>
  <c r="E340" i="21" l="1"/>
  <c r="F339" i="21"/>
  <c r="E539" i="21"/>
  <c r="F538" i="21"/>
  <c r="D553" i="21"/>
  <c r="B552" i="21"/>
  <c r="D147" i="21"/>
  <c r="B146" i="21"/>
  <c r="E341" i="21" l="1"/>
  <c r="F340" i="21"/>
  <c r="E540" i="21"/>
  <c r="F539" i="21"/>
  <c r="D554" i="21"/>
  <c r="B553" i="21"/>
  <c r="D148" i="21"/>
  <c r="B147" i="21"/>
  <c r="F341" i="21" l="1"/>
  <c r="E342" i="21"/>
  <c r="E541" i="21"/>
  <c r="F540" i="21"/>
  <c r="D555" i="21"/>
  <c r="B554" i="21"/>
  <c r="D149" i="21"/>
  <c r="B148" i="21"/>
  <c r="F342" i="21" l="1"/>
  <c r="E343" i="21"/>
  <c r="E542" i="21"/>
  <c r="F541" i="21"/>
  <c r="D556" i="21"/>
  <c r="B555" i="21"/>
  <c r="D150" i="21"/>
  <c r="B149" i="21"/>
  <c r="E344" i="21" l="1"/>
  <c r="F343" i="21"/>
  <c r="E543" i="21"/>
  <c r="F542" i="21"/>
  <c r="D557" i="21"/>
  <c r="B556" i="21"/>
  <c r="D151" i="21"/>
  <c r="B150" i="21"/>
  <c r="F344" i="21" l="1"/>
  <c r="E345" i="21"/>
  <c r="E544" i="21"/>
  <c r="F543" i="21"/>
  <c r="D558" i="21"/>
  <c r="B557" i="21"/>
  <c r="D152" i="21"/>
  <c r="B151" i="21"/>
  <c r="F345" i="21" l="1"/>
  <c r="E346" i="21"/>
  <c r="E545" i="21"/>
  <c r="F544" i="21"/>
  <c r="D559" i="21"/>
  <c r="B558" i="21"/>
  <c r="D153" i="21"/>
  <c r="B152" i="21"/>
  <c r="F346" i="21" l="1"/>
  <c r="E347" i="21"/>
  <c r="E546" i="21"/>
  <c r="F545" i="21"/>
  <c r="D560" i="21"/>
  <c r="B559" i="21"/>
  <c r="D154" i="21"/>
  <c r="B153" i="21"/>
  <c r="F347" i="21" l="1"/>
  <c r="E348" i="21"/>
  <c r="E547" i="21"/>
  <c r="F546" i="21"/>
  <c r="D561" i="21"/>
  <c r="B560" i="21"/>
  <c r="D155" i="21"/>
  <c r="B154" i="21"/>
  <c r="E349" i="21" l="1"/>
  <c r="F348" i="21"/>
  <c r="E548" i="21"/>
  <c r="F547" i="21"/>
  <c r="D562" i="21"/>
  <c r="B561" i="21"/>
  <c r="D156" i="21"/>
  <c r="B155" i="21"/>
  <c r="F349" i="21" l="1"/>
  <c r="E350" i="21"/>
  <c r="E549" i="21"/>
  <c r="F548" i="21"/>
  <c r="D563" i="21"/>
  <c r="B562" i="21"/>
  <c r="D157" i="21"/>
  <c r="B156" i="21"/>
  <c r="F350" i="21" l="1"/>
  <c r="E351" i="21"/>
  <c r="E550" i="21"/>
  <c r="F549" i="21"/>
  <c r="D564" i="21"/>
  <c r="B563" i="21"/>
  <c r="B157" i="21"/>
  <c r="D158" i="21"/>
  <c r="F351" i="21" l="1"/>
  <c r="E352" i="21"/>
  <c r="E551" i="21"/>
  <c r="F550" i="21"/>
  <c r="D565" i="21"/>
  <c r="B564" i="21"/>
  <c r="D159" i="21"/>
  <c r="B158" i="21"/>
  <c r="F352" i="21" l="1"/>
  <c r="E353" i="21"/>
  <c r="E552" i="21"/>
  <c r="F551" i="21"/>
  <c r="D566" i="21"/>
  <c r="B565" i="21"/>
  <c r="D160" i="21"/>
  <c r="B159" i="21"/>
  <c r="F353" i="21" l="1"/>
  <c r="E354" i="21"/>
  <c r="F354" i="21" s="1"/>
  <c r="E553" i="21"/>
  <c r="F552" i="21"/>
  <c r="D567" i="21"/>
  <c r="B566" i="21"/>
  <c r="D161" i="21"/>
  <c r="B160" i="21"/>
  <c r="E554" i="21" l="1"/>
  <c r="F553" i="21"/>
  <c r="D568" i="21"/>
  <c r="B567" i="21"/>
  <c r="D162" i="21"/>
  <c r="B161" i="21"/>
  <c r="E555" i="21" l="1"/>
  <c r="F554" i="21"/>
  <c r="D569" i="21"/>
  <c r="B568" i="21"/>
  <c r="D163" i="21"/>
  <c r="B162" i="21"/>
  <c r="E556" i="21" l="1"/>
  <c r="F555" i="21"/>
  <c r="D570" i="21"/>
  <c r="B569" i="21"/>
  <c r="D164" i="21"/>
  <c r="B163" i="21"/>
  <c r="E557" i="21" l="1"/>
  <c r="F556" i="21"/>
  <c r="D571" i="21"/>
  <c r="B570" i="21"/>
  <c r="D165" i="21"/>
  <c r="B164" i="21"/>
  <c r="E558" i="21" l="1"/>
  <c r="F557" i="21"/>
  <c r="D572" i="21"/>
  <c r="B571" i="21"/>
  <c r="D166" i="21"/>
  <c r="B165" i="21"/>
  <c r="E559" i="21" l="1"/>
  <c r="F558" i="21"/>
  <c r="D573" i="21"/>
  <c r="B572" i="21"/>
  <c r="D167" i="21"/>
  <c r="B166" i="21"/>
  <c r="E560" i="21" l="1"/>
  <c r="F559" i="21"/>
  <c r="D574" i="21"/>
  <c r="B573" i="21"/>
  <c r="D168" i="21"/>
  <c r="B167" i="21"/>
  <c r="E561" i="21" l="1"/>
  <c r="F560" i="21"/>
  <c r="D575" i="21"/>
  <c r="B574" i="21"/>
  <c r="D169" i="21"/>
  <c r="B168" i="21"/>
  <c r="E562" i="21" l="1"/>
  <c r="F561" i="21"/>
  <c r="D576" i="21"/>
  <c r="B575" i="21"/>
  <c r="B169" i="21"/>
  <c r="D170" i="21"/>
  <c r="E563" i="21" l="1"/>
  <c r="F562" i="21"/>
  <c r="D577" i="21"/>
  <c r="B576" i="21"/>
  <c r="D171" i="21"/>
  <c r="B170" i="21"/>
  <c r="E564" i="21" l="1"/>
  <c r="F563" i="21"/>
  <c r="D578" i="21"/>
  <c r="B577" i="21"/>
  <c r="D172" i="21"/>
  <c r="B171" i="21"/>
  <c r="E565" i="21" l="1"/>
  <c r="F564" i="21"/>
  <c r="D579" i="21"/>
  <c r="B578" i="21"/>
  <c r="D173" i="21"/>
  <c r="B172" i="21"/>
  <c r="E566" i="21" l="1"/>
  <c r="F565" i="21"/>
  <c r="D580" i="21"/>
  <c r="B579" i="21"/>
  <c r="D174" i="21"/>
  <c r="B173" i="21"/>
  <c r="E567" i="21" l="1"/>
  <c r="F566" i="21"/>
  <c r="D581" i="21"/>
  <c r="B580" i="21"/>
  <c r="D175" i="21"/>
  <c r="B174" i="21"/>
  <c r="E568" i="21" l="1"/>
  <c r="F567" i="21"/>
  <c r="D582" i="21"/>
  <c r="B581" i="21"/>
  <c r="D176" i="21"/>
  <c r="B175" i="21"/>
  <c r="E569" i="21" l="1"/>
  <c r="F568" i="21"/>
  <c r="D583" i="21"/>
  <c r="B582" i="21"/>
  <c r="D177" i="21"/>
  <c r="B176" i="21"/>
  <c r="E570" i="21" l="1"/>
  <c r="F569" i="21"/>
  <c r="D584" i="21"/>
  <c r="B583" i="21"/>
  <c r="D178" i="21"/>
  <c r="B177" i="21"/>
  <c r="E571" i="21" l="1"/>
  <c r="F570" i="21"/>
  <c r="D585" i="21"/>
  <c r="B584" i="21"/>
  <c r="D179" i="21"/>
  <c r="B178" i="21"/>
  <c r="E572" i="21" l="1"/>
  <c r="F571" i="21"/>
  <c r="D586" i="21"/>
  <c r="B585" i="21"/>
  <c r="D180" i="21"/>
  <c r="B179" i="21"/>
  <c r="E573" i="21" l="1"/>
  <c r="F572" i="21"/>
  <c r="D587" i="21"/>
  <c r="B586" i="21"/>
  <c r="D181" i="21"/>
  <c r="B180" i="21"/>
  <c r="E574" i="21" l="1"/>
  <c r="F573" i="21"/>
  <c r="D588" i="21"/>
  <c r="B587" i="21"/>
  <c r="B181" i="21"/>
  <c r="D182" i="21"/>
  <c r="E575" i="21" l="1"/>
  <c r="F574" i="21"/>
  <c r="D589" i="21"/>
  <c r="B588" i="21"/>
  <c r="B182" i="21"/>
  <c r="D183" i="21"/>
  <c r="E576" i="21" l="1"/>
  <c r="F575" i="21"/>
  <c r="D590" i="21"/>
  <c r="B589" i="21"/>
  <c r="D184" i="21"/>
  <c r="B183" i="21"/>
  <c r="E577" i="21" l="1"/>
  <c r="F576" i="21"/>
  <c r="D591" i="21"/>
  <c r="B590" i="21"/>
  <c r="D185" i="21"/>
  <c r="B184" i="21"/>
  <c r="E578" i="21" l="1"/>
  <c r="F577" i="21"/>
  <c r="D592" i="21"/>
  <c r="B591" i="21"/>
  <c r="D186" i="21"/>
  <c r="B185" i="21"/>
  <c r="E579" i="21" l="1"/>
  <c r="F578" i="21"/>
  <c r="D593" i="21"/>
  <c r="B592" i="21"/>
  <c r="D187" i="21"/>
  <c r="B186" i="21"/>
  <c r="E580" i="21" l="1"/>
  <c r="F579" i="21"/>
  <c r="D594" i="21"/>
  <c r="B593" i="21"/>
  <c r="D188" i="21"/>
  <c r="B187" i="21"/>
  <c r="E581" i="21" l="1"/>
  <c r="F580" i="21"/>
  <c r="D595" i="21"/>
  <c r="B594" i="21"/>
  <c r="D189" i="21"/>
  <c r="B188" i="21"/>
  <c r="E582" i="21" l="1"/>
  <c r="F581" i="21"/>
  <c r="D596" i="21"/>
  <c r="B595" i="21"/>
  <c r="D190" i="21"/>
  <c r="B189" i="21"/>
  <c r="E583" i="21" l="1"/>
  <c r="F582" i="21"/>
  <c r="D597" i="21"/>
  <c r="B596" i="21"/>
  <c r="D191" i="21"/>
  <c r="B190" i="21"/>
  <c r="E584" i="21" l="1"/>
  <c r="F583" i="21"/>
  <c r="D598" i="21"/>
  <c r="B597" i="21"/>
  <c r="D192" i="21"/>
  <c r="B191" i="21"/>
  <c r="E585" i="21" l="1"/>
  <c r="F584" i="21"/>
  <c r="D599" i="21"/>
  <c r="B598" i="21"/>
  <c r="D193" i="21"/>
  <c r="B192" i="21"/>
  <c r="E586" i="21" l="1"/>
  <c r="F585" i="21"/>
  <c r="D600" i="21"/>
  <c r="B599" i="21"/>
  <c r="B193" i="21"/>
  <c r="D194" i="21"/>
  <c r="E587" i="21" l="1"/>
  <c r="F586" i="21"/>
  <c r="D601" i="21"/>
  <c r="B600" i="21"/>
  <c r="B194" i="21"/>
  <c r="D195" i="21"/>
  <c r="E588" i="21" l="1"/>
  <c r="F587" i="21"/>
  <c r="D602" i="21"/>
  <c r="B601" i="21"/>
  <c r="B195" i="21"/>
  <c r="D196" i="21"/>
  <c r="E589" i="21" l="1"/>
  <c r="F588" i="21"/>
  <c r="D603" i="21"/>
  <c r="B602" i="21"/>
  <c r="B196" i="21"/>
  <c r="D197" i="21"/>
  <c r="E590" i="21" l="1"/>
  <c r="F589" i="21"/>
  <c r="D604" i="21"/>
  <c r="B603" i="21"/>
  <c r="B197" i="21"/>
  <c r="D198" i="21"/>
  <c r="E591" i="21" l="1"/>
  <c r="F590" i="21"/>
  <c r="D605" i="21"/>
  <c r="B604" i="21"/>
  <c r="D199" i="21"/>
  <c r="B198" i="21"/>
  <c r="E592" i="21" l="1"/>
  <c r="F591" i="21"/>
  <c r="D606" i="21"/>
  <c r="B605" i="21"/>
  <c r="D200" i="21"/>
  <c r="B199" i="21"/>
  <c r="E593" i="21" l="1"/>
  <c r="F592" i="21"/>
  <c r="D607" i="21"/>
  <c r="B606" i="21"/>
  <c r="D201" i="21"/>
  <c r="B200" i="21"/>
  <c r="E594" i="21" l="1"/>
  <c r="F593" i="21"/>
  <c r="D608" i="21"/>
  <c r="B607" i="21"/>
  <c r="D202" i="21"/>
  <c r="B201" i="21"/>
  <c r="E595" i="21" l="1"/>
  <c r="F594" i="21"/>
  <c r="D609" i="21"/>
  <c r="B608" i="21"/>
  <c r="D203" i="21"/>
  <c r="B202" i="21"/>
  <c r="E596" i="21" l="1"/>
  <c r="F595" i="21"/>
  <c r="D610" i="21"/>
  <c r="B609" i="21"/>
  <c r="D204" i="21"/>
  <c r="B203" i="21"/>
  <c r="E597" i="21" l="1"/>
  <c r="F596" i="21"/>
  <c r="D611" i="21"/>
  <c r="B610" i="21"/>
  <c r="D205" i="21"/>
  <c r="B204" i="21"/>
  <c r="E598" i="21" l="1"/>
  <c r="F597" i="21"/>
  <c r="D612" i="21"/>
  <c r="B611" i="21"/>
  <c r="B205" i="21"/>
  <c r="D206" i="21"/>
  <c r="E599" i="21" l="1"/>
  <c r="F598" i="21"/>
  <c r="D613" i="21"/>
  <c r="B612" i="21"/>
  <c r="D207" i="21"/>
  <c r="B206" i="21"/>
  <c r="E600" i="21" l="1"/>
  <c r="F599" i="21"/>
  <c r="D614" i="21"/>
  <c r="B613" i="21"/>
  <c r="D208" i="21"/>
  <c r="B207" i="21"/>
  <c r="E601" i="21" l="1"/>
  <c r="F600" i="21"/>
  <c r="D615" i="21"/>
  <c r="B614" i="21"/>
  <c r="D209" i="21"/>
  <c r="B208" i="21"/>
  <c r="E602" i="21" l="1"/>
  <c r="F601" i="21"/>
  <c r="D616" i="21"/>
  <c r="B615" i="21"/>
  <c r="D210" i="21"/>
  <c r="B209" i="21"/>
  <c r="E603" i="21" l="1"/>
  <c r="F602" i="21"/>
  <c r="D617" i="21"/>
  <c r="B616" i="21"/>
  <c r="D211" i="21"/>
  <c r="B210" i="21"/>
  <c r="E604" i="21" l="1"/>
  <c r="F603" i="21"/>
  <c r="D618" i="21"/>
  <c r="B617" i="21"/>
  <c r="D212" i="21"/>
  <c r="B211" i="21"/>
  <c r="E605" i="21" l="1"/>
  <c r="F604" i="21"/>
  <c r="D619" i="21"/>
  <c r="B618" i="21"/>
  <c r="D213" i="21"/>
  <c r="B212" i="21"/>
  <c r="E606" i="21" l="1"/>
  <c r="F605" i="21"/>
  <c r="D620" i="21"/>
  <c r="B619" i="21"/>
  <c r="D214" i="21"/>
  <c r="B213" i="21"/>
  <c r="E607" i="21" l="1"/>
  <c r="F606" i="21"/>
  <c r="D621" i="21"/>
  <c r="B620" i="21"/>
  <c r="D215" i="21"/>
  <c r="B214" i="21"/>
  <c r="E608" i="21" l="1"/>
  <c r="F607" i="21"/>
  <c r="D622" i="21"/>
  <c r="B621" i="21"/>
  <c r="D216" i="21"/>
  <c r="B215" i="21"/>
  <c r="E609" i="21" l="1"/>
  <c r="F608" i="21"/>
  <c r="D623" i="21"/>
  <c r="B622" i="21"/>
  <c r="B216" i="21"/>
  <c r="D217" i="21"/>
  <c r="E610" i="21" l="1"/>
  <c r="F609" i="21"/>
  <c r="B217" i="21"/>
  <c r="D218" i="21"/>
  <c r="D624" i="21"/>
  <c r="B623" i="21"/>
  <c r="E611" i="21" l="1"/>
  <c r="F610" i="21"/>
  <c r="D219" i="21"/>
  <c r="B218" i="21"/>
  <c r="D625" i="21"/>
  <c r="B624" i="21"/>
  <c r="E612" i="21" l="1"/>
  <c r="F611" i="21"/>
  <c r="D220" i="21"/>
  <c r="B219" i="21"/>
  <c r="D626" i="21"/>
  <c r="B625" i="21"/>
  <c r="E613" i="21" l="1"/>
  <c r="F612" i="21"/>
  <c r="D221" i="21"/>
  <c r="B220" i="21"/>
  <c r="D627" i="21"/>
  <c r="B626" i="21"/>
  <c r="E614" i="21" l="1"/>
  <c r="F613" i="21"/>
  <c r="D222" i="21"/>
  <c r="B221" i="21"/>
  <c r="D628" i="21"/>
  <c r="B627" i="21"/>
  <c r="E615" i="21" l="1"/>
  <c r="F614" i="21"/>
  <c r="D223" i="21"/>
  <c r="B222" i="21"/>
  <c r="D629" i="21"/>
  <c r="B628" i="21"/>
  <c r="E616" i="21" l="1"/>
  <c r="F615" i="21"/>
  <c r="D224" i="21"/>
  <c r="B223" i="21"/>
  <c r="D630" i="21"/>
  <c r="B629" i="21"/>
  <c r="E617" i="21" l="1"/>
  <c r="F616" i="21"/>
  <c r="D225" i="21"/>
  <c r="B224" i="21"/>
  <c r="D631" i="21"/>
  <c r="B630" i="21"/>
  <c r="E618" i="21" l="1"/>
  <c r="F617" i="21"/>
  <c r="D226" i="21"/>
  <c r="B225" i="21"/>
  <c r="D632" i="21"/>
  <c r="B631" i="21"/>
  <c r="E619" i="21" l="1"/>
  <c r="F618" i="21"/>
  <c r="D227" i="21"/>
  <c r="B226" i="21"/>
  <c r="D633" i="21"/>
  <c r="B632" i="21"/>
  <c r="E620" i="21" l="1"/>
  <c r="F619" i="21"/>
  <c r="D228" i="21"/>
  <c r="B227" i="21"/>
  <c r="D634" i="21"/>
  <c r="B633" i="21"/>
  <c r="E621" i="21" l="1"/>
  <c r="F620" i="21"/>
  <c r="D229" i="21"/>
  <c r="B228" i="21"/>
  <c r="D635" i="21"/>
  <c r="B634" i="21"/>
  <c r="E622" i="21" l="1"/>
  <c r="F621" i="21"/>
  <c r="D230" i="21"/>
  <c r="B229" i="21"/>
  <c r="D636" i="21"/>
  <c r="B635" i="21"/>
  <c r="E623" i="21" l="1"/>
  <c r="F622" i="21"/>
  <c r="D231" i="21"/>
  <c r="B230" i="21"/>
  <c r="D637" i="21"/>
  <c r="B636" i="21"/>
  <c r="E624" i="21" l="1"/>
  <c r="F623" i="21"/>
  <c r="D232" i="21"/>
  <c r="B231" i="21"/>
  <c r="D638" i="21"/>
  <c r="B637" i="21"/>
  <c r="E625" i="21" l="1"/>
  <c r="F624" i="21"/>
  <c r="D233" i="21"/>
  <c r="B232" i="21"/>
  <c r="D639" i="21"/>
  <c r="B638" i="21"/>
  <c r="E626" i="21" l="1"/>
  <c r="F625" i="21"/>
  <c r="D234" i="21"/>
  <c r="B233" i="21"/>
  <c r="D640" i="21"/>
  <c r="B639" i="21"/>
  <c r="E627" i="21" l="1"/>
  <c r="F626" i="21"/>
  <c r="D235" i="21"/>
  <c r="B234" i="21"/>
  <c r="D641" i="21"/>
  <c r="B640" i="21"/>
  <c r="E628" i="21" l="1"/>
  <c r="F627" i="21"/>
  <c r="D236" i="21"/>
  <c r="B235" i="21"/>
  <c r="D642" i="21"/>
  <c r="B641" i="21"/>
  <c r="E629" i="21" l="1"/>
  <c r="F628" i="21"/>
  <c r="D237" i="21"/>
  <c r="B236" i="21"/>
  <c r="D643" i="21"/>
  <c r="B642" i="21"/>
  <c r="E630" i="21" l="1"/>
  <c r="F629" i="21"/>
  <c r="D238" i="21"/>
  <c r="B237" i="21"/>
  <c r="D644" i="21"/>
  <c r="B643" i="21"/>
  <c r="E631" i="21" l="1"/>
  <c r="F630" i="21"/>
  <c r="D239" i="21"/>
  <c r="B238" i="21"/>
  <c r="D645" i="21"/>
  <c r="B644" i="21"/>
  <c r="E632" i="21" l="1"/>
  <c r="F631" i="21"/>
  <c r="D240" i="21"/>
  <c r="B239" i="21"/>
  <c r="D646" i="21"/>
  <c r="B645" i="21"/>
  <c r="E633" i="21" l="1"/>
  <c r="F632" i="21"/>
  <c r="D241" i="21"/>
  <c r="B240" i="21"/>
  <c r="D647" i="21"/>
  <c r="B646" i="21"/>
  <c r="E634" i="21" l="1"/>
  <c r="F633" i="21"/>
  <c r="D242" i="21"/>
  <c r="B241" i="21"/>
  <c r="D648" i="21"/>
  <c r="B647" i="21"/>
  <c r="E635" i="21" l="1"/>
  <c r="F634" i="21"/>
  <c r="D243" i="21"/>
  <c r="B242" i="21"/>
  <c r="D649" i="21"/>
  <c r="B648" i="21"/>
  <c r="E636" i="21" l="1"/>
  <c r="F635" i="21"/>
  <c r="D244" i="21"/>
  <c r="B243" i="21"/>
  <c r="D650" i="21"/>
  <c r="B649" i="21"/>
  <c r="E637" i="21" l="1"/>
  <c r="F636" i="21"/>
  <c r="D245" i="21"/>
  <c r="B244" i="21"/>
  <c r="D651" i="21"/>
  <c r="B650" i="21"/>
  <c r="E638" i="21" l="1"/>
  <c r="F637" i="21"/>
  <c r="D246" i="21"/>
  <c r="B245" i="21"/>
  <c r="D652" i="21"/>
  <c r="B651" i="21"/>
  <c r="E639" i="21" l="1"/>
  <c r="F638" i="21"/>
  <c r="D247" i="21"/>
  <c r="B246" i="21"/>
  <c r="D653" i="21"/>
  <c r="B652" i="21"/>
  <c r="E640" i="21" l="1"/>
  <c r="F639" i="21"/>
  <c r="D248" i="21"/>
  <c r="B247" i="21"/>
  <c r="D654" i="21"/>
  <c r="B653" i="21"/>
  <c r="E641" i="21" l="1"/>
  <c r="F640" i="21"/>
  <c r="D249" i="21"/>
  <c r="B248" i="21"/>
  <c r="D655" i="21"/>
  <c r="B654" i="21"/>
  <c r="E642" i="21" l="1"/>
  <c r="F641" i="21"/>
  <c r="D250" i="21"/>
  <c r="B249" i="21"/>
  <c r="D656" i="21"/>
  <c r="B655" i="21"/>
  <c r="E643" i="21" l="1"/>
  <c r="F642" i="21"/>
  <c r="D251" i="21"/>
  <c r="B250" i="21"/>
  <c r="D657" i="21"/>
  <c r="B656" i="21"/>
  <c r="E644" i="21" l="1"/>
  <c r="F643" i="21"/>
  <c r="D252" i="21"/>
  <c r="B251" i="21"/>
  <c r="D658" i="21"/>
  <c r="B657" i="21"/>
  <c r="E645" i="21" l="1"/>
  <c r="F644" i="21"/>
  <c r="D253" i="21"/>
  <c r="B252" i="21"/>
  <c r="D659" i="21"/>
  <c r="B658" i="21"/>
  <c r="E646" i="21" l="1"/>
  <c r="F645" i="21"/>
  <c r="D254" i="21"/>
  <c r="B253" i="21"/>
  <c r="D660" i="21"/>
  <c r="B659" i="21"/>
  <c r="E647" i="21" l="1"/>
  <c r="F646" i="21"/>
  <c r="D255" i="21"/>
  <c r="B254" i="21"/>
  <c r="D661" i="21"/>
  <c r="B660" i="21"/>
  <c r="E648" i="21" l="1"/>
  <c r="F647" i="21"/>
  <c r="D256" i="21"/>
  <c r="B255" i="21"/>
  <c r="D662" i="21"/>
  <c r="B661" i="21"/>
  <c r="E649" i="21" l="1"/>
  <c r="F648" i="21"/>
  <c r="D257" i="21"/>
  <c r="B256" i="21"/>
  <c r="D663" i="21"/>
  <c r="B662" i="21"/>
  <c r="E650" i="21" l="1"/>
  <c r="F649" i="21"/>
  <c r="D258" i="21"/>
  <c r="B257" i="21"/>
  <c r="D664" i="21"/>
  <c r="B663" i="21"/>
  <c r="E651" i="21" l="1"/>
  <c r="F650" i="21"/>
  <c r="D259" i="21"/>
  <c r="B258" i="21"/>
  <c r="D665" i="21"/>
  <c r="B664" i="21"/>
  <c r="E652" i="21" l="1"/>
  <c r="F651" i="21"/>
  <c r="D260" i="21"/>
  <c r="B259" i="21"/>
  <c r="D666" i="21"/>
  <c r="B665" i="21"/>
  <c r="E653" i="21" l="1"/>
  <c r="F652" i="21"/>
  <c r="D261" i="21"/>
  <c r="B260" i="21"/>
  <c r="D667" i="21"/>
  <c r="B666" i="21"/>
  <c r="E654" i="21" l="1"/>
  <c r="F653" i="21"/>
  <c r="D262" i="21"/>
  <c r="B261" i="21"/>
  <c r="D668" i="21"/>
  <c r="B667" i="21"/>
  <c r="E655" i="21" l="1"/>
  <c r="F654" i="21"/>
  <c r="D263" i="21"/>
  <c r="B262" i="21"/>
  <c r="D669" i="21"/>
  <c r="B668" i="21"/>
  <c r="E656" i="21" l="1"/>
  <c r="F655" i="21"/>
  <c r="D264" i="21"/>
  <c r="B263" i="21"/>
  <c r="D670" i="21"/>
  <c r="B669" i="21"/>
  <c r="E657" i="21" l="1"/>
  <c r="F656" i="21"/>
  <c r="D265" i="21"/>
  <c r="B264" i="21"/>
  <c r="D671" i="21"/>
  <c r="B670" i="21"/>
  <c r="E658" i="21" l="1"/>
  <c r="F657" i="21"/>
  <c r="D266" i="21"/>
  <c r="B265" i="21"/>
  <c r="D672" i="21"/>
  <c r="B671" i="21"/>
  <c r="E659" i="21" l="1"/>
  <c r="F658" i="21"/>
  <c r="D267" i="21"/>
  <c r="B266" i="21"/>
  <c r="D673" i="21"/>
  <c r="B672" i="21"/>
  <c r="E660" i="21" l="1"/>
  <c r="F659" i="21"/>
  <c r="D268" i="21"/>
  <c r="B267" i="21"/>
  <c r="D674" i="21"/>
  <c r="B673" i="21"/>
  <c r="E661" i="21" l="1"/>
  <c r="F660" i="21"/>
  <c r="D269" i="21"/>
  <c r="B268" i="21"/>
  <c r="D675" i="21"/>
  <c r="B674" i="21"/>
  <c r="E662" i="21" l="1"/>
  <c r="F661" i="21"/>
  <c r="D270" i="21"/>
  <c r="B269" i="21"/>
  <c r="D676" i="21"/>
  <c r="B675" i="21"/>
  <c r="E663" i="21" l="1"/>
  <c r="F662" i="21"/>
  <c r="D271" i="21"/>
  <c r="B270" i="21"/>
  <c r="D677" i="21"/>
  <c r="B676" i="21"/>
  <c r="E664" i="21" l="1"/>
  <c r="F663" i="21"/>
  <c r="D272" i="21"/>
  <c r="B271" i="21"/>
  <c r="D678" i="21"/>
  <c r="B677" i="21"/>
  <c r="E665" i="21" l="1"/>
  <c r="F664" i="21"/>
  <c r="D273" i="21"/>
  <c r="B272" i="21"/>
  <c r="D679" i="21"/>
  <c r="B678" i="21"/>
  <c r="E666" i="21" l="1"/>
  <c r="F665" i="21"/>
  <c r="D274" i="21"/>
  <c r="B273" i="21"/>
  <c r="D680" i="21"/>
  <c r="B679" i="21"/>
  <c r="E667" i="21" l="1"/>
  <c r="F666" i="21"/>
  <c r="D275" i="21"/>
  <c r="B274" i="21"/>
  <c r="D681" i="21"/>
  <c r="B680" i="21"/>
  <c r="E668" i="21" l="1"/>
  <c r="F667" i="21"/>
  <c r="D276" i="21"/>
  <c r="B275" i="21"/>
  <c r="D682" i="21"/>
  <c r="B681" i="21"/>
  <c r="E669" i="21" l="1"/>
  <c r="F668" i="21"/>
  <c r="D277" i="21"/>
  <c r="B276" i="21"/>
  <c r="D683" i="21"/>
  <c r="B682" i="21"/>
  <c r="E670" i="21" l="1"/>
  <c r="F669" i="21"/>
  <c r="D278" i="21"/>
  <c r="B277" i="21"/>
  <c r="D684" i="21"/>
  <c r="B683" i="21"/>
  <c r="E671" i="21" l="1"/>
  <c r="F670" i="21"/>
  <c r="D279" i="21"/>
  <c r="B278" i="21"/>
  <c r="D685" i="21"/>
  <c r="B684" i="21"/>
  <c r="E672" i="21" l="1"/>
  <c r="F671" i="21"/>
  <c r="D280" i="21"/>
  <c r="B279" i="21"/>
  <c r="D686" i="21"/>
  <c r="B685" i="21"/>
  <c r="E673" i="21" l="1"/>
  <c r="F672" i="21"/>
  <c r="D281" i="21"/>
  <c r="B280" i="21"/>
  <c r="D687" i="21"/>
  <c r="B686" i="21"/>
  <c r="E674" i="21" l="1"/>
  <c r="F673" i="21"/>
  <c r="D282" i="21"/>
  <c r="B281" i="21"/>
  <c r="D688" i="21"/>
  <c r="B687" i="21"/>
  <c r="E675" i="21" l="1"/>
  <c r="F674" i="21"/>
  <c r="D283" i="21"/>
  <c r="B282" i="21"/>
  <c r="D689" i="21"/>
  <c r="B688" i="21"/>
  <c r="E676" i="21" l="1"/>
  <c r="F675" i="21"/>
  <c r="D284" i="21"/>
  <c r="B283" i="21"/>
  <c r="D690" i="21"/>
  <c r="B689" i="21"/>
  <c r="E677" i="21" l="1"/>
  <c r="F676" i="21"/>
  <c r="D285" i="21"/>
  <c r="B284" i="21"/>
  <c r="D691" i="21"/>
  <c r="B690" i="21"/>
  <c r="E678" i="21" l="1"/>
  <c r="F677" i="21"/>
  <c r="D286" i="21"/>
  <c r="B285" i="21"/>
  <c r="D692" i="21"/>
  <c r="B691" i="21"/>
  <c r="E679" i="21" l="1"/>
  <c r="F678" i="21"/>
  <c r="D287" i="21"/>
  <c r="B286" i="21"/>
  <c r="D693" i="21"/>
  <c r="B692" i="21"/>
  <c r="E680" i="21" l="1"/>
  <c r="F679" i="21"/>
  <c r="D288" i="21"/>
  <c r="B287" i="21"/>
  <c r="D694" i="21"/>
  <c r="B693" i="21"/>
  <c r="E681" i="21" l="1"/>
  <c r="F680" i="21"/>
  <c r="D289" i="21"/>
  <c r="B288" i="21"/>
  <c r="D695" i="21"/>
  <c r="B694" i="21"/>
  <c r="E682" i="21" l="1"/>
  <c r="F681" i="21"/>
  <c r="D290" i="21"/>
  <c r="B289" i="21"/>
  <c r="D696" i="21"/>
  <c r="B695" i="21"/>
  <c r="E683" i="21" l="1"/>
  <c r="F682" i="21"/>
  <c r="D291" i="21"/>
  <c r="B290" i="21"/>
  <c r="D697" i="21"/>
  <c r="B696" i="21"/>
  <c r="E684" i="21" l="1"/>
  <c r="F683" i="21"/>
  <c r="D292" i="21"/>
  <c r="B291" i="21"/>
  <c r="D698" i="21"/>
  <c r="B697" i="21"/>
  <c r="E685" i="21" l="1"/>
  <c r="F684" i="21"/>
  <c r="D293" i="21"/>
  <c r="B292" i="21"/>
  <c r="D699" i="21"/>
  <c r="B698" i="21"/>
  <c r="E686" i="21" l="1"/>
  <c r="F685" i="21"/>
  <c r="D294" i="21"/>
  <c r="B293" i="21"/>
  <c r="D700" i="21"/>
  <c r="B699" i="21"/>
  <c r="E687" i="21" l="1"/>
  <c r="F686" i="21"/>
  <c r="D295" i="21"/>
  <c r="B294" i="21"/>
  <c r="D701" i="21"/>
  <c r="B700" i="21"/>
  <c r="E688" i="21" l="1"/>
  <c r="F687" i="21"/>
  <c r="D296" i="21"/>
  <c r="B295" i="21"/>
  <c r="D702" i="21"/>
  <c r="B701" i="21"/>
  <c r="E689" i="21" l="1"/>
  <c r="F688" i="21"/>
  <c r="D297" i="21"/>
  <c r="B296" i="21"/>
  <c r="D703" i="21"/>
  <c r="B702" i="21"/>
  <c r="E690" i="21" l="1"/>
  <c r="F689" i="21"/>
  <c r="D298" i="21"/>
  <c r="B297" i="21"/>
  <c r="D704" i="21"/>
  <c r="B703" i="21"/>
  <c r="E691" i="21" l="1"/>
  <c r="F690" i="21"/>
  <c r="D299" i="21"/>
  <c r="B298" i="21"/>
  <c r="D705" i="21"/>
  <c r="B704" i="21"/>
  <c r="E692" i="21" l="1"/>
  <c r="F691" i="21"/>
  <c r="D300" i="21"/>
  <c r="B299" i="21"/>
  <c r="D706" i="21"/>
  <c r="B705" i="21"/>
  <c r="E693" i="21" l="1"/>
  <c r="F692" i="21"/>
  <c r="D301" i="21"/>
  <c r="B300" i="21"/>
  <c r="D707" i="21"/>
  <c r="B706" i="21"/>
  <c r="B301" i="21" l="1"/>
  <c r="D302" i="21"/>
  <c r="E694" i="21"/>
  <c r="F693" i="21"/>
  <c r="D708" i="21"/>
  <c r="B707" i="21"/>
  <c r="E695" i="21" l="1"/>
  <c r="F694" i="21"/>
  <c r="D303" i="21"/>
  <c r="B302" i="21"/>
  <c r="D709" i="21"/>
  <c r="B708" i="21"/>
  <c r="D304" i="21" l="1"/>
  <c r="B303" i="21"/>
  <c r="E696" i="21"/>
  <c r="F695" i="21"/>
  <c r="D710" i="21"/>
  <c r="B709" i="21"/>
  <c r="E697" i="21" l="1"/>
  <c r="F696" i="21"/>
  <c r="D305" i="21"/>
  <c r="B304" i="21"/>
  <c r="D711" i="21"/>
  <c r="B710" i="21"/>
  <c r="D306" i="21" l="1"/>
  <c r="B305" i="21"/>
  <c r="E698" i="21"/>
  <c r="F697" i="21"/>
  <c r="D712" i="21"/>
  <c r="B711" i="21"/>
  <c r="E699" i="21" l="1"/>
  <c r="F698" i="21"/>
  <c r="D307" i="21"/>
  <c r="B306" i="21"/>
  <c r="D713" i="21"/>
  <c r="B712" i="21"/>
  <c r="D308" i="21" l="1"/>
  <c r="B307" i="21"/>
  <c r="E700" i="21"/>
  <c r="F699" i="21"/>
  <c r="D714" i="21"/>
  <c r="B713" i="21"/>
  <c r="E701" i="21" l="1"/>
  <c r="F700" i="21"/>
  <c r="B308" i="21"/>
  <c r="D309" i="21"/>
  <c r="D715" i="21"/>
  <c r="B714" i="21"/>
  <c r="B309" i="21" l="1"/>
  <c r="D310" i="21"/>
  <c r="E702" i="21"/>
  <c r="F701" i="21"/>
  <c r="D716" i="21"/>
  <c r="B715" i="21"/>
  <c r="E703" i="21" l="1"/>
  <c r="F702" i="21"/>
  <c r="B310" i="21"/>
  <c r="D311" i="21"/>
  <c r="D717" i="21"/>
  <c r="B716" i="21"/>
  <c r="D312" i="21" l="1"/>
  <c r="B311" i="21"/>
  <c r="E704" i="21"/>
  <c r="F703" i="21"/>
  <c r="D718" i="21"/>
  <c r="B717" i="21"/>
  <c r="E705" i="21" l="1"/>
  <c r="F704" i="21"/>
  <c r="D313" i="21"/>
  <c r="B312" i="21"/>
  <c r="D719" i="21"/>
  <c r="B718" i="21"/>
  <c r="B313" i="21" l="1"/>
  <c r="D314" i="21"/>
  <c r="E706" i="21"/>
  <c r="F705" i="21"/>
  <c r="D720" i="21"/>
  <c r="B719" i="21"/>
  <c r="D315" i="21" l="1"/>
  <c r="B314" i="21"/>
  <c r="E707" i="21"/>
  <c r="F706" i="21"/>
  <c r="D721" i="21"/>
  <c r="B720" i="21"/>
  <c r="B315" i="21" l="1"/>
  <c r="D316" i="21"/>
  <c r="E708" i="21"/>
  <c r="F707" i="21"/>
  <c r="D722" i="21"/>
  <c r="B721" i="21"/>
  <c r="B316" i="21" l="1"/>
  <c r="D317" i="21"/>
  <c r="E709" i="21"/>
  <c r="F708" i="21"/>
  <c r="D723" i="21"/>
  <c r="B722" i="21"/>
  <c r="B317" i="21" l="1"/>
  <c r="D318" i="21"/>
  <c r="E710" i="21"/>
  <c r="F709" i="21"/>
  <c r="D724" i="21"/>
  <c r="B723" i="21"/>
  <c r="B318" i="21" l="1"/>
  <c r="D319" i="21"/>
  <c r="E711" i="21"/>
  <c r="F710" i="21"/>
  <c r="D725" i="21"/>
  <c r="B724" i="21"/>
  <c r="D320" i="21" l="1"/>
  <c r="B319" i="21"/>
  <c r="E712" i="21"/>
  <c r="F711" i="21"/>
  <c r="D726" i="21"/>
  <c r="B725" i="21"/>
  <c r="B320" i="21" l="1"/>
  <c r="D321" i="21"/>
  <c r="E713" i="21"/>
  <c r="F712" i="21"/>
  <c r="D727" i="21"/>
  <c r="B726" i="21"/>
  <c r="D322" i="21" l="1"/>
  <c r="B321" i="21"/>
  <c r="E714" i="21"/>
  <c r="F713" i="21"/>
  <c r="D728" i="21"/>
  <c r="B727" i="21"/>
  <c r="D323" i="21" l="1"/>
  <c r="B322" i="21"/>
  <c r="E715" i="21"/>
  <c r="F714" i="21"/>
  <c r="D729" i="21"/>
  <c r="B728" i="21"/>
  <c r="D324" i="21" l="1"/>
  <c r="B323" i="21"/>
  <c r="E716" i="21"/>
  <c r="F715" i="21"/>
  <c r="D730" i="21"/>
  <c r="B729" i="21"/>
  <c r="B324" i="21" l="1"/>
  <c r="D325" i="21"/>
  <c r="E717" i="21"/>
  <c r="F716" i="21"/>
  <c r="D731" i="21"/>
  <c r="B730" i="21"/>
  <c r="B325" i="21" l="1"/>
  <c r="D326" i="21"/>
  <c r="E718" i="21"/>
  <c r="F717" i="21"/>
  <c r="D732" i="21"/>
  <c r="B731" i="21"/>
  <c r="B326" i="21" l="1"/>
  <c r="D327" i="21"/>
  <c r="E719" i="21"/>
  <c r="F718" i="21"/>
  <c r="D733" i="21"/>
  <c r="B732" i="21"/>
  <c r="D328" i="21" l="1"/>
  <c r="B327" i="21"/>
  <c r="E720" i="21"/>
  <c r="F719" i="21"/>
  <c r="D734" i="21"/>
  <c r="B733" i="21"/>
  <c r="B328" i="21" l="1"/>
  <c r="D329" i="21"/>
  <c r="E721" i="21"/>
  <c r="F720" i="21"/>
  <c r="D735" i="21"/>
  <c r="B734" i="21"/>
  <c r="D330" i="21" l="1"/>
  <c r="B329" i="21"/>
  <c r="E722" i="21"/>
  <c r="F721" i="21"/>
  <c r="D736" i="21"/>
  <c r="B735" i="21"/>
  <c r="D331" i="21" l="1"/>
  <c r="B330" i="21"/>
  <c r="E723" i="21"/>
  <c r="F722" i="21"/>
  <c r="D737" i="21"/>
  <c r="B736" i="21"/>
  <c r="D332" i="21" l="1"/>
  <c r="B331" i="21"/>
  <c r="E724" i="21"/>
  <c r="F723" i="21"/>
  <c r="D738" i="21"/>
  <c r="B737" i="21"/>
  <c r="B332" i="21" l="1"/>
  <c r="D333" i="21"/>
  <c r="E725" i="21"/>
  <c r="F724" i="21"/>
  <c r="D739" i="21"/>
  <c r="B738" i="21"/>
  <c r="D334" i="21" l="1"/>
  <c r="B333" i="21"/>
  <c r="E726" i="21"/>
  <c r="F725" i="21"/>
  <c r="D740" i="21"/>
  <c r="B739" i="21"/>
  <c r="D335" i="21" l="1"/>
  <c r="B334" i="21"/>
  <c r="E727" i="21"/>
  <c r="F726" i="21"/>
  <c r="D741" i="21"/>
  <c r="B740" i="21"/>
  <c r="B335" i="21" l="1"/>
  <c r="D336" i="21"/>
  <c r="E728" i="21"/>
  <c r="F727" i="21"/>
  <c r="D742" i="21"/>
  <c r="B741" i="21"/>
  <c r="B336" i="21" l="1"/>
  <c r="D337" i="21"/>
  <c r="E729" i="21"/>
  <c r="F728" i="21"/>
  <c r="D743" i="21"/>
  <c r="B742" i="21"/>
  <c r="B337" i="21" l="1"/>
  <c r="D338" i="21"/>
  <c r="E730" i="21"/>
  <c r="F729" i="21"/>
  <c r="D744" i="21"/>
  <c r="B743" i="21"/>
  <c r="D339" i="21" l="1"/>
  <c r="B338" i="21"/>
  <c r="E731" i="21"/>
  <c r="F730" i="21"/>
  <c r="D745" i="21"/>
  <c r="B744" i="21"/>
  <c r="D340" i="21" l="1"/>
  <c r="B339" i="21"/>
  <c r="E732" i="21"/>
  <c r="F731" i="21"/>
  <c r="D746" i="21"/>
  <c r="B745" i="21"/>
  <c r="B340" i="21" l="1"/>
  <c r="D341" i="21"/>
  <c r="E733" i="21"/>
  <c r="F732" i="21"/>
  <c r="D747" i="21"/>
  <c r="B746" i="21"/>
  <c r="B341" i="21" l="1"/>
  <c r="D342" i="21"/>
  <c r="E734" i="21"/>
  <c r="F733" i="21"/>
  <c r="D748" i="21"/>
  <c r="B747" i="21"/>
  <c r="D343" i="21" l="1"/>
  <c r="B342" i="21"/>
  <c r="E735" i="21"/>
  <c r="F734" i="21"/>
  <c r="D749" i="21"/>
  <c r="B748" i="21"/>
  <c r="D344" i="21" l="1"/>
  <c r="B343" i="21"/>
  <c r="E736" i="21"/>
  <c r="F735" i="21"/>
  <c r="D750" i="21"/>
  <c r="B749" i="21"/>
  <c r="D345" i="21" l="1"/>
  <c r="B344" i="21"/>
  <c r="E737" i="21"/>
  <c r="F736" i="21"/>
  <c r="D751" i="21"/>
  <c r="B750" i="21"/>
  <c r="B345" i="21" l="1"/>
  <c r="D346" i="21"/>
  <c r="E738" i="21"/>
  <c r="F737" i="21"/>
  <c r="D752" i="21"/>
  <c r="B751" i="21"/>
  <c r="B346" i="21" l="1"/>
  <c r="D347" i="21"/>
  <c r="E739" i="21"/>
  <c r="F738" i="21"/>
  <c r="D753" i="21"/>
  <c r="B752" i="21"/>
  <c r="B347" i="21" l="1"/>
  <c r="D348" i="21"/>
  <c r="E740" i="21"/>
  <c r="F739" i="21"/>
  <c r="D754" i="21"/>
  <c r="B753" i="21"/>
  <c r="B348" i="21" l="1"/>
  <c r="D349" i="21"/>
  <c r="E741" i="21"/>
  <c r="F740" i="21"/>
  <c r="D755" i="21"/>
  <c r="B754" i="21"/>
  <c r="D350" i="21" l="1"/>
  <c r="B349" i="21"/>
  <c r="E742" i="21"/>
  <c r="F741" i="21"/>
  <c r="D756" i="21"/>
  <c r="B755" i="21"/>
  <c r="B350" i="21" l="1"/>
  <c r="D351" i="21"/>
  <c r="E743" i="21"/>
  <c r="F742" i="21"/>
  <c r="D757" i="21"/>
  <c r="B756" i="21"/>
  <c r="D352" i="21" l="1"/>
  <c r="B351" i="21"/>
  <c r="E744" i="21"/>
  <c r="F743" i="21"/>
  <c r="D758" i="21"/>
  <c r="B757" i="21"/>
  <c r="D353" i="21" l="1"/>
  <c r="B352" i="21"/>
  <c r="E745" i="21"/>
  <c r="F744" i="21"/>
  <c r="D759" i="21"/>
  <c r="B758" i="21"/>
  <c r="D354" i="21" l="1"/>
  <c r="B354" i="21" s="1"/>
  <c r="B353" i="21"/>
  <c r="E746" i="21"/>
  <c r="F745" i="21"/>
  <c r="D760" i="21"/>
  <c r="B759" i="21"/>
  <c r="E747" i="21" l="1"/>
  <c r="F746" i="21"/>
  <c r="D761" i="21"/>
  <c r="B760" i="21"/>
  <c r="E748" i="21" l="1"/>
  <c r="F747" i="21"/>
  <c r="D762" i="21"/>
  <c r="B761" i="21"/>
  <c r="E749" i="21" l="1"/>
  <c r="F748" i="21"/>
  <c r="D763" i="21"/>
  <c r="B762" i="21"/>
  <c r="E750" i="21" l="1"/>
  <c r="F749" i="21"/>
  <c r="D764" i="21"/>
  <c r="B763" i="21"/>
  <c r="E751" i="21" l="1"/>
  <c r="F750" i="21"/>
  <c r="D765" i="21"/>
  <c r="B764" i="21"/>
  <c r="E752" i="21" l="1"/>
  <c r="F751" i="21"/>
  <c r="D766" i="21"/>
  <c r="B765" i="21"/>
  <c r="E753" i="21" l="1"/>
  <c r="F752" i="21"/>
  <c r="D767" i="21"/>
  <c r="B766" i="21"/>
  <c r="E754" i="21" l="1"/>
  <c r="F753" i="21"/>
  <c r="D768" i="21"/>
  <c r="B767" i="21"/>
  <c r="E755" i="21" l="1"/>
  <c r="F754" i="21"/>
  <c r="D769" i="21"/>
  <c r="B768" i="21"/>
  <c r="E756" i="21" l="1"/>
  <c r="F755" i="21"/>
  <c r="D770" i="21"/>
  <c r="B769" i="21"/>
  <c r="E757" i="21" l="1"/>
  <c r="F756" i="21"/>
  <c r="D771" i="21"/>
  <c r="B770" i="21"/>
  <c r="E758" i="21" l="1"/>
  <c r="F757" i="21"/>
  <c r="D772" i="21"/>
  <c r="B771" i="21"/>
  <c r="E759" i="21" l="1"/>
  <c r="F758" i="21"/>
  <c r="D773" i="21"/>
  <c r="B772" i="21"/>
  <c r="E760" i="21" l="1"/>
  <c r="F759" i="21"/>
  <c r="D774" i="21"/>
  <c r="B773" i="21"/>
  <c r="E761" i="21" l="1"/>
  <c r="F760" i="21"/>
  <c r="D775" i="21"/>
  <c r="B774" i="21"/>
  <c r="E762" i="21" l="1"/>
  <c r="F761" i="21"/>
  <c r="D776" i="21"/>
  <c r="B775" i="21"/>
  <c r="E763" i="21" l="1"/>
  <c r="F762" i="21"/>
  <c r="D777" i="21"/>
  <c r="B776" i="21"/>
  <c r="E764" i="21" l="1"/>
  <c r="F763" i="21"/>
  <c r="D778" i="21"/>
  <c r="B777" i="21"/>
  <c r="E765" i="21" l="1"/>
  <c r="F764" i="21"/>
  <c r="D779" i="21"/>
  <c r="B778" i="21"/>
  <c r="E766" i="21" l="1"/>
  <c r="F765" i="21"/>
  <c r="D780" i="21"/>
  <c r="B779" i="21"/>
  <c r="E767" i="21" l="1"/>
  <c r="F766" i="21"/>
  <c r="D781" i="21"/>
  <c r="B780" i="21"/>
  <c r="E768" i="21" l="1"/>
  <c r="F767" i="21"/>
  <c r="D782" i="21"/>
  <c r="B781" i="21"/>
  <c r="E769" i="21" l="1"/>
  <c r="F768" i="21"/>
  <c r="D783" i="21"/>
  <c r="B782" i="21"/>
  <c r="E770" i="21" l="1"/>
  <c r="F769" i="21"/>
  <c r="D784" i="21"/>
  <c r="B783" i="21"/>
  <c r="E771" i="21" l="1"/>
  <c r="F770" i="21"/>
  <c r="D785" i="21"/>
  <c r="B784" i="21"/>
  <c r="E772" i="21" l="1"/>
  <c r="F771" i="21"/>
  <c r="D786" i="21"/>
  <c r="B785" i="21"/>
  <c r="E773" i="21" l="1"/>
  <c r="F772" i="21"/>
  <c r="D787" i="21"/>
  <c r="B786" i="21"/>
  <c r="E774" i="21" l="1"/>
  <c r="F773" i="21"/>
  <c r="D788" i="21"/>
  <c r="B787" i="21"/>
  <c r="E775" i="21" l="1"/>
  <c r="F774" i="21"/>
  <c r="D789" i="21"/>
  <c r="B788" i="21"/>
  <c r="E776" i="21" l="1"/>
  <c r="F775" i="21"/>
  <c r="D790" i="21"/>
  <c r="B789" i="21"/>
  <c r="E777" i="21" l="1"/>
  <c r="F776" i="21"/>
  <c r="D791" i="21"/>
  <c r="B790" i="21"/>
  <c r="E778" i="21" l="1"/>
  <c r="F777" i="21"/>
  <c r="D792" i="21"/>
  <c r="B791" i="21"/>
  <c r="E779" i="21" l="1"/>
  <c r="F778" i="21"/>
  <c r="D793" i="21"/>
  <c r="B792" i="21"/>
  <c r="E780" i="21" l="1"/>
  <c r="F779" i="21"/>
  <c r="D794" i="21"/>
  <c r="B793" i="21"/>
  <c r="E781" i="21" l="1"/>
  <c r="F780" i="21"/>
  <c r="D795" i="21"/>
  <c r="B794" i="21"/>
  <c r="E782" i="21" l="1"/>
  <c r="F781" i="21"/>
  <c r="D796" i="21"/>
  <c r="B795" i="21"/>
  <c r="E783" i="21" l="1"/>
  <c r="F782" i="21"/>
  <c r="D797" i="21"/>
  <c r="B796" i="21"/>
  <c r="E784" i="21" l="1"/>
  <c r="F783" i="21"/>
  <c r="D798" i="21"/>
  <c r="B797" i="21"/>
  <c r="E785" i="21" l="1"/>
  <c r="F784" i="21"/>
  <c r="D799" i="21"/>
  <c r="B798" i="21"/>
  <c r="E786" i="21" l="1"/>
  <c r="F785" i="21"/>
  <c r="D800" i="21"/>
  <c r="B799" i="21"/>
  <c r="E787" i="21" l="1"/>
  <c r="F786" i="21"/>
  <c r="D801" i="21"/>
  <c r="B800" i="21"/>
  <c r="E788" i="21" l="1"/>
  <c r="F787" i="21"/>
  <c r="D802" i="21"/>
  <c r="B801" i="21"/>
  <c r="E789" i="21" l="1"/>
  <c r="F788" i="21"/>
  <c r="D803" i="21"/>
  <c r="B802" i="21"/>
  <c r="E790" i="21" l="1"/>
  <c r="F789" i="21"/>
  <c r="D804" i="21"/>
  <c r="B803" i="21"/>
  <c r="E791" i="21" l="1"/>
  <c r="F790" i="21"/>
  <c r="D805" i="21"/>
  <c r="B804" i="21"/>
  <c r="E792" i="21" l="1"/>
  <c r="F791" i="21"/>
  <c r="D806" i="21"/>
  <c r="B805" i="21"/>
  <c r="E793" i="21" l="1"/>
  <c r="F792" i="21"/>
  <c r="D807" i="21"/>
  <c r="B806" i="21"/>
  <c r="E794" i="21" l="1"/>
  <c r="F793" i="21"/>
  <c r="D808" i="21"/>
  <c r="B807" i="21"/>
  <c r="E795" i="21" l="1"/>
  <c r="F794" i="21"/>
  <c r="D809" i="21"/>
  <c r="B808" i="21"/>
  <c r="E796" i="21" l="1"/>
  <c r="F795" i="21"/>
  <c r="D810" i="21"/>
  <c r="B809" i="21"/>
  <c r="E797" i="21" l="1"/>
  <c r="F796" i="21"/>
  <c r="D811" i="21"/>
  <c r="B810" i="21"/>
  <c r="E798" i="21" l="1"/>
  <c r="F797" i="21"/>
  <c r="D812" i="21"/>
  <c r="B811" i="21"/>
  <c r="E799" i="21" l="1"/>
  <c r="F798" i="21"/>
  <c r="D813" i="21"/>
  <c r="B812" i="21"/>
  <c r="E800" i="21" l="1"/>
  <c r="F799" i="21"/>
  <c r="D814" i="21"/>
  <c r="B813" i="21"/>
  <c r="E801" i="21" l="1"/>
  <c r="F800" i="21"/>
  <c r="D815" i="21"/>
  <c r="B814" i="21"/>
  <c r="E802" i="21" l="1"/>
  <c r="F801" i="21"/>
  <c r="D816" i="21"/>
  <c r="B815" i="21"/>
  <c r="E803" i="21" l="1"/>
  <c r="F802" i="21"/>
  <c r="D817" i="21"/>
  <c r="B816" i="21"/>
  <c r="E804" i="21" l="1"/>
  <c r="F803" i="21"/>
  <c r="D818" i="21"/>
  <c r="B817" i="21"/>
  <c r="E805" i="21" l="1"/>
  <c r="F804" i="21"/>
  <c r="D819" i="21"/>
  <c r="B818" i="21"/>
  <c r="E806" i="21" l="1"/>
  <c r="F805" i="21"/>
  <c r="D820" i="21"/>
  <c r="B819" i="21"/>
  <c r="E807" i="21" l="1"/>
  <c r="F806" i="21"/>
  <c r="D821" i="21"/>
  <c r="B820" i="21"/>
  <c r="E808" i="21" l="1"/>
  <c r="F807" i="21"/>
  <c r="D822" i="21"/>
  <c r="B821" i="21"/>
  <c r="E809" i="21" l="1"/>
  <c r="F808" i="21"/>
  <c r="D823" i="21"/>
  <c r="B822" i="21"/>
  <c r="E810" i="21" l="1"/>
  <c r="F809" i="21"/>
  <c r="D824" i="21"/>
  <c r="B823" i="21"/>
  <c r="E811" i="21" l="1"/>
  <c r="F810" i="21"/>
  <c r="D825" i="21"/>
  <c r="B824" i="21"/>
  <c r="E812" i="21" l="1"/>
  <c r="F811" i="21"/>
  <c r="D826" i="21"/>
  <c r="B825" i="21"/>
  <c r="E813" i="21" l="1"/>
  <c r="F812" i="21"/>
  <c r="D827" i="21"/>
  <c r="B826" i="21"/>
  <c r="E814" i="21" l="1"/>
  <c r="F813" i="21"/>
  <c r="D828" i="21"/>
  <c r="B827" i="21"/>
  <c r="E815" i="21" l="1"/>
  <c r="F814" i="21"/>
  <c r="D829" i="21"/>
  <c r="B828" i="21"/>
  <c r="E816" i="21" l="1"/>
  <c r="F815" i="21"/>
  <c r="D830" i="21"/>
  <c r="B829" i="21"/>
  <c r="E817" i="21" l="1"/>
  <c r="F816" i="21"/>
  <c r="D831" i="21"/>
  <c r="B830" i="21"/>
  <c r="E818" i="21" l="1"/>
  <c r="F817" i="21"/>
  <c r="D832" i="21"/>
  <c r="B831" i="21"/>
  <c r="E819" i="21" l="1"/>
  <c r="F818" i="21"/>
  <c r="D833" i="21"/>
  <c r="B832" i="21"/>
  <c r="E820" i="21" l="1"/>
  <c r="F819" i="21"/>
  <c r="D834" i="21"/>
  <c r="B833" i="21"/>
  <c r="E821" i="21" l="1"/>
  <c r="F820" i="21"/>
  <c r="D835" i="21"/>
  <c r="B834" i="21"/>
  <c r="E822" i="21" l="1"/>
  <c r="F821" i="21"/>
  <c r="D836" i="21"/>
  <c r="B835" i="21"/>
  <c r="E823" i="21" l="1"/>
  <c r="F822" i="21"/>
  <c r="D837" i="21"/>
  <c r="B836" i="21"/>
  <c r="E824" i="21" l="1"/>
  <c r="F823" i="21"/>
  <c r="D838" i="21"/>
  <c r="B837" i="21"/>
  <c r="E825" i="21" l="1"/>
  <c r="F824" i="21"/>
  <c r="D839" i="21"/>
  <c r="B838" i="21"/>
  <c r="E826" i="21" l="1"/>
  <c r="F825" i="21"/>
  <c r="D840" i="21"/>
  <c r="B839" i="21"/>
  <c r="E827" i="21" l="1"/>
  <c r="F826" i="21"/>
  <c r="D841" i="21"/>
  <c r="B840" i="21"/>
  <c r="E828" i="21" l="1"/>
  <c r="F827" i="21"/>
  <c r="D842" i="21"/>
  <c r="B841" i="21"/>
  <c r="E829" i="21" l="1"/>
  <c r="F828" i="21"/>
  <c r="D843" i="21"/>
  <c r="B842" i="21"/>
  <c r="E830" i="21" l="1"/>
  <c r="F829" i="21"/>
  <c r="D844" i="21"/>
  <c r="B843" i="21"/>
  <c r="E831" i="21" l="1"/>
  <c r="F830" i="21"/>
  <c r="D845" i="21"/>
  <c r="B844" i="21"/>
  <c r="E832" i="21" l="1"/>
  <c r="F831" i="21"/>
  <c r="D846" i="21"/>
  <c r="B845" i="21"/>
  <c r="E833" i="21" l="1"/>
  <c r="F832" i="21"/>
  <c r="D847" i="21"/>
  <c r="B846" i="21"/>
  <c r="E834" i="21" l="1"/>
  <c r="F833" i="21"/>
  <c r="D848" i="21"/>
  <c r="B847" i="21"/>
  <c r="E835" i="21" l="1"/>
  <c r="F834" i="21"/>
  <c r="D849" i="21"/>
  <c r="B848" i="21"/>
  <c r="E836" i="21" l="1"/>
  <c r="F835" i="21"/>
  <c r="D850" i="21"/>
  <c r="B849" i="21"/>
  <c r="E837" i="21" l="1"/>
  <c r="F836" i="21"/>
  <c r="D851" i="21"/>
  <c r="B850" i="21"/>
  <c r="E838" i="21" l="1"/>
  <c r="F837" i="21"/>
  <c r="D852" i="21"/>
  <c r="B851" i="21"/>
  <c r="E839" i="21" l="1"/>
  <c r="F838" i="21"/>
  <c r="D853" i="21"/>
  <c r="B852" i="21"/>
  <c r="E840" i="21" l="1"/>
  <c r="F839" i="21"/>
  <c r="D854" i="21"/>
  <c r="B853" i="21"/>
  <c r="E841" i="21" l="1"/>
  <c r="F840" i="21"/>
  <c r="D855" i="21"/>
  <c r="B854" i="21"/>
  <c r="E842" i="21" l="1"/>
  <c r="F841" i="21"/>
  <c r="D856" i="21"/>
  <c r="B855" i="21"/>
  <c r="E843" i="21" l="1"/>
  <c r="F842" i="21"/>
  <c r="D857" i="21"/>
  <c r="B856" i="21"/>
  <c r="E844" i="21" l="1"/>
  <c r="F843" i="21"/>
  <c r="D858" i="21"/>
  <c r="B857" i="21"/>
  <c r="E845" i="21" l="1"/>
  <c r="F844" i="21"/>
  <c r="D859" i="21"/>
  <c r="B858" i="21"/>
  <c r="E846" i="21" l="1"/>
  <c r="F845" i="21"/>
  <c r="D860" i="21"/>
  <c r="B859" i="21"/>
  <c r="E847" i="21" l="1"/>
  <c r="F846" i="21"/>
  <c r="D861" i="21"/>
  <c r="B860" i="21"/>
  <c r="E848" i="21" l="1"/>
  <c r="F847" i="21"/>
  <c r="D862" i="21"/>
  <c r="B861" i="21"/>
  <c r="E849" i="21" l="1"/>
  <c r="F848" i="21"/>
  <c r="D863" i="21"/>
  <c r="B862" i="21"/>
  <c r="E850" i="21" l="1"/>
  <c r="F849" i="21"/>
  <c r="D864" i="21"/>
  <c r="B863" i="21"/>
  <c r="E851" i="21" l="1"/>
  <c r="F850" i="21"/>
  <c r="D865" i="21"/>
  <c r="B864" i="21"/>
  <c r="E852" i="21" l="1"/>
  <c r="F851" i="21"/>
  <c r="D866" i="21"/>
  <c r="B865" i="21"/>
  <c r="E853" i="21" l="1"/>
  <c r="F852" i="21"/>
  <c r="D867" i="21"/>
  <c r="B866" i="21"/>
  <c r="E854" i="21" l="1"/>
  <c r="F853" i="21"/>
  <c r="D868" i="21"/>
  <c r="B867" i="21"/>
  <c r="E855" i="21" l="1"/>
  <c r="F854" i="21"/>
  <c r="D869" i="21"/>
  <c r="B868" i="21"/>
  <c r="E856" i="21" l="1"/>
  <c r="F855" i="21"/>
  <c r="D870" i="21"/>
  <c r="B869" i="21"/>
  <c r="E857" i="21" l="1"/>
  <c r="F856" i="21"/>
  <c r="D871" i="21"/>
  <c r="B870" i="21"/>
  <c r="E858" i="21" l="1"/>
  <c r="F857" i="21"/>
  <c r="D872" i="21"/>
  <c r="B871" i="21"/>
  <c r="E859" i="21" l="1"/>
  <c r="F858" i="21"/>
  <c r="D873" i="21"/>
  <c r="B872" i="21"/>
  <c r="E860" i="21" l="1"/>
  <c r="F859" i="21"/>
  <c r="D874" i="21"/>
  <c r="B873" i="21"/>
  <c r="E861" i="21" l="1"/>
  <c r="F860" i="21"/>
  <c r="D875" i="21"/>
  <c r="B874" i="21"/>
  <c r="E862" i="21" l="1"/>
  <c r="F861" i="21"/>
  <c r="D876" i="21"/>
  <c r="B875" i="21"/>
  <c r="E863" i="21" l="1"/>
  <c r="F862" i="21"/>
  <c r="D877" i="21"/>
  <c r="B876" i="21"/>
  <c r="E864" i="21" l="1"/>
  <c r="F863" i="21"/>
  <c r="D878" i="21"/>
  <c r="B877" i="21"/>
  <c r="E865" i="21" l="1"/>
  <c r="F864" i="21"/>
  <c r="D879" i="21"/>
  <c r="B878" i="21"/>
  <c r="E866" i="21" l="1"/>
  <c r="F865" i="21"/>
  <c r="D880" i="21"/>
  <c r="B879" i="21"/>
  <c r="E867" i="21" l="1"/>
  <c r="F866" i="21"/>
  <c r="D881" i="21"/>
  <c r="B880" i="21"/>
  <c r="E868" i="21" l="1"/>
  <c r="F867" i="21"/>
  <c r="D882" i="21"/>
  <c r="B881" i="21"/>
  <c r="E869" i="21" l="1"/>
  <c r="F868" i="21"/>
  <c r="D883" i="21"/>
  <c r="B882" i="21"/>
  <c r="E870" i="21" l="1"/>
  <c r="F869" i="21"/>
  <c r="D884" i="21"/>
  <c r="B883" i="21"/>
  <c r="E871" i="21" l="1"/>
  <c r="F870" i="21"/>
  <c r="D885" i="21"/>
  <c r="B884" i="21"/>
  <c r="E872" i="21" l="1"/>
  <c r="F871" i="21"/>
  <c r="D886" i="21"/>
  <c r="B885" i="21"/>
  <c r="E873" i="21" l="1"/>
  <c r="F872" i="21"/>
  <c r="D887" i="21"/>
  <c r="B886" i="21"/>
  <c r="E874" i="21" l="1"/>
  <c r="F873" i="21"/>
  <c r="D888" i="21"/>
  <c r="B887" i="21"/>
  <c r="E875" i="21" l="1"/>
  <c r="F874" i="21"/>
  <c r="D889" i="21"/>
  <c r="B888" i="21"/>
  <c r="E876" i="21" l="1"/>
  <c r="F875" i="21"/>
  <c r="D890" i="21"/>
  <c r="B889" i="21"/>
  <c r="E877" i="21" l="1"/>
  <c r="F876" i="21"/>
  <c r="D891" i="21"/>
  <c r="B890" i="21"/>
  <c r="E878" i="21" l="1"/>
  <c r="F877" i="21"/>
  <c r="D892" i="21"/>
  <c r="B891" i="21"/>
  <c r="E879" i="21" l="1"/>
  <c r="F878" i="21"/>
  <c r="D893" i="21"/>
  <c r="B892" i="21"/>
  <c r="E880" i="21" l="1"/>
  <c r="F879" i="21"/>
  <c r="D894" i="21"/>
  <c r="B893" i="21"/>
  <c r="E881" i="21" l="1"/>
  <c r="F880" i="21"/>
  <c r="D895" i="21"/>
  <c r="B894" i="21"/>
  <c r="E882" i="21" l="1"/>
  <c r="F881" i="21"/>
  <c r="D896" i="21"/>
  <c r="B895" i="21"/>
  <c r="E883" i="21" l="1"/>
  <c r="F882" i="21"/>
  <c r="D897" i="21"/>
  <c r="B896" i="21"/>
  <c r="E884" i="21" l="1"/>
  <c r="F883" i="21"/>
  <c r="D898" i="21"/>
  <c r="B897" i="21"/>
  <c r="E885" i="21" l="1"/>
  <c r="F884" i="21"/>
  <c r="D899" i="21"/>
  <c r="B898" i="21"/>
  <c r="E886" i="21" l="1"/>
  <c r="F885" i="21"/>
  <c r="D900" i="21"/>
  <c r="B899" i="21"/>
  <c r="E887" i="21" l="1"/>
  <c r="F886" i="21"/>
  <c r="D901" i="21"/>
  <c r="B900" i="21"/>
  <c r="E888" i="21" l="1"/>
  <c r="F887" i="21"/>
  <c r="D902" i="21"/>
  <c r="B901" i="21"/>
  <c r="E889" i="21" l="1"/>
  <c r="F888" i="21"/>
  <c r="D903" i="21"/>
  <c r="B902" i="21"/>
  <c r="E890" i="21" l="1"/>
  <c r="F889" i="21"/>
  <c r="D904" i="21"/>
  <c r="B903" i="21"/>
  <c r="E891" i="21" l="1"/>
  <c r="F890" i="21"/>
  <c r="D905" i="21"/>
  <c r="B904" i="21"/>
  <c r="E892" i="21" l="1"/>
  <c r="F891" i="21"/>
  <c r="D906" i="21"/>
  <c r="B905" i="21"/>
  <c r="E893" i="21" l="1"/>
  <c r="F892" i="21"/>
  <c r="D907" i="21"/>
  <c r="B906" i="21"/>
  <c r="E894" i="21" l="1"/>
  <c r="F893" i="21"/>
  <c r="D908" i="21"/>
  <c r="B907" i="21"/>
  <c r="E895" i="21" l="1"/>
  <c r="F894" i="21"/>
  <c r="D909" i="21"/>
  <c r="B908" i="21"/>
  <c r="E896" i="21" l="1"/>
  <c r="F895" i="21"/>
  <c r="D910" i="21"/>
  <c r="B909" i="21"/>
  <c r="E897" i="21" l="1"/>
  <c r="F896" i="21"/>
  <c r="D911" i="21"/>
  <c r="B910" i="21"/>
  <c r="E898" i="21" l="1"/>
  <c r="F897" i="21"/>
  <c r="D912" i="21"/>
  <c r="B911" i="21"/>
  <c r="E899" i="21" l="1"/>
  <c r="F898" i="21"/>
  <c r="D913" i="21"/>
  <c r="B912" i="21"/>
  <c r="E900" i="21" l="1"/>
  <c r="F899" i="21"/>
  <c r="D914" i="21"/>
  <c r="B913" i="21"/>
  <c r="E901" i="21" l="1"/>
  <c r="F900" i="21"/>
  <c r="D915" i="21"/>
  <c r="B914" i="21"/>
  <c r="E902" i="21" l="1"/>
  <c r="F901" i="21"/>
  <c r="D916" i="21"/>
  <c r="B915" i="21"/>
  <c r="E903" i="21" l="1"/>
  <c r="F902" i="21"/>
  <c r="D917" i="21"/>
  <c r="B916" i="21"/>
  <c r="E904" i="21" l="1"/>
  <c r="F903" i="21"/>
  <c r="D918" i="21"/>
  <c r="B917" i="21"/>
  <c r="E905" i="21" l="1"/>
  <c r="F904" i="21"/>
  <c r="D919" i="21"/>
  <c r="B918" i="21"/>
  <c r="E906" i="21" l="1"/>
  <c r="F905" i="21"/>
  <c r="D920" i="21"/>
  <c r="B919" i="21"/>
  <c r="E907" i="21" l="1"/>
  <c r="F906" i="21"/>
  <c r="D921" i="21"/>
  <c r="B920" i="21"/>
  <c r="E908" i="21" l="1"/>
  <c r="F907" i="21"/>
  <c r="D922" i="21"/>
  <c r="B921" i="21"/>
  <c r="E909" i="21" l="1"/>
  <c r="F908" i="21"/>
  <c r="D923" i="21"/>
  <c r="B922" i="21"/>
  <c r="E910" i="21" l="1"/>
  <c r="F909" i="21"/>
  <c r="D924" i="21"/>
  <c r="B923" i="21"/>
  <c r="E911" i="21" l="1"/>
  <c r="F910" i="21"/>
  <c r="D925" i="21"/>
  <c r="B924" i="21"/>
  <c r="E912" i="21" l="1"/>
  <c r="F911" i="21"/>
  <c r="D926" i="21"/>
  <c r="B925" i="21"/>
  <c r="E913" i="21" l="1"/>
  <c r="F912" i="21"/>
  <c r="D927" i="21"/>
  <c r="B926" i="21"/>
  <c r="E914" i="21" l="1"/>
  <c r="F913" i="21"/>
  <c r="D928" i="21"/>
  <c r="B927" i="21"/>
  <c r="E915" i="21" l="1"/>
  <c r="F914" i="21"/>
  <c r="D929" i="21"/>
  <c r="B928" i="21"/>
  <c r="E916" i="21" l="1"/>
  <c r="F915" i="21"/>
  <c r="D930" i="21"/>
  <c r="B929" i="21"/>
  <c r="E917" i="21" l="1"/>
  <c r="F916" i="21"/>
  <c r="D931" i="21"/>
  <c r="B930" i="21"/>
  <c r="E918" i="21" l="1"/>
  <c r="F917" i="21"/>
  <c r="D932" i="21"/>
  <c r="B931" i="21"/>
  <c r="E919" i="21" l="1"/>
  <c r="F918" i="21"/>
  <c r="D933" i="21"/>
  <c r="B932" i="21"/>
  <c r="E920" i="21" l="1"/>
  <c r="F919" i="21"/>
  <c r="D934" i="21"/>
  <c r="B933" i="21"/>
  <c r="E921" i="21" l="1"/>
  <c r="F920" i="21"/>
  <c r="D935" i="21"/>
  <c r="B934" i="21"/>
  <c r="E922" i="21" l="1"/>
  <c r="F921" i="21"/>
  <c r="D936" i="21"/>
  <c r="B935" i="21"/>
  <c r="E923" i="21" l="1"/>
  <c r="F922" i="21"/>
  <c r="D937" i="21"/>
  <c r="B936" i="21"/>
  <c r="E924" i="21" l="1"/>
  <c r="F923" i="21"/>
  <c r="D938" i="21"/>
  <c r="B937" i="21"/>
  <c r="E925" i="21" l="1"/>
  <c r="F924" i="21"/>
  <c r="D939" i="21"/>
  <c r="B938" i="21"/>
  <c r="E926" i="21" l="1"/>
  <c r="F925" i="21"/>
  <c r="D940" i="21"/>
  <c r="B939" i="21"/>
  <c r="E927" i="21" l="1"/>
  <c r="F926" i="21"/>
  <c r="D941" i="21"/>
  <c r="B940" i="21"/>
  <c r="E928" i="21" l="1"/>
  <c r="F927" i="21"/>
  <c r="D942" i="21"/>
  <c r="B941" i="21"/>
  <c r="E929" i="21" l="1"/>
  <c r="F928" i="21"/>
  <c r="D943" i="21"/>
  <c r="B942" i="21"/>
  <c r="E930" i="21" l="1"/>
  <c r="F929" i="21"/>
  <c r="D944" i="21"/>
  <c r="B943" i="21"/>
  <c r="E931" i="21" l="1"/>
  <c r="F930" i="21"/>
  <c r="D945" i="21"/>
  <c r="B944" i="21"/>
  <c r="E932" i="21" l="1"/>
  <c r="F931" i="21"/>
  <c r="D946" i="21"/>
  <c r="B945" i="21"/>
  <c r="E933" i="21" l="1"/>
  <c r="F932" i="21"/>
  <c r="D947" i="21"/>
  <c r="B946" i="21"/>
  <c r="E934" i="21" l="1"/>
  <c r="F933" i="21"/>
  <c r="D948" i="21"/>
  <c r="B947" i="21"/>
  <c r="E935" i="21" l="1"/>
  <c r="F934" i="21"/>
  <c r="D949" i="21"/>
  <c r="B948" i="21"/>
  <c r="E936" i="21" l="1"/>
  <c r="F935" i="21"/>
  <c r="D950" i="21"/>
  <c r="B949" i="21"/>
  <c r="E937" i="21" l="1"/>
  <c r="F936" i="21"/>
  <c r="D951" i="21"/>
  <c r="B950" i="21"/>
  <c r="E938" i="21" l="1"/>
  <c r="F937" i="21"/>
  <c r="D952" i="21"/>
  <c r="B951" i="21"/>
  <c r="E939" i="21" l="1"/>
  <c r="F938" i="21"/>
  <c r="D953" i="21"/>
  <c r="B952" i="21"/>
  <c r="E940" i="21" l="1"/>
  <c r="F939" i="21"/>
  <c r="D954" i="21"/>
  <c r="B953" i="21"/>
  <c r="E941" i="21" l="1"/>
  <c r="F940" i="21"/>
  <c r="D955" i="21"/>
  <c r="B954" i="21"/>
  <c r="E942" i="21" l="1"/>
  <c r="F941" i="21"/>
  <c r="D956" i="21"/>
  <c r="B955" i="21"/>
  <c r="E943" i="21" l="1"/>
  <c r="F942" i="21"/>
  <c r="D957" i="21"/>
  <c r="B956" i="21"/>
  <c r="E944" i="21" l="1"/>
  <c r="F943" i="21"/>
  <c r="D958" i="21"/>
  <c r="B957" i="21"/>
  <c r="E945" i="21" l="1"/>
  <c r="F944" i="21"/>
  <c r="D959" i="21"/>
  <c r="B958" i="21"/>
  <c r="E946" i="21" l="1"/>
  <c r="F945" i="21"/>
  <c r="D960" i="21"/>
  <c r="B959" i="21"/>
  <c r="E947" i="21" l="1"/>
  <c r="F946" i="21"/>
  <c r="D961" i="21"/>
  <c r="B960" i="21"/>
  <c r="E948" i="21" l="1"/>
  <c r="F947" i="21"/>
  <c r="D962" i="21"/>
  <c r="B961" i="21"/>
  <c r="E949" i="21" l="1"/>
  <c r="F948" i="21"/>
  <c r="D963" i="21"/>
  <c r="B962" i="21"/>
  <c r="E950" i="21" l="1"/>
  <c r="F949" i="21"/>
  <c r="D964" i="21"/>
  <c r="B963" i="21"/>
  <c r="E951" i="21" l="1"/>
  <c r="F950" i="21"/>
  <c r="D965" i="21"/>
  <c r="B964" i="21"/>
  <c r="E952" i="21" l="1"/>
  <c r="F951" i="21"/>
  <c r="D966" i="21"/>
  <c r="B965" i="21"/>
  <c r="E953" i="21" l="1"/>
  <c r="F952" i="21"/>
  <c r="D967" i="21"/>
  <c r="B966" i="21"/>
  <c r="E954" i="21" l="1"/>
  <c r="F953" i="21"/>
  <c r="D968" i="21"/>
  <c r="B967" i="21"/>
  <c r="E955" i="21" l="1"/>
  <c r="F954" i="21"/>
  <c r="D969" i="21"/>
  <c r="B968" i="21"/>
  <c r="E956" i="21" l="1"/>
  <c r="F955" i="21"/>
  <c r="D970" i="21"/>
  <c r="B969" i="21"/>
  <c r="E957" i="21" l="1"/>
  <c r="F956" i="21"/>
  <c r="D971" i="21"/>
  <c r="B970" i="21"/>
  <c r="E958" i="21" l="1"/>
  <c r="F957" i="21"/>
  <c r="D972" i="21"/>
  <c r="B971" i="21"/>
  <c r="E959" i="21" l="1"/>
  <c r="F958" i="21"/>
  <c r="D973" i="21"/>
  <c r="B972" i="21"/>
  <c r="E960" i="21" l="1"/>
  <c r="F959" i="21"/>
  <c r="D974" i="21"/>
  <c r="B973" i="21"/>
  <c r="E961" i="21" l="1"/>
  <c r="F960" i="21"/>
  <c r="D975" i="21"/>
  <c r="B974" i="21"/>
  <c r="E962" i="21" l="1"/>
  <c r="F961" i="21"/>
  <c r="D976" i="21"/>
  <c r="B975" i="21"/>
  <c r="E963" i="21" l="1"/>
  <c r="F962" i="21"/>
  <c r="D977" i="21"/>
  <c r="B976" i="21"/>
  <c r="E964" i="21" l="1"/>
  <c r="F963" i="21"/>
  <c r="D978" i="21"/>
  <c r="B977" i="21"/>
  <c r="E965" i="21" l="1"/>
  <c r="F964" i="21"/>
  <c r="D979" i="21"/>
  <c r="B978" i="21"/>
  <c r="E966" i="21" l="1"/>
  <c r="F965" i="21"/>
  <c r="D980" i="21"/>
  <c r="B979" i="21"/>
  <c r="E967" i="21" l="1"/>
  <c r="F966" i="21"/>
  <c r="D981" i="21"/>
  <c r="B980" i="21"/>
  <c r="E968" i="21" l="1"/>
  <c r="F967" i="21"/>
  <c r="D982" i="21"/>
  <c r="B981" i="21"/>
  <c r="E969" i="21" l="1"/>
  <c r="F968" i="21"/>
  <c r="D983" i="21"/>
  <c r="B982" i="21"/>
  <c r="E970" i="21" l="1"/>
  <c r="F969" i="21"/>
  <c r="D984" i="21"/>
  <c r="B983" i="21"/>
  <c r="E971" i="21" l="1"/>
  <c r="F970" i="21"/>
  <c r="D985" i="21"/>
  <c r="B984" i="21"/>
  <c r="E972" i="21" l="1"/>
  <c r="F971" i="21"/>
  <c r="D986" i="21"/>
  <c r="B985" i="21"/>
  <c r="E973" i="21" l="1"/>
  <c r="F972" i="21"/>
  <c r="D987" i="21"/>
  <c r="B986" i="21"/>
  <c r="E974" i="21" l="1"/>
  <c r="F973" i="21"/>
  <c r="D988" i="21"/>
  <c r="B987" i="21"/>
  <c r="E975" i="21" l="1"/>
  <c r="F974" i="21"/>
  <c r="D989" i="21"/>
  <c r="B988" i="21"/>
  <c r="E976" i="21" l="1"/>
  <c r="F975" i="21"/>
  <c r="D990" i="21"/>
  <c r="B989" i="21"/>
  <c r="E977" i="21" l="1"/>
  <c r="F976" i="21"/>
  <c r="D991" i="21"/>
  <c r="B990" i="21"/>
  <c r="E978" i="21" l="1"/>
  <c r="F977" i="21"/>
  <c r="D992" i="21"/>
  <c r="B991" i="21"/>
  <c r="E979" i="21" l="1"/>
  <c r="F978" i="21"/>
  <c r="D993" i="21"/>
  <c r="B992" i="21"/>
  <c r="E980" i="21" l="1"/>
  <c r="F979" i="21"/>
  <c r="D994" i="21"/>
  <c r="B993" i="21"/>
  <c r="E981" i="21" l="1"/>
  <c r="F980" i="21"/>
  <c r="D995" i="21"/>
  <c r="B994" i="21"/>
  <c r="E982" i="21" l="1"/>
  <c r="F981" i="21"/>
  <c r="D996" i="21"/>
  <c r="B995" i="21"/>
  <c r="E983" i="21" l="1"/>
  <c r="F982" i="21"/>
  <c r="D997" i="21"/>
  <c r="B996" i="21"/>
  <c r="E984" i="21" l="1"/>
  <c r="F983" i="21"/>
  <c r="D998" i="21"/>
  <c r="B997" i="21"/>
  <c r="E985" i="21" l="1"/>
  <c r="F984" i="21"/>
  <c r="D999" i="21"/>
  <c r="B998" i="21"/>
  <c r="E986" i="21" l="1"/>
  <c r="F985" i="21"/>
  <c r="D1000" i="21"/>
  <c r="B999" i="21"/>
  <c r="E987" i="21" l="1"/>
  <c r="F986" i="21"/>
  <c r="D1001" i="21"/>
  <c r="B1000" i="21"/>
  <c r="E988" i="21" l="1"/>
  <c r="F987" i="21"/>
  <c r="D1002" i="21"/>
  <c r="B1001" i="21"/>
  <c r="E989" i="21" l="1"/>
  <c r="F988" i="21"/>
  <c r="D1003" i="21"/>
  <c r="B1002" i="21"/>
  <c r="E990" i="21" l="1"/>
  <c r="F989" i="21"/>
  <c r="D1004" i="21"/>
  <c r="B1003" i="21"/>
  <c r="E991" i="21" l="1"/>
  <c r="F990" i="21"/>
  <c r="D1005" i="21"/>
  <c r="B1004" i="21"/>
  <c r="E992" i="21" l="1"/>
  <c r="F991" i="21"/>
  <c r="D1006" i="21"/>
  <c r="B1005" i="21"/>
  <c r="E993" i="21" l="1"/>
  <c r="F992" i="21"/>
  <c r="D1007" i="21"/>
  <c r="B1006" i="21"/>
  <c r="E994" i="21" l="1"/>
  <c r="F993" i="21"/>
  <c r="D1008" i="21"/>
  <c r="B1007" i="21"/>
  <c r="E995" i="21" l="1"/>
  <c r="F994" i="21"/>
  <c r="D1009" i="21"/>
  <c r="B1008" i="21"/>
  <c r="E996" i="21" l="1"/>
  <c r="F995" i="21"/>
  <c r="D1010" i="21"/>
  <c r="B1009" i="21"/>
  <c r="E997" i="21" l="1"/>
  <c r="F996" i="21"/>
  <c r="D1011" i="21"/>
  <c r="B1010" i="21"/>
  <c r="E998" i="21" l="1"/>
  <c r="F997" i="21"/>
  <c r="D1012" i="21"/>
  <c r="B1011" i="21"/>
  <c r="E999" i="21" l="1"/>
  <c r="F998" i="21"/>
  <c r="D1013" i="21"/>
  <c r="B1012" i="21"/>
  <c r="E1000" i="21" l="1"/>
  <c r="F999" i="21"/>
  <c r="D1014" i="21"/>
  <c r="B1013" i="21"/>
  <c r="E1001" i="21" l="1"/>
  <c r="F1000" i="21"/>
  <c r="D1015" i="21"/>
  <c r="B1014" i="21"/>
  <c r="E1002" i="21" l="1"/>
  <c r="F1001" i="21"/>
  <c r="D1016" i="21"/>
  <c r="B1015" i="21"/>
  <c r="E1003" i="21" l="1"/>
  <c r="F1002" i="21"/>
  <c r="D1017" i="21"/>
  <c r="B1016" i="21"/>
  <c r="E1004" i="21" l="1"/>
  <c r="F1003" i="21"/>
  <c r="D1018" i="21"/>
  <c r="B1017" i="21"/>
  <c r="E1005" i="21" l="1"/>
  <c r="F1004" i="21"/>
  <c r="D1019" i="21"/>
  <c r="B1018" i="21"/>
  <c r="E1006" i="21" l="1"/>
  <c r="F1005" i="21"/>
  <c r="D1020" i="21"/>
  <c r="B1019" i="21"/>
  <c r="E1007" i="21" l="1"/>
  <c r="F1006" i="21"/>
  <c r="D1021" i="21"/>
  <c r="B1020" i="21"/>
  <c r="E1008" i="21" l="1"/>
  <c r="F1007" i="21"/>
  <c r="D1022" i="21"/>
  <c r="B1021" i="21"/>
  <c r="E1009" i="21" l="1"/>
  <c r="F1008" i="21"/>
  <c r="D1023" i="21"/>
  <c r="B1022" i="21"/>
  <c r="E1010" i="21" l="1"/>
  <c r="F1009" i="21"/>
  <c r="D1024" i="21"/>
  <c r="B1023" i="21"/>
  <c r="E1011" i="21" l="1"/>
  <c r="F1010" i="21"/>
  <c r="D1025" i="21"/>
  <c r="B1024" i="21"/>
  <c r="E1012" i="21" l="1"/>
  <c r="F1011" i="21"/>
  <c r="D1026" i="21"/>
  <c r="B1025" i="21"/>
  <c r="E1013" i="21" l="1"/>
  <c r="F1012" i="21"/>
  <c r="D1027" i="21"/>
  <c r="B1026" i="21"/>
  <c r="E1014" i="21" l="1"/>
  <c r="F1013" i="21"/>
  <c r="D1028" i="21"/>
  <c r="B1027" i="21"/>
  <c r="E1015" i="21" l="1"/>
  <c r="F1014" i="21"/>
  <c r="D1029" i="21"/>
  <c r="B1028" i="21"/>
  <c r="E1016" i="21" l="1"/>
  <c r="F1015" i="21"/>
  <c r="D1030" i="21"/>
  <c r="B1029" i="21"/>
  <c r="E1017" i="21" l="1"/>
  <c r="F1016" i="21"/>
  <c r="D1031" i="21"/>
  <c r="B1030" i="21"/>
  <c r="E1018" i="21" l="1"/>
  <c r="F1017" i="21"/>
  <c r="D1032" i="21"/>
  <c r="B1031" i="21"/>
  <c r="E1019" i="21" l="1"/>
  <c r="F1018" i="21"/>
  <c r="D1033" i="21"/>
  <c r="B1032" i="21"/>
  <c r="E1020" i="21" l="1"/>
  <c r="F1019" i="21"/>
  <c r="D1034" i="21"/>
  <c r="B1033" i="21"/>
  <c r="E1021" i="21" l="1"/>
  <c r="F1020" i="21"/>
  <c r="D1035" i="21"/>
  <c r="B1034" i="21"/>
  <c r="E1022" i="21" l="1"/>
  <c r="F1021" i="21"/>
  <c r="D1036" i="21"/>
  <c r="B1035" i="21"/>
  <c r="E1023" i="21" l="1"/>
  <c r="F1022" i="21"/>
  <c r="D1037" i="21"/>
  <c r="B1036" i="21"/>
  <c r="E1024" i="21" l="1"/>
  <c r="F1023" i="21"/>
  <c r="D1038" i="21"/>
  <c r="B1037" i="21"/>
  <c r="E1025" i="21" l="1"/>
  <c r="F1024" i="21"/>
  <c r="D1039" i="21"/>
  <c r="B1038" i="21"/>
  <c r="E1026" i="21" l="1"/>
  <c r="F1025" i="21"/>
  <c r="D1040" i="21"/>
  <c r="B1039" i="21"/>
  <c r="E1027" i="21" l="1"/>
  <c r="F1026" i="21"/>
  <c r="D1041" i="21"/>
  <c r="B1040" i="21"/>
  <c r="E1028" i="21" l="1"/>
  <c r="F1027" i="21"/>
  <c r="D1042" i="21"/>
  <c r="B1041" i="21"/>
  <c r="E1029" i="21" l="1"/>
  <c r="F1028" i="21"/>
  <c r="D1043" i="21"/>
  <c r="B1042" i="21"/>
  <c r="E1030" i="21" l="1"/>
  <c r="F1029" i="21"/>
  <c r="D1044" i="21"/>
  <c r="B1043" i="21"/>
  <c r="E1031" i="21" l="1"/>
  <c r="F1030" i="21"/>
  <c r="D1045" i="21"/>
  <c r="B1044" i="21"/>
  <c r="E1032" i="21" l="1"/>
  <c r="F1031" i="21"/>
  <c r="D1046" i="21"/>
  <c r="B1045" i="21"/>
  <c r="E1033" i="21" l="1"/>
  <c r="F1032" i="21"/>
  <c r="D1047" i="21"/>
  <c r="B1046" i="21"/>
  <c r="E1034" i="21" l="1"/>
  <c r="F1033" i="21"/>
  <c r="D1048" i="21"/>
  <c r="B1047" i="21"/>
  <c r="E1035" i="21" l="1"/>
  <c r="F1034" i="21"/>
  <c r="D1049" i="21"/>
  <c r="B1048" i="21"/>
  <c r="E1036" i="21" l="1"/>
  <c r="F1035" i="21"/>
  <c r="D1050" i="21"/>
  <c r="B1049" i="21"/>
  <c r="E1037" i="21" l="1"/>
  <c r="F1036" i="21"/>
  <c r="D1051" i="21"/>
  <c r="B1050" i="21"/>
  <c r="E1038" i="21" l="1"/>
  <c r="F1037" i="21"/>
  <c r="D1052" i="21"/>
  <c r="B1051" i="21"/>
  <c r="E1039" i="21" l="1"/>
  <c r="F1038" i="21"/>
  <c r="D1053" i="21"/>
  <c r="B1052" i="21"/>
  <c r="E1040" i="21" l="1"/>
  <c r="F1039" i="21"/>
  <c r="D1054" i="21"/>
  <c r="B1053" i="21"/>
  <c r="E1041" i="21" l="1"/>
  <c r="F1040" i="21"/>
  <c r="D1055" i="21"/>
  <c r="B1054" i="21"/>
  <c r="E1042" i="21" l="1"/>
  <c r="F1041" i="21"/>
  <c r="D1056" i="21"/>
  <c r="B1055" i="21"/>
  <c r="E1043" i="21" l="1"/>
  <c r="F1042" i="21"/>
  <c r="D1057" i="21"/>
  <c r="B1056" i="21"/>
  <c r="E1044" i="21" l="1"/>
  <c r="F1043" i="21"/>
  <c r="D1058" i="21"/>
  <c r="B1057" i="21"/>
  <c r="E1045" i="21" l="1"/>
  <c r="F1044" i="21"/>
  <c r="D1059" i="21"/>
  <c r="B1058" i="21"/>
  <c r="E1046" i="21" l="1"/>
  <c r="F1045" i="21"/>
  <c r="D1060" i="21"/>
  <c r="B1059" i="21"/>
  <c r="E1047" i="21" l="1"/>
  <c r="F1046" i="21"/>
  <c r="D1061" i="21"/>
  <c r="B1060" i="21"/>
  <c r="E1048" i="21" l="1"/>
  <c r="F1047" i="21"/>
  <c r="D1062" i="21"/>
  <c r="B1061" i="21"/>
  <c r="E1049" i="21" l="1"/>
  <c r="F1048" i="21"/>
  <c r="D1063" i="21"/>
  <c r="B1062" i="21"/>
  <c r="E1050" i="21" l="1"/>
  <c r="F1049" i="21"/>
  <c r="D1064" i="21"/>
  <c r="B1063" i="21"/>
  <c r="E1051" i="21" l="1"/>
  <c r="F1050" i="21"/>
  <c r="D1065" i="21"/>
  <c r="B1064" i="21"/>
  <c r="E1052" i="21" l="1"/>
  <c r="F1051" i="21"/>
  <c r="D1066" i="21"/>
  <c r="B1065" i="21"/>
  <c r="E1053" i="21" l="1"/>
  <c r="F1052" i="21"/>
  <c r="D1067" i="21"/>
  <c r="B1066" i="21"/>
  <c r="E1054" i="21" l="1"/>
  <c r="F1053" i="21"/>
  <c r="D1068" i="21"/>
  <c r="B1067" i="21"/>
  <c r="E1055" i="21" l="1"/>
  <c r="F1054" i="21"/>
  <c r="D1069" i="21"/>
  <c r="B1068" i="21"/>
  <c r="E1056" i="21" l="1"/>
  <c r="F1055" i="21"/>
  <c r="D1070" i="21"/>
  <c r="B1069" i="21"/>
  <c r="E1057" i="21" l="1"/>
  <c r="F1056" i="21"/>
  <c r="D1071" i="21"/>
  <c r="B1070" i="21"/>
  <c r="E1058" i="21" l="1"/>
  <c r="F1057" i="21"/>
  <c r="D1072" i="21"/>
  <c r="B1071" i="21"/>
  <c r="E1059" i="21" l="1"/>
  <c r="F1058" i="21"/>
  <c r="D1073" i="21"/>
  <c r="B1072" i="21"/>
  <c r="E1060" i="21" l="1"/>
  <c r="F1059" i="21"/>
  <c r="D1074" i="21"/>
  <c r="B1073" i="21"/>
  <c r="E1061" i="21" l="1"/>
  <c r="F1060" i="21"/>
  <c r="D1075" i="21"/>
  <c r="B1074" i="21"/>
  <c r="E1062" i="21" l="1"/>
  <c r="F1061" i="21"/>
  <c r="D1076" i="21"/>
  <c r="B1075" i="21"/>
  <c r="E1063" i="21" l="1"/>
  <c r="F1062" i="21"/>
  <c r="D1077" i="21"/>
  <c r="B1076" i="21"/>
  <c r="E1064" i="21" l="1"/>
  <c r="F1063" i="21"/>
  <c r="D1078" i="21"/>
  <c r="B1077" i="21"/>
  <c r="E1065" i="21" l="1"/>
  <c r="F1064" i="21"/>
  <c r="D1079" i="21"/>
  <c r="B1078" i="21"/>
  <c r="E1066" i="21" l="1"/>
  <c r="F1065" i="21"/>
  <c r="D1080" i="21"/>
  <c r="B1079" i="21"/>
  <c r="E1067" i="21" l="1"/>
  <c r="F1066" i="21"/>
  <c r="D1081" i="21"/>
  <c r="B1080" i="21"/>
  <c r="E1068" i="21" l="1"/>
  <c r="F1067" i="21"/>
  <c r="D1082" i="21"/>
  <c r="B1081" i="21"/>
  <c r="E1069" i="21" l="1"/>
  <c r="F1068" i="21"/>
  <c r="D1083" i="21"/>
  <c r="B1082" i="21"/>
  <c r="E1070" i="21" l="1"/>
  <c r="F1069" i="21"/>
  <c r="D1084" i="21"/>
  <c r="B1083" i="21"/>
  <c r="E1071" i="21" l="1"/>
  <c r="F1070" i="21"/>
  <c r="D1085" i="21"/>
  <c r="B1084" i="21"/>
  <c r="E1072" i="21" l="1"/>
  <c r="F1071" i="21"/>
  <c r="D1086" i="21"/>
  <c r="B1085" i="21"/>
  <c r="E1073" i="21" l="1"/>
  <c r="F1072" i="21"/>
  <c r="D1087" i="21"/>
  <c r="B1086" i="21"/>
  <c r="E1074" i="21" l="1"/>
  <c r="F1073" i="21"/>
  <c r="D1088" i="21"/>
  <c r="B1087" i="21"/>
  <c r="E1075" i="21" l="1"/>
  <c r="F1074" i="21"/>
  <c r="D1089" i="21"/>
  <c r="B1088" i="21"/>
  <c r="E1076" i="21" l="1"/>
  <c r="F1075" i="21"/>
  <c r="D1090" i="21"/>
  <c r="B1089" i="21"/>
  <c r="E1077" i="21" l="1"/>
  <c r="F1076" i="21"/>
  <c r="D1091" i="21"/>
  <c r="B1090" i="21"/>
  <c r="E1078" i="21" l="1"/>
  <c r="F1077" i="21"/>
  <c r="D1092" i="21"/>
  <c r="B1091" i="21"/>
  <c r="E1079" i="21" l="1"/>
  <c r="F1078" i="21"/>
  <c r="D1093" i="21"/>
  <c r="B1092" i="21"/>
  <c r="E1080" i="21" l="1"/>
  <c r="F1079" i="21"/>
  <c r="D1094" i="21"/>
  <c r="B1093" i="21"/>
  <c r="E1081" i="21" l="1"/>
  <c r="F1080" i="21"/>
  <c r="D1095" i="21"/>
  <c r="B1094" i="21"/>
  <c r="E1082" i="21" l="1"/>
  <c r="F1081" i="21"/>
  <c r="D1096" i="21"/>
  <c r="B1095" i="21"/>
  <c r="E1083" i="21" l="1"/>
  <c r="F1082" i="21"/>
  <c r="D1097" i="21"/>
  <c r="B1096" i="21"/>
  <c r="E1084" i="21" l="1"/>
  <c r="F1083" i="21"/>
  <c r="D1098" i="21"/>
  <c r="B1097" i="21"/>
  <c r="E1085" i="21" l="1"/>
  <c r="F1084" i="21"/>
  <c r="D1099" i="21"/>
  <c r="B1098" i="21"/>
  <c r="E1086" i="21" l="1"/>
  <c r="F1085" i="21"/>
  <c r="D1100" i="21"/>
  <c r="B1099" i="21"/>
  <c r="E1087" i="21" l="1"/>
  <c r="F1086" i="21"/>
  <c r="D1101" i="21"/>
  <c r="B1100" i="21"/>
  <c r="E1088" i="21" l="1"/>
  <c r="F1087" i="21"/>
  <c r="D1102" i="21"/>
  <c r="B1101" i="21"/>
  <c r="E1089" i="21" l="1"/>
  <c r="F1088" i="21"/>
  <c r="D1103" i="21"/>
  <c r="B1102" i="21"/>
  <c r="E1090" i="21" l="1"/>
  <c r="F1089" i="21"/>
  <c r="D1104" i="21"/>
  <c r="B1103" i="21"/>
  <c r="E1091" i="21" l="1"/>
  <c r="F1090" i="21"/>
  <c r="D1105" i="21"/>
  <c r="B1104" i="21"/>
  <c r="E1092" i="21" l="1"/>
  <c r="F1091" i="21"/>
  <c r="D1106" i="21"/>
  <c r="B1105" i="21"/>
  <c r="E1093" i="21" l="1"/>
  <c r="F1092" i="21"/>
  <c r="D1107" i="21"/>
  <c r="B1106" i="21"/>
  <c r="E1094" i="21" l="1"/>
  <c r="F1093" i="21"/>
  <c r="D1108" i="21"/>
  <c r="B1107" i="21"/>
  <c r="E1095" i="21" l="1"/>
  <c r="F1094" i="21"/>
  <c r="D1109" i="21"/>
  <c r="B1108" i="21"/>
  <c r="E1096" i="21" l="1"/>
  <c r="F1095" i="21"/>
  <c r="D1110" i="21"/>
  <c r="B1109" i="21"/>
  <c r="E1097" i="21" l="1"/>
  <c r="F1096" i="21"/>
  <c r="D1111" i="21"/>
  <c r="B1110" i="21"/>
  <c r="E1098" i="21" l="1"/>
  <c r="F1097" i="21"/>
  <c r="D1112" i="21"/>
  <c r="B1111" i="21"/>
  <c r="E1099" i="21" l="1"/>
  <c r="F1098" i="21"/>
  <c r="D1113" i="21"/>
  <c r="B1112" i="21"/>
  <c r="E1100" i="21" l="1"/>
  <c r="F1099" i="21"/>
  <c r="D1114" i="21"/>
  <c r="B1113" i="21"/>
  <c r="E1101" i="21" l="1"/>
  <c r="F1100" i="21"/>
  <c r="D1115" i="21"/>
  <c r="B1114" i="21"/>
  <c r="E1102" i="21" l="1"/>
  <c r="F1101" i="21"/>
  <c r="D1116" i="21"/>
  <c r="B1115" i="21"/>
  <c r="E1103" i="21" l="1"/>
  <c r="F1102" i="21"/>
  <c r="D1117" i="21"/>
  <c r="B1116" i="21"/>
  <c r="E1104" i="21" l="1"/>
  <c r="F1103" i="21"/>
  <c r="D1118" i="21"/>
  <c r="B1117" i="21"/>
  <c r="E1105" i="21" l="1"/>
  <c r="F1104" i="21"/>
  <c r="D1119" i="21"/>
  <c r="B1118" i="21"/>
  <c r="E1106" i="21" l="1"/>
  <c r="F1105" i="21"/>
  <c r="D1120" i="21"/>
  <c r="B1119" i="21"/>
  <c r="E1107" i="21" l="1"/>
  <c r="F1106" i="21"/>
  <c r="D1121" i="21"/>
  <c r="B1120" i="21"/>
  <c r="E1108" i="21" l="1"/>
  <c r="F1107" i="21"/>
  <c r="D1122" i="21"/>
  <c r="B1121" i="21"/>
  <c r="E1109" i="21" l="1"/>
  <c r="F1108" i="21"/>
  <c r="D1123" i="21"/>
  <c r="B1122" i="21"/>
  <c r="E1110" i="21" l="1"/>
  <c r="F1109" i="21"/>
  <c r="D1124" i="21"/>
  <c r="B1123" i="21"/>
  <c r="E1111" i="21" l="1"/>
  <c r="F1110" i="21"/>
  <c r="D1125" i="21"/>
  <c r="B1124" i="21"/>
  <c r="E1112" i="21" l="1"/>
  <c r="F1111" i="21"/>
  <c r="D1126" i="21"/>
  <c r="B1125" i="21"/>
  <c r="E1113" i="21" l="1"/>
  <c r="F1112" i="21"/>
  <c r="D1127" i="21"/>
  <c r="B1126" i="21"/>
  <c r="E1114" i="21" l="1"/>
  <c r="F1113" i="21"/>
  <c r="D1128" i="21"/>
  <c r="B1127" i="21"/>
  <c r="E1115" i="21" l="1"/>
  <c r="F1114" i="21"/>
  <c r="D1129" i="21"/>
  <c r="B1128" i="21"/>
  <c r="E1116" i="21" l="1"/>
  <c r="F1115" i="21"/>
  <c r="D1130" i="21"/>
  <c r="B1129" i="21"/>
  <c r="E1117" i="21" l="1"/>
  <c r="F1116" i="21"/>
  <c r="D1131" i="21"/>
  <c r="B1130" i="21"/>
  <c r="E1118" i="21" l="1"/>
  <c r="F1117" i="21"/>
  <c r="D1132" i="21"/>
  <c r="B1131" i="21"/>
  <c r="E1119" i="21" l="1"/>
  <c r="F1118" i="21"/>
  <c r="D1133" i="21"/>
  <c r="B1132" i="21"/>
  <c r="E1120" i="21" l="1"/>
  <c r="F1119" i="21"/>
  <c r="D1134" i="21"/>
  <c r="B1133" i="21"/>
  <c r="E1121" i="21" l="1"/>
  <c r="F1120" i="21"/>
  <c r="D1135" i="21"/>
  <c r="B1134" i="21"/>
  <c r="E1122" i="21" l="1"/>
  <c r="F1121" i="21"/>
  <c r="D1136" i="21"/>
  <c r="B1135" i="21"/>
  <c r="E1123" i="21" l="1"/>
  <c r="F1122" i="21"/>
  <c r="D1137" i="21"/>
  <c r="B1136" i="21"/>
  <c r="E1124" i="21" l="1"/>
  <c r="F1123" i="21"/>
  <c r="D1138" i="21"/>
  <c r="B1137" i="21"/>
  <c r="E1125" i="21" l="1"/>
  <c r="F1124" i="21"/>
  <c r="D1139" i="21"/>
  <c r="B1138" i="21"/>
  <c r="E1126" i="21" l="1"/>
  <c r="F1125" i="21"/>
  <c r="D1140" i="21"/>
  <c r="B1139" i="21"/>
  <c r="E1127" i="21" l="1"/>
  <c r="F1126" i="21"/>
  <c r="D1141" i="21"/>
  <c r="B1140" i="21"/>
  <c r="E1128" i="21" l="1"/>
  <c r="F1127" i="21"/>
  <c r="D1142" i="21"/>
  <c r="B1141" i="21"/>
  <c r="E1129" i="21" l="1"/>
  <c r="F1128" i="21"/>
  <c r="D1143" i="21"/>
  <c r="B1142" i="21"/>
  <c r="E1130" i="21" l="1"/>
  <c r="F1129" i="21"/>
  <c r="D1144" i="21"/>
  <c r="B1143" i="21"/>
  <c r="E1131" i="21" l="1"/>
  <c r="F1130" i="21"/>
  <c r="D1145" i="21"/>
  <c r="B1144" i="21"/>
  <c r="E1132" i="21" l="1"/>
  <c r="F1131" i="21"/>
  <c r="D1146" i="21"/>
  <c r="B1145" i="21"/>
  <c r="E1133" i="21" l="1"/>
  <c r="F1132" i="21"/>
  <c r="D1147" i="21"/>
  <c r="B1146" i="21"/>
  <c r="E1134" i="21" l="1"/>
  <c r="F1133" i="21"/>
  <c r="D1148" i="21"/>
  <c r="B1147" i="21"/>
  <c r="E1135" i="21" l="1"/>
  <c r="F1134" i="21"/>
  <c r="D1149" i="21"/>
  <c r="B1148" i="21"/>
  <c r="E1136" i="21" l="1"/>
  <c r="F1135" i="21"/>
  <c r="D1150" i="21"/>
  <c r="B1149" i="21"/>
  <c r="E1137" i="21" l="1"/>
  <c r="F1136" i="21"/>
  <c r="D1151" i="21"/>
  <c r="B1150" i="21"/>
  <c r="E1138" i="21" l="1"/>
  <c r="F1137" i="21"/>
  <c r="D1152" i="21"/>
  <c r="B1151" i="21"/>
  <c r="E1139" i="21" l="1"/>
  <c r="F1138" i="21"/>
  <c r="D1153" i="21"/>
  <c r="B1152" i="21"/>
  <c r="E1140" i="21" l="1"/>
  <c r="F1139" i="21"/>
  <c r="D1154" i="21"/>
  <c r="B1153" i="21"/>
  <c r="E1141" i="21" l="1"/>
  <c r="F1140" i="21"/>
  <c r="D1155" i="21"/>
  <c r="B1154" i="21"/>
  <c r="E1142" i="21" l="1"/>
  <c r="F1141" i="21"/>
  <c r="D1156" i="21"/>
  <c r="B1155" i="21"/>
  <c r="E1143" i="21" l="1"/>
  <c r="F1142" i="21"/>
  <c r="D1157" i="21"/>
  <c r="B1156" i="21"/>
  <c r="E1144" i="21" l="1"/>
  <c r="F1143" i="21"/>
  <c r="D1158" i="21"/>
  <c r="B1157" i="21"/>
  <c r="E1145" i="21" l="1"/>
  <c r="F1144" i="21"/>
  <c r="D1159" i="21"/>
  <c r="B1158" i="21"/>
  <c r="E1146" i="21" l="1"/>
  <c r="F1145" i="21"/>
  <c r="D1160" i="21"/>
  <c r="B1159" i="21"/>
  <c r="E1147" i="21" l="1"/>
  <c r="F1146" i="21"/>
  <c r="D1161" i="21"/>
  <c r="B1160" i="21"/>
  <c r="E1148" i="21" l="1"/>
  <c r="F1147" i="21"/>
  <c r="D1162" i="21"/>
  <c r="B1161" i="21"/>
  <c r="E1149" i="21" l="1"/>
  <c r="F1148" i="21"/>
  <c r="D1163" i="21"/>
  <c r="B1162" i="21"/>
  <c r="E1150" i="21" l="1"/>
  <c r="F1149" i="21"/>
  <c r="D1164" i="21"/>
  <c r="B1163" i="21"/>
  <c r="E1151" i="21" l="1"/>
  <c r="F1150" i="21"/>
  <c r="D1165" i="21"/>
  <c r="B1164" i="21"/>
  <c r="E1152" i="21" l="1"/>
  <c r="F1151" i="21"/>
  <c r="D1166" i="21"/>
  <c r="B1165" i="21"/>
  <c r="E1153" i="21" l="1"/>
  <c r="F1152" i="21"/>
  <c r="D1167" i="21"/>
  <c r="B1166" i="21"/>
  <c r="E1154" i="21" l="1"/>
  <c r="F1153" i="21"/>
  <c r="D1168" i="21"/>
  <c r="B1167" i="21"/>
  <c r="E1155" i="21" l="1"/>
  <c r="F1154" i="21"/>
  <c r="D1169" i="21"/>
  <c r="B1168" i="21"/>
  <c r="E1156" i="21" l="1"/>
  <c r="F1155" i="21"/>
  <c r="D1170" i="21"/>
  <c r="B1169" i="21"/>
  <c r="E1157" i="21" l="1"/>
  <c r="F1156" i="21"/>
  <c r="D1171" i="21"/>
  <c r="B1170" i="21"/>
  <c r="E1158" i="21" l="1"/>
  <c r="F1157" i="21"/>
  <c r="D1172" i="21"/>
  <c r="B1171" i="21"/>
  <c r="E1159" i="21" l="1"/>
  <c r="F1158" i="21"/>
  <c r="D1173" i="21"/>
  <c r="B1172" i="21"/>
  <c r="E1160" i="21" l="1"/>
  <c r="F1159" i="21"/>
  <c r="D1174" i="21"/>
  <c r="B1173" i="21"/>
  <c r="E1161" i="21" l="1"/>
  <c r="F1160" i="21"/>
  <c r="D1175" i="21"/>
  <c r="B1174" i="21"/>
  <c r="E1162" i="21" l="1"/>
  <c r="F1161" i="21"/>
  <c r="D1176" i="21"/>
  <c r="B1175" i="21"/>
  <c r="E1163" i="21" l="1"/>
  <c r="F1162" i="21"/>
  <c r="D1177" i="21"/>
  <c r="B1176" i="21"/>
  <c r="E1164" i="21" l="1"/>
  <c r="F1163" i="21"/>
  <c r="D1178" i="21"/>
  <c r="B1177" i="21"/>
  <c r="E1165" i="21" l="1"/>
  <c r="F1164" i="21"/>
  <c r="D1179" i="21"/>
  <c r="B1178" i="21"/>
  <c r="E1166" i="21" l="1"/>
  <c r="F1165" i="21"/>
  <c r="D1180" i="21"/>
  <c r="B1179" i="21"/>
  <c r="E1167" i="21" l="1"/>
  <c r="F1166" i="21"/>
  <c r="D1181" i="21"/>
  <c r="B1180" i="21"/>
  <c r="E1168" i="21" l="1"/>
  <c r="F1167" i="21"/>
  <c r="D1182" i="21"/>
  <c r="B1181" i="21"/>
  <c r="E1169" i="21" l="1"/>
  <c r="F1168" i="21"/>
  <c r="D1183" i="21"/>
  <c r="B1182" i="21"/>
  <c r="E1170" i="21" l="1"/>
  <c r="F1169" i="21"/>
  <c r="D1184" i="21"/>
  <c r="B1183" i="21"/>
  <c r="E1171" i="21" l="1"/>
  <c r="F1170" i="21"/>
  <c r="D1185" i="21"/>
  <c r="B1184" i="21"/>
  <c r="E1172" i="21" l="1"/>
  <c r="F1171" i="21"/>
  <c r="D1186" i="21"/>
  <c r="B1185" i="21"/>
  <c r="E1173" i="21" l="1"/>
  <c r="F1172" i="21"/>
  <c r="D1187" i="21"/>
  <c r="B1186" i="21"/>
  <c r="E1174" i="21" l="1"/>
  <c r="F1173" i="21"/>
  <c r="D1188" i="21"/>
  <c r="B1187" i="21"/>
  <c r="E1175" i="21" l="1"/>
  <c r="F1174" i="21"/>
  <c r="D1189" i="21"/>
  <c r="B1188" i="21"/>
  <c r="E1176" i="21" l="1"/>
  <c r="F1175" i="21"/>
  <c r="D1190" i="21"/>
  <c r="B1189" i="21"/>
  <c r="E1177" i="21" l="1"/>
  <c r="F1176" i="21"/>
  <c r="D1191" i="21"/>
  <c r="B1190" i="21"/>
  <c r="E1178" i="21" l="1"/>
  <c r="F1177" i="21"/>
  <c r="D1192" i="21"/>
  <c r="B1191" i="21"/>
  <c r="E1179" i="21" l="1"/>
  <c r="F1178" i="21"/>
  <c r="D1193" i="21"/>
  <c r="B1192" i="21"/>
  <c r="E1180" i="21" l="1"/>
  <c r="F1179" i="21"/>
  <c r="D1194" i="21"/>
  <c r="B1193" i="21"/>
  <c r="E1181" i="21" l="1"/>
  <c r="F1180" i="21"/>
  <c r="D1195" i="21"/>
  <c r="B1194" i="21"/>
  <c r="E1182" i="21" l="1"/>
  <c r="F1181" i="21"/>
  <c r="D1196" i="21"/>
  <c r="B1195" i="21"/>
  <c r="E1183" i="21" l="1"/>
  <c r="F1182" i="21"/>
  <c r="D1197" i="21"/>
  <c r="B1196" i="21"/>
  <c r="E1184" i="21" l="1"/>
  <c r="F1183" i="21"/>
  <c r="D1198" i="21"/>
  <c r="B1197" i="21"/>
  <c r="E1185" i="21" l="1"/>
  <c r="F1184" i="21"/>
  <c r="D1199" i="21"/>
  <c r="B1198" i="21"/>
  <c r="E1186" i="21" l="1"/>
  <c r="F1185" i="21"/>
  <c r="D1200" i="21"/>
  <c r="B1199" i="21"/>
  <c r="E1187" i="21" l="1"/>
  <c r="F1186" i="21"/>
  <c r="D1201" i="21"/>
  <c r="B1200" i="21"/>
  <c r="E1188" i="21" l="1"/>
  <c r="F1187" i="21"/>
  <c r="D1202" i="21"/>
  <c r="B1201" i="21"/>
  <c r="E1189" i="21" l="1"/>
  <c r="F1188" i="21"/>
  <c r="D1203" i="21"/>
  <c r="B1202" i="21"/>
  <c r="E1190" i="21" l="1"/>
  <c r="F1189" i="21"/>
  <c r="D1204" i="21"/>
  <c r="B1203" i="21"/>
  <c r="E1191" i="21" l="1"/>
  <c r="F1190" i="21"/>
  <c r="D1205" i="21"/>
  <c r="B1204" i="21"/>
  <c r="E1192" i="21" l="1"/>
  <c r="F1191" i="21"/>
  <c r="D1206" i="21"/>
  <c r="B1205" i="21"/>
  <c r="E1193" i="21" l="1"/>
  <c r="F1192" i="21"/>
  <c r="D1207" i="21"/>
  <c r="B1206" i="21"/>
  <c r="E1194" i="21" l="1"/>
  <c r="F1193" i="21"/>
  <c r="D1208" i="21"/>
  <c r="B1207" i="21"/>
  <c r="E1195" i="21" l="1"/>
  <c r="F1194" i="21"/>
  <c r="D1209" i="21"/>
  <c r="B1208" i="21"/>
  <c r="E1196" i="21" l="1"/>
  <c r="F1195" i="21"/>
  <c r="D1210" i="21"/>
  <c r="B1209" i="21"/>
  <c r="E1197" i="21" l="1"/>
  <c r="F1196" i="21"/>
  <c r="D1211" i="21"/>
  <c r="B1210" i="21"/>
  <c r="E1198" i="21" l="1"/>
  <c r="F1197" i="21"/>
  <c r="D1212" i="21"/>
  <c r="B1211" i="21"/>
  <c r="E1199" i="21" l="1"/>
  <c r="F1198" i="21"/>
  <c r="D1213" i="21"/>
  <c r="B1212" i="21"/>
  <c r="E1200" i="21" l="1"/>
  <c r="F1199" i="21"/>
  <c r="D1214" i="21"/>
  <c r="B1213" i="21"/>
  <c r="E1201" i="21" l="1"/>
  <c r="F1200" i="21"/>
  <c r="D1215" i="21"/>
  <c r="B1214" i="21"/>
  <c r="E1202" i="21" l="1"/>
  <c r="F1201" i="21"/>
  <c r="D1216" i="21"/>
  <c r="B1215" i="21"/>
  <c r="E1203" i="21" l="1"/>
  <c r="F1202" i="21"/>
  <c r="D1217" i="21"/>
  <c r="B1216" i="21"/>
  <c r="E1204" i="21" l="1"/>
  <c r="F1203" i="21"/>
  <c r="D1218" i="21"/>
  <c r="B1217" i="21"/>
  <c r="E1205" i="21" l="1"/>
  <c r="F1204" i="21"/>
  <c r="D1219" i="21"/>
  <c r="B1218" i="21"/>
  <c r="E1206" i="21" l="1"/>
  <c r="F1205" i="21"/>
  <c r="D1220" i="21"/>
  <c r="B1219" i="21"/>
  <c r="E1207" i="21" l="1"/>
  <c r="F1206" i="21"/>
  <c r="D1221" i="21"/>
  <c r="B1220" i="21"/>
  <c r="E1208" i="21" l="1"/>
  <c r="F1207" i="21"/>
  <c r="D1222" i="21"/>
  <c r="B1221" i="21"/>
  <c r="E1209" i="21" l="1"/>
  <c r="F1208" i="21"/>
  <c r="D1223" i="21"/>
  <c r="B1222" i="21"/>
  <c r="E1210" i="21" l="1"/>
  <c r="F1209" i="21"/>
  <c r="D1224" i="21"/>
  <c r="B1223" i="21"/>
  <c r="E1211" i="21" l="1"/>
  <c r="F1210" i="21"/>
  <c r="D1225" i="21"/>
  <c r="B1224" i="21"/>
  <c r="E1212" i="21" l="1"/>
  <c r="F1211" i="21"/>
  <c r="D1226" i="21"/>
  <c r="B1225" i="21"/>
  <c r="E1213" i="21" l="1"/>
  <c r="F1212" i="21"/>
  <c r="D1227" i="21"/>
  <c r="B1226" i="21"/>
  <c r="E1214" i="21" l="1"/>
  <c r="F1213" i="21"/>
  <c r="D1228" i="21"/>
  <c r="B1227" i="21"/>
  <c r="E1215" i="21" l="1"/>
  <c r="F1214" i="21"/>
  <c r="D1229" i="21"/>
  <c r="B1228" i="21"/>
  <c r="E1216" i="21" l="1"/>
  <c r="F1215" i="21"/>
  <c r="D1230" i="21"/>
  <c r="B1229" i="21"/>
  <c r="E1217" i="21" l="1"/>
  <c r="F1216" i="21"/>
  <c r="D1231" i="21"/>
  <c r="B1230" i="21"/>
  <c r="E1218" i="21" l="1"/>
  <c r="F1217" i="21"/>
  <c r="D1232" i="21"/>
  <c r="B1231" i="21"/>
  <c r="E1219" i="21" l="1"/>
  <c r="F1218" i="21"/>
  <c r="D1233" i="21"/>
  <c r="B1232" i="21"/>
  <c r="E1220" i="21" l="1"/>
  <c r="F1219" i="21"/>
  <c r="D1234" i="21"/>
  <c r="B1233" i="21"/>
  <c r="E1221" i="21" l="1"/>
  <c r="F1220" i="21"/>
  <c r="D1235" i="21"/>
  <c r="B1234" i="21"/>
  <c r="E1222" i="21" l="1"/>
  <c r="F1221" i="21"/>
  <c r="D1236" i="21"/>
  <c r="B1235" i="21"/>
  <c r="E1223" i="21" l="1"/>
  <c r="F1222" i="21"/>
  <c r="D1237" i="21"/>
  <c r="B1236" i="21"/>
  <c r="E1224" i="21" l="1"/>
  <c r="F1223" i="21"/>
  <c r="D1238" i="21"/>
  <c r="B1237" i="21"/>
  <c r="E1225" i="21" l="1"/>
  <c r="F1224" i="21"/>
  <c r="D1239" i="21"/>
  <c r="B1238" i="21"/>
  <c r="E1226" i="21" l="1"/>
  <c r="F1225" i="21"/>
  <c r="D1240" i="21"/>
  <c r="B1239" i="21"/>
  <c r="E1227" i="21" l="1"/>
  <c r="F1226" i="21"/>
  <c r="D1241" i="21"/>
  <c r="B1240" i="21"/>
  <c r="E1228" i="21" l="1"/>
  <c r="F1227" i="21"/>
  <c r="D1242" i="21"/>
  <c r="B1241" i="21"/>
  <c r="E1229" i="21" l="1"/>
  <c r="F1228" i="21"/>
  <c r="D1243" i="21"/>
  <c r="B1242" i="21"/>
  <c r="E1230" i="21" l="1"/>
  <c r="F1229" i="21"/>
  <c r="D1244" i="21"/>
  <c r="B1243" i="21"/>
  <c r="E1231" i="21" l="1"/>
  <c r="F1230" i="21"/>
  <c r="D1245" i="21"/>
  <c r="B1244" i="21"/>
  <c r="E1232" i="21" l="1"/>
  <c r="F1231" i="21"/>
  <c r="D1246" i="21"/>
  <c r="B1245" i="21"/>
  <c r="E1233" i="21" l="1"/>
  <c r="F1232" i="21"/>
  <c r="D1247" i="21"/>
  <c r="B1246" i="21"/>
  <c r="E1234" i="21" l="1"/>
  <c r="F1233" i="21"/>
  <c r="D1248" i="21"/>
  <c r="B1247" i="21"/>
  <c r="E1235" i="21" l="1"/>
  <c r="F1234" i="21"/>
  <c r="D1249" i="21"/>
  <c r="B1248" i="21"/>
  <c r="E1236" i="21" l="1"/>
  <c r="F1235" i="21"/>
  <c r="D1250" i="21"/>
  <c r="B1249" i="21"/>
  <c r="E1237" i="21" l="1"/>
  <c r="F1236" i="21"/>
  <c r="D1251" i="21"/>
  <c r="B1250" i="21"/>
  <c r="E1238" i="21" l="1"/>
  <c r="F1237" i="21"/>
  <c r="D1252" i="21"/>
  <c r="B1251" i="21"/>
  <c r="E1239" i="21" l="1"/>
  <c r="F1238" i="21"/>
  <c r="D1253" i="21"/>
  <c r="B1252" i="21"/>
  <c r="E1240" i="21" l="1"/>
  <c r="F1239" i="21"/>
  <c r="D1254" i="21"/>
  <c r="B1253" i="21"/>
  <c r="E1241" i="21" l="1"/>
  <c r="F1240" i="21"/>
  <c r="D1255" i="21"/>
  <c r="B1254" i="21"/>
  <c r="E1242" i="21" l="1"/>
  <c r="F1241" i="21"/>
  <c r="D1256" i="21"/>
  <c r="B1255" i="21"/>
  <c r="E1243" i="21" l="1"/>
  <c r="F1242" i="21"/>
  <c r="D1257" i="21"/>
  <c r="B1256" i="21"/>
  <c r="E1244" i="21" l="1"/>
  <c r="F1243" i="21"/>
  <c r="D1258" i="21"/>
  <c r="B1257" i="21"/>
  <c r="E1245" i="21" l="1"/>
  <c r="F1244" i="21"/>
  <c r="D1259" i="21"/>
  <c r="B1258" i="21"/>
  <c r="E1246" i="21" l="1"/>
  <c r="F1245" i="21"/>
  <c r="D1260" i="21"/>
  <c r="B1259" i="21"/>
  <c r="E1247" i="21" l="1"/>
  <c r="F1246" i="21"/>
  <c r="D1261" i="21"/>
  <c r="B1260" i="21"/>
  <c r="E1248" i="21" l="1"/>
  <c r="F1247" i="21"/>
  <c r="D1262" i="21"/>
  <c r="B1261" i="21"/>
  <c r="E1249" i="21" l="1"/>
  <c r="F1248" i="21"/>
  <c r="D1263" i="21"/>
  <c r="B1262" i="21"/>
  <c r="E1250" i="21" l="1"/>
  <c r="F1249" i="21"/>
  <c r="D1264" i="21"/>
  <c r="B1263" i="21"/>
  <c r="E1251" i="21" l="1"/>
  <c r="F1250" i="21"/>
  <c r="D1265" i="21"/>
  <c r="B1264" i="21"/>
  <c r="E1252" i="21" l="1"/>
  <c r="F1251" i="21"/>
  <c r="D1266" i="21"/>
  <c r="B1265" i="21"/>
  <c r="E1253" i="21" l="1"/>
  <c r="F1252" i="21"/>
  <c r="D1267" i="21"/>
  <c r="B1266" i="21"/>
  <c r="E1254" i="21" l="1"/>
  <c r="F1253" i="21"/>
  <c r="D1268" i="21"/>
  <c r="B1267" i="21"/>
  <c r="E1255" i="21" l="1"/>
  <c r="F1254" i="21"/>
  <c r="D1269" i="21"/>
  <c r="B1268" i="21"/>
  <c r="E1256" i="21" l="1"/>
  <c r="F1255" i="21"/>
  <c r="D1270" i="21"/>
  <c r="B1269" i="21"/>
  <c r="E1257" i="21" l="1"/>
  <c r="F1256" i="21"/>
  <c r="D1271" i="21"/>
  <c r="B1270" i="21"/>
  <c r="E1258" i="21" l="1"/>
  <c r="F1257" i="21"/>
  <c r="D1272" i="21"/>
  <c r="B1271" i="21"/>
  <c r="E1259" i="21" l="1"/>
  <c r="F1258" i="21"/>
  <c r="D1273" i="21"/>
  <c r="B1272" i="21"/>
  <c r="E1260" i="21" l="1"/>
  <c r="F1259" i="21"/>
  <c r="D1274" i="21"/>
  <c r="B1273" i="21"/>
  <c r="E1261" i="21" l="1"/>
  <c r="F1260" i="21"/>
  <c r="D1275" i="21"/>
  <c r="B1274" i="21"/>
  <c r="E1262" i="21" l="1"/>
  <c r="F1261" i="21"/>
  <c r="D1276" i="21"/>
  <c r="B1275" i="21"/>
  <c r="E1263" i="21" l="1"/>
  <c r="F1262" i="21"/>
  <c r="D1277" i="21"/>
  <c r="B1276" i="21"/>
  <c r="E1264" i="21" l="1"/>
  <c r="F1263" i="21"/>
  <c r="D1278" i="21"/>
  <c r="B1277" i="21"/>
  <c r="E1265" i="21" l="1"/>
  <c r="F1264" i="21"/>
  <c r="D1279" i="21"/>
  <c r="B1278" i="21"/>
  <c r="E1266" i="21" l="1"/>
  <c r="F1265" i="21"/>
  <c r="D1280" i="21"/>
  <c r="B1279" i="21"/>
  <c r="E1267" i="21" l="1"/>
  <c r="F1266" i="21"/>
  <c r="D1281" i="21"/>
  <c r="B1280" i="21"/>
  <c r="E1268" i="21" l="1"/>
  <c r="F1267" i="21"/>
  <c r="D1282" i="21"/>
  <c r="B1281" i="21"/>
  <c r="E1269" i="21" l="1"/>
  <c r="F1268" i="21"/>
  <c r="D1283" i="21"/>
  <c r="B1282" i="21"/>
  <c r="E1270" i="21" l="1"/>
  <c r="F1269" i="21"/>
  <c r="D1284" i="21"/>
  <c r="B1283" i="21"/>
  <c r="E1271" i="21" l="1"/>
  <c r="F1270" i="21"/>
  <c r="D1285" i="21"/>
  <c r="B1284" i="21"/>
  <c r="E1272" i="21" l="1"/>
  <c r="F1271" i="21"/>
  <c r="D1286" i="21"/>
  <c r="B1285" i="21"/>
  <c r="E1273" i="21" l="1"/>
  <c r="F1272" i="21"/>
  <c r="D1287" i="21"/>
  <c r="B1286" i="21"/>
  <c r="E1274" i="21" l="1"/>
  <c r="F1273" i="21"/>
  <c r="D1288" i="21"/>
  <c r="B1287" i="21"/>
  <c r="E1275" i="21" l="1"/>
  <c r="F1274" i="21"/>
  <c r="D1289" i="21"/>
  <c r="B1288" i="21"/>
  <c r="E1276" i="21" l="1"/>
  <c r="F1275" i="21"/>
  <c r="D1290" i="21"/>
  <c r="B1289" i="21"/>
  <c r="E1277" i="21" l="1"/>
  <c r="F1276" i="21"/>
  <c r="D1291" i="21"/>
  <c r="B1290" i="21"/>
  <c r="E1278" i="21" l="1"/>
  <c r="F1277" i="21"/>
  <c r="D1292" i="21"/>
  <c r="B1291" i="21"/>
  <c r="E1279" i="21" l="1"/>
  <c r="F1278" i="21"/>
  <c r="D1293" i="21"/>
  <c r="B1292" i="21"/>
  <c r="E1280" i="21" l="1"/>
  <c r="F1279" i="21"/>
  <c r="D1294" i="21"/>
  <c r="B1293" i="21"/>
  <c r="E1281" i="21" l="1"/>
  <c r="F1280" i="21"/>
  <c r="D1295" i="21"/>
  <c r="B1294" i="21"/>
  <c r="E1282" i="21" l="1"/>
  <c r="F1281" i="21"/>
  <c r="D1296" i="21"/>
  <c r="B1295" i="21"/>
  <c r="E1283" i="21" l="1"/>
  <c r="F1282" i="21"/>
  <c r="D1297" i="21"/>
  <c r="B1296" i="21"/>
  <c r="E1284" i="21" l="1"/>
  <c r="F1283" i="21"/>
  <c r="D1298" i="21"/>
  <c r="B1297" i="21"/>
  <c r="E1285" i="21" l="1"/>
  <c r="F1284" i="21"/>
  <c r="D1299" i="21"/>
  <c r="B1298" i="21"/>
  <c r="E1286" i="21" l="1"/>
  <c r="F1285" i="21"/>
  <c r="D1300" i="21"/>
  <c r="B1299" i="21"/>
  <c r="E1287" i="21" l="1"/>
  <c r="F1286" i="21"/>
  <c r="D1301" i="21"/>
  <c r="B1300" i="21"/>
  <c r="E1288" i="21" l="1"/>
  <c r="F1287" i="21"/>
  <c r="D1302" i="21"/>
  <c r="B1301" i="21"/>
  <c r="E1289" i="21" l="1"/>
  <c r="F1288" i="21"/>
  <c r="D1303" i="21"/>
  <c r="B1302" i="21"/>
  <c r="E1290" i="21" l="1"/>
  <c r="F1289" i="21"/>
  <c r="D1304" i="21"/>
  <c r="B1303" i="21"/>
  <c r="E1291" i="21" l="1"/>
  <c r="F1290" i="21"/>
  <c r="D1305" i="21"/>
  <c r="B1304" i="21"/>
  <c r="E1292" i="21" l="1"/>
  <c r="F1291" i="21"/>
  <c r="D1306" i="21"/>
  <c r="B1305" i="21"/>
  <c r="E1293" i="21" l="1"/>
  <c r="F1292" i="21"/>
  <c r="D1307" i="21"/>
  <c r="B1306" i="21"/>
  <c r="E1294" i="21" l="1"/>
  <c r="F1293" i="21"/>
  <c r="D1308" i="21"/>
  <c r="B1307" i="21"/>
  <c r="E1295" i="21" l="1"/>
  <c r="F1294" i="21"/>
  <c r="D1309" i="21"/>
  <c r="B1308" i="21"/>
  <c r="E1296" i="21" l="1"/>
  <c r="F1295" i="21"/>
  <c r="D1310" i="21"/>
  <c r="B1309" i="21"/>
  <c r="E1297" i="21" l="1"/>
  <c r="F1296" i="21"/>
  <c r="D1311" i="21"/>
  <c r="B1310" i="21"/>
  <c r="E1298" i="21" l="1"/>
  <c r="F1297" i="21"/>
  <c r="D1312" i="21"/>
  <c r="B1311" i="21"/>
  <c r="E1299" i="21" l="1"/>
  <c r="F1298" i="21"/>
  <c r="D1313" i="21"/>
  <c r="B1312" i="21"/>
  <c r="E1300" i="21" l="1"/>
  <c r="F1299" i="21"/>
  <c r="D1314" i="21"/>
  <c r="B1313" i="21"/>
  <c r="E1301" i="21" l="1"/>
  <c r="F1300" i="21"/>
  <c r="D1315" i="21"/>
  <c r="B1314" i="21"/>
  <c r="E1302" i="21" l="1"/>
  <c r="F1301" i="21"/>
  <c r="D1316" i="21"/>
  <c r="B1315" i="21"/>
  <c r="E1303" i="21" l="1"/>
  <c r="F1302" i="21"/>
  <c r="D1317" i="21"/>
  <c r="B1316" i="21"/>
  <c r="E1304" i="21" l="1"/>
  <c r="F1303" i="21"/>
  <c r="D1318" i="21"/>
  <c r="B1317" i="21"/>
  <c r="E1305" i="21" l="1"/>
  <c r="F1304" i="21"/>
  <c r="D1319" i="21"/>
  <c r="B1318" i="21"/>
  <c r="E1306" i="21" l="1"/>
  <c r="F1305" i="21"/>
  <c r="D1320" i="21"/>
  <c r="B1319" i="21"/>
  <c r="E1307" i="21" l="1"/>
  <c r="F1306" i="21"/>
  <c r="D1321" i="21"/>
  <c r="B1320" i="21"/>
  <c r="E1308" i="21" l="1"/>
  <c r="F1307" i="21"/>
  <c r="D1322" i="21"/>
  <c r="B1321" i="21"/>
  <c r="E1309" i="21" l="1"/>
  <c r="F1308" i="21"/>
  <c r="D1323" i="21"/>
  <c r="B1322" i="21"/>
  <c r="E1310" i="21" l="1"/>
  <c r="F1309" i="21"/>
  <c r="D1324" i="21"/>
  <c r="B1323" i="21"/>
  <c r="E1311" i="21" l="1"/>
  <c r="F1310" i="21"/>
  <c r="D1325" i="21"/>
  <c r="B1324" i="21"/>
  <c r="E1312" i="21" l="1"/>
  <c r="F1311" i="21"/>
  <c r="D1326" i="21"/>
  <c r="B1325" i="21"/>
  <c r="E1313" i="21" l="1"/>
  <c r="F1312" i="21"/>
  <c r="D1327" i="21"/>
  <c r="B1326" i="21"/>
  <c r="E1314" i="21" l="1"/>
  <c r="F1313" i="21"/>
  <c r="D1328" i="21"/>
  <c r="B1327" i="21"/>
  <c r="E1315" i="21" l="1"/>
  <c r="F1314" i="21"/>
  <c r="D1329" i="21"/>
  <c r="B1328" i="21"/>
  <c r="E1316" i="21" l="1"/>
  <c r="F1315" i="21"/>
  <c r="D1330" i="21"/>
  <c r="B1329" i="21"/>
  <c r="E1317" i="21" l="1"/>
  <c r="F1316" i="21"/>
  <c r="D1331" i="21"/>
  <c r="B1330" i="21"/>
  <c r="E1318" i="21" l="1"/>
  <c r="F1317" i="21"/>
  <c r="D1332" i="21"/>
  <c r="B1331" i="21"/>
  <c r="E1319" i="21" l="1"/>
  <c r="F1318" i="21"/>
  <c r="D1333" i="21"/>
  <c r="B1332" i="21"/>
  <c r="E1320" i="21" l="1"/>
  <c r="F1319" i="21"/>
  <c r="D1334" i="21"/>
  <c r="B1333" i="21"/>
  <c r="E1321" i="21" l="1"/>
  <c r="F1320" i="21"/>
  <c r="D1335" i="21"/>
  <c r="B1334" i="21"/>
  <c r="E1322" i="21" l="1"/>
  <c r="F1321" i="21"/>
  <c r="D1336" i="21"/>
  <c r="B1335" i="21"/>
  <c r="E1323" i="21" l="1"/>
  <c r="F1322" i="21"/>
  <c r="D1337" i="21"/>
  <c r="B1336" i="21"/>
  <c r="E1324" i="21" l="1"/>
  <c r="F1323" i="21"/>
  <c r="D1338" i="21"/>
  <c r="B1337" i="21"/>
  <c r="E1325" i="21" l="1"/>
  <c r="F1324" i="21"/>
  <c r="D1339" i="21"/>
  <c r="B1338" i="21"/>
  <c r="E1326" i="21" l="1"/>
  <c r="F1325" i="21"/>
  <c r="D1340" i="21"/>
  <c r="B1339" i="21"/>
  <c r="E1327" i="21" l="1"/>
  <c r="F1326" i="21"/>
  <c r="D1341" i="21"/>
  <c r="B1340" i="21"/>
  <c r="E1328" i="21" l="1"/>
  <c r="F1327" i="21"/>
  <c r="D1342" i="21"/>
  <c r="B1341" i="21"/>
  <c r="E1329" i="21" l="1"/>
  <c r="F1328" i="21"/>
  <c r="D1343" i="21"/>
  <c r="B1342" i="21"/>
  <c r="E1330" i="21" l="1"/>
  <c r="F1329" i="21"/>
  <c r="D1344" i="21"/>
  <c r="B1343" i="21"/>
  <c r="E1331" i="21" l="1"/>
  <c r="F1330" i="21"/>
  <c r="D1345" i="21"/>
  <c r="B1344" i="21"/>
  <c r="E1332" i="21" l="1"/>
  <c r="F1331" i="21"/>
  <c r="D1346" i="21"/>
  <c r="B1345" i="21"/>
  <c r="E1333" i="21" l="1"/>
  <c r="F1332" i="21"/>
  <c r="D1347" i="21"/>
  <c r="B1346" i="21"/>
  <c r="E1334" i="21" l="1"/>
  <c r="F1333" i="21"/>
  <c r="D1348" i="21"/>
  <c r="B1347" i="21"/>
  <c r="E1335" i="21" l="1"/>
  <c r="F1334" i="21"/>
  <c r="D1349" i="21"/>
  <c r="B1348" i="21"/>
  <c r="E1336" i="21" l="1"/>
  <c r="F1335" i="21"/>
  <c r="D1350" i="21"/>
  <c r="B1349" i="21"/>
  <c r="E1337" i="21" l="1"/>
  <c r="F1336" i="21"/>
  <c r="D1351" i="21"/>
  <c r="B1350" i="21"/>
  <c r="E1338" i="21" l="1"/>
  <c r="F1337" i="21"/>
  <c r="D1352" i="21"/>
  <c r="B1351" i="21"/>
  <c r="E1339" i="21" l="1"/>
  <c r="F1338" i="21"/>
  <c r="D1353" i="21"/>
  <c r="B1352" i="21"/>
  <c r="E1340" i="21" l="1"/>
  <c r="F1339" i="21"/>
  <c r="D1354" i="21"/>
  <c r="B1353" i="21"/>
  <c r="E1341" i="21" l="1"/>
  <c r="F1340" i="21"/>
  <c r="D1355" i="21"/>
  <c r="B1354" i="21"/>
  <c r="E1342" i="21" l="1"/>
  <c r="F1341" i="21"/>
  <c r="D1356" i="21"/>
  <c r="B1355" i="21"/>
  <c r="E1343" i="21" l="1"/>
  <c r="F1342" i="21"/>
  <c r="D1357" i="21"/>
  <c r="B1356" i="21"/>
  <c r="E1344" i="21" l="1"/>
  <c r="F1343" i="21"/>
  <c r="D1358" i="21"/>
  <c r="B1357" i="21"/>
  <c r="E1345" i="21" l="1"/>
  <c r="F1344" i="21"/>
  <c r="D1359" i="21"/>
  <c r="B1358" i="21"/>
  <c r="E1346" i="21" l="1"/>
  <c r="F1345" i="21"/>
  <c r="D1360" i="21"/>
  <c r="B1359" i="21"/>
  <c r="E1347" i="21" l="1"/>
  <c r="F1346" i="21"/>
  <c r="D1361" i="21"/>
  <c r="B1360" i="21"/>
  <c r="E1348" i="21" l="1"/>
  <c r="F1347" i="21"/>
  <c r="D1362" i="21"/>
  <c r="B1361" i="21"/>
  <c r="E1349" i="21" l="1"/>
  <c r="F1348" i="21"/>
  <c r="D1363" i="21"/>
  <c r="B1362" i="21"/>
  <c r="E1350" i="21" l="1"/>
  <c r="F1349" i="21"/>
  <c r="D1364" i="21"/>
  <c r="B1363" i="21"/>
  <c r="E1351" i="21" l="1"/>
  <c r="F1350" i="21"/>
  <c r="D1365" i="21"/>
  <c r="B1364" i="21"/>
  <c r="E1352" i="21" l="1"/>
  <c r="F1351" i="21"/>
  <c r="D1366" i="21"/>
  <c r="B1365" i="21"/>
  <c r="E1353" i="21" l="1"/>
  <c r="F1352" i="21"/>
  <c r="D1367" i="21"/>
  <c r="B1366" i="21"/>
  <c r="E1354" i="21" l="1"/>
  <c r="F1353" i="21"/>
  <c r="D1368" i="21"/>
  <c r="B1367" i="21"/>
  <c r="E1355" i="21" l="1"/>
  <c r="F1354" i="21"/>
  <c r="D1369" i="21"/>
  <c r="B1368" i="21"/>
  <c r="E1356" i="21" l="1"/>
  <c r="F1355" i="21"/>
  <c r="D1370" i="21"/>
  <c r="B1369" i="21"/>
  <c r="E1357" i="21" l="1"/>
  <c r="F1356" i="21"/>
  <c r="D1371" i="21"/>
  <c r="B1370" i="21"/>
  <c r="E1358" i="21" l="1"/>
  <c r="F1357" i="21"/>
  <c r="D1372" i="21"/>
  <c r="B1371" i="21"/>
  <c r="E1359" i="21" l="1"/>
  <c r="F1358" i="21"/>
  <c r="D1373" i="21"/>
  <c r="B1372" i="21"/>
  <c r="E1360" i="21" l="1"/>
  <c r="F1359" i="21"/>
  <c r="D1374" i="21"/>
  <c r="B1373" i="21"/>
  <c r="E1361" i="21" l="1"/>
  <c r="F1360" i="21"/>
  <c r="D1375" i="21"/>
  <c r="B1374" i="21"/>
  <c r="E1362" i="21" l="1"/>
  <c r="F1361" i="21"/>
  <c r="D1376" i="21"/>
  <c r="B1375" i="21"/>
  <c r="E1363" i="21" l="1"/>
  <c r="F1362" i="21"/>
  <c r="D1377" i="21"/>
  <c r="B1376" i="21"/>
  <c r="E1364" i="21" l="1"/>
  <c r="F1363" i="21"/>
  <c r="D1378" i="21"/>
  <c r="B1377" i="21"/>
  <c r="E1365" i="21" l="1"/>
  <c r="F1364" i="21"/>
  <c r="D1379" i="21"/>
  <c r="B1378" i="21"/>
  <c r="E1366" i="21" l="1"/>
  <c r="F1365" i="21"/>
  <c r="D1380" i="21"/>
  <c r="B1379" i="21"/>
  <c r="E1367" i="21" l="1"/>
  <c r="F1366" i="21"/>
  <c r="D1381" i="21"/>
  <c r="B1380" i="21"/>
  <c r="E1368" i="21" l="1"/>
  <c r="F1367" i="21"/>
  <c r="D1382" i="21"/>
  <c r="B1381" i="21"/>
  <c r="E1369" i="21" l="1"/>
  <c r="F1368" i="21"/>
  <c r="D1383" i="21"/>
  <c r="B1382" i="21"/>
  <c r="E1370" i="21" l="1"/>
  <c r="F1369" i="21"/>
  <c r="D1384" i="21"/>
  <c r="B1383" i="21"/>
  <c r="E1371" i="21" l="1"/>
  <c r="F1370" i="21"/>
  <c r="D1385" i="21"/>
  <c r="B1384" i="21"/>
  <c r="E1372" i="21" l="1"/>
  <c r="F1371" i="21"/>
  <c r="B1385" i="21"/>
  <c r="E1373" i="21" l="1"/>
  <c r="F1372" i="21"/>
  <c r="H13" i="4"/>
  <c r="G21" i="4" l="1"/>
  <c r="H21" i="4"/>
  <c r="E1374" i="21"/>
  <c r="F1373" i="21"/>
  <c r="K13" i="4"/>
  <c r="C21" i="4" s="1"/>
  <c r="F13" i="4"/>
  <c r="E1375" i="21" l="1"/>
  <c r="F1374" i="21"/>
  <c r="F21" i="4"/>
  <c r="E1376" i="21" l="1"/>
  <c r="F1375" i="21"/>
  <c r="E1377" i="21" l="1"/>
  <c r="F1376" i="21"/>
  <c r="E1378" i="21" l="1"/>
  <c r="F1377" i="21"/>
  <c r="E1379" i="21" l="1"/>
  <c r="F1378" i="21"/>
  <c r="E1380" i="21" l="1"/>
  <c r="F1379" i="21"/>
  <c r="E1381" i="21" l="1"/>
  <c r="F1380" i="21"/>
  <c r="E1382" i="21" l="1"/>
  <c r="F1381" i="21"/>
  <c r="E1383" i="21" l="1"/>
  <c r="F1382" i="21"/>
  <c r="E1384" i="21" l="1"/>
  <c r="F1383" i="21"/>
  <c r="E1385" i="21" l="1"/>
  <c r="F1384" i="21"/>
  <c r="F1385" i="21" l="1"/>
  <c r="K21" i="4"/>
  <c r="C28" i="4" s="1"/>
  <c r="L23" i="4"/>
  <c r="L24" i="4"/>
  <c r="L22" i="4"/>
  <c r="G29" i="4" l="1"/>
  <c r="G10" i="25" s="1"/>
  <c r="F10" i="25" s="1"/>
  <c r="D29" i="4"/>
  <c r="E29" i="4" s="1"/>
  <c r="H29" i="4" s="1"/>
  <c r="J29" i="4" s="1"/>
  <c r="G31" i="4"/>
  <c r="G12" i="25" s="1"/>
  <c r="F12" i="25" s="1"/>
  <c r="D31" i="4"/>
  <c r="E31" i="4" s="1"/>
  <c r="H31" i="4" s="1"/>
  <c r="J31" i="4" s="1"/>
  <c r="G30" i="4"/>
  <c r="G11" i="25" s="1"/>
  <c r="F11" i="25" s="1"/>
  <c r="D30" i="4"/>
  <c r="E30" i="4" s="1"/>
  <c r="H30" i="4" s="1"/>
  <c r="J30" i="4" s="1"/>
  <c r="L21" i="4"/>
  <c r="D28" i="4" s="1"/>
  <c r="E28" i="4" l="1"/>
  <c r="H28" i="4" s="1"/>
  <c r="J28" i="4" s="1"/>
  <c r="G28" i="4"/>
  <c r="G9" i="25" s="1"/>
  <c r="F9" i="25" s="1"/>
  <c r="H11" i="25"/>
  <c r="I11" i="25" s="1"/>
  <c r="J11" i="25" s="1"/>
  <c r="H12" i="25"/>
  <c r="I12" i="25" s="1"/>
  <c r="J12" i="25" s="1"/>
  <c r="H10" i="25"/>
  <c r="I10" i="25" s="1"/>
  <c r="J10" i="25" s="1"/>
  <c r="H9" i="25" l="1"/>
  <c r="I9" i="25" s="1"/>
  <c r="J9" i="2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A6B5FBB-C24B-4D4E-8A7B-231EECD8C27B}" keepAlive="1" name="Consulta - MAPA DE FACAS 2026 -27 02 xlsm" description="Conexão com a consulta 'MAPA DE FACAS 2026 -27 02 xlsm' na pasta de trabalho." type="5" refreshedVersion="8" background="1" saveData="1">
    <dbPr connection="Provider=Microsoft.Mashup.OleDb.1;Data Source=$Workbook$;Location=&quot;MAPA DE FACAS 2026 -27 02 xlsm&quot;;Extended Properties=&quot;&quot;" command="SELECT * FROM [MAPA DE FACAS 2026 -27 02 xlsm]"/>
  </connection>
</connections>
</file>

<file path=xl/sharedStrings.xml><?xml version="1.0" encoding="utf-8"?>
<sst xmlns="http://schemas.openxmlformats.org/spreadsheetml/2006/main" count="8084" uniqueCount="971">
  <si>
    <t xml:space="preserve">1 cor </t>
  </si>
  <si>
    <t>2 cores</t>
  </si>
  <si>
    <t>3 cores</t>
  </si>
  <si>
    <t>4 cores</t>
  </si>
  <si>
    <t>M2</t>
  </si>
  <si>
    <t xml:space="preserve">HORA MÁQUINA </t>
  </si>
  <si>
    <t>5 cores</t>
  </si>
  <si>
    <t>QTDADE</t>
  </si>
  <si>
    <t>CORES</t>
  </si>
  <si>
    <t>tempo (h)</t>
  </si>
  <si>
    <t>t m"</t>
  </si>
  <si>
    <t xml:space="preserve">PUXADA MAQUINA </t>
  </si>
  <si>
    <t xml:space="preserve">LARGURA PAPEL </t>
  </si>
  <si>
    <t>ACAB.
LAM/VERN</t>
  </si>
  <si>
    <t>QDADE MODELOS</t>
  </si>
  <si>
    <t>VALOR PAPEL</t>
  </si>
  <si>
    <t>QUANT
CAIXAS</t>
  </si>
  <si>
    <t xml:space="preserve">HORA MAQUINA </t>
  </si>
  <si>
    <t>PAPEL</t>
  </si>
  <si>
    <t xml:space="preserve">MAQUINA </t>
  </si>
  <si>
    <t xml:space="preserve">MATRIZ </t>
  </si>
  <si>
    <t>METRAGEM M2</t>
  </si>
  <si>
    <t>TAMANHO TUBETE</t>
  </si>
  <si>
    <t>1"</t>
  </si>
  <si>
    <t xml:space="preserve">CÁLCULO ORÇAMENTO </t>
  </si>
  <si>
    <t>QUANT ETIQ ROLO</t>
  </si>
  <si>
    <t>BRANCA</t>
  </si>
  <si>
    <t>QDADE COLUNAS</t>
  </si>
  <si>
    <t>REBOBINAÇÃO</t>
  </si>
  <si>
    <t>250 ml x larg</t>
  </si>
  <si>
    <t>40 ml x larg</t>
  </si>
  <si>
    <t>60 ml x larg</t>
  </si>
  <si>
    <t>90 ml x larg</t>
  </si>
  <si>
    <t>4 cores +  VERNIZ</t>
  </si>
  <si>
    <t>150 ml x larg</t>
  </si>
  <si>
    <t>HORA PARADA</t>
  </si>
  <si>
    <t>4V</t>
  </si>
  <si>
    <t>VALOR</t>
  </si>
  <si>
    <t>Z</t>
  </si>
  <si>
    <t xml:space="preserve">LARGURA </t>
  </si>
  <si>
    <t>QDADE CORES</t>
  </si>
  <si>
    <t>VALOR CM2</t>
  </si>
  <si>
    <t xml:space="preserve">VALOR </t>
  </si>
  <si>
    <t>COMISSÃO</t>
  </si>
  <si>
    <t>TUBETE</t>
  </si>
  <si>
    <t>TAMANHO</t>
  </si>
  <si>
    <t>3"</t>
  </si>
  <si>
    <t>% COMISSÃO</t>
  </si>
  <si>
    <t xml:space="preserve">TROCA PAPEL </t>
  </si>
  <si>
    <t>VALOR DA ETIQUETA</t>
  </si>
  <si>
    <t xml:space="preserve">VALOR TOTAL </t>
  </si>
  <si>
    <t>BOPP BRILHO</t>
  </si>
  <si>
    <t xml:space="preserve">BOPP FOSCO </t>
  </si>
  <si>
    <t xml:space="preserve">BOPP FOSCO FASSON 0290 - LABORATORIOS </t>
  </si>
  <si>
    <t>BOPP FOSCO FASSON 30G 2075</t>
  </si>
  <si>
    <t>BOPP PRATA</t>
  </si>
  <si>
    <t>BOPP TRANSPARENTE</t>
  </si>
  <si>
    <t xml:space="preserve">COUCHE FASSON 20G </t>
  </si>
  <si>
    <t>COUCHE VERTEX 30G</t>
  </si>
  <si>
    <t>FOSCO COLACRIL 20G</t>
  </si>
  <si>
    <t>TÉRMICO FASSON</t>
  </si>
  <si>
    <t>PERDA</t>
  </si>
  <si>
    <t>PERDA DE PAPEL ACERTO</t>
  </si>
  <si>
    <t xml:space="preserve">TUBETE PEQUENO </t>
  </si>
  <si>
    <t>TUBETE GRANDE</t>
  </si>
  <si>
    <t>ACABAMENTOS</t>
  </si>
  <si>
    <t>SEM PARADA</t>
  </si>
  <si>
    <t xml:space="preserve">SÓ NOME </t>
  </si>
  <si>
    <t>MUDANÇA TARJA</t>
  </si>
  <si>
    <t>PRETO INTEIRO</t>
  </si>
  <si>
    <t xml:space="preserve">OUTRA MONTAGEM </t>
  </si>
  <si>
    <t>MODULAR</t>
  </si>
  <si>
    <t>TEM QUE PREENCHER</t>
  </si>
  <si>
    <t xml:space="preserve">CAIXAS </t>
  </si>
  <si>
    <t>QDADE CAIXAS</t>
  </si>
  <si>
    <t xml:space="preserve">TUBETES </t>
  </si>
  <si>
    <t>RPM MÁQ</t>
  </si>
  <si>
    <t>ROLOS P/CAIXA</t>
  </si>
  <si>
    <t>LAMINAÇÃO BRILHO</t>
  </si>
  <si>
    <t>VERNIZ</t>
  </si>
  <si>
    <t>LEGENDA</t>
  </si>
  <si>
    <t>QUANT ROLOS</t>
  </si>
  <si>
    <t>BATIDA</t>
  </si>
  <si>
    <t xml:space="preserve">HM  </t>
  </si>
  <si>
    <t>Z - REPETIÇÃO DEIXAR EM BRANCO</t>
  </si>
  <si>
    <t>VALOR DA MATRIZ</t>
  </si>
  <si>
    <t>ETIQUETAS</t>
  </si>
  <si>
    <t>TOTAL</t>
  </si>
  <si>
    <t>MATERIAL</t>
  </si>
  <si>
    <t>ROLOS</t>
  </si>
  <si>
    <t>UNITÁRIO</t>
  </si>
  <si>
    <t>VALOR ROLO</t>
  </si>
  <si>
    <t>CLIENTE</t>
  </si>
  <si>
    <t>IMPOSTO</t>
  </si>
  <si>
    <t>PRAZO DE ENTREGA</t>
  </si>
  <si>
    <t>12 DIAS ÚTEIS</t>
  </si>
  <si>
    <t>SIM</t>
  </si>
  <si>
    <t>NÃO</t>
  </si>
  <si>
    <t>VALOR SERVIÇO</t>
  </si>
  <si>
    <t xml:space="preserve">SERVIÇO + IMPOSTO + COMISSÃO </t>
  </si>
  <si>
    <t>BOPP BRILHO BXT</t>
  </si>
  <si>
    <t>BOPP FOSCO BXT</t>
  </si>
  <si>
    <t>BOPP PRATA BXT</t>
  </si>
  <si>
    <t>BOPP TRANSPARENTE BXT</t>
  </si>
  <si>
    <t>VALOR CAIXA</t>
  </si>
  <si>
    <t>TINTA</t>
  </si>
  <si>
    <t>&gt;30</t>
  </si>
  <si>
    <t>ETIQ POR ROLO</t>
  </si>
  <si>
    <t>Validade da proposta: 7 dias.</t>
  </si>
  <si>
    <t>As quantidades poderão variar 20% para mais ou 20% para menos que serão devidamente faturadas para o cliente.</t>
  </si>
  <si>
    <t>MATRIZ</t>
  </si>
  <si>
    <t>REPETIÇÃO</t>
  </si>
  <si>
    <t>FACA</t>
  </si>
  <si>
    <t>FORNECEDOR</t>
  </si>
  <si>
    <t>FORMATO</t>
  </si>
  <si>
    <t>PUXADA</t>
  </si>
  <si>
    <t>LARGURA</t>
  </si>
  <si>
    <t>REP</t>
  </si>
  <si>
    <t>CIL</t>
  </si>
  <si>
    <t>COL</t>
  </si>
  <si>
    <t>MAQ</t>
  </si>
  <si>
    <t>MLC</t>
  </si>
  <si>
    <t>ESPECIAL</t>
  </si>
  <si>
    <t>TERMICA</t>
  </si>
  <si>
    <t>LARGURA /100 * 220</t>
  </si>
  <si>
    <t>LARGURA /100 * 180</t>
  </si>
  <si>
    <t>DESENHADA</t>
  </si>
  <si>
    <t>TROCA PRODUTO</t>
  </si>
  <si>
    <t>PERDA ACERTO</t>
  </si>
  <si>
    <t>HORA TROCA PRODUTO</t>
  </si>
  <si>
    <t>HORA TROCA BOBINA</t>
  </si>
  <si>
    <t>PERDA TROCA BOBINA M2</t>
  </si>
  <si>
    <t xml:space="preserve">VALOR MAQUINA </t>
  </si>
  <si>
    <t>VALOR TROCA PRODUTO</t>
  </si>
  <si>
    <t>VALOR TROCA BOBINA</t>
  </si>
  <si>
    <t>RETA</t>
  </si>
  <si>
    <t>PERFIL</t>
  </si>
  <si>
    <t>CORREIOS</t>
  </si>
  <si>
    <t>10,0X8,0</t>
  </si>
  <si>
    <t>PEIXOTO</t>
  </si>
  <si>
    <t>10,0X6,0</t>
  </si>
  <si>
    <t>SANTA CLARA</t>
  </si>
  <si>
    <t>6,0X3,3</t>
  </si>
  <si>
    <t>LOGISTICA</t>
  </si>
  <si>
    <t>ORTHOMED</t>
  </si>
  <si>
    <t>BETA / 160  / 250 / ETIRAMA</t>
  </si>
  <si>
    <t>HM</t>
  </si>
  <si>
    <t>MAQUINA</t>
  </si>
  <si>
    <t>BETA</t>
  </si>
  <si>
    <t>ETIRAMA</t>
  </si>
  <si>
    <t>MAQUINA RODA SERVIÇO</t>
  </si>
  <si>
    <t>COLUNA REBOBINAÇÃO</t>
  </si>
  <si>
    <t>TITA</t>
  </si>
  <si>
    <t>QUALIFLEXO</t>
  </si>
  <si>
    <t xml:space="preserve"> </t>
  </si>
  <si>
    <t>CÁLCULO DOS VALORES</t>
  </si>
  <si>
    <t>Somente no 1º pedido</t>
  </si>
  <si>
    <t>METALFLEXO</t>
  </si>
  <si>
    <t>**</t>
  </si>
  <si>
    <t>BETAFLEX</t>
  </si>
  <si>
    <t xml:space="preserve">CONJUGADA </t>
  </si>
  <si>
    <t xml:space="preserve">Nº FACAS </t>
  </si>
  <si>
    <t xml:space="preserve">CLIENTE </t>
  </si>
  <si>
    <t xml:space="preserve">ESP. SYNGENTA </t>
  </si>
  <si>
    <t xml:space="preserve">QUALIFLEXO </t>
  </si>
  <si>
    <t>*</t>
  </si>
  <si>
    <t>LAB. SÃO JOSE ACRED</t>
  </si>
  <si>
    <t>NÃO USAR A FACA SÃO JOSE</t>
  </si>
  <si>
    <t xml:space="preserve">PERFIL </t>
  </si>
  <si>
    <t xml:space="preserve">REI DO BARALHO </t>
  </si>
  <si>
    <t>PORTA FACAS</t>
  </si>
  <si>
    <t>ETI / REF</t>
  </si>
  <si>
    <t>RESINO</t>
  </si>
  <si>
    <t>REF</t>
  </si>
  <si>
    <t xml:space="preserve">VERDURAS </t>
  </si>
  <si>
    <t>CASA SHAMPOO</t>
  </si>
  <si>
    <t>MANSU</t>
  </si>
  <si>
    <t>REDONDA</t>
  </si>
  <si>
    <t>Ø 0,9</t>
  </si>
  <si>
    <t>Ø  2,0</t>
  </si>
  <si>
    <t>SOUZA CRUZ</t>
  </si>
  <si>
    <t>DES. MERCADO TABAJARAS</t>
  </si>
  <si>
    <t>Ø 3,2</t>
  </si>
  <si>
    <t>Ø 4,2</t>
  </si>
  <si>
    <t>SORVETERIAS</t>
  </si>
  <si>
    <t>Ø 4,5</t>
  </si>
  <si>
    <t>Ø 5,0</t>
  </si>
  <si>
    <t>2 COL 1 ESTRAGADA</t>
  </si>
  <si>
    <t>Ø 6,0</t>
  </si>
  <si>
    <t>SORVETERIAS 2 FACAS IGUAIS</t>
  </si>
  <si>
    <t>Ø  9,0</t>
  </si>
  <si>
    <t>OVAL 3,0X1,8 E 4,0X2,2</t>
  </si>
  <si>
    <t>OVAL</t>
  </si>
  <si>
    <t>2,4X1,4</t>
  </si>
  <si>
    <t xml:space="preserve">SELECTA </t>
  </si>
  <si>
    <t xml:space="preserve">DES. FLORIC. GABRIELA </t>
  </si>
  <si>
    <t>2,7X4,6</t>
  </si>
  <si>
    <t>MEGA FRUTAS - PIC NA FACA</t>
  </si>
  <si>
    <t>OVAL 2,4X1,4 E 4,0X2,2</t>
  </si>
  <si>
    <t>3,0X1,8</t>
  </si>
  <si>
    <t xml:space="preserve">OVAL 3,0X1,8 E 2,4X1,4 </t>
  </si>
  <si>
    <t>4,0X2,2</t>
  </si>
  <si>
    <t>DES. COOPERVALE</t>
  </si>
  <si>
    <t>4,2X2,5</t>
  </si>
  <si>
    <t>OVAL CALU</t>
  </si>
  <si>
    <t>4,3X3,4</t>
  </si>
  <si>
    <t>LC MILHO</t>
  </si>
  <si>
    <t>4,8X6,8</t>
  </si>
  <si>
    <t>CHÃO DE MINAS</t>
  </si>
  <si>
    <t>OVAL LC MILHO</t>
  </si>
  <si>
    <t>5,8X3,8</t>
  </si>
  <si>
    <t>CALU</t>
  </si>
  <si>
    <t>ESP. 6,0X3,0 TÉRMICA</t>
  </si>
  <si>
    <t>6,3X3,5</t>
  </si>
  <si>
    <t>MERC TABAJARAS</t>
  </si>
  <si>
    <t>6,4X9,4</t>
  </si>
  <si>
    <t xml:space="preserve">BISC REI </t>
  </si>
  <si>
    <t xml:space="preserve">ESPECIAL </t>
  </si>
  <si>
    <t>2,0X1,5</t>
  </si>
  <si>
    <t xml:space="preserve">IMUNO VIDA </t>
  </si>
  <si>
    <t>2,5X5,0</t>
  </si>
  <si>
    <t xml:space="preserve"> 2 COL 1COL ESTRAGADA</t>
  </si>
  <si>
    <t>3,0X2,0</t>
  </si>
  <si>
    <t>D VILLE</t>
  </si>
  <si>
    <t>CIG</t>
  </si>
  <si>
    <t>3,0X2,5</t>
  </si>
  <si>
    <t xml:space="preserve">LOJA DOCE 2 FACAS </t>
  </si>
  <si>
    <t>3,2X1,8</t>
  </si>
  <si>
    <t>3,2X1,2</t>
  </si>
  <si>
    <t>3,3,X2,2</t>
  </si>
  <si>
    <t>REDE LUCAS</t>
  </si>
  <si>
    <t>REFLEXO</t>
  </si>
  <si>
    <t>3,95X2,0</t>
  </si>
  <si>
    <t>JUNCO S/ INTERV</t>
  </si>
  <si>
    <t>ESP. 6,0X4,0 TÉRMICA</t>
  </si>
  <si>
    <t>4,0X4,0</t>
  </si>
  <si>
    <t>SUPER MAXI LACRE</t>
  </si>
  <si>
    <t>5,0x3,0</t>
  </si>
  <si>
    <t>INDUSAT sem intervalo</t>
  </si>
  <si>
    <t>5,3X3,2</t>
  </si>
  <si>
    <t>VULCAFLEX</t>
  </si>
  <si>
    <t>6,0x1,5</t>
  </si>
  <si>
    <t>D VILLE / LOS PALOCOS</t>
  </si>
  <si>
    <t>OVAL 6,5X3,5  ETIR/REF</t>
  </si>
  <si>
    <t>6,0X3,0</t>
  </si>
  <si>
    <t>ESP. 4,0X4,0 - REFLEXO</t>
  </si>
  <si>
    <t>6,0X4,0</t>
  </si>
  <si>
    <t xml:space="preserve">PICOTE </t>
  </si>
  <si>
    <t>6,3X0,6</t>
  </si>
  <si>
    <t>SYNGENTA</t>
  </si>
  <si>
    <t>6,4x3,5</t>
  </si>
  <si>
    <t xml:space="preserve">ETIRAMA </t>
  </si>
  <si>
    <t>6,8x4,8</t>
  </si>
  <si>
    <t>CTBC</t>
  </si>
  <si>
    <t>6,7X0,9</t>
  </si>
  <si>
    <t>7,0x1,5</t>
  </si>
  <si>
    <t>EQUIPLEX</t>
  </si>
  <si>
    <t>7,0X3,48</t>
  </si>
  <si>
    <t xml:space="preserve">FERRO VELHO </t>
  </si>
  <si>
    <t>7,2X1,1</t>
  </si>
  <si>
    <t xml:space="preserve">SUMIRAM </t>
  </si>
  <si>
    <t>7,3x5,2</t>
  </si>
  <si>
    <t>7,4X3,4</t>
  </si>
  <si>
    <t>8,0X7,5</t>
  </si>
  <si>
    <t>8,3x1,9</t>
  </si>
  <si>
    <t>8,5X4,3</t>
  </si>
  <si>
    <t>INDUSAT</t>
  </si>
  <si>
    <t>8,4X5,6</t>
  </si>
  <si>
    <t>8,5x6,0</t>
  </si>
  <si>
    <t>9,0x1,2</t>
  </si>
  <si>
    <t>AMPULHETA</t>
  </si>
  <si>
    <t>9,0X1,9</t>
  </si>
  <si>
    <t>10,0X4,5</t>
  </si>
  <si>
    <t>MAG OFERTÃO</t>
  </si>
  <si>
    <t xml:space="preserve">87 FACA LACRE / ETIRAMA </t>
  </si>
  <si>
    <t>10,0X4,95</t>
  </si>
  <si>
    <t xml:space="preserve">CARTORIO + LACRE </t>
  </si>
  <si>
    <t>10,0X5,47</t>
  </si>
  <si>
    <t>10,0X5,5</t>
  </si>
  <si>
    <t>DAIWA</t>
  </si>
  <si>
    <t>ETI</t>
  </si>
  <si>
    <t>PANSERVICE</t>
  </si>
  <si>
    <t>10,0x7,5</t>
  </si>
  <si>
    <t xml:space="preserve">VIVA ESQUADRIAS </t>
  </si>
  <si>
    <t>10,5x7,0</t>
  </si>
  <si>
    <t>SABOR DA ROÇA</t>
  </si>
  <si>
    <t>10,6X2,0</t>
  </si>
  <si>
    <t>11,0X9,0</t>
  </si>
  <si>
    <t>INOVAFIX</t>
  </si>
  <si>
    <t>11,5X10,0</t>
  </si>
  <si>
    <t xml:space="preserve">DESPACHO </t>
  </si>
  <si>
    <t>12,8X5,0</t>
  </si>
  <si>
    <t>12,6X8,0</t>
  </si>
  <si>
    <t>BIOPHARMA</t>
  </si>
  <si>
    <t>12,9X7,0</t>
  </si>
  <si>
    <t xml:space="preserve">CAFÉ DUBOM </t>
  </si>
  <si>
    <t>15,0X3,0</t>
  </si>
  <si>
    <t>C/ PICOTE SUNQ</t>
  </si>
  <si>
    <t>16,0X7,0</t>
  </si>
  <si>
    <t xml:space="preserve">REF UDIA </t>
  </si>
  <si>
    <t>18,9x5,0</t>
  </si>
  <si>
    <t>FRIGO FAVA</t>
  </si>
  <si>
    <t>LACRE</t>
  </si>
  <si>
    <t>19,8X10,0</t>
  </si>
  <si>
    <t>SUNQUIMICA</t>
  </si>
  <si>
    <t>22,7x10,5</t>
  </si>
  <si>
    <t>DES NOSSO PÃO</t>
  </si>
  <si>
    <t>3,4X1,4</t>
  </si>
  <si>
    <t xml:space="preserve">INDUSAT </t>
  </si>
  <si>
    <t>DES INDUSAT</t>
  </si>
  <si>
    <t>4,8X4,0</t>
  </si>
  <si>
    <t xml:space="preserve">NOSSO PÃO </t>
  </si>
  <si>
    <t>5,5X3,5</t>
  </si>
  <si>
    <t xml:space="preserve">COOPERVALE </t>
  </si>
  <si>
    <t>5,7X3,0</t>
  </si>
  <si>
    <t>GABRIELA FLORES</t>
  </si>
  <si>
    <t>RETA 1,3</t>
  </si>
  <si>
    <t>6,9X2,7</t>
  </si>
  <si>
    <t>SÃO JOSE</t>
  </si>
  <si>
    <t>8,7X7,5</t>
  </si>
  <si>
    <t>9,1X6,5</t>
  </si>
  <si>
    <t>MAX GAS</t>
  </si>
  <si>
    <t>17,7X3,5</t>
  </si>
  <si>
    <t>TABAJARAS</t>
  </si>
  <si>
    <t>GÔNDOLA</t>
  </si>
  <si>
    <t>16,2X5</t>
  </si>
  <si>
    <t>HORTIS</t>
  </si>
  <si>
    <t>10X4,5</t>
  </si>
  <si>
    <t>10X4,95</t>
  </si>
  <si>
    <t>AUTO SOCORRO PH</t>
  </si>
  <si>
    <t>10X7,5</t>
  </si>
  <si>
    <t>VIVA ESQUADRIAS</t>
  </si>
  <si>
    <t>CORTE LONG</t>
  </si>
  <si>
    <t>GAP</t>
  </si>
  <si>
    <t>DAIWA / ORTHOMED</t>
  </si>
  <si>
    <t>ESP 3,6X5,5</t>
  </si>
  <si>
    <t>BET / REF</t>
  </si>
  <si>
    <t>DES 6,35X10,0</t>
  </si>
  <si>
    <t>DES 7,8X4,9</t>
  </si>
  <si>
    <t>RETA/ ESP</t>
  </si>
  <si>
    <t>MARICOTA</t>
  </si>
  <si>
    <t>SEM INTERVALO</t>
  </si>
  <si>
    <t xml:space="preserve">ESP 9,8X6,0 usa reta </t>
  </si>
  <si>
    <t>UBERTRATORES</t>
  </si>
  <si>
    <t>REDE INTEGRAÇÃO</t>
  </si>
  <si>
    <t>SIGNO PLUS</t>
  </si>
  <si>
    <t>RED. 10,5 , OVAL 10,5X6,1</t>
  </si>
  <si>
    <t>PRO SABOR</t>
  </si>
  <si>
    <t>RED. 6,9, OVAL 10,5X6,1</t>
  </si>
  <si>
    <t>CREMOSINHO</t>
  </si>
  <si>
    <t>DES 9,2X6,0, OVAL 4,5X2,2</t>
  </si>
  <si>
    <t>4,5X2,0</t>
  </si>
  <si>
    <t>DES 9,2X6,0, RED 9,1</t>
  </si>
  <si>
    <t>4,7X6,0</t>
  </si>
  <si>
    <t>SCALA</t>
  </si>
  <si>
    <t>DES 4,7X7,5 / 4,7X3,8</t>
  </si>
  <si>
    <t>10,5X6,1</t>
  </si>
  <si>
    <t>ALVES E MORAES</t>
  </si>
  <si>
    <t>RED. 10,5 , RED 6,9</t>
  </si>
  <si>
    <t>MADRECOR</t>
  </si>
  <si>
    <t>DES. 9X1,2</t>
  </si>
  <si>
    <t>HOSPITAIS</t>
  </si>
  <si>
    <t>IPAC</t>
  </si>
  <si>
    <t>6,4X8,5 BETA</t>
  </si>
  <si>
    <t xml:space="preserve">FACA </t>
  </si>
  <si>
    <t>4,0X3,9</t>
  </si>
  <si>
    <t>TÉRMICA</t>
  </si>
  <si>
    <t>C/ INTERVALO 2 FACAS</t>
  </si>
  <si>
    <t>C/ INTER 3 E 6 COL TEM 2 FACAS</t>
  </si>
  <si>
    <t>3,6X5,5</t>
  </si>
  <si>
    <t>NHO BENTO</t>
  </si>
  <si>
    <t xml:space="preserve">RETA 4CM </t>
  </si>
  <si>
    <t>5,0x4,0</t>
  </si>
  <si>
    <t>REIMASSAS</t>
  </si>
  <si>
    <t>C/ INTERVALO</t>
  </si>
  <si>
    <t>5,0X10</t>
  </si>
  <si>
    <t>sem int ALEX MUSSI</t>
  </si>
  <si>
    <t>5,0x15,9</t>
  </si>
  <si>
    <t xml:space="preserve">RESINO </t>
  </si>
  <si>
    <t>6,0x3,0</t>
  </si>
  <si>
    <t>6,0X7,0</t>
  </si>
  <si>
    <t>6,0X9,8</t>
  </si>
  <si>
    <t>CASA FRANGO</t>
  </si>
  <si>
    <t>RETA 10CM</t>
  </si>
  <si>
    <t>6,0X11,5</t>
  </si>
  <si>
    <t>SUPER MAXI</t>
  </si>
  <si>
    <t>FACA 1</t>
  </si>
  <si>
    <t>FACA 2</t>
  </si>
  <si>
    <t>8,0x7,5</t>
  </si>
  <si>
    <t>9,5X3,3</t>
  </si>
  <si>
    <t>REMALINA SELECTA</t>
  </si>
  <si>
    <t>ESP 10X4</t>
  </si>
  <si>
    <t>9,0x6,0</t>
  </si>
  <si>
    <t>CORREIO</t>
  </si>
  <si>
    <t>9,5X12,0</t>
  </si>
  <si>
    <t>IPAC (SORO)</t>
  </si>
  <si>
    <t>PICOTE</t>
  </si>
  <si>
    <t>10,0x3,0</t>
  </si>
  <si>
    <t>10,0X3,5</t>
  </si>
  <si>
    <t>ARCOM</t>
  </si>
  <si>
    <t>10,0x4,0</t>
  </si>
  <si>
    <t>ESP 9,5X3,3</t>
  </si>
  <si>
    <t>10,0x4,95</t>
  </si>
  <si>
    <t>AMERICANAS</t>
  </si>
  <si>
    <t>10,0x5,0</t>
  </si>
  <si>
    <t xml:space="preserve">TRANSLOG ARGUTO </t>
  </si>
  <si>
    <t>INTERVALO ERRADO</t>
  </si>
  <si>
    <t>10,0x8,0</t>
  </si>
  <si>
    <t>10,0X10,0</t>
  </si>
  <si>
    <t>***</t>
  </si>
  <si>
    <t>DHL</t>
  </si>
  <si>
    <t>10,5X3,6</t>
  </si>
  <si>
    <t>10,6x6,05</t>
  </si>
  <si>
    <t>SUPPORTE</t>
  </si>
  <si>
    <t>14,9X10,5</t>
  </si>
  <si>
    <t xml:space="preserve">CORREIOS </t>
  </si>
  <si>
    <t>19,0X15,0</t>
  </si>
  <si>
    <t>START</t>
  </si>
  <si>
    <t>4,7X3,8</t>
  </si>
  <si>
    <t>MILHO FORTE</t>
  </si>
  <si>
    <t>OVAL 4,7X6,0/ DES 4,7X7,5</t>
  </si>
  <si>
    <t>7,5x4,7</t>
  </si>
  <si>
    <t>MINAS PEPPER</t>
  </si>
  <si>
    <t>OVAL 4,7X6,0/ DES 4,7X3,8</t>
  </si>
  <si>
    <t>8,5x6,4</t>
  </si>
  <si>
    <t>DOCELÂNDIA</t>
  </si>
  <si>
    <t>ESP 5,0X3,0</t>
  </si>
  <si>
    <t>7,8X4,9</t>
  </si>
  <si>
    <t>FAMA DOCES</t>
  </si>
  <si>
    <t>RETA 8,1</t>
  </si>
  <si>
    <t>9,0X1,2</t>
  </si>
  <si>
    <t>HOSP. AMPULHETA</t>
  </si>
  <si>
    <t>ESP 3,2X1,2</t>
  </si>
  <si>
    <t>9,2X6,0</t>
  </si>
  <si>
    <t>OVAL 4,5X2,0, RED 9,1</t>
  </si>
  <si>
    <t>9,8X6,0</t>
  </si>
  <si>
    <t>RETA 10</t>
  </si>
  <si>
    <t>18,5X4,7</t>
  </si>
  <si>
    <t>DURALAR</t>
  </si>
  <si>
    <t>RED 9,1/ OVAL 4,5X2,0/DES 9,2X6,0</t>
  </si>
  <si>
    <t>10,0x6,35</t>
  </si>
  <si>
    <t>RETA 6,6</t>
  </si>
  <si>
    <t>21,0X4,0</t>
  </si>
  <si>
    <t>21,0X7,0</t>
  </si>
  <si>
    <t>14,0X3,0</t>
  </si>
  <si>
    <t>20,0X3,0</t>
  </si>
  <si>
    <t>10x5</t>
  </si>
  <si>
    <t>AMERICANA</t>
  </si>
  <si>
    <t>SERRILHA / 5 CERTOS</t>
  </si>
  <si>
    <t>SERRILHA</t>
  </si>
  <si>
    <t>CORTE</t>
  </si>
  <si>
    <t>REMALINA</t>
  </si>
  <si>
    <t>não achou a faca</t>
  </si>
  <si>
    <t>BETA / ETI</t>
  </si>
  <si>
    <t xml:space="preserve">BETA </t>
  </si>
  <si>
    <t>MELHOR DE MINAS</t>
  </si>
  <si>
    <t xml:space="preserve">FACA CONSERTO </t>
  </si>
  <si>
    <t>**.</t>
  </si>
  <si>
    <t>DAKI</t>
  </si>
  <si>
    <t>GRAF. CONFIANÇA</t>
  </si>
  <si>
    <t>NIWNEY/NAGLE</t>
  </si>
  <si>
    <t>EMPORIO CASTANHAS</t>
  </si>
  <si>
    <t>SORV. MATIAS</t>
  </si>
  <si>
    <t>BOTTONS</t>
  </si>
  <si>
    <t>1 COLUNA ESTRAGADA</t>
  </si>
  <si>
    <t>FRUTOS DA TERRA</t>
  </si>
  <si>
    <t>BOX CHICO/QUEIJO</t>
  </si>
  <si>
    <t>1,5x2,7</t>
  </si>
  <si>
    <t>CITROBELL</t>
  </si>
  <si>
    <t>3,1X2,1</t>
  </si>
  <si>
    <t>PAPAYA TRIANG.</t>
  </si>
  <si>
    <t xml:space="preserve">METALFLEXO </t>
  </si>
  <si>
    <t>2,8x4,3</t>
  </si>
  <si>
    <t>3,0x4,8</t>
  </si>
  <si>
    <t>SELECTA</t>
  </si>
  <si>
    <t>3,0x6,6</t>
  </si>
  <si>
    <t>3,8x7,2</t>
  </si>
  <si>
    <t>DELÍCIAS DO MILHO</t>
  </si>
  <si>
    <t>7,5X4,8</t>
  </si>
  <si>
    <t>9,6X6,5</t>
  </si>
  <si>
    <t>PARA LAMINAÇÃO</t>
  </si>
  <si>
    <t>COUCHE</t>
  </si>
  <si>
    <t>12,5X8,7</t>
  </si>
  <si>
    <t>CAR. LANCHES</t>
  </si>
  <si>
    <t>14,0X9,3</t>
  </si>
  <si>
    <t>EXPRESSO ALIM.</t>
  </si>
  <si>
    <t>1,5x24,5</t>
  </si>
  <si>
    <t>OF. QUEIJO</t>
  </si>
  <si>
    <t>3,2X1,6</t>
  </si>
  <si>
    <t>MILI BIJOUX</t>
  </si>
  <si>
    <t>3,8X2,8</t>
  </si>
  <si>
    <t>SUPER BIJOUX</t>
  </si>
  <si>
    <t>TERMICAS</t>
  </si>
  <si>
    <t xml:space="preserve">                   BETA</t>
  </si>
  <si>
    <t>4,1X2,0</t>
  </si>
  <si>
    <t>5,0x2,0</t>
  </si>
  <si>
    <t>5,0X2,5</t>
  </si>
  <si>
    <t xml:space="preserve">                        C/  INTERVALO</t>
  </si>
  <si>
    <t>5,0X3,3</t>
  </si>
  <si>
    <t>BOX DO CHICO</t>
  </si>
  <si>
    <t>6,0x3,3</t>
  </si>
  <si>
    <t>LOGÍSTICA</t>
  </si>
  <si>
    <t>TÉRMICAS</t>
  </si>
  <si>
    <t>6,8X4,8</t>
  </si>
  <si>
    <t>QUEIJO MILITÃO</t>
  </si>
  <si>
    <t>7,0x4,0</t>
  </si>
  <si>
    <t>PATI BO</t>
  </si>
  <si>
    <t>7,0x5,0</t>
  </si>
  <si>
    <t>8,0X2,9</t>
  </si>
  <si>
    <t>9,0X2,4</t>
  </si>
  <si>
    <t>FARMA</t>
  </si>
  <si>
    <t>9,5X3,51</t>
  </si>
  <si>
    <t>C/ PICOTE</t>
  </si>
  <si>
    <t>9,5X3,0</t>
  </si>
  <si>
    <t>LIDER</t>
  </si>
  <si>
    <t>10,5X5,1</t>
  </si>
  <si>
    <t>10,5X6,0</t>
  </si>
  <si>
    <t>10,5X7,2</t>
  </si>
  <si>
    <t>UDIFRIOS</t>
  </si>
  <si>
    <t>11,0X3,43</t>
  </si>
  <si>
    <t>SAÚDE TOTAL</t>
  </si>
  <si>
    <t>11,2X2,0</t>
  </si>
  <si>
    <t>12,0x6,0</t>
  </si>
  <si>
    <t>FLAMBOYANT</t>
  </si>
  <si>
    <t>12,0x14,6</t>
  </si>
  <si>
    <t>13,0X7,2</t>
  </si>
  <si>
    <t>13,1x8,0</t>
  </si>
  <si>
    <t>13,3x10,5</t>
  </si>
  <si>
    <t>ESPETO MANIA</t>
  </si>
  <si>
    <t>14,6x7,3</t>
  </si>
  <si>
    <t>15,9x10,5</t>
  </si>
  <si>
    <t>ESPETO/DNA DINDA</t>
  </si>
  <si>
    <t>17,8x10,5</t>
  </si>
  <si>
    <t>15,3X7,2</t>
  </si>
  <si>
    <t>PRECIOSO/NUNES</t>
  </si>
  <si>
    <t>19,7x4,0</t>
  </si>
  <si>
    <t>PICOTE /MINAS PATIO</t>
  </si>
  <si>
    <t>19,7x6,9</t>
  </si>
  <si>
    <t>SA ALIMENTOS</t>
  </si>
  <si>
    <t>19,7x7,9</t>
  </si>
  <si>
    <t>19,7x10,0</t>
  </si>
  <si>
    <t>RESINA</t>
  </si>
  <si>
    <t>21,1x14,8</t>
  </si>
  <si>
    <t xml:space="preserve">SOUZA CRUZ </t>
  </si>
  <si>
    <t>30,7x10,5</t>
  </si>
  <si>
    <t>SUNQUÍMICA</t>
  </si>
  <si>
    <t xml:space="preserve">FAMA </t>
  </si>
  <si>
    <t>2,5X1,5</t>
  </si>
  <si>
    <t>3,0X2,8</t>
  </si>
  <si>
    <t>CHOC. BRASIL</t>
  </si>
  <si>
    <t>3,2X2,1</t>
  </si>
  <si>
    <t>CENTRAL GARDEN</t>
  </si>
  <si>
    <t>3,4X2,2</t>
  </si>
  <si>
    <t>PET SHOP EST.</t>
  </si>
  <si>
    <t>4,0X1,0</t>
  </si>
  <si>
    <t>4,1X1,0</t>
  </si>
  <si>
    <t>EMELL/FARMA</t>
  </si>
  <si>
    <t>4,0X2,1</t>
  </si>
  <si>
    <t>VIVA DIET</t>
  </si>
  <si>
    <t>4,5X2,6</t>
  </si>
  <si>
    <t>4,6x2,5</t>
  </si>
  <si>
    <t>5,3X4,7</t>
  </si>
  <si>
    <t>SOS ALIMENTOS</t>
  </si>
  <si>
    <t>5,5X3,3</t>
  </si>
  <si>
    <t>5,8x3,0</t>
  </si>
  <si>
    <t>DONNUTS</t>
  </si>
  <si>
    <t>DOCES JOANINHA</t>
  </si>
  <si>
    <t>6,0X4,5</t>
  </si>
  <si>
    <t>6,0X4,9</t>
  </si>
  <si>
    <t>DOCE MANIA</t>
  </si>
  <si>
    <t>6,0X5,0</t>
  </si>
  <si>
    <t>6,5X4,15</t>
  </si>
  <si>
    <t>6,5X5,0</t>
  </si>
  <si>
    <t>BOM DE MINAS</t>
  </si>
  <si>
    <t>7,5X6,5</t>
  </si>
  <si>
    <t>PANIF. REGIA</t>
  </si>
  <si>
    <t>8,9X6,1</t>
  </si>
  <si>
    <t>HERMON</t>
  </si>
  <si>
    <t>9,0X1,3</t>
  </si>
  <si>
    <t>BIJOUX</t>
  </si>
  <si>
    <t>9,1X7,1</t>
  </si>
  <si>
    <t>MARMOREIO</t>
  </si>
  <si>
    <t>9,3X7,4</t>
  </si>
  <si>
    <t>DELICIAS ARAXÁ</t>
  </si>
  <si>
    <t>9,5x9,2</t>
  </si>
  <si>
    <t>FAZ. JARDIM</t>
  </si>
  <si>
    <t>9,6X5,8</t>
  </si>
  <si>
    <t>SUSPIRINHO</t>
  </si>
  <si>
    <t>9,5X7,9</t>
  </si>
  <si>
    <t>CACHAÇA GOIAN.</t>
  </si>
  <si>
    <t>9,7X7,6</t>
  </si>
  <si>
    <t>10,0X6,35</t>
  </si>
  <si>
    <t>10,4X6,5</t>
  </si>
  <si>
    <t>10,5X5,7</t>
  </si>
  <si>
    <t>SABORAÍ</t>
  </si>
  <si>
    <t>10,5x7,8</t>
  </si>
  <si>
    <t>10,5X6,5</t>
  </si>
  <si>
    <t>10,5X7,0</t>
  </si>
  <si>
    <t>RIC SAR</t>
  </si>
  <si>
    <t>TOMATE CEREJA</t>
  </si>
  <si>
    <t>10,5X8,8</t>
  </si>
  <si>
    <t>VO CLEUSA</t>
  </si>
  <si>
    <t>10,5X9,2</t>
  </si>
  <si>
    <t>GOIANINHA</t>
  </si>
  <si>
    <t>10,6X4,2</t>
  </si>
  <si>
    <t>AGROLEITE</t>
  </si>
  <si>
    <t>10,6X5,8</t>
  </si>
  <si>
    <t>11,5X6,45</t>
  </si>
  <si>
    <t>ALFA E BETO</t>
  </si>
  <si>
    <t>12,0X7,8</t>
  </si>
  <si>
    <t>RAREPAN</t>
  </si>
  <si>
    <t>12,1X5,7</t>
  </si>
  <si>
    <t>12,1X6,55</t>
  </si>
  <si>
    <t>13,35X2,0</t>
  </si>
  <si>
    <t>13,3X5,1</t>
  </si>
  <si>
    <t>13,3X7,0</t>
  </si>
  <si>
    <t>13,4X8,0</t>
  </si>
  <si>
    <t>AÇAÍ NATIVO</t>
  </si>
  <si>
    <t>13,3X9,0</t>
  </si>
  <si>
    <t>EMELL</t>
  </si>
  <si>
    <t>EMEL ESPELHADA</t>
  </si>
  <si>
    <t>14,0X6,5</t>
  </si>
  <si>
    <t>TAPEÇARIA S. LUIS</t>
  </si>
  <si>
    <t>14,2X9,7</t>
  </si>
  <si>
    <t>GERRE</t>
  </si>
  <si>
    <t>14,4X6,5</t>
  </si>
  <si>
    <t>14,6X4,9</t>
  </si>
  <si>
    <t>14,6X9,5</t>
  </si>
  <si>
    <t>15,0X4,85</t>
  </si>
  <si>
    <t>FOX CLUB</t>
  </si>
  <si>
    <t>15,0X8,7</t>
  </si>
  <si>
    <t>LUCITAR</t>
  </si>
  <si>
    <t>15,8X5,05</t>
  </si>
  <si>
    <t>15,9X7,0</t>
  </si>
  <si>
    <t>15,9X11</t>
  </si>
  <si>
    <t>17,5X14,5</t>
  </si>
  <si>
    <t>DONA DINDA</t>
  </si>
  <si>
    <t>18,75X4,5</t>
  </si>
  <si>
    <t>19,6X5,05</t>
  </si>
  <si>
    <t xml:space="preserve">DAKI </t>
  </si>
  <si>
    <t>19,6X5,6</t>
  </si>
  <si>
    <t>19,7X6,2</t>
  </si>
  <si>
    <t>AÇAI NATIVO</t>
  </si>
  <si>
    <t>24,5X5,5</t>
  </si>
  <si>
    <t>NATIVA/QDELIS</t>
  </si>
  <si>
    <t>5,0X2,0</t>
  </si>
  <si>
    <t>VULCAFLEX LACRE</t>
  </si>
  <si>
    <t xml:space="preserve">EMELL COM INTERVALO </t>
  </si>
  <si>
    <t>7X5</t>
  </si>
  <si>
    <t>9,5X3,5</t>
  </si>
  <si>
    <t>29,2X2,5</t>
  </si>
  <si>
    <t xml:space="preserve">PULSEIRA </t>
  </si>
  <si>
    <t>19,7X4,0</t>
  </si>
  <si>
    <t>MINAS PATIO</t>
  </si>
  <si>
    <t xml:space="preserve">REMALINA </t>
  </si>
  <si>
    <t xml:space="preserve">CORTE TOTAL </t>
  </si>
  <si>
    <t xml:space="preserve">CORTE LONGITUDINAL </t>
  </si>
  <si>
    <t>REFLEXO 250</t>
  </si>
  <si>
    <t xml:space="preserve">CALU </t>
  </si>
  <si>
    <t xml:space="preserve">RETA </t>
  </si>
  <si>
    <t>ATÉ 10,0 LARGURA</t>
  </si>
  <si>
    <t xml:space="preserve">ADVANTA </t>
  </si>
  <si>
    <t xml:space="preserve">ABELHINHA </t>
  </si>
  <si>
    <t xml:space="preserve">D VILLE </t>
  </si>
  <si>
    <t>CONJ BOX DO CHICO</t>
  </si>
  <si>
    <t>9,7X7,0</t>
  </si>
  <si>
    <t>10,5X7,1</t>
  </si>
  <si>
    <t>12,0x6,4</t>
  </si>
  <si>
    <t>DOCES ABAETE</t>
  </si>
  <si>
    <t>5,0X7,0</t>
  </si>
  <si>
    <t>5,9X4,0</t>
  </si>
  <si>
    <t>SUPERMERCADO</t>
  </si>
  <si>
    <t>5,9X5,0</t>
  </si>
  <si>
    <t xml:space="preserve">SUPER MAXI </t>
  </si>
  <si>
    <t>6,0x12,0</t>
  </si>
  <si>
    <t>6,0x11,0</t>
  </si>
  <si>
    <t>7,2X6,1</t>
  </si>
  <si>
    <t xml:space="preserve">COQUEIROS </t>
  </si>
  <si>
    <t>7,95X4,0</t>
  </si>
  <si>
    <t>MERCADO LIVRE</t>
  </si>
  <si>
    <t>8,5x4,3</t>
  </si>
  <si>
    <t xml:space="preserve">TERMICA STA GENOVEVA </t>
  </si>
  <si>
    <t>8,0X8,0</t>
  </si>
  <si>
    <t>SABORIO</t>
  </si>
  <si>
    <t>BOTHANICA</t>
  </si>
  <si>
    <t>TURBO ERVAS</t>
  </si>
  <si>
    <t>10,0X3,0</t>
  </si>
  <si>
    <t>10,0X7,8</t>
  </si>
  <si>
    <t>SEM DONO</t>
  </si>
  <si>
    <t>10,5X3,0</t>
  </si>
  <si>
    <t>PHORMULA</t>
  </si>
  <si>
    <t>10,7X3,7</t>
  </si>
  <si>
    <t>10,5x19,7</t>
  </si>
  <si>
    <t xml:space="preserve">ESPETO MANIA </t>
  </si>
  <si>
    <t>11,5x9,7</t>
  </si>
  <si>
    <t>IRINEU</t>
  </si>
  <si>
    <t>12,0X5,0</t>
  </si>
  <si>
    <t>MELORY</t>
  </si>
  <si>
    <t>14,6X2,0</t>
  </si>
  <si>
    <t>LACRE DE QUALIDADE</t>
  </si>
  <si>
    <t>17,7X8,0</t>
  </si>
  <si>
    <t>LAUDO</t>
  </si>
  <si>
    <t>17,8X7,5</t>
  </si>
  <si>
    <t>GUARANA MINEIRO</t>
  </si>
  <si>
    <t>23,0X4,5</t>
  </si>
  <si>
    <t xml:space="preserve">SUPER MAXI SUCOS </t>
  </si>
  <si>
    <t>19,7X9,0</t>
  </si>
  <si>
    <t>4,5X6,3</t>
  </si>
  <si>
    <t xml:space="preserve">TEMPERO 2 IRMÃOS </t>
  </si>
  <si>
    <t xml:space="preserve">DESENHADA </t>
  </si>
  <si>
    <t>SUPER MAXI FEITO PARA VC</t>
  </si>
  <si>
    <t xml:space="preserve">BABUSKA </t>
  </si>
  <si>
    <t>4,7X3,0</t>
  </si>
  <si>
    <t>4,7X4,4</t>
  </si>
  <si>
    <t>5,0x3,5</t>
  </si>
  <si>
    <t>SELO DE QUALIDADE</t>
  </si>
  <si>
    <t>5,2X7,8</t>
  </si>
  <si>
    <t xml:space="preserve">REDE LUCAS SUCOS </t>
  </si>
  <si>
    <t>5,4X4,5</t>
  </si>
  <si>
    <t>6,0x4,0</t>
  </si>
  <si>
    <t xml:space="preserve">SUPER MAXI PRATOS PRONTOS </t>
  </si>
  <si>
    <t>6,0X5,7</t>
  </si>
  <si>
    <t>CORAÇÃO</t>
  </si>
  <si>
    <t>6,5X6,1</t>
  </si>
  <si>
    <t>6,8X5,7</t>
  </si>
  <si>
    <t>CHÃO DE MINAS PEQ</t>
  </si>
  <si>
    <t>7,1X6,0</t>
  </si>
  <si>
    <t>AMANDA</t>
  </si>
  <si>
    <t>8,0x5,7</t>
  </si>
  <si>
    <t>8,0X6,0</t>
  </si>
  <si>
    <t>SUPER MAXI AÇOUGUE</t>
  </si>
  <si>
    <t>8,5x4,6</t>
  </si>
  <si>
    <t>MAMÃO</t>
  </si>
  <si>
    <t>8,6X6,6</t>
  </si>
  <si>
    <t>BADIÃO</t>
  </si>
  <si>
    <t>8,7x14,6</t>
  </si>
  <si>
    <t>9,7X6,0</t>
  </si>
  <si>
    <t xml:space="preserve">SPICE BOX </t>
  </si>
  <si>
    <t>9,7X6,4</t>
  </si>
  <si>
    <t>DOCES BARBAROS</t>
  </si>
  <si>
    <t>9,9x8,7</t>
  </si>
  <si>
    <t>FARINHAS</t>
  </si>
  <si>
    <t>BAKED BROWNIE</t>
  </si>
  <si>
    <t>10,0X7,16</t>
  </si>
  <si>
    <t xml:space="preserve">TERRA MINEIRA </t>
  </si>
  <si>
    <t>10,2X8,7</t>
  </si>
  <si>
    <t>QUEIJINHO</t>
  </si>
  <si>
    <t>10,4X8,7</t>
  </si>
  <si>
    <t>CHÃO DE MINAS GRANDE</t>
  </si>
  <si>
    <t>10,5X9,7</t>
  </si>
  <si>
    <t xml:space="preserve">FARINHAS </t>
  </si>
  <si>
    <t>11,1X4,5</t>
  </si>
  <si>
    <t>11,0x9,7</t>
  </si>
  <si>
    <t>TREBESHI</t>
  </si>
  <si>
    <t>13,0X6,15</t>
  </si>
  <si>
    <t>SABORAI</t>
  </si>
  <si>
    <t>13,5X9,7</t>
  </si>
  <si>
    <t xml:space="preserve">DOCES FLÁVIA </t>
  </si>
  <si>
    <t>13,7X8,7</t>
  </si>
  <si>
    <t>14,6X7,4</t>
  </si>
  <si>
    <t>14,6X10,5</t>
  </si>
  <si>
    <t>CASINHA</t>
  </si>
  <si>
    <t>14,6X12,3</t>
  </si>
  <si>
    <t>14,6X13,0</t>
  </si>
  <si>
    <t xml:space="preserve">VO CLEUSA </t>
  </si>
  <si>
    <t>17,8X6,8</t>
  </si>
  <si>
    <t>FAMA</t>
  </si>
  <si>
    <t>19,5X6,0</t>
  </si>
  <si>
    <t>22,0x5,0</t>
  </si>
  <si>
    <t>30,7X3,0</t>
  </si>
  <si>
    <t>SUPER MAXI PADARIA</t>
  </si>
  <si>
    <t>30,7X3,5</t>
  </si>
  <si>
    <t>30,7X6,3</t>
  </si>
  <si>
    <t xml:space="preserve">SUPER MAXI SALADA DE FRUTAS </t>
  </si>
  <si>
    <t>6,7X9,7</t>
  </si>
  <si>
    <t>4,3X6,3</t>
  </si>
  <si>
    <t>LEAL / LUNASA</t>
  </si>
  <si>
    <t>9X2,4</t>
  </si>
  <si>
    <t>CORTE LONGITUDINAL</t>
  </si>
  <si>
    <t>MODULAR SPX</t>
  </si>
  <si>
    <t>13X10,6</t>
  </si>
  <si>
    <t>19,7X9</t>
  </si>
  <si>
    <t>20,5X15</t>
  </si>
  <si>
    <t>30,1X3,0</t>
  </si>
  <si>
    <t xml:space="preserve">SUPER MAXI PADARIA </t>
  </si>
  <si>
    <t>30,1X6,3</t>
  </si>
  <si>
    <t xml:space="preserve">SUPER MAXI SALADA </t>
  </si>
  <si>
    <t>14,6X8,8</t>
  </si>
  <si>
    <t>19,7X5,0</t>
  </si>
  <si>
    <t>10,1X9,0</t>
  </si>
  <si>
    <t>MOREA</t>
  </si>
  <si>
    <t>Column15</t>
  </si>
  <si>
    <t>Column16</t>
  </si>
  <si>
    <t>DATA</t>
  </si>
  <si>
    <t>VENDEDOR</t>
  </si>
  <si>
    <t>DESCRIÇÃO SERVIÇO</t>
  </si>
  <si>
    <t>10,0x7,0</t>
  </si>
  <si>
    <t>ACABAMENTO</t>
  </si>
  <si>
    <t>260 ml x larg</t>
  </si>
  <si>
    <t>270 ml x larg</t>
  </si>
  <si>
    <t>280 ml x larg</t>
  </si>
  <si>
    <t>TUBETE MEDIO</t>
  </si>
  <si>
    <t>1" 1/2</t>
  </si>
  <si>
    <t>SEM ACABAMENTO</t>
  </si>
  <si>
    <t>ofical</t>
  </si>
  <si>
    <t>6 cores</t>
  </si>
  <si>
    <t>7 cores</t>
  </si>
  <si>
    <t>8 cores</t>
  </si>
  <si>
    <t>4 cores+v</t>
  </si>
  <si>
    <t>LAMINAÇÃO</t>
  </si>
  <si>
    <t>PERDA ACABAMENTO</t>
  </si>
  <si>
    <t>LAMINAÇÃO FOSCA</t>
  </si>
  <si>
    <t>COLD STAMP + COLA</t>
  </si>
  <si>
    <t>3,4X2,3</t>
  </si>
  <si>
    <t>4,0X6,0</t>
  </si>
  <si>
    <t>TERMICA AMASSOU 1C</t>
  </si>
  <si>
    <t>7,5X2,5</t>
  </si>
  <si>
    <t>UNICAMP</t>
  </si>
  <si>
    <t>10X7</t>
  </si>
  <si>
    <t xml:space="preserve">SEM DONO </t>
  </si>
  <si>
    <t>12,0X9,3</t>
  </si>
  <si>
    <t>LUNASA, APIARIO</t>
  </si>
  <si>
    <t>5,5X7,5</t>
  </si>
  <si>
    <t xml:space="preserve">APIARIO PEQUENA </t>
  </si>
  <si>
    <t>6,8X11,5</t>
  </si>
  <si>
    <t xml:space="preserve">APIARIO </t>
  </si>
  <si>
    <t>8,0X12,4</t>
  </si>
  <si>
    <t>BRAHVA</t>
  </si>
  <si>
    <t>9,9X5,9</t>
  </si>
  <si>
    <t>VIEIRA TANNUS</t>
  </si>
  <si>
    <t>APIARIO</t>
  </si>
  <si>
    <t>11,4X6,5</t>
  </si>
  <si>
    <t>LUNASA</t>
  </si>
  <si>
    <t>12,0X9,5</t>
  </si>
  <si>
    <t>INATA 6,5X2,4</t>
  </si>
  <si>
    <t>INATA 19,7X9,0</t>
  </si>
  <si>
    <t>INATA TAG BLISTER</t>
  </si>
  <si>
    <t>TAG</t>
  </si>
  <si>
    <t>TAG ROUPAS</t>
  </si>
  <si>
    <t xml:space="preserve">TAG ROUPAS </t>
  </si>
  <si>
    <t>11,7X4,6</t>
  </si>
  <si>
    <t>INATA BLISTER</t>
  </si>
  <si>
    <t xml:space="preserve"> RED 4,3</t>
  </si>
  <si>
    <t xml:space="preserve"> 7,8 RED</t>
  </si>
  <si>
    <t xml:space="preserve">  2,5 x1,5 OVAL </t>
  </si>
  <si>
    <t>DES 6,5X4,15</t>
  </si>
  <si>
    <t xml:space="preserve"> ACAI 19,7X5,2</t>
  </si>
  <si>
    <t xml:space="preserve"> 13,1X8 SUPER BIJOUX</t>
  </si>
  <si>
    <t>LACRE 5X2</t>
  </si>
  <si>
    <t xml:space="preserve"> 14,2X9,7 GERRE</t>
  </si>
  <si>
    <t xml:space="preserve">DES 6X4,5 DAKI </t>
  </si>
  <si>
    <t xml:space="preserve"> 10,6X5,8  SABORAI</t>
  </si>
  <si>
    <t xml:space="preserve"> 3,1 RED 6,5X5 BOM DE MINAS </t>
  </si>
  <si>
    <t xml:space="preserve"> 2 RED 6,5X5 BOM DE MINAS </t>
  </si>
  <si>
    <t>LACRE 5X2,5</t>
  </si>
  <si>
    <t xml:space="preserve"> 10,5X5,1 DES</t>
  </si>
  <si>
    <t xml:space="preserve"> 4,6X2,5 CITROBEL </t>
  </si>
  <si>
    <t xml:space="preserve"> 0,9 RETA </t>
  </si>
  <si>
    <t xml:space="preserve"> 10,5X7,2 TOM CEREJA </t>
  </si>
  <si>
    <t xml:space="preserve"> 2,02 RETA </t>
  </si>
  <si>
    <t xml:space="preserve"> 6X4,5 DAKI</t>
  </si>
  <si>
    <t xml:space="preserve"> 4,1X 2, ESP</t>
  </si>
  <si>
    <t>INTERVALO DE 1,15CM</t>
  </si>
  <si>
    <t>RETA 3,4</t>
  </si>
  <si>
    <t xml:space="preserve"> 5,3X4,7 CORAÇÃO</t>
  </si>
  <si>
    <t xml:space="preserve"> 5X2,5 ESP</t>
  </si>
  <si>
    <t xml:space="preserve"> 10,5X7,8 REGIA </t>
  </si>
  <si>
    <t xml:space="preserve"> 9,6X6,5 OVAL</t>
  </si>
  <si>
    <t xml:space="preserve"> 14,6X9,5 UDI FRIO </t>
  </si>
  <si>
    <t xml:space="preserve"> 6X5 DES</t>
  </si>
  <si>
    <t xml:space="preserve"> OVAL 6,6X3</t>
  </si>
  <si>
    <t xml:space="preserve"> 24,5X5,5 </t>
  </si>
  <si>
    <t xml:space="preserve"> 4,1X1 DES</t>
  </si>
  <si>
    <t xml:space="preserve"> 5X3,3</t>
  </si>
  <si>
    <t xml:space="preserve"> 9,7 RED</t>
  </si>
  <si>
    <t xml:space="preserve"> 7,5X6,5 REGIA</t>
  </si>
  <si>
    <t xml:space="preserve"> OVAL 4,3X2,8</t>
  </si>
  <si>
    <t xml:space="preserve"> 3,8X2,8 ESP </t>
  </si>
  <si>
    <t xml:space="preserve"> 6X4 JOANINHA</t>
  </si>
  <si>
    <t>P/ LAMINAÇÃO</t>
  </si>
  <si>
    <t>S/ INT 5 MM</t>
  </si>
  <si>
    <t>DES 3,3X5,5 BOX CHICO</t>
  </si>
  <si>
    <t>MONTAR NO Z 78</t>
  </si>
  <si>
    <t xml:space="preserve"> 13,5X6,5 RETA</t>
  </si>
  <si>
    <t>PICOTE 2 COL</t>
  </si>
  <si>
    <t xml:space="preserve"> 19,7X7,9</t>
  </si>
  <si>
    <t xml:space="preserve"> 19,7X6,9</t>
  </si>
  <si>
    <t xml:space="preserve"> 3X2,8/4X2,1/4X1</t>
  </si>
  <si>
    <t xml:space="preserve"> 1,5X2,5/4X2,1/4X1</t>
  </si>
  <si>
    <t xml:space="preserve"> 13,3X2 JOANINHA </t>
  </si>
  <si>
    <t xml:space="preserve"> 10,5X5,7 SABORAI </t>
  </si>
  <si>
    <t xml:space="preserve"> 1,5X2,5/4X2,1/3X2,8</t>
  </si>
  <si>
    <t xml:space="preserve"> 3,2X1,6 ESP</t>
  </si>
  <si>
    <t xml:space="preserve"> 1,5X2,5/3X2,8/4X1</t>
  </si>
  <si>
    <t>18,7X4,5 JOANINHA</t>
  </si>
  <si>
    <t xml:space="preserve"> 4,3 RED</t>
  </si>
  <si>
    <t>2,1X3,1 OVAL</t>
  </si>
  <si>
    <t xml:space="preserve"> 10,5X6 BOX</t>
  </si>
  <si>
    <t xml:space="preserve"> 9,6X5,8 SUSPIRINHO</t>
  </si>
  <si>
    <t xml:space="preserve"> 4X6 ESP</t>
  </si>
  <si>
    <t xml:space="preserve"> 9,2 RED</t>
  </si>
  <si>
    <t xml:space="preserve"> 7,5X4,8 OVAL</t>
  </si>
  <si>
    <t xml:space="preserve"> 6,8 RETA</t>
  </si>
  <si>
    <t xml:space="preserve"> 3,1 RED 2 RED</t>
  </si>
  <si>
    <t xml:space="preserve"> 5X2 ESP</t>
  </si>
  <si>
    <t xml:space="preserve"> 8,9X6,1 FAMA</t>
  </si>
  <si>
    <t xml:space="preserve"> 8,9X6,1 HERMON</t>
  </si>
  <si>
    <t xml:space="preserve"> 3X5,8 DONU</t>
  </si>
  <si>
    <t xml:space="preserve"> 3,7 RED</t>
  </si>
  <si>
    <t xml:space="preserve"> 3,4X2,2 PET SHOP</t>
  </si>
  <si>
    <t xml:space="preserve"> 4,8X3 OVAL</t>
  </si>
  <si>
    <t xml:space="preserve"> 105X7</t>
  </si>
  <si>
    <t xml:space="preserve"> 10,5X6,5</t>
  </si>
  <si>
    <t xml:space="preserve"> 4,8 RED</t>
  </si>
  <si>
    <t xml:space="preserve"> 1,2 RED</t>
  </si>
  <si>
    <t xml:space="preserve"> 3,2X2,1 GARDEM</t>
  </si>
  <si>
    <t xml:space="preserve"> 14,90 RETA</t>
  </si>
  <si>
    <t xml:space="preserve"> 7,2X3,8 OVAL </t>
  </si>
  <si>
    <t xml:space="preserve"> 4,5X2,6</t>
  </si>
  <si>
    <t xml:space="preserve"> 20 RETA </t>
  </si>
  <si>
    <t xml:space="preserve"> 10 RETA </t>
  </si>
  <si>
    <t xml:space="preserve"> 24,5X1,5 LACRE</t>
  </si>
  <si>
    <t xml:space="preserve"> 8,8x13,6 RETA</t>
  </si>
  <si>
    <t>RED 3,1</t>
  </si>
  <si>
    <t xml:space="preserve">VINCO E FURO  </t>
  </si>
  <si>
    <t xml:space="preserve"> 8,5X4,3 LARGURA DE 6,0</t>
  </si>
  <si>
    <t xml:space="preserve">ABAETE </t>
  </si>
  <si>
    <t xml:space="preserve"> LACRE ABELHINHA</t>
  </si>
  <si>
    <t xml:space="preserve">GERRE </t>
  </si>
  <si>
    <t xml:space="preserve"> BOX CHICO 5,7X8</t>
  </si>
  <si>
    <t>32 ESP 9,7X7,0 TURBO ERVAS</t>
  </si>
  <si>
    <t xml:space="preserve"> OVAL 10,5X7,1 / LACRE</t>
  </si>
  <si>
    <t xml:space="preserve">RETA 10 </t>
  </si>
  <si>
    <t xml:space="preserve"> COQUEIROS</t>
  </si>
  <si>
    <t>10X3</t>
  </si>
  <si>
    <t xml:space="preserve">DOCES FLAVIA </t>
  </si>
  <si>
    <t xml:space="preserve"> 9,7X6,0</t>
  </si>
  <si>
    <t>12,8X10,0</t>
  </si>
  <si>
    <t>MARTINS COM SERRILHA</t>
  </si>
  <si>
    <t xml:space="preserve"> OVAL 10,5X7,1</t>
  </si>
  <si>
    <t>REDE LUCAS QUALIDADE</t>
  </si>
  <si>
    <t xml:space="preserve">INATA AUTOGENA </t>
  </si>
  <si>
    <t xml:space="preserve"> -DIAM 6X4CM PRATOS PRONTOS , 6X8 AÇOUGUE</t>
  </si>
  <si>
    <t xml:space="preserve"> ABELHINHA</t>
  </si>
  <si>
    <t>ESPECIAL 10X7,8</t>
  </si>
  <si>
    <t xml:space="preserve"> -DIAM 4CM, 6X8 AÇOUGUE</t>
  </si>
  <si>
    <t xml:space="preserve">CHÃO DE MINAS </t>
  </si>
  <si>
    <t xml:space="preserve"> -DIAM 4CM, 6X4 PRATOS PRONTOS </t>
  </si>
  <si>
    <t>LAUDO 8X17,7</t>
  </si>
  <si>
    <t>REDONDA 4,3</t>
  </si>
  <si>
    <t xml:space="preserve"> 11,5X9,7</t>
  </si>
  <si>
    <t>DOCES BARBAROS 6X1,95 / 9,7X11</t>
  </si>
  <si>
    <t>TERRA MINEIRA GRANDE</t>
  </si>
  <si>
    <t>DOCES BARBAROS 9,7X6,4 / 6X1,95</t>
  </si>
  <si>
    <t xml:space="preserve">  ABELHINHA</t>
  </si>
  <si>
    <t>REDONDA 4,3, GERRE</t>
  </si>
  <si>
    <t xml:space="preserve">TERRA MINEIRA PEQUENA </t>
  </si>
  <si>
    <t xml:space="preserve">RETA 7,5 </t>
  </si>
  <si>
    <t>DOCES BARBAROS 9,7X6,4 / 9,7X11</t>
  </si>
  <si>
    <t>INATA AUTOGENAS</t>
  </si>
  <si>
    <t xml:space="preserve"> REDE LUCAS - QUALIDADE</t>
  </si>
  <si>
    <t xml:space="preserve"> SUPER MAXI SALADA DE FRUTAS</t>
  </si>
  <si>
    <t xml:space="preserve"> SUPER MAXI PADARIA </t>
  </si>
  <si>
    <t>TEMEPRO 2 IRMÃOS</t>
  </si>
  <si>
    <t>REDE LUCAS SUCOS</t>
  </si>
  <si>
    <r>
      <t xml:space="preserve">METRAGEM LINEAR         </t>
    </r>
    <r>
      <rPr>
        <b/>
        <sz val="20"/>
        <color rgb="FFFF0000"/>
        <rFont val="Calibri"/>
        <family val="2"/>
        <scheme val="minor"/>
      </rPr>
      <t>&lt;1000 É ZERO</t>
    </r>
  </si>
  <si>
    <t>COLD STAMP +VERNIZ</t>
  </si>
  <si>
    <t>PRETO INTEIRO+BORDA</t>
  </si>
  <si>
    <t>PERDA M2</t>
  </si>
  <si>
    <t>MEDIDA 4,8 REDONDA</t>
  </si>
  <si>
    <t>GABRIEL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</si>
</sst>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#,##0.000"/>
    <numFmt numFmtId="165" formatCode="0.0000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20"/>
      <color rgb="FFFF0000"/>
      <name val="Calibri"/>
      <family val="2"/>
      <scheme val="minor"/>
    </font>
    <font>
      <sz val="20"/>
      <color theme="0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44">
    <xf numFmtId="0" fontId="0" fillId="0" borderId="0" xfId="0"/>
    <xf numFmtId="0" fontId="0" fillId="3" borderId="0" xfId="0" applyFill="1"/>
    <xf numFmtId="0" fontId="0" fillId="3" borderId="0" xfId="0" applyFill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 applyAlignment="1">
      <alignment horizontal="center" vertical="center"/>
    </xf>
    <xf numFmtId="0" fontId="0" fillId="3" borderId="1" xfId="1" applyNumberFormat="1" applyFont="1" applyFill="1" applyBorder="1" applyAlignment="1">
      <alignment horizontal="center" vertical="center" wrapText="1"/>
    </xf>
    <xf numFmtId="44" fontId="0" fillId="3" borderId="1" xfId="1" applyFont="1" applyFill="1" applyBorder="1" applyAlignment="1">
      <alignment horizontal="center" vertical="center"/>
    </xf>
    <xf numFmtId="2" fontId="0" fillId="3" borderId="1" xfId="1" applyNumberFormat="1" applyFont="1" applyFill="1" applyBorder="1" applyAlignment="1">
      <alignment horizontal="center" vertical="center"/>
    </xf>
    <xf numFmtId="0" fontId="0" fillId="3" borderId="1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44" fontId="0" fillId="2" borderId="1" xfId="1" applyFont="1" applyFill="1" applyBorder="1" applyAlignment="1">
      <alignment horizontal="center"/>
    </xf>
    <xf numFmtId="1" fontId="0" fillId="3" borderId="1" xfId="1" applyNumberFormat="1" applyFont="1" applyFill="1" applyBorder="1" applyAlignment="1">
      <alignment horizontal="center"/>
    </xf>
    <xf numFmtId="1" fontId="0" fillId="3" borderId="1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left" vertical="center"/>
    </xf>
    <xf numFmtId="9" fontId="0" fillId="0" borderId="0" xfId="0" applyNumberFormat="1"/>
    <xf numFmtId="0" fontId="0" fillId="2" borderId="0" xfId="0" applyFill="1" applyAlignment="1">
      <alignment horizontal="center"/>
    </xf>
    <xf numFmtId="1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 vertical="center"/>
    </xf>
    <xf numFmtId="9" fontId="0" fillId="0" borderId="1" xfId="1" applyNumberFormat="1" applyFont="1" applyFill="1" applyBorder="1" applyAlignment="1">
      <alignment horizontal="center" vertical="center"/>
    </xf>
    <xf numFmtId="44" fontId="0" fillId="0" borderId="1" xfId="1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0" borderId="0" xfId="0" applyAlignment="1">
      <alignment vertical="center"/>
    </xf>
    <xf numFmtId="0" fontId="0" fillId="0" borderId="21" xfId="0" applyBorder="1"/>
    <xf numFmtId="0" fontId="0" fillId="0" borderId="25" xfId="0" applyBorder="1"/>
    <xf numFmtId="0" fontId="0" fillId="0" borderId="22" xfId="0" applyBorder="1"/>
    <xf numFmtId="0" fontId="0" fillId="0" borderId="26" xfId="0" applyBorder="1" applyAlignment="1">
      <alignment horizontal="center"/>
    </xf>
    <xf numFmtId="0" fontId="0" fillId="0" borderId="27" xfId="0" applyBorder="1"/>
    <xf numFmtId="0" fontId="0" fillId="0" borderId="27" xfId="0" applyBorder="1" applyAlignment="1">
      <alignment horizontal="center"/>
    </xf>
    <xf numFmtId="0" fontId="0" fillId="0" borderId="26" xfId="0" applyBorder="1" applyAlignment="1">
      <alignment vertical="center"/>
    </xf>
    <xf numFmtId="0" fontId="0" fillId="0" borderId="26" xfId="0" applyBorder="1"/>
    <xf numFmtId="44" fontId="0" fillId="0" borderId="0" xfId="0" applyNumberFormat="1" applyAlignment="1">
      <alignment horizontal="center"/>
    </xf>
    <xf numFmtId="0" fontId="0" fillId="0" borderId="23" xfId="0" applyBorder="1"/>
    <xf numFmtId="0" fontId="0" fillId="0" borderId="28" xfId="0" applyBorder="1"/>
    <xf numFmtId="0" fontId="0" fillId="0" borderId="24" xfId="0" applyBorder="1"/>
    <xf numFmtId="0" fontId="5" fillId="4" borderId="14" xfId="0" applyFon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1" xfId="1" applyNumberFormat="1" applyFont="1" applyFill="1" applyBorder="1" applyAlignment="1">
      <alignment horizontal="center" vertical="center"/>
    </xf>
    <xf numFmtId="44" fontId="6" fillId="9" borderId="3" xfId="0" applyNumberFormat="1" applyFont="1" applyFill="1" applyBorder="1"/>
    <xf numFmtId="0" fontId="6" fillId="9" borderId="3" xfId="0" applyFont="1" applyFill="1" applyBorder="1"/>
    <xf numFmtId="0" fontId="2" fillId="3" borderId="0" xfId="0" applyFont="1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2" fillId="9" borderId="3" xfId="0" applyFont="1" applyFill="1" applyBorder="1" applyAlignment="1">
      <alignment horizontal="left"/>
    </xf>
    <xf numFmtId="0" fontId="2" fillId="3" borderId="3" xfId="0" applyFont="1" applyFill="1" applyBorder="1" applyAlignment="1">
      <alignment horizontal="left"/>
    </xf>
    <xf numFmtId="2" fontId="0" fillId="0" borderId="1" xfId="4" applyNumberFormat="1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0" fontId="8" fillId="2" borderId="6" xfId="0" applyFont="1" applyFill="1" applyBorder="1" applyAlignment="1">
      <alignment horizontal="center" vertical="center" wrapText="1"/>
    </xf>
    <xf numFmtId="0" fontId="8" fillId="2" borderId="6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 wrapText="1"/>
    </xf>
    <xf numFmtId="0" fontId="9" fillId="3" borderId="0" xfId="0" applyFont="1" applyFill="1"/>
    <xf numFmtId="2" fontId="8" fillId="7" borderId="34" xfId="0" applyNumberFormat="1" applyFont="1" applyFill="1" applyBorder="1" applyAlignment="1">
      <alignment horizontal="center"/>
    </xf>
    <xf numFmtId="165" fontId="8" fillId="3" borderId="34" xfId="0" applyNumberFormat="1" applyFont="1" applyFill="1" applyBorder="1" applyAlignment="1">
      <alignment horizontal="center"/>
    </xf>
    <xf numFmtId="0" fontId="8" fillId="7" borderId="34" xfId="0" applyFont="1" applyFill="1" applyBorder="1" applyAlignment="1">
      <alignment horizontal="center"/>
    </xf>
    <xf numFmtId="0" fontId="8" fillId="7" borderId="11" xfId="0" applyFont="1" applyFill="1" applyBorder="1" applyAlignment="1">
      <alignment horizontal="center"/>
    </xf>
    <xf numFmtId="0" fontId="8" fillId="7" borderId="6" xfId="0" applyFont="1" applyFill="1" applyBorder="1" applyAlignment="1">
      <alignment horizontal="center"/>
    </xf>
    <xf numFmtId="0" fontId="8" fillId="7" borderId="7" xfId="0" applyFont="1" applyFill="1" applyBorder="1" applyAlignment="1">
      <alignment horizontal="center"/>
    </xf>
    <xf numFmtId="0" fontId="8" fillId="3" borderId="6" xfId="0" applyFont="1" applyFill="1" applyBorder="1" applyAlignment="1">
      <alignment horizontal="center"/>
    </xf>
    <xf numFmtId="0" fontId="9" fillId="3" borderId="0" xfId="0" applyFont="1" applyFill="1" applyAlignment="1">
      <alignment horizontal="center"/>
    </xf>
    <xf numFmtId="0" fontId="8" fillId="2" borderId="11" xfId="0" applyFont="1" applyFill="1" applyBorder="1" applyAlignment="1">
      <alignment horizontal="center" vertical="center"/>
    </xf>
    <xf numFmtId="0" fontId="8" fillId="2" borderId="14" xfId="0" applyFont="1" applyFill="1" applyBorder="1" applyAlignment="1">
      <alignment horizontal="center" vertical="center"/>
    </xf>
    <xf numFmtId="3" fontId="8" fillId="7" borderId="32" xfId="0" applyNumberFormat="1" applyFont="1" applyFill="1" applyBorder="1" applyAlignment="1">
      <alignment horizontal="center"/>
    </xf>
    <xf numFmtId="0" fontId="9" fillId="8" borderId="4" xfId="0" applyFont="1" applyFill="1" applyBorder="1" applyAlignment="1">
      <alignment horizontal="center"/>
    </xf>
    <xf numFmtId="0" fontId="9" fillId="0" borderId="4" xfId="0" applyFont="1" applyBorder="1" applyAlignment="1">
      <alignment horizontal="center"/>
    </xf>
    <xf numFmtId="4" fontId="9" fillId="0" borderId="4" xfId="0" applyNumberFormat="1" applyFont="1" applyBorder="1" applyAlignment="1">
      <alignment horizontal="center"/>
    </xf>
    <xf numFmtId="2" fontId="9" fillId="0" borderId="4" xfId="0" applyNumberFormat="1" applyFont="1" applyBorder="1" applyAlignment="1">
      <alignment horizontal="center"/>
    </xf>
    <xf numFmtId="3" fontId="9" fillId="0" borderId="4" xfId="0" applyNumberFormat="1" applyFont="1" applyBorder="1" applyAlignment="1">
      <alignment horizontal="center"/>
    </xf>
    <xf numFmtId="0" fontId="10" fillId="0" borderId="4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44" fontId="9" fillId="6" borderId="4" xfId="0" applyNumberFormat="1" applyFont="1" applyFill="1" applyBorder="1" applyAlignment="1">
      <alignment horizontal="center"/>
    </xf>
    <xf numFmtId="3" fontId="8" fillId="7" borderId="2" xfId="0" applyNumberFormat="1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7" borderId="1" xfId="0" applyFont="1" applyFill="1" applyBorder="1" applyAlignment="1">
      <alignment horizontal="center"/>
    </xf>
    <xf numFmtId="164" fontId="9" fillId="0" borderId="0" xfId="0" applyNumberFormat="1" applyFont="1" applyAlignment="1">
      <alignment horizontal="center"/>
    </xf>
    <xf numFmtId="3" fontId="9" fillId="0" borderId="0" xfId="0" applyNumberFormat="1" applyFont="1" applyAlignment="1">
      <alignment horizontal="center"/>
    </xf>
    <xf numFmtId="0" fontId="11" fillId="3" borderId="0" xfId="0" applyFont="1" applyFill="1" applyAlignment="1">
      <alignment horizontal="center"/>
    </xf>
    <xf numFmtId="0" fontId="11" fillId="3" borderId="0" xfId="0" applyFont="1" applyFill="1"/>
    <xf numFmtId="0" fontId="8" fillId="4" borderId="6" xfId="0" applyFont="1" applyFill="1" applyBorder="1" applyAlignment="1">
      <alignment horizontal="center" vertical="center" wrapText="1"/>
    </xf>
    <xf numFmtId="3" fontId="9" fillId="3" borderId="3" xfId="0" applyNumberFormat="1" applyFont="1" applyFill="1" applyBorder="1" applyAlignment="1">
      <alignment horizontal="center" vertical="center"/>
    </xf>
    <xf numFmtId="44" fontId="9" fillId="0" borderId="4" xfId="1" applyFont="1" applyFill="1" applyBorder="1" applyAlignment="1">
      <alignment horizontal="center"/>
    </xf>
    <xf numFmtId="44" fontId="11" fillId="0" borderId="4" xfId="1" applyFont="1" applyFill="1" applyBorder="1" applyAlignment="1">
      <alignment horizontal="center"/>
    </xf>
    <xf numFmtId="44" fontId="9" fillId="4" borderId="4" xfId="0" applyNumberFormat="1" applyFont="1" applyFill="1" applyBorder="1" applyAlignment="1">
      <alignment horizontal="center"/>
    </xf>
    <xf numFmtId="0" fontId="8" fillId="2" borderId="11" xfId="0" applyFont="1" applyFill="1" applyBorder="1" applyAlignment="1">
      <alignment horizontal="center" vertical="center" wrapText="1"/>
    </xf>
    <xf numFmtId="0" fontId="9" fillId="8" borderId="32" xfId="0" applyFont="1" applyFill="1" applyBorder="1" applyAlignment="1">
      <alignment horizontal="center"/>
    </xf>
    <xf numFmtId="44" fontId="9" fillId="0" borderId="4" xfId="0" applyNumberFormat="1" applyFont="1" applyBorder="1" applyAlignment="1">
      <alignment horizontal="center"/>
    </xf>
    <xf numFmtId="0" fontId="12" fillId="3" borderId="0" xfId="0" applyFont="1" applyFill="1"/>
    <xf numFmtId="0" fontId="8" fillId="2" borderId="14" xfId="0" applyFont="1" applyFill="1" applyBorder="1" applyAlignment="1">
      <alignment horizontal="center" vertical="center" wrapText="1"/>
    </xf>
    <xf numFmtId="44" fontId="8" fillId="3" borderId="7" xfId="1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3" fillId="3" borderId="0" xfId="0" applyFont="1" applyFill="1" applyAlignment="1">
      <alignment horizontal="center"/>
    </xf>
    <xf numFmtId="0" fontId="3" fillId="3" borderId="0" xfId="0" applyFont="1" applyFill="1"/>
    <xf numFmtId="0" fontId="3" fillId="5" borderId="20" xfId="0" applyFont="1" applyFill="1" applyBorder="1" applyAlignment="1">
      <alignment horizontal="center"/>
    </xf>
    <xf numFmtId="0" fontId="3" fillId="5" borderId="19" xfId="0" applyFont="1" applyFill="1" applyBorder="1" applyAlignment="1">
      <alignment horizontal="center"/>
    </xf>
    <xf numFmtId="0" fontId="9" fillId="7" borderId="4" xfId="0" applyFont="1" applyFill="1" applyBorder="1"/>
    <xf numFmtId="0" fontId="13" fillId="3" borderId="15" xfId="0" applyFont="1" applyFill="1" applyBorder="1" applyAlignment="1">
      <alignment horizontal="center"/>
    </xf>
    <xf numFmtId="0" fontId="13" fillId="3" borderId="16" xfId="0" applyFont="1" applyFill="1" applyBorder="1" applyAlignment="1">
      <alignment horizontal="center"/>
    </xf>
    <xf numFmtId="0" fontId="13" fillId="3" borderId="17" xfId="0" applyFont="1" applyFill="1" applyBorder="1" applyAlignment="1">
      <alignment horizontal="center"/>
    </xf>
    <xf numFmtId="0" fontId="0" fillId="4" borderId="0" xfId="0" applyFill="1"/>
    <xf numFmtId="0" fontId="0" fillId="0" borderId="13" xfId="0" applyBorder="1" applyAlignment="1">
      <alignment horizontal="center"/>
    </xf>
    <xf numFmtId="44" fontId="9" fillId="0" borderId="1" xfId="0" applyNumberFormat="1" applyFont="1" applyBorder="1" applyAlignment="1">
      <alignment horizontal="center"/>
    </xf>
    <xf numFmtId="2" fontId="8" fillId="3" borderId="33" xfId="0" applyNumberFormat="1" applyFont="1" applyFill="1" applyBorder="1" applyAlignment="1">
      <alignment horizontal="center"/>
    </xf>
    <xf numFmtId="0" fontId="8" fillId="3" borderId="7" xfId="0" applyFont="1" applyFill="1" applyBorder="1" applyAlignment="1">
      <alignment horizontal="center"/>
    </xf>
    <xf numFmtId="44" fontId="0" fillId="2" borderId="1" xfId="1" applyFont="1" applyFill="1" applyBorder="1" applyAlignment="1">
      <alignment horizontal="center" vertical="center"/>
    </xf>
    <xf numFmtId="14" fontId="5" fillId="4" borderId="8" xfId="0" applyNumberFormat="1" applyFont="1" applyFill="1" applyBorder="1" applyAlignment="1">
      <alignment horizontal="center" vertical="center"/>
    </xf>
    <xf numFmtId="14" fontId="3" fillId="5" borderId="18" xfId="0" applyNumberFormat="1" applyFont="1" applyFill="1" applyBorder="1" applyAlignment="1">
      <alignment horizontal="center"/>
    </xf>
    <xf numFmtId="0" fontId="0" fillId="3" borderId="2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pivotButton="1"/>
    <xf numFmtId="0" fontId="8" fillId="2" borderId="1" xfId="0" applyFont="1" applyFill="1" applyBorder="1" applyAlignment="1">
      <alignment horizontal="center" vertical="center" wrapText="1"/>
    </xf>
    <xf numFmtId="1" fontId="9" fillId="0" borderId="1" xfId="0" applyNumberFormat="1" applyFont="1" applyBorder="1" applyAlignment="1">
      <alignment horizontal="center"/>
    </xf>
    <xf numFmtId="1" fontId="9" fillId="0" borderId="4" xfId="0" applyNumberFormat="1" applyFont="1" applyBorder="1" applyAlignment="1">
      <alignment horizontal="center"/>
    </xf>
    <xf numFmtId="0" fontId="8" fillId="2" borderId="5" xfId="0" applyFont="1" applyFill="1" applyBorder="1" applyAlignment="1">
      <alignment horizontal="center" vertical="center" wrapText="1"/>
    </xf>
    <xf numFmtId="0" fontId="2" fillId="9" borderId="0" xfId="0" applyFont="1" applyFill="1" applyAlignment="1">
      <alignment horizontal="left" vertical="center" wrapText="1"/>
    </xf>
    <xf numFmtId="0" fontId="2" fillId="9" borderId="0" xfId="0" applyFont="1" applyFill="1" applyAlignment="1">
      <alignment horizontal="left" vertical="center"/>
    </xf>
    <xf numFmtId="0" fontId="2" fillId="9" borderId="0" xfId="0" applyFont="1" applyFill="1" applyAlignment="1">
      <alignment horizontal="left"/>
    </xf>
    <xf numFmtId="0" fontId="2" fillId="4" borderId="8" xfId="0" applyFont="1" applyFill="1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/>
    </xf>
    <xf numFmtId="0" fontId="2" fillId="4" borderId="10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7" fillId="7" borderId="21" xfId="0" applyFont="1" applyFill="1" applyBorder="1" applyAlignment="1">
      <alignment horizontal="center" vertical="center" wrapText="1"/>
    </xf>
    <xf numFmtId="0" fontId="7" fillId="7" borderId="30" xfId="0" applyFont="1" applyFill="1" applyBorder="1" applyAlignment="1">
      <alignment horizontal="center" vertical="center" wrapText="1"/>
    </xf>
    <xf numFmtId="0" fontId="7" fillId="7" borderId="31" xfId="0" applyFont="1" applyFill="1" applyBorder="1" applyAlignment="1">
      <alignment horizontal="center" vertical="center" wrapText="1"/>
    </xf>
    <xf numFmtId="0" fontId="7" fillId="7" borderId="29" xfId="0" applyFont="1" applyFill="1" applyBorder="1" applyAlignment="1">
      <alignment horizontal="center" vertical="center" wrapText="1"/>
    </xf>
    <xf numFmtId="0" fontId="13" fillId="2" borderId="21" xfId="0" applyFont="1" applyFill="1" applyBorder="1" applyAlignment="1">
      <alignment horizontal="center"/>
    </xf>
    <xf numFmtId="0" fontId="13" fillId="2" borderId="22" xfId="0" applyFont="1" applyFill="1" applyBorder="1" applyAlignment="1">
      <alignment horizontal="center"/>
    </xf>
    <xf numFmtId="0" fontId="13" fillId="2" borderId="23" xfId="0" applyFont="1" applyFill="1" applyBorder="1" applyAlignment="1">
      <alignment horizontal="center"/>
    </xf>
    <xf numFmtId="0" fontId="13" fillId="2" borderId="24" xfId="0" applyFont="1" applyFill="1" applyBorder="1" applyAlignment="1">
      <alignment horizontal="center"/>
    </xf>
    <xf numFmtId="0" fontId="8" fillId="3" borderId="4" xfId="0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29" xfId="0" applyFill="1" applyBorder="1" applyAlignment="1">
      <alignment horizontal="center" vertical="center"/>
    </xf>
    <xf numFmtId="0" fontId="0" fillId="3" borderId="30" xfId="0" applyFill="1" applyBorder="1" applyAlignment="1">
      <alignment horizontal="center" vertical="center"/>
    </xf>
    <xf numFmtId="0" fontId="0" fillId="3" borderId="31" xfId="0" applyFill="1" applyBorder="1" applyAlignment="1">
      <alignment horizontal="center" vertical="center"/>
    </xf>
  </cellXfs>
  <cellStyles count="5">
    <cellStyle name="Moeda" xfId="1" builtinId="4"/>
    <cellStyle name="Moeda 2" xfId="2" xr:uid="{F557F8E1-823A-4935-89C1-848E3B2F2A3B}"/>
    <cellStyle name="Normal" xfId="0" builtinId="0"/>
    <cellStyle name="Porcentagem" xfId="4" builtinId="5"/>
    <cellStyle name="Vírgula 2" xfId="3" xr:uid="{52344E04-52C0-42FD-A407-B919CF2FF8AD}"/>
  </cellStyles>
  <dxfs count="2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1"/>
      </font>
    </dxf>
    <dxf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colors>
    <mruColors>
      <color rgb="FFFFCC00"/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365760</xdr:colOff>
      <xdr:row>1</xdr:row>
      <xdr:rowOff>68580</xdr:rowOff>
    </xdr:from>
    <xdr:to>
      <xdr:col>9</xdr:col>
      <xdr:colOff>801135</xdr:colOff>
      <xdr:row>4</xdr:row>
      <xdr:rowOff>143825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6BD7F732-6BEC-4A9F-8ECD-E35FC2463C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02480" y="259080"/>
          <a:ext cx="1387874" cy="65436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ana" refreshedDate="46218.45769328704" createdVersion="8" refreshedVersion="8" minRefreshableVersion="3" recordCount="491" xr:uid="{A894BDC6-2740-45A6-817F-3BF2E9CB7898}">
  <cacheSource type="worksheet">
    <worksheetSource name="Tabela3"/>
  </cacheSource>
  <cacheFields count="16">
    <cacheField name="MAQUINA" numFmtId="0">
      <sharedItems count="5">
        <s v="BETAFLEX"/>
        <s v="ETIRAMA"/>
        <s v="REFLEXO"/>
        <s v="REFLEXO 250"/>
        <s v="MODULAR SPX"/>
      </sharedItems>
    </cacheField>
    <cacheField name="CONJUGADA " numFmtId="0">
      <sharedItems containsBlank="1"/>
    </cacheField>
    <cacheField name="FORNECEDOR" numFmtId="0">
      <sharedItems containsBlank="1"/>
    </cacheField>
    <cacheField name="Nº FACAS " numFmtId="0">
      <sharedItems containsBlank="1" containsMixedTypes="1" containsNumber="1" containsInteger="1" minValue="1" maxValue="129"/>
    </cacheField>
    <cacheField name="Z" numFmtId="0">
      <sharedItems containsBlank="1" containsMixedTypes="1" containsNumber="1" containsInteger="1" minValue="38" maxValue="98" count="44">
        <s v="Z"/>
        <n v="43"/>
        <n v="40"/>
        <n v="42"/>
        <n v="57"/>
        <n v="52"/>
        <n v="48"/>
        <n v="70"/>
        <n v="67"/>
        <n v="64"/>
        <m/>
        <n v="45"/>
        <n v="50"/>
        <n v="56"/>
        <n v="49"/>
        <n v="44"/>
        <n v="47"/>
        <n v="54"/>
        <n v="41"/>
        <n v="53"/>
        <n v="46"/>
        <n v="55"/>
        <n v="66"/>
        <n v="72"/>
        <n v="75"/>
        <n v="62"/>
        <n v="73"/>
        <n v="51"/>
        <n v="60"/>
        <n v="38"/>
        <n v="63"/>
        <n v="59"/>
        <n v="68"/>
        <n v="65"/>
        <n v="74"/>
        <n v="61"/>
        <n v="78"/>
        <n v="39"/>
        <n v="98"/>
        <n v="92"/>
        <n v="69"/>
        <n v="71"/>
        <n v="86"/>
        <n v="96"/>
      </sharedItems>
    </cacheField>
    <cacheField name="FORMATO" numFmtId="0">
      <sharedItems containsBlank="1" count="21">
        <s v="FORMATO"/>
        <s v="RETA"/>
        <m/>
        <s v="REDONDA"/>
        <s v="OVAL"/>
        <s v="ESPECIAL "/>
        <s v="ESPECIAL"/>
        <s v="DESENHADA"/>
        <s v="GÔNDOLA"/>
        <s v="LACRE"/>
        <s v="PICOTE "/>
        <s v="CORTE LONG"/>
        <s v="GAP"/>
        <s v="RETA/ ESP"/>
        <s v="PICOTE"/>
        <s v="CORTE"/>
        <s v="SERRILHA"/>
        <s v="CORTE TOTAL "/>
        <s v="DESENHADA "/>
        <s v="CORTE LONGITUDINAL"/>
        <s v="TAG"/>
      </sharedItems>
    </cacheField>
    <cacheField name="TAMANHO" numFmtId="0">
      <sharedItems containsBlank="1" containsMixedTypes="1" containsNumber="1" minValue="0.9" maxValue="31" count="353">
        <s v="TAMANHO"/>
        <n v="0.9"/>
        <n v="1.25"/>
        <n v="1.7"/>
        <n v="3"/>
        <n v="4"/>
        <n v="4.4000000000000004"/>
        <n v="5"/>
        <n v="6"/>
        <n v="7.4"/>
        <n v="8"/>
        <n v="10.5"/>
        <n v="15"/>
        <n v="20.100000000000001"/>
        <m/>
        <s v="Ø 0,9"/>
        <s v="Ø  2,0"/>
        <s v="Ø 3,2"/>
        <s v="Ø 4,2"/>
        <s v="Ø 4,5"/>
        <s v="Ø 5,0"/>
        <s v="Ø 6,0"/>
        <s v="Ø  9,0"/>
        <s v="2,4X1,4"/>
        <s v="2,7X4,6"/>
        <s v="3,0X1,8"/>
        <s v="4,0X2,2"/>
        <s v="4,2X2,5"/>
        <s v="4,3X3,4"/>
        <s v="4,8X6,8"/>
        <s v="5,8X3,8"/>
        <s v="6,3X3,5"/>
        <s v="6,4X9,4"/>
        <s v="2,0X1,5"/>
        <s v="2,5X5,0"/>
        <s v="3,0X2,0"/>
        <s v="3,0X2,5"/>
        <s v="3,2X1,8"/>
        <s v="3,2X1,2"/>
        <s v="3,3,X2,2"/>
        <s v="3,95X2,0"/>
        <s v="4,0X4,0"/>
        <s v="5,0x3,0"/>
        <s v="5,3X3,2"/>
        <s v="6,0x1,5"/>
        <s v="6,0X3,0"/>
        <s v="6,0X3,3"/>
        <s v="6,0X4,0"/>
        <s v="6,3X0,6"/>
        <s v="6,4x3,5"/>
        <s v="6,8x4,8"/>
        <s v="6,7X0,9"/>
        <s v="7,0x1,5"/>
        <s v="7,0X3,48"/>
        <s v="7,2X1,1"/>
        <s v="7,3x5,2"/>
        <s v="7,4X3,4"/>
        <s v="8,0X7,5"/>
        <s v="8,3x1,9"/>
        <s v="8,5X4,3"/>
        <s v="8,4X5,6"/>
        <s v="8,5x6,0"/>
        <s v="9,0x1,2"/>
        <s v="9,0X1,9"/>
        <s v="10,0X4,5"/>
        <s v="10,0X4,95"/>
        <s v="10,0X5,47"/>
        <s v="10,0X5,5"/>
        <s v="10,0X6,0"/>
        <s v="10,0x7,5"/>
        <s v="10,0X8,0"/>
        <s v="10,5x7,0"/>
        <s v="10,6X2,0"/>
        <s v="11,0X9,0"/>
        <s v="11,5X10,0"/>
        <s v="12,8X5,0"/>
        <s v="12,6X8,0"/>
        <s v="12,9X7,0"/>
        <s v="15,0X3,0"/>
        <s v="16,0X7,0"/>
        <s v="18,9x5,0"/>
        <s v="19,8X10,0"/>
        <s v="22,7x10,5"/>
        <s v="3,4X1,4"/>
        <s v="4,8X4,0"/>
        <s v="5,5X3,5"/>
        <s v="5,7X3,0"/>
        <s v="6,9X2,7"/>
        <s v="8,7X7,5"/>
        <s v="9,1X6,5"/>
        <s v="17,7X3,5"/>
        <s v="16,2X5"/>
        <s v="10X4,5"/>
        <s v="10X4,95"/>
        <s v="10X7,5"/>
        <n v="10"/>
        <n v="6.6"/>
        <n v="7.5"/>
        <n v="8.1"/>
        <n v="15.5"/>
        <n v="6.9"/>
        <n v="9.1"/>
        <s v="4,5X2,0"/>
        <s v="4,7X6,0"/>
        <s v="10,5X6,1"/>
        <s v="3,4X2,3"/>
        <s v="3,6X5,5"/>
        <s v="4,0X3,9"/>
        <s v="4,0X6,0"/>
        <s v="5,0x4,0"/>
        <s v="5,0X10"/>
        <s v="5,0x15,9"/>
        <s v="6,0X7,0"/>
        <s v="6,0X9,8"/>
        <s v="6,0X11,5"/>
        <s v="7,5X2,5"/>
        <s v="9,5X3,3"/>
        <s v="9,0x6,0"/>
        <s v="9,5X12,0"/>
        <s v="10,0x3,0"/>
        <s v="10,0X3,5"/>
        <s v="10,0x4,0"/>
        <s v="10,0x5,0"/>
        <s v="10,0x7,0"/>
        <s v="10,0X10,0"/>
        <s v="10,5X3,6"/>
        <s v="10,6x6,05"/>
        <s v="14,9X10,5"/>
        <s v="19,0X15,0"/>
        <s v="4,7X3,8"/>
        <s v="7,5x4,7"/>
        <s v="8,5x6,4"/>
        <s v="7,8X4,9"/>
        <s v="9,2X6,0"/>
        <s v="9,8X6,0"/>
        <s v="18,5X4,7"/>
        <s v="10,0x6,35"/>
        <s v="21,0X4,0"/>
        <s v="21,0X7,0"/>
        <s v="14,0X3,0"/>
        <s v="20,0X3,0"/>
        <s v="10x5"/>
        <n v="22"/>
        <s v="REMALINA"/>
        <n v="0.97"/>
        <n v="2"/>
        <n v="3.4"/>
        <n v="4.5"/>
        <n v="6.8"/>
        <n v="13.5"/>
        <n v="13.6"/>
        <n v="14.9"/>
        <n v="20"/>
        <n v="1.2"/>
        <n v="2.5"/>
        <n v="3.1"/>
        <n v="3.7"/>
        <n v="4.3"/>
        <n v="4.8"/>
        <n v="6.45"/>
        <n v="7.8"/>
        <n v="9.1999999999999993"/>
        <n v="9.6999999999999993"/>
        <n v="13.3"/>
        <n v="12.5"/>
        <s v="1,5x2,7"/>
        <s v="3,1X2,1"/>
        <s v="2,8x4,3"/>
        <s v="3,0x4,8"/>
        <s v="3,0x6,6"/>
        <s v="3,8x7,2"/>
        <s v="7,5X4,8"/>
        <s v="9,6X6,5"/>
        <s v="12,5X8,7"/>
        <s v="14,0X9,3"/>
        <s v="1,5x24,5"/>
        <s v="3,2X1,6"/>
        <s v="3,8X2,8"/>
        <s v="4,1X2,0"/>
        <s v="5,0x2,0"/>
        <s v="5,0X2,5"/>
        <s v="5,0X3,3"/>
        <s v="7,0x4,0"/>
        <s v="7,0x5,0"/>
        <s v="8,0X2,9"/>
        <s v="9,0X2,4"/>
        <s v="9,5X3,51"/>
        <s v="9,5X3,0"/>
        <s v="10,5X5,1"/>
        <s v="10,5X6,0"/>
        <s v="10,5X7,2"/>
        <s v="11,0X3,43"/>
        <s v="11,2X2,0"/>
        <s v="12,0x6,0"/>
        <s v="12,0x14,6"/>
        <s v="13,0X7,2"/>
        <s v="13,1x8,0"/>
        <s v="13,3x10,5"/>
        <s v="14,6x7,3"/>
        <s v="15,9x10,5"/>
        <s v="17,8x10,5"/>
        <s v="15,3X7,2"/>
        <s v="19,7x4,0"/>
        <s v="19,7x6,9"/>
        <s v="19,7x7,9"/>
        <s v="19,7x10,0"/>
        <s v="21,1x14,8"/>
        <s v="30,7x10,5"/>
        <s v="2,5X1,5"/>
        <s v="3,0X2,8"/>
        <s v="3,2X2,1"/>
        <s v="3,4X2,2"/>
        <s v="4,0X1,0"/>
        <s v="4,1X1,0"/>
        <s v="4,0X2,1"/>
        <s v="4,5X2,6"/>
        <s v="4,6x2,5"/>
        <s v="5,3X4,7"/>
        <s v="5,5X3,3"/>
        <s v="5,8x3,0"/>
        <s v="6,0X4,5"/>
        <s v="6,0X4,9"/>
        <s v="6,0X5,0"/>
        <s v="6,5X4,15"/>
        <s v="6,5X5,0"/>
        <s v="7,5X6,5"/>
        <s v="8,9X6,1"/>
        <s v="9,0X1,3"/>
        <s v="9,1X7,1"/>
        <s v="9,3X7,4"/>
        <s v="9,5x9,2"/>
        <s v="9,6X5,8"/>
        <s v="9,5X7,9"/>
        <s v="9,7X7,6"/>
        <s v="10,4X6,5"/>
        <s v="10,5X5,7"/>
        <s v="10,5x7,8"/>
        <s v="10,5X6,5"/>
        <s v="10,5X8,8"/>
        <s v="10,5X9,2"/>
        <s v="10,6X4,2"/>
        <s v="10,6X5,8"/>
        <s v="11,5X6,45"/>
        <s v="12,0X7,8"/>
        <s v="12,1X5,7"/>
        <s v="12,1X6,55"/>
        <s v="13,35X2,0"/>
        <s v="13,3X5,1"/>
        <s v="13,3X7,0"/>
        <s v="13,4X8,0"/>
        <s v="13,3X9,0"/>
        <s v="14,0X6,5"/>
        <s v="14,2X9,7"/>
        <s v="14,4X6,5"/>
        <s v="14,6X4,9"/>
        <s v="14,6X9,5"/>
        <s v="15,0X4,85"/>
        <s v="15,0X8,7"/>
        <s v="15,8X5,05"/>
        <s v="15,9X7,0"/>
        <s v="15,9X11"/>
        <s v="17,5X14,5"/>
        <s v="18,75X4,5"/>
        <s v="19,6X5,05"/>
        <s v="19,6X5,6"/>
        <s v="19,7X6,2"/>
        <s v="24,5X5,5"/>
        <s v="7X5"/>
        <s v="9,5X3,5"/>
        <s v="29,2X2,5"/>
        <n v="9.048"/>
        <n v="31"/>
        <n v="8.8000000000000007"/>
        <s v="9,7X7,0"/>
        <s v="10,5X7,1"/>
        <s v="12,0x6,4"/>
        <s v="5,0X7,0"/>
        <s v="5,9X4,0"/>
        <s v="5,9X5,0"/>
        <s v="6,0x12,0"/>
        <s v="6,0x11,0"/>
        <s v="7,2X6,1"/>
        <s v="7,95X4,0"/>
        <s v="8,0X8,0"/>
        <s v="10,0X7,8"/>
        <s v="10,5X3,0"/>
        <s v="10,7X3,7"/>
        <s v="10,5x19,7"/>
        <s v="11,5x9,7"/>
        <s v="12,0X5,0"/>
        <s v="12,8X10,0"/>
        <s v="14,6X2,0"/>
        <s v="17,7X8,0"/>
        <s v="17,8X7,5"/>
        <s v="23,0X4,5"/>
        <s v="19,7X9,0"/>
        <s v="4,5X6,3"/>
        <n v="4.76"/>
        <s v="4,7X3,0"/>
        <s v="4,7X4,4"/>
        <s v="5,0x3,5"/>
        <s v="5,2X7,8"/>
        <s v="5,4X4,5"/>
        <s v="6,0X5,7"/>
        <s v="6,5X6,1"/>
        <s v="6,8X5,7"/>
        <s v="7,1X6,0"/>
        <s v="8,0x5,7"/>
        <s v="8,0X6,0"/>
        <s v="8,5x4,6"/>
        <s v="8,6X6,6"/>
        <s v="8,7x14,6"/>
        <s v="9,7X6,0"/>
        <s v="9,7X6,4"/>
        <s v="9,9x8,7"/>
        <s v="10,0X7,16"/>
        <s v="10,2X8,7"/>
        <s v="10,4X8,7"/>
        <s v="10,5X9,7"/>
        <s v="11,1X4,5"/>
        <s v="11,0x9,7"/>
        <s v="13,0X6,15"/>
        <s v="13,5X9,7"/>
        <s v="13,7X8,7"/>
        <s v="14,6X7,4"/>
        <s v="14,6X10,5"/>
        <s v="14,6X12,3"/>
        <s v="14,6X13,0"/>
        <s v="17,8X6,8"/>
        <s v="19,5X6,0"/>
        <s v="19,7X5,0"/>
        <s v="22,0x5,0"/>
        <s v="30,7X3,0"/>
        <s v="30,7X3,5"/>
        <s v="30,7X6,3"/>
        <s v="6,7X9,7"/>
        <s v="4,3X6,3"/>
        <s v="9X2,4"/>
        <s v="13X10,6"/>
        <s v="19,7X9"/>
        <s v="20,5X15"/>
        <s v="12,0X9,3"/>
        <s v="5,5X7,5"/>
        <s v="6,8X11,5"/>
        <s v="8,0X12,4"/>
        <s v="9,9X5,9"/>
        <s v="11,4X6,5"/>
        <s v="10,1X9,0"/>
        <s v="12,0X9,5"/>
        <s v="14,6X8,8"/>
        <s v="30,1X3,0"/>
        <s v="30,1X6,3"/>
        <s v="11,7X4,6"/>
      </sharedItems>
    </cacheField>
    <cacheField name="PUXADA" numFmtId="0">
      <sharedItems containsBlank="1" containsMixedTypes="1" containsNumber="1" minValue="0.9" maxValue="31.0807" count="197">
        <s v="PUXADA"/>
        <n v="0.9"/>
        <n v="1.25"/>
        <n v="1.7"/>
        <n v="3"/>
        <n v="4"/>
        <n v="4.4000000000000004"/>
        <n v="5"/>
        <n v="6"/>
        <n v="7.4"/>
        <n v="8"/>
        <n v="10.5"/>
        <n v="15"/>
        <n v="20.100000000000001"/>
        <m/>
        <n v="1.2"/>
        <n v="2.2999999999999998"/>
        <n v="3.5"/>
        <n v="4.5"/>
        <n v="4.8"/>
        <n v="5.3"/>
        <n v="6.3"/>
        <n v="9.3000000000000007"/>
        <n v="2.6388600000000002"/>
        <n v="2.9844250000000003"/>
        <n v="3.2985750000000005"/>
        <n v="4.3981000000000003"/>
        <n v="4.4766375000000007"/>
        <n v="5.0264000000000006"/>
        <n v="5.9688500000000007"/>
        <n v="6.597150000000001"/>
        <n v="1.7103722222222224"/>
        <n v="2.7016900000000001"/>
        <n v="2.3037666666666667"/>
        <n v="2.82735"/>
        <n v="2.0943333333333336"/>
        <n v="1.4765050000000002"/>
        <n v="2.5132000000000003"/>
        <n v="4.2410250000000005"/>
        <n v="4.2933833333333329"/>
        <n v="5.5499833333333335"/>
        <n v="1.7670937500000001"/>
        <n v="6.2830000000000004"/>
        <n v="0.90056333333333338"/>
        <n v="3.8483375000000004"/>
        <n v="1.6492875000000002"/>
        <n v="3.7698"/>
        <n v="1.3993954545454546"/>
        <n v="5.5"/>
        <n v="7.8537500000000007"/>
        <n v="2.2514083333333335"/>
        <n v="4.5028166666666669"/>
        <n v="5.8641333333333332"/>
        <n v="4.8169666666666675"/>
        <n v="5.2358333333333338"/>
        <n v="5.7594166666666666"/>
        <n v="10.366949999999999"/>
        <n v="8.1678999999999995"/>
        <n v="7.3301666666666661"/>
        <n v="11.3094"/>
        <n v="11.780625000000001"/>
        <n v="13.194300000000002"/>
        <n v="12.88015"/>
        <n v="15.393350000000002"/>
        <n v="16.335799999999999"/>
        <n v="19.477300000000003"/>
        <n v="20.105600000000003"/>
        <n v="22.932950000000002"/>
        <n v="3.1415000000000002"/>
        <n v="8.9532750000000014"/>
        <n v="10.052800000000001"/>
        <n v="17.906550000000003"/>
        <n v="16.2"/>
        <n v="5.2"/>
        <n v="7.8"/>
        <n v="6.6"/>
        <n v="7.5"/>
        <n v="8.1"/>
        <n v="10"/>
        <n v="15.5"/>
        <n v="7.2"/>
        <n v="10.8"/>
        <n v="9.4"/>
        <n v="4.6831249999999995"/>
        <n v="4.9741666666666671"/>
        <n v="10.794999999999998"/>
        <n v="1.4922499999999999"/>
        <n v="2.1034374999999996"/>
        <n v="2.5929166666666665"/>
        <n v="4.0004999999999997"/>
        <n v="4.2862499999999999"/>
        <n v="6.35"/>
        <n v="3.3337499999999998"/>
        <n v="10.31875"/>
        <n v="16.192499999999999"/>
        <n v="7.3024999999999993"/>
        <n v="10.001249999999999"/>
        <n v="11.747499999999999"/>
        <n v="2.804583333333333"/>
        <n v="7.8316666666666661"/>
        <n v="3.5983333333333327"/>
        <n v="9.6837499999999999"/>
        <n v="3.3019999999999996"/>
        <n v="3.81"/>
        <n v="5.1858333333333331"/>
        <n v="8.254999999999999"/>
        <n v="4.0481249999999998"/>
        <n v="15.239999999999998"/>
        <n v="19.3675"/>
        <n v="6.6674999999999995"/>
        <n v="8.0962499999999995"/>
        <n v="9.3662499999999991"/>
        <n v="18.732499999999998"/>
        <n v="7"/>
        <n v="0.97"/>
        <n v="2"/>
        <n v="3.4"/>
        <n v="6.8"/>
        <n v="13.5"/>
        <n v="13.6"/>
        <n v="14.9"/>
        <n v="20"/>
        <n v="1.5"/>
        <n v="2.8"/>
        <n v="4.5999999999999996"/>
        <n v="5.0999999999999996"/>
        <n v="6.75"/>
        <n v="9.5"/>
        <n v="13.600000000000001"/>
        <n v="2.7274900000000004"/>
        <n v="2.4843416666666664"/>
        <n v="4.5458166666666671"/>
        <n v="4.9686833333333329"/>
        <n v="6.8187250000000006"/>
        <n v="7.4530249999999993"/>
        <n v="4.9951124999999994"/>
        <n v="9.0387749999999993"/>
        <n v="9.5145"/>
        <n v="24.7377"/>
        <n v="1.8632562499999998"/>
        <n v="3.0808857142857144"/>
        <n v="4.3132400000000004"/>
        <n v="2.2200499999999996"/>
        <n v="2.2729083333333335"/>
        <n v="3.5943666666666667"/>
        <n v="6.343"/>
        <n v="4.2815250000000002"/>
        <n v="3.4093625000000003"/>
        <n v="3.8058000000000001"/>
        <n v="5.3915500000000005"/>
        <n v="3.7265124999999997"/>
        <n v="12.36885"/>
        <n v="14.906049999999999"/>
        <n v="13.637450000000001"/>
        <n v="16.17465"/>
        <n v="18.077549999999999"/>
        <n v="19.980449999999998"/>
        <n v="21.566200000000002"/>
        <n v="31.0807"/>
        <n v="3.1"/>
        <n v="3.6155099999999996"/>
        <n v="4.3"/>
        <n v="1.2421708333333332"/>
        <n v="4.75725"/>
        <n v="5.8"/>
        <n v="6.0258500000000002"/>
        <n v="9.1999999999999993"/>
        <n v="1.6"/>
        <n v="8.0873249999999999"/>
        <n v="9.9902249999999988"/>
        <n v="6.6601499999999998"/>
        <n v="10.783100000000001"/>
        <n v="9.1"/>
        <n v="5.1801166666666667"/>
        <n v="19.029"/>
        <n v="29.2"/>
        <n v="7.2944499999999994"/>
        <n v="5.2858333333333327"/>
        <n v="11.258825"/>
        <n v="4.5193874999999997"/>
        <n v="8.2459000000000007"/>
        <n v="2.6957750000000003"/>
        <n v="3.3300749999999999"/>
        <n v="4.0436624999999999"/>
        <n v="5.7086999999999994"/>
        <n v="8.5630500000000005"/>
        <n v="2.7"/>
        <n v="3.9"/>
        <n v="3.3"/>
        <n v="10.941675"/>
        <n v="20.931899999999999"/>
        <n v="5.8672750000000002"/>
        <n v="11.73455"/>
        <n v="6.1844250000000001"/>
        <n v="10.465949999999999"/>
        <n v="9.0916333333333341"/>
        <n v="30.446400000000001"/>
      </sharedItems>
    </cacheField>
    <cacheField name="LARGURA" numFmtId="0">
      <sharedItems containsBlank="1" containsMixedTypes="1" containsNumber="1" minValue="2" maxValue="900"/>
    </cacheField>
    <cacheField name="REP" numFmtId="0">
      <sharedItems containsBlank="1" containsMixedTypes="1" containsNumber="1" minValue="1" maxValue="15.064624999999999" count="41">
        <s v="REP"/>
        <n v="15.009388888888891"/>
        <n v="10"/>
        <n v="8"/>
        <n v="6"/>
        <n v="4"/>
        <n v="3"/>
        <n v="3.0158399999999999"/>
        <n v="2.9716891891891892"/>
        <n v="2"/>
        <n v="1"/>
        <m/>
        <n v="11"/>
        <n v="5"/>
        <n v="9"/>
        <n v="15"/>
        <n v="7"/>
        <s v="***"/>
        <n v="14"/>
        <n v="4.0110147058823529"/>
        <n v="4.0172333333333334"/>
        <n v="2.9812099999999999"/>
        <n v="3.0129250000000001"/>
        <n v="2.0055073529411764"/>
        <n v="1.9874733333333332"/>
        <n v="1.9980449999999998"/>
        <n v="1.0101814814814816"/>
        <n v="1.0027536764705882"/>
        <n v="15.064624999999999"/>
        <n v="5.4549800000000008"/>
        <n v="4.3991774193548387"/>
        <n v="4.3715270270270272"/>
        <n v="3.1715000000000004"/>
        <n v="3.1054270833333333"/>
        <n v="3.0977441860465116"/>
        <n v="2.0736730769230767"/>
        <n v="2.0683695652173912"/>
        <n v="2.0598402061855667"/>
        <n v="1.025372180451128"/>
        <n v="1.0909960000000001"/>
        <n v="12"/>
      </sharedItems>
    </cacheField>
    <cacheField name="CIL" numFmtId="0">
      <sharedItems containsBlank="1" containsMixedTypes="1" containsNumber="1" containsInteger="1" minValue="0" maxValue="6"/>
    </cacheField>
    <cacheField name="COL" numFmtId="0">
      <sharedItems containsBlank="1" containsMixedTypes="1" containsNumber="1" containsInteger="1" minValue="1" maxValue="6"/>
    </cacheField>
    <cacheField name="CLIENTE " numFmtId="0">
      <sharedItems containsBlank="1"/>
    </cacheField>
    <cacheField name="MAQ" numFmtId="0">
      <sharedItems containsBlank="1"/>
    </cacheField>
    <cacheField name="Column15" numFmtId="0">
      <sharedItems containsNonDate="0" containsString="0" containsBlank="1"/>
    </cacheField>
    <cacheField name="Column16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1">
  <r>
    <x v="0"/>
    <s v="CONJUGADA "/>
    <s v="FORNECEDOR"/>
    <s v="Nº FACAS "/>
    <x v="0"/>
    <x v="0"/>
    <x v="0"/>
    <x v="0"/>
    <s v="LARGURA"/>
    <x v="0"/>
    <s v="CIL"/>
    <s v="COL"/>
    <s v="CLIENTE "/>
    <s v="MAQ"/>
    <m/>
    <m/>
  </r>
  <r>
    <x v="0"/>
    <s v="ESP. SYNGENTA "/>
    <s v="QUALIFLEXO "/>
    <n v="17"/>
    <x v="1"/>
    <x v="1"/>
    <x v="1"/>
    <x v="1"/>
    <n v="3.3"/>
    <x v="1"/>
    <n v="3"/>
    <s v="*"/>
    <m/>
    <m/>
    <m/>
    <m/>
  </r>
  <r>
    <x v="0"/>
    <s v="LAB. SÃO JOSE ACRED"/>
    <s v="PERFIL"/>
    <n v="1"/>
    <x v="2"/>
    <x v="1"/>
    <x v="2"/>
    <x v="2"/>
    <n v="11"/>
    <x v="2"/>
    <n v="3"/>
    <s v="*"/>
    <s v="NÃO USAR A FACA SÃO JOSE"/>
    <m/>
    <m/>
    <m/>
  </r>
  <r>
    <x v="0"/>
    <m/>
    <s v="PERFIL "/>
    <n v="2"/>
    <x v="3"/>
    <x v="1"/>
    <x v="3"/>
    <x v="3"/>
    <n v="8"/>
    <x v="3"/>
    <n v="3"/>
    <s v="*"/>
    <s v="REI DO BARALHO "/>
    <m/>
    <m/>
    <m/>
  </r>
  <r>
    <x v="0"/>
    <m/>
    <s v="MLC"/>
    <n v="3"/>
    <x v="4"/>
    <x v="1"/>
    <x v="4"/>
    <x v="4"/>
    <n v="11"/>
    <x v="4"/>
    <n v="3"/>
    <s v="*"/>
    <s v="PORTA FACAS"/>
    <m/>
    <m/>
    <m/>
  </r>
  <r>
    <x v="0"/>
    <m/>
    <s v="PERFIL "/>
    <n v="4"/>
    <x v="4"/>
    <x v="1"/>
    <x v="4"/>
    <x v="4"/>
    <n v="10.5"/>
    <x v="4"/>
    <n v="3"/>
    <s v="*"/>
    <s v="PORTA FACAS"/>
    <m/>
    <m/>
    <m/>
  </r>
  <r>
    <x v="0"/>
    <m/>
    <s v="PERFIL "/>
    <n v="5"/>
    <x v="5"/>
    <x v="1"/>
    <x v="5"/>
    <x v="5"/>
    <n v="11"/>
    <x v="5"/>
    <n v="3"/>
    <s v="*"/>
    <m/>
    <m/>
    <m/>
    <m/>
  </r>
  <r>
    <x v="0"/>
    <m/>
    <s v="PERFIL "/>
    <n v="6"/>
    <x v="3"/>
    <x v="1"/>
    <x v="6"/>
    <x v="6"/>
    <n v="11"/>
    <x v="6"/>
    <n v="3"/>
    <s v="*"/>
    <m/>
    <m/>
    <m/>
    <m/>
  </r>
  <r>
    <x v="0"/>
    <m/>
    <s v="PERFIL "/>
    <n v="7"/>
    <x v="6"/>
    <x v="1"/>
    <x v="7"/>
    <x v="7"/>
    <n v="11"/>
    <x v="6"/>
    <n v="3"/>
    <s v="*"/>
    <m/>
    <s v="ETI / REF"/>
    <m/>
    <m/>
  </r>
  <r>
    <x v="0"/>
    <m/>
    <s v="RESINO"/>
    <n v="16"/>
    <x v="6"/>
    <x v="1"/>
    <x v="7"/>
    <x v="7"/>
    <n v="13"/>
    <x v="7"/>
    <n v="3"/>
    <s v="*"/>
    <m/>
    <m/>
    <m/>
    <m/>
  </r>
  <r>
    <x v="0"/>
    <m/>
    <s v="PERFIL "/>
    <n v="8"/>
    <x v="4"/>
    <x v="1"/>
    <x v="8"/>
    <x v="8"/>
    <n v="11"/>
    <x v="6"/>
    <n v="3"/>
    <s v="*"/>
    <m/>
    <m/>
    <m/>
    <m/>
  </r>
  <r>
    <x v="0"/>
    <m/>
    <s v="PERFIL "/>
    <n v="9"/>
    <x v="4"/>
    <x v="1"/>
    <x v="8"/>
    <x v="8"/>
    <n v="11"/>
    <x v="6"/>
    <n v="3"/>
    <s v="*"/>
    <m/>
    <s v="REF"/>
    <m/>
    <m/>
  </r>
  <r>
    <x v="0"/>
    <m/>
    <s v="PERFIL "/>
    <n v="10"/>
    <x v="7"/>
    <x v="1"/>
    <x v="9"/>
    <x v="9"/>
    <n v="10.5"/>
    <x v="6"/>
    <n v="3"/>
    <s v="*"/>
    <m/>
    <s v="ETI / REF"/>
    <m/>
    <m/>
  </r>
  <r>
    <x v="0"/>
    <m/>
    <s v="PERFIL "/>
    <n v="15"/>
    <x v="7"/>
    <x v="1"/>
    <x v="9"/>
    <x v="9"/>
    <n v="12"/>
    <x v="8"/>
    <n v="3"/>
    <s v="*"/>
    <m/>
    <m/>
    <m/>
    <m/>
  </r>
  <r>
    <x v="0"/>
    <m/>
    <s v="PERFIL "/>
    <n v="11"/>
    <x v="5"/>
    <x v="1"/>
    <x v="10"/>
    <x v="10"/>
    <n v="11"/>
    <x v="9"/>
    <n v="3"/>
    <s v="*"/>
    <m/>
    <m/>
    <m/>
    <m/>
  </r>
  <r>
    <x v="0"/>
    <m/>
    <s v="PERFIL "/>
    <n v="12"/>
    <x v="8"/>
    <x v="1"/>
    <x v="11"/>
    <x v="11"/>
    <n v="11"/>
    <x v="9"/>
    <n v="3"/>
    <s v="*"/>
    <s v="VERDURAS "/>
    <m/>
    <m/>
    <m/>
  </r>
  <r>
    <x v="0"/>
    <m/>
    <s v="PERFIL "/>
    <n v="13"/>
    <x v="6"/>
    <x v="1"/>
    <x v="12"/>
    <x v="12"/>
    <n v="11"/>
    <x v="10"/>
    <n v="3"/>
    <s v="*"/>
    <s v="CASA SHAMPOO"/>
    <m/>
    <m/>
    <m/>
  </r>
  <r>
    <x v="0"/>
    <m/>
    <s v="PERFIL "/>
    <n v="14"/>
    <x v="9"/>
    <x v="1"/>
    <x v="13"/>
    <x v="13"/>
    <n v="11"/>
    <x v="10"/>
    <n v="3"/>
    <s v="*"/>
    <s v="MANSU"/>
    <m/>
    <m/>
    <m/>
  </r>
  <r>
    <x v="0"/>
    <m/>
    <m/>
    <m/>
    <x v="10"/>
    <x v="2"/>
    <x v="14"/>
    <x v="14"/>
    <m/>
    <x v="11"/>
    <m/>
    <m/>
    <m/>
    <m/>
    <m/>
    <m/>
  </r>
  <r>
    <x v="0"/>
    <m/>
    <s v="PERFIL"/>
    <n v="18"/>
    <x v="2"/>
    <x v="3"/>
    <x v="15"/>
    <x v="15"/>
    <n v="5"/>
    <x v="12"/>
    <n v="3"/>
    <n v="5"/>
    <m/>
    <m/>
    <m/>
    <m/>
  </r>
  <r>
    <x v="0"/>
    <m/>
    <s v="PERFIL"/>
    <n v="25"/>
    <x v="1"/>
    <x v="3"/>
    <x v="16"/>
    <x v="16"/>
    <n v="10"/>
    <x v="4"/>
    <n v="3"/>
    <n v="4"/>
    <s v="SOUZA CRUZ"/>
    <m/>
    <m/>
    <m/>
  </r>
  <r>
    <x v="0"/>
    <s v="DES. MERCADO TABAJARAS"/>
    <s v="MLC"/>
    <n v="19"/>
    <x v="4"/>
    <x v="3"/>
    <x v="17"/>
    <x v="17"/>
    <n v="4"/>
    <x v="13"/>
    <n v="3"/>
    <n v="1"/>
    <m/>
    <m/>
    <m/>
    <m/>
  </r>
  <r>
    <x v="0"/>
    <m/>
    <s v="PERFIL"/>
    <n v="20"/>
    <x v="3"/>
    <x v="3"/>
    <x v="18"/>
    <x v="18"/>
    <n v="4.7"/>
    <x v="6"/>
    <n v="3"/>
    <n v="1"/>
    <s v="SORVETERIAS"/>
    <m/>
    <m/>
    <m/>
  </r>
  <r>
    <x v="0"/>
    <m/>
    <s v="PERFIL"/>
    <n v="21"/>
    <x v="11"/>
    <x v="3"/>
    <x v="19"/>
    <x v="19"/>
    <n v="5"/>
    <x v="6"/>
    <n v="3"/>
    <n v="1"/>
    <s v="SORVETERIAS"/>
    <m/>
    <m/>
    <m/>
  </r>
  <r>
    <x v="0"/>
    <m/>
    <s v="PERFIL"/>
    <n v="22"/>
    <x v="12"/>
    <x v="3"/>
    <x v="20"/>
    <x v="20"/>
    <n v="5.5"/>
    <x v="6"/>
    <n v="3"/>
    <n v="1"/>
    <s v="2 COL 1 ESTRAGADA"/>
    <m/>
    <m/>
    <m/>
  </r>
  <r>
    <x v="0"/>
    <m/>
    <s v="PERFIL"/>
    <n v="23"/>
    <x v="2"/>
    <x v="3"/>
    <x v="21"/>
    <x v="21"/>
    <n v="6.5"/>
    <x v="6"/>
    <n v="3"/>
    <n v="1"/>
    <s v="SORVETERIAS 2 FACAS IGUAIS"/>
    <m/>
    <m/>
    <m/>
  </r>
  <r>
    <x v="0"/>
    <m/>
    <s v="PERFIL"/>
    <n v="24"/>
    <x v="4"/>
    <x v="3"/>
    <x v="22"/>
    <x v="22"/>
    <n v="9.5"/>
    <x v="12"/>
    <n v="3"/>
    <n v="1"/>
    <s v="SORVETERIAS"/>
    <m/>
    <m/>
    <m/>
  </r>
  <r>
    <x v="0"/>
    <m/>
    <m/>
    <m/>
    <x v="10"/>
    <x v="2"/>
    <x v="14"/>
    <x v="14"/>
    <m/>
    <x v="11"/>
    <m/>
    <m/>
    <m/>
    <m/>
    <m/>
    <m/>
  </r>
  <r>
    <x v="0"/>
    <s v="OVAL 3,0X1,8 E 4,0X2,2"/>
    <s v="PERFIL"/>
    <n v="26"/>
    <x v="3"/>
    <x v="4"/>
    <x v="23"/>
    <x v="23"/>
    <n v="3.5"/>
    <x v="13"/>
    <n v="3"/>
    <n v="2"/>
    <s v="SELECTA "/>
    <m/>
    <m/>
    <m/>
  </r>
  <r>
    <x v="0"/>
    <s v="DES. FLORIC. GABRIELA "/>
    <s v="PERFIL "/>
    <n v="29"/>
    <x v="4"/>
    <x v="4"/>
    <x v="24"/>
    <x v="24"/>
    <n v="5"/>
    <x v="4"/>
    <n v="3"/>
    <n v="1"/>
    <s v="MEGA FRUTAS - PIC NA FACA"/>
    <m/>
    <m/>
    <m/>
  </r>
  <r>
    <x v="0"/>
    <s v="OVAL 2,4X1,4 E 4,0X2,2"/>
    <s v="PERFIL "/>
    <n v="26"/>
    <x v="3"/>
    <x v="4"/>
    <x v="25"/>
    <x v="25"/>
    <n v="2.5"/>
    <x v="5"/>
    <n v="3"/>
    <n v="1"/>
    <m/>
    <m/>
    <m/>
    <m/>
  </r>
  <r>
    <x v="0"/>
    <s v="OVAL 3,0X1,8 E 2,4X1,4 "/>
    <s v="PERFIL "/>
    <n v="26"/>
    <x v="3"/>
    <x v="4"/>
    <x v="26"/>
    <x v="26"/>
    <n v="2.7"/>
    <x v="6"/>
    <n v="3"/>
    <n v="1"/>
    <m/>
    <m/>
    <m/>
    <m/>
  </r>
  <r>
    <x v="0"/>
    <s v="DES. COOPERVALE"/>
    <s v="PERFIL "/>
    <n v="27"/>
    <x v="13"/>
    <x v="4"/>
    <x v="27"/>
    <x v="26"/>
    <n v="3"/>
    <x v="5"/>
    <n v="3"/>
    <n v="1"/>
    <m/>
    <m/>
    <m/>
    <m/>
  </r>
  <r>
    <x v="0"/>
    <s v="OVAL CALU"/>
    <s v="PERFIL "/>
    <n v="28"/>
    <x v="4"/>
    <x v="4"/>
    <x v="28"/>
    <x v="27"/>
    <n v="4"/>
    <x v="5"/>
    <n v="3"/>
    <n v="1"/>
    <s v="LC MILHO"/>
    <m/>
    <m/>
    <m/>
  </r>
  <r>
    <x v="0"/>
    <m/>
    <s v="PERFIL "/>
    <n v="30"/>
    <x v="6"/>
    <x v="4"/>
    <x v="29"/>
    <x v="28"/>
    <n v="7.5"/>
    <x v="6"/>
    <n v="3"/>
    <n v="1"/>
    <s v="CHÃO DE MINAS"/>
    <m/>
    <m/>
    <m/>
  </r>
  <r>
    <x v="0"/>
    <s v="OVAL LC MILHO"/>
    <s v="PERFIL "/>
    <n v="28"/>
    <x v="4"/>
    <x v="4"/>
    <x v="30"/>
    <x v="29"/>
    <n v="4.5"/>
    <x v="6"/>
    <n v="3"/>
    <n v="1"/>
    <s v="CALU"/>
    <m/>
    <m/>
    <m/>
  </r>
  <r>
    <x v="0"/>
    <s v="ESP. 6,0X3,0 TÉRMICA"/>
    <s v="PERFIL "/>
    <n v="31"/>
    <x v="3"/>
    <x v="4"/>
    <x v="31"/>
    <x v="30"/>
    <n v="4"/>
    <x v="9"/>
    <n v="3"/>
    <n v="1"/>
    <s v="MERC TABAJARAS"/>
    <m/>
    <m/>
    <m/>
  </r>
  <r>
    <x v="0"/>
    <m/>
    <s v="PERFIL "/>
    <n v="32"/>
    <x v="3"/>
    <x v="4"/>
    <x v="32"/>
    <x v="30"/>
    <n v="10"/>
    <x v="9"/>
    <n v="3"/>
    <n v="1"/>
    <s v="BISC REI "/>
    <m/>
    <m/>
    <m/>
  </r>
  <r>
    <x v="0"/>
    <m/>
    <m/>
    <m/>
    <x v="10"/>
    <x v="2"/>
    <x v="14"/>
    <x v="14"/>
    <m/>
    <x v="11"/>
    <m/>
    <m/>
    <m/>
    <m/>
    <m/>
    <m/>
  </r>
  <r>
    <x v="0"/>
    <m/>
    <s v="QUALIFLEXO"/>
    <n v="81"/>
    <x v="14"/>
    <x v="5"/>
    <x v="33"/>
    <x v="31"/>
    <n v="7.5"/>
    <x v="14"/>
    <n v="2"/>
    <n v="3"/>
    <s v="IMUNO VIDA "/>
    <m/>
    <m/>
    <m/>
  </r>
  <r>
    <x v="0"/>
    <m/>
    <s v="PERFIL "/>
    <n v="39"/>
    <x v="1"/>
    <x v="6"/>
    <x v="34"/>
    <x v="32"/>
    <n v="10.5"/>
    <x v="13"/>
    <n v="3"/>
    <n v="1"/>
    <s v=" 2 COL 1COL ESTRAGADA"/>
    <m/>
    <m/>
    <m/>
  </r>
  <r>
    <x v="0"/>
    <m/>
    <s v="PERFIL"/>
    <n v="84"/>
    <x v="15"/>
    <x v="5"/>
    <x v="35"/>
    <x v="33"/>
    <n v="10"/>
    <x v="4"/>
    <n v="0"/>
    <n v="3"/>
    <s v="D VILLE"/>
    <m/>
    <m/>
    <m/>
  </r>
  <r>
    <x v="0"/>
    <m/>
    <s v="CIG"/>
    <n v="55"/>
    <x v="11"/>
    <x v="6"/>
    <x v="36"/>
    <x v="34"/>
    <n v="10.5"/>
    <x v="13"/>
    <n v="3"/>
    <n v="3"/>
    <s v="LOJA DOCE 2 FACAS "/>
    <m/>
    <m/>
    <m/>
  </r>
  <r>
    <x v="0"/>
    <m/>
    <s v="CIG"/>
    <n v="82"/>
    <x v="11"/>
    <x v="5"/>
    <x v="36"/>
    <x v="34"/>
    <n v="10.5"/>
    <x v="13"/>
    <n v="3"/>
    <n v="3"/>
    <s v="LOJA DOCE 2 FACAS "/>
    <m/>
    <m/>
    <m/>
  </r>
  <r>
    <x v="0"/>
    <m/>
    <s v="PERFIL "/>
    <n v="35"/>
    <x v="2"/>
    <x v="6"/>
    <x v="37"/>
    <x v="35"/>
    <n v="10.5"/>
    <x v="4"/>
    <n v="3"/>
    <n v="3"/>
    <s v="SANTA CLARA"/>
    <m/>
    <m/>
    <m/>
  </r>
  <r>
    <x v="0"/>
    <m/>
    <s v="PERFIL "/>
    <n v="36"/>
    <x v="2"/>
    <x v="6"/>
    <x v="37"/>
    <x v="35"/>
    <n v="10.5"/>
    <x v="4"/>
    <n v="3"/>
    <n v="3"/>
    <s v="SANTA CLARA"/>
    <m/>
    <m/>
    <m/>
  </r>
  <r>
    <x v="0"/>
    <m/>
    <s v="QUALIFLEXO"/>
    <n v="36"/>
    <x v="2"/>
    <x v="6"/>
    <x v="37"/>
    <x v="35"/>
    <n v="10.5"/>
    <x v="4"/>
    <n v="3"/>
    <n v="3"/>
    <m/>
    <m/>
    <m/>
    <m/>
  </r>
  <r>
    <x v="0"/>
    <m/>
    <s v="QUALIFLEXO"/>
    <n v="75"/>
    <x v="16"/>
    <x v="6"/>
    <x v="38"/>
    <x v="36"/>
    <n v="10.5"/>
    <x v="2"/>
    <n v="0"/>
    <n v="1"/>
    <m/>
    <m/>
    <m/>
    <m/>
  </r>
  <r>
    <x v="0"/>
    <m/>
    <s v="QUALIFLEXO"/>
    <n v="76"/>
    <x v="6"/>
    <x v="6"/>
    <x v="39"/>
    <x v="37"/>
    <n v="10.5"/>
    <x v="4"/>
    <n v="3"/>
    <n v="3"/>
    <s v="REDE LUCAS"/>
    <m/>
    <m/>
    <m/>
  </r>
  <r>
    <x v="0"/>
    <s v="REFLEXO"/>
    <s v="PERFIL "/>
    <n v="37"/>
    <x v="17"/>
    <x v="6"/>
    <x v="40"/>
    <x v="38"/>
    <n v="10.5"/>
    <x v="5"/>
    <s v="*"/>
    <n v="5"/>
    <s v="JUNCO S/ INTERV"/>
    <m/>
    <m/>
    <m/>
  </r>
  <r>
    <x v="0"/>
    <s v="ESP. 6,0X4,0 TÉRMICA"/>
    <s v="PERFIL "/>
    <n v="38"/>
    <x v="18"/>
    <x v="6"/>
    <x v="41"/>
    <x v="39"/>
    <n v="4.5"/>
    <x v="6"/>
    <n v="3"/>
    <n v="1"/>
    <s v="TERMICA"/>
    <m/>
    <m/>
    <m/>
  </r>
  <r>
    <x v="0"/>
    <m/>
    <s v="PERFIL"/>
    <n v="73"/>
    <x v="18"/>
    <x v="5"/>
    <x v="41"/>
    <x v="39"/>
    <n v="900"/>
    <x v="6"/>
    <n v="3"/>
    <n v="2"/>
    <s v="SUPER MAXI LACRE"/>
    <m/>
    <m/>
    <m/>
  </r>
  <r>
    <x v="0"/>
    <m/>
    <s v="PERFIL "/>
    <n v="41"/>
    <x v="3"/>
    <x v="6"/>
    <x v="42"/>
    <x v="25"/>
    <n v="10.5"/>
    <x v="5"/>
    <n v="3"/>
    <n v="2"/>
    <s v="INDUSAT sem intervalo"/>
    <m/>
    <m/>
    <m/>
  </r>
  <r>
    <x v="0"/>
    <m/>
    <s v="PERFIL "/>
    <n v="42"/>
    <x v="19"/>
    <x v="6"/>
    <x v="43"/>
    <x v="40"/>
    <n v="10.5"/>
    <x v="6"/>
    <n v="3"/>
    <n v="3"/>
    <s v="VULCAFLEX"/>
    <m/>
    <m/>
    <m/>
  </r>
  <r>
    <x v="0"/>
    <m/>
    <s v="QUALIFLEXO"/>
    <n v="34"/>
    <x v="11"/>
    <x v="6"/>
    <x v="44"/>
    <x v="41"/>
    <n v="6.5"/>
    <x v="3"/>
    <n v="3"/>
    <n v="1"/>
    <s v="D VILLE / LOS PALOCOS"/>
    <m/>
    <m/>
    <m/>
  </r>
  <r>
    <x v="0"/>
    <s v="OVAL 6,5X3,5  ETIR/REF"/>
    <s v="PERFIL "/>
    <n v="31"/>
    <x v="3"/>
    <x v="6"/>
    <x v="45"/>
    <x v="25"/>
    <n v="6.5"/>
    <x v="5"/>
    <n v="3"/>
    <n v="1"/>
    <s v="TERMICA"/>
    <m/>
    <m/>
    <m/>
  </r>
  <r>
    <x v="0"/>
    <m/>
    <s v="PERFIL "/>
    <n v="43"/>
    <x v="2"/>
    <x v="6"/>
    <x v="46"/>
    <x v="42"/>
    <n v="10.5"/>
    <x v="9"/>
    <n v="3"/>
    <n v="3"/>
    <s v="LOGISTICA"/>
    <m/>
    <m/>
    <m/>
  </r>
  <r>
    <x v="0"/>
    <s v="ESP. 4,0X4,0 - REFLEXO"/>
    <s v="PERFIL "/>
    <n v="38"/>
    <x v="18"/>
    <x v="6"/>
    <x v="47"/>
    <x v="39"/>
    <n v="6.5"/>
    <x v="6"/>
    <n v="3"/>
    <n v="1"/>
    <s v="TERMICA"/>
    <m/>
    <m/>
    <m/>
  </r>
  <r>
    <x v="0"/>
    <s v="PICOTE "/>
    <s v="QUALIFLEXO"/>
    <n v="17"/>
    <x v="1"/>
    <x v="6"/>
    <x v="48"/>
    <x v="43"/>
    <n v="7"/>
    <x v="15"/>
    <n v="3"/>
    <n v="1"/>
    <s v="SYNGENTA"/>
    <m/>
    <m/>
    <m/>
  </r>
  <r>
    <x v="0"/>
    <s v="REFLEXO"/>
    <s v="PERFIL "/>
    <n v="44"/>
    <x v="14"/>
    <x v="6"/>
    <x v="49"/>
    <x v="44"/>
    <n v="7"/>
    <x v="5"/>
    <n v="2"/>
    <n v="1"/>
    <m/>
    <m/>
    <m/>
    <m/>
  </r>
  <r>
    <x v="0"/>
    <s v="ETIRAMA "/>
    <s v="PERFIL "/>
    <n v="45"/>
    <x v="6"/>
    <x v="6"/>
    <x v="50"/>
    <x v="28"/>
    <n v="7.3"/>
    <x v="6"/>
    <n v="3"/>
    <n v="1"/>
    <s v="CTBC"/>
    <m/>
    <m/>
    <m/>
  </r>
  <r>
    <x v="0"/>
    <m/>
    <s v="QUALIFLEXO"/>
    <n v="54"/>
    <x v="11"/>
    <x v="6"/>
    <x v="51"/>
    <x v="41"/>
    <n v="6.7"/>
    <x v="3"/>
    <n v="3"/>
    <n v="1"/>
    <s v="D VILLE"/>
    <m/>
    <m/>
    <m/>
  </r>
  <r>
    <x v="0"/>
    <m/>
    <s v="PERFIL "/>
    <n v="33"/>
    <x v="3"/>
    <x v="6"/>
    <x v="52"/>
    <x v="45"/>
    <n v="7.5"/>
    <x v="3"/>
    <n v="3"/>
    <n v="1"/>
    <s v="EQUIPLEX"/>
    <m/>
    <m/>
    <m/>
  </r>
  <r>
    <x v="0"/>
    <m/>
    <s v="MLC"/>
    <n v="51"/>
    <x v="6"/>
    <x v="6"/>
    <x v="53"/>
    <x v="46"/>
    <n v="7.5"/>
    <x v="5"/>
    <n v="3"/>
    <n v="1"/>
    <s v="FERRO VELHO "/>
    <m/>
    <m/>
    <m/>
  </r>
  <r>
    <x v="0"/>
    <m/>
    <s v="PERFIL "/>
    <n v="52"/>
    <x v="14"/>
    <x v="6"/>
    <x v="54"/>
    <x v="47"/>
    <n v="7.7"/>
    <x v="12"/>
    <n v="2"/>
    <n v="1"/>
    <s v="SYNGENTA"/>
    <m/>
    <m/>
    <m/>
  </r>
  <r>
    <x v="0"/>
    <s v="SUMIRAM "/>
    <s v="PERFIL "/>
    <n v="93"/>
    <x v="5"/>
    <x v="6"/>
    <x v="55"/>
    <x v="48"/>
    <n v="7.8"/>
    <x v="6"/>
    <n v="3"/>
    <n v="1"/>
    <m/>
    <m/>
    <m/>
    <m/>
  </r>
  <r>
    <x v="0"/>
    <m/>
    <s v="QUALIFLEXO"/>
    <n v="70"/>
    <x v="6"/>
    <x v="6"/>
    <x v="56"/>
    <x v="46"/>
    <n v="8"/>
    <x v="5"/>
    <n v="3"/>
    <n v="1"/>
    <s v="SOUZA CRUZ"/>
    <m/>
    <m/>
    <m/>
  </r>
  <r>
    <x v="0"/>
    <s v="ETIRAMA "/>
    <s v="PERFIL "/>
    <n v="46"/>
    <x v="12"/>
    <x v="6"/>
    <x v="57"/>
    <x v="49"/>
    <n v="8.5"/>
    <x v="9"/>
    <n v="3"/>
    <n v="1"/>
    <s v="TITA"/>
    <m/>
    <m/>
    <m/>
  </r>
  <r>
    <x v="0"/>
    <m/>
    <s v="PERFIL "/>
    <n v="71"/>
    <x v="1"/>
    <x v="6"/>
    <x v="58"/>
    <x v="50"/>
    <n v="9"/>
    <x v="4"/>
    <n v="3"/>
    <n v="1"/>
    <s v="SOUZA CRUZ"/>
    <m/>
    <m/>
    <m/>
  </r>
  <r>
    <x v="0"/>
    <m/>
    <s v="PERFIL "/>
    <n v="47"/>
    <x v="1"/>
    <x v="6"/>
    <x v="59"/>
    <x v="51"/>
    <n v="9"/>
    <x v="6"/>
    <n v="3"/>
    <n v="1"/>
    <s v="INDUSAT"/>
    <m/>
    <m/>
    <m/>
  </r>
  <r>
    <x v="0"/>
    <m/>
    <s v="PERFIL "/>
    <n v="92"/>
    <x v="13"/>
    <x v="6"/>
    <x v="60"/>
    <x v="52"/>
    <n v="9"/>
    <x v="6"/>
    <n v="3"/>
    <n v="1"/>
    <s v="EQUIPLEX"/>
    <m/>
    <m/>
    <m/>
  </r>
  <r>
    <x v="0"/>
    <m/>
    <s v="MLC"/>
    <n v="72"/>
    <x v="13"/>
    <x v="6"/>
    <x v="61"/>
    <x v="52"/>
    <n v="9"/>
    <x v="6"/>
    <n v="3"/>
    <n v="1"/>
    <s v="SOUZA CRUZ"/>
    <m/>
    <m/>
    <m/>
  </r>
  <r>
    <x v="0"/>
    <m/>
    <s v="QUALIFLEXO"/>
    <n v="74"/>
    <x v="16"/>
    <x v="6"/>
    <x v="62"/>
    <x v="36"/>
    <n v="9.5"/>
    <x v="2"/>
    <n v="0"/>
    <n v="1"/>
    <s v="AMPULHETA"/>
    <m/>
    <m/>
    <m/>
  </r>
  <r>
    <x v="0"/>
    <m/>
    <s v="QUALIFLEXO"/>
    <n v="68"/>
    <x v="1"/>
    <x v="6"/>
    <x v="63"/>
    <x v="50"/>
    <n v="9.5"/>
    <x v="4"/>
    <n v="3"/>
    <n v="1"/>
    <s v="SOUZA CRUZ"/>
    <m/>
    <m/>
    <m/>
  </r>
  <r>
    <x v="0"/>
    <m/>
    <s v="RESINO"/>
    <n v="53"/>
    <x v="20"/>
    <x v="6"/>
    <x v="64"/>
    <x v="53"/>
    <n v="10.5"/>
    <x v="6"/>
    <s v="*"/>
    <n v="1"/>
    <s v="MAG OFERTÃO"/>
    <m/>
    <m/>
    <m/>
  </r>
  <r>
    <x v="0"/>
    <s v="87 FACA LACRE / ETIRAMA "/>
    <s v="METALFLEXO"/>
    <n v="48"/>
    <x v="12"/>
    <x v="6"/>
    <x v="65"/>
    <x v="54"/>
    <n v="10.5"/>
    <x v="6"/>
    <n v="3"/>
    <n v="1"/>
    <s v="CARTORIO + LACRE "/>
    <m/>
    <m/>
    <m/>
  </r>
  <r>
    <x v="0"/>
    <m/>
    <s v="METALFLEXO"/>
    <n v="49"/>
    <x v="21"/>
    <x v="6"/>
    <x v="66"/>
    <x v="55"/>
    <n v="10.5"/>
    <x v="6"/>
    <s v="*"/>
    <n v="1"/>
    <s v="LOGISTICA"/>
    <m/>
    <m/>
    <m/>
  </r>
  <r>
    <x v="0"/>
    <m/>
    <s v="PERFIL "/>
    <n v="50"/>
    <x v="22"/>
    <x v="6"/>
    <x v="67"/>
    <x v="56"/>
    <n v="6"/>
    <x v="9"/>
    <n v="3"/>
    <n v="1"/>
    <s v="DAIWA"/>
    <m/>
    <m/>
    <m/>
  </r>
  <r>
    <x v="0"/>
    <s v="ETI"/>
    <s v="PERFIL "/>
    <n v="56"/>
    <x v="2"/>
    <x v="6"/>
    <x v="68"/>
    <x v="42"/>
    <n v="10.5"/>
    <x v="9"/>
    <n v="3"/>
    <n v="1"/>
    <s v="PANSERVICE"/>
    <m/>
    <m/>
    <m/>
  </r>
  <r>
    <x v="0"/>
    <m/>
    <s v="RESINO"/>
    <n v="94"/>
    <x v="12"/>
    <x v="6"/>
    <x v="69"/>
    <x v="49"/>
    <n v="11"/>
    <x v="9"/>
    <n v="2"/>
    <n v="1"/>
    <s v="VIVA ESQUADRIAS "/>
    <m/>
    <m/>
    <m/>
  </r>
  <r>
    <x v="0"/>
    <m/>
    <s v="PERFIL "/>
    <n v="57"/>
    <x v="5"/>
    <x v="6"/>
    <x v="70"/>
    <x v="57"/>
    <n v="10.5"/>
    <x v="9"/>
    <n v="3"/>
    <n v="1"/>
    <s v="PEIXOTO"/>
    <m/>
    <m/>
    <m/>
  </r>
  <r>
    <x v="0"/>
    <m/>
    <s v="PERFIL "/>
    <n v="58"/>
    <x v="7"/>
    <x v="6"/>
    <x v="71"/>
    <x v="58"/>
    <n v="11"/>
    <x v="6"/>
    <n v="3"/>
    <n v="1"/>
    <s v="SABOR DA ROÇA"/>
    <m/>
    <m/>
    <m/>
  </r>
  <r>
    <x v="0"/>
    <m/>
    <s v="QUALIFLEXO"/>
    <n v="69"/>
    <x v="1"/>
    <x v="6"/>
    <x v="72"/>
    <x v="50"/>
    <n v="11"/>
    <x v="4"/>
    <n v="3"/>
    <n v="1"/>
    <s v="SOUZA CRUZ"/>
    <m/>
    <m/>
    <m/>
  </r>
  <r>
    <x v="0"/>
    <m/>
    <s v="RESINO"/>
    <n v="77"/>
    <x v="23"/>
    <x v="6"/>
    <x v="73"/>
    <x v="59"/>
    <n v="9.5"/>
    <x v="9"/>
    <n v="0"/>
    <n v="1"/>
    <s v="INOVAFIX"/>
    <m/>
    <m/>
    <m/>
  </r>
  <r>
    <x v="0"/>
    <m/>
    <s v="PERFIL "/>
    <n v="59"/>
    <x v="24"/>
    <x v="6"/>
    <x v="74"/>
    <x v="60"/>
    <n v="10.5"/>
    <x v="9"/>
    <n v="3"/>
    <n v="1"/>
    <s v="DESPACHO "/>
    <m/>
    <m/>
    <m/>
  </r>
  <r>
    <x v="0"/>
    <m/>
    <m/>
    <n v="83"/>
    <x v="3"/>
    <x v="5"/>
    <x v="75"/>
    <x v="61"/>
    <n v="5.5"/>
    <x v="10"/>
    <n v="3"/>
    <n v="1"/>
    <m/>
    <m/>
    <m/>
    <m/>
  </r>
  <r>
    <x v="0"/>
    <m/>
    <s v="PERFIL "/>
    <n v="60"/>
    <x v="18"/>
    <x v="6"/>
    <x v="76"/>
    <x v="62"/>
    <n v="8.5"/>
    <x v="10"/>
    <n v="3"/>
    <n v="1"/>
    <s v="BIOPHARMA"/>
    <m/>
    <m/>
    <m/>
  </r>
  <r>
    <x v="0"/>
    <m/>
    <s v="PERFIL "/>
    <n v="61"/>
    <x v="3"/>
    <x v="6"/>
    <x v="77"/>
    <x v="61"/>
    <n v="7.5"/>
    <x v="10"/>
    <n v="3"/>
    <n v="1"/>
    <s v="CAFÉ DUBOM "/>
    <m/>
    <m/>
    <m/>
  </r>
  <r>
    <x v="0"/>
    <m/>
    <s v="PERFIL "/>
    <n v="62"/>
    <x v="14"/>
    <x v="6"/>
    <x v="78"/>
    <x v="63"/>
    <n v="10"/>
    <x v="10"/>
    <n v="2"/>
    <n v="3"/>
    <s v="C/ PICOTE SUNQ"/>
    <m/>
    <m/>
    <m/>
  </r>
  <r>
    <x v="0"/>
    <m/>
    <s v="PERFIL "/>
    <n v="63"/>
    <x v="5"/>
    <x v="6"/>
    <x v="79"/>
    <x v="64"/>
    <n v="7.5"/>
    <x v="10"/>
    <n v="3"/>
    <n v="1"/>
    <s v="REF UDIA "/>
    <m/>
    <m/>
    <m/>
  </r>
  <r>
    <x v="0"/>
    <m/>
    <s v="PERFIL "/>
    <n v="67"/>
    <x v="25"/>
    <x v="6"/>
    <x v="80"/>
    <x v="65"/>
    <n v="10.5"/>
    <x v="10"/>
    <n v="3"/>
    <n v="2"/>
    <s v="FRIGO FAVA"/>
    <m/>
    <m/>
    <m/>
  </r>
  <r>
    <x v="0"/>
    <s v="LACRE"/>
    <s v="MLC"/>
    <n v="64"/>
    <x v="9"/>
    <x v="6"/>
    <x v="81"/>
    <x v="66"/>
    <n v="10.5"/>
    <x v="10"/>
    <n v="3"/>
    <n v="1"/>
    <s v="SUNQUIMICA"/>
    <m/>
    <m/>
    <m/>
  </r>
  <r>
    <x v="0"/>
    <m/>
    <s v="PERFIL "/>
    <n v="66"/>
    <x v="26"/>
    <x v="6"/>
    <x v="82"/>
    <x v="67"/>
    <n v="11"/>
    <x v="10"/>
    <n v="1"/>
    <n v="1"/>
    <s v="FRIGO FAVA"/>
    <m/>
    <m/>
    <m/>
  </r>
  <r>
    <x v="0"/>
    <m/>
    <m/>
    <m/>
    <x v="10"/>
    <x v="2"/>
    <x v="14"/>
    <x v="14"/>
    <m/>
    <x v="11"/>
    <m/>
    <m/>
    <m/>
    <m/>
    <m/>
    <m/>
  </r>
  <r>
    <x v="0"/>
    <m/>
    <m/>
    <m/>
    <x v="10"/>
    <x v="2"/>
    <x v="14"/>
    <x v="14"/>
    <m/>
    <x v="11"/>
    <m/>
    <m/>
    <m/>
    <m/>
    <m/>
    <m/>
  </r>
  <r>
    <x v="0"/>
    <s v="DES NOSSO PÃO"/>
    <s v="PERFIL "/>
    <n v="78"/>
    <x v="6"/>
    <x v="7"/>
    <x v="83"/>
    <x v="46"/>
    <n v="5"/>
    <x v="5"/>
    <n v="3"/>
    <n v="3"/>
    <s v="INDUSAT "/>
    <m/>
    <m/>
    <m/>
  </r>
  <r>
    <x v="0"/>
    <s v="DES INDUSAT"/>
    <s v="PERFIL "/>
    <n v="78"/>
    <x v="6"/>
    <x v="7"/>
    <x v="84"/>
    <x v="28"/>
    <n v="4.5"/>
    <x v="6"/>
    <n v="3"/>
    <n v="1"/>
    <s v="NOSSO PÃO "/>
    <m/>
    <m/>
    <m/>
  </r>
  <r>
    <x v="0"/>
    <m/>
    <s v="PERFIL "/>
    <n v="27"/>
    <x v="13"/>
    <x v="7"/>
    <x v="85"/>
    <x v="52"/>
    <n v="4"/>
    <x v="6"/>
    <n v="3"/>
    <n v="1"/>
    <s v="COOPERVALE "/>
    <m/>
    <m/>
    <m/>
  </r>
  <r>
    <x v="0"/>
    <m/>
    <s v="PERFIL "/>
    <n v="29"/>
    <x v="4"/>
    <x v="7"/>
    <x v="86"/>
    <x v="29"/>
    <n v="3.5"/>
    <x v="6"/>
    <n v="3"/>
    <n v="1"/>
    <s v="GABRIELA FLORES"/>
    <m/>
    <m/>
    <m/>
  </r>
  <r>
    <x v="0"/>
    <s v="RETA 1,3"/>
    <s v="PERFIL "/>
    <n v="1"/>
    <x v="2"/>
    <x v="7"/>
    <x v="87"/>
    <x v="68"/>
    <n v="7.5"/>
    <x v="5"/>
    <n v="3"/>
    <n v="1"/>
    <s v="SÃO JOSE"/>
    <m/>
    <m/>
    <m/>
  </r>
  <r>
    <x v="0"/>
    <m/>
    <s v="PERFIL "/>
    <n v="79"/>
    <x v="4"/>
    <x v="7"/>
    <x v="88"/>
    <x v="69"/>
    <n v="8"/>
    <x v="9"/>
    <n v="3"/>
    <n v="1"/>
    <s v="NOSSO PÃO "/>
    <m/>
    <m/>
    <m/>
  </r>
  <r>
    <x v="0"/>
    <m/>
    <s v="PERFIL "/>
    <n v="80"/>
    <x v="9"/>
    <x v="7"/>
    <x v="89"/>
    <x v="70"/>
    <n v="7"/>
    <x v="9"/>
    <n v="3"/>
    <n v="1"/>
    <s v="MAX GAS"/>
    <m/>
    <m/>
    <m/>
  </r>
  <r>
    <x v="0"/>
    <m/>
    <s v="MLC"/>
    <n v="19"/>
    <x v="4"/>
    <x v="7"/>
    <x v="90"/>
    <x v="71"/>
    <n v="4"/>
    <x v="10"/>
    <n v="3"/>
    <n v="1"/>
    <s v="TABAJARAS"/>
    <m/>
    <m/>
    <m/>
  </r>
  <r>
    <x v="0"/>
    <m/>
    <m/>
    <m/>
    <x v="10"/>
    <x v="2"/>
    <x v="14"/>
    <x v="14"/>
    <m/>
    <x v="11"/>
    <m/>
    <m/>
    <m/>
    <m/>
    <m/>
    <m/>
  </r>
  <r>
    <x v="0"/>
    <m/>
    <s v="RESINO"/>
    <n v="85"/>
    <x v="27"/>
    <x v="8"/>
    <x v="91"/>
    <x v="72"/>
    <n v="11"/>
    <x v="10"/>
    <n v="1"/>
    <n v="2"/>
    <s v="HORTIS"/>
    <m/>
    <m/>
    <m/>
  </r>
  <r>
    <x v="0"/>
    <m/>
    <m/>
    <m/>
    <x v="10"/>
    <x v="2"/>
    <x v="14"/>
    <x v="14"/>
    <m/>
    <x v="11"/>
    <m/>
    <m/>
    <m/>
    <m/>
    <m/>
    <m/>
  </r>
  <r>
    <x v="0"/>
    <m/>
    <m/>
    <n v="86"/>
    <x v="15"/>
    <x v="9"/>
    <x v="35"/>
    <x v="14"/>
    <m/>
    <x v="11"/>
    <m/>
    <m/>
    <s v="D VILLE"/>
    <m/>
    <m/>
    <m/>
  </r>
  <r>
    <x v="0"/>
    <s v="LACRE"/>
    <s v="RESINO"/>
    <n v="65"/>
    <x v="20"/>
    <x v="9"/>
    <x v="92"/>
    <x v="19"/>
    <n v="10.5"/>
    <x v="6"/>
    <n v="3"/>
    <n v="1"/>
    <s v="MAG OFERTÃO"/>
    <m/>
    <m/>
    <m/>
  </r>
  <r>
    <x v="0"/>
    <m/>
    <m/>
    <n v="87"/>
    <x v="12"/>
    <x v="9"/>
    <x v="93"/>
    <x v="73"/>
    <n v="10.5"/>
    <x v="6"/>
    <n v="3"/>
    <n v="1"/>
    <s v="AUTO SOCORRO PH"/>
    <m/>
    <m/>
    <m/>
  </r>
  <r>
    <x v="0"/>
    <m/>
    <s v="RESINO"/>
    <n v="95"/>
    <x v="12"/>
    <x v="9"/>
    <x v="94"/>
    <x v="74"/>
    <n v="10.5"/>
    <x v="9"/>
    <n v="2"/>
    <n v="1"/>
    <s v="VIVA ESQUADRIAS"/>
    <m/>
    <m/>
    <m/>
  </r>
  <r>
    <x v="0"/>
    <m/>
    <m/>
    <n v="88"/>
    <x v="9"/>
    <x v="10"/>
    <x v="14"/>
    <x v="14"/>
    <m/>
    <x v="11"/>
    <m/>
    <m/>
    <s v="SUNQUIMICA"/>
    <m/>
    <m/>
    <m/>
  </r>
  <r>
    <x v="0"/>
    <m/>
    <m/>
    <n v="89"/>
    <x v="28"/>
    <x v="11"/>
    <x v="14"/>
    <x v="14"/>
    <m/>
    <x v="11"/>
    <m/>
    <m/>
    <m/>
    <m/>
    <m/>
    <m/>
  </r>
  <r>
    <x v="0"/>
    <m/>
    <m/>
    <n v="90"/>
    <x v="29"/>
    <x v="11"/>
    <x v="95"/>
    <x v="14"/>
    <m/>
    <x v="11"/>
    <m/>
    <m/>
    <m/>
    <m/>
    <m/>
    <m/>
  </r>
  <r>
    <x v="0"/>
    <m/>
    <m/>
    <n v="91"/>
    <x v="22"/>
    <x v="12"/>
    <x v="14"/>
    <x v="14"/>
    <m/>
    <x v="11"/>
    <m/>
    <m/>
    <s v="DAIWA / ORTHOMED"/>
    <m/>
    <m/>
    <m/>
  </r>
  <r>
    <x v="1"/>
    <s v="ESP 3,6X5,5"/>
    <s v="PERFIL"/>
    <n v="1"/>
    <x v="30"/>
    <x v="1"/>
    <x v="5"/>
    <x v="5"/>
    <n v="12.5"/>
    <x v="13"/>
    <n v="5"/>
    <s v="*"/>
    <m/>
    <m/>
    <m/>
    <s v="CONJUGADA "/>
  </r>
  <r>
    <x v="1"/>
    <m/>
    <s v="PERFIL"/>
    <n v="2"/>
    <x v="16"/>
    <x v="1"/>
    <x v="7"/>
    <x v="7"/>
    <n v="25"/>
    <x v="6"/>
    <n v="5"/>
    <s v="*"/>
    <m/>
    <s v="BET / REF"/>
    <m/>
    <s v="ESP 3,6X5,5"/>
  </r>
  <r>
    <x v="1"/>
    <s v="DES 6,35X10,0"/>
    <s v="PERFIL"/>
    <n v="3"/>
    <x v="30"/>
    <x v="1"/>
    <x v="96"/>
    <x v="75"/>
    <n v="13"/>
    <x v="6"/>
    <n v="5"/>
    <s v="*"/>
    <m/>
    <m/>
    <m/>
    <m/>
  </r>
  <r>
    <x v="1"/>
    <m/>
    <s v="PERFIL"/>
    <n v="4"/>
    <x v="16"/>
    <x v="1"/>
    <x v="97"/>
    <x v="76"/>
    <n v="25"/>
    <x v="9"/>
    <n v="5"/>
    <s v="*"/>
    <m/>
    <s v="BET / REF"/>
    <m/>
    <s v="DES 6,35X10,0"/>
  </r>
  <r>
    <x v="1"/>
    <s v="DES 7,8X4,9"/>
    <s v="PERFIL"/>
    <n v="5"/>
    <x v="27"/>
    <x v="1"/>
    <x v="98"/>
    <x v="77"/>
    <n v="13"/>
    <x v="9"/>
    <n v="4"/>
    <s v="*"/>
    <m/>
    <m/>
    <m/>
    <m/>
  </r>
  <r>
    <x v="1"/>
    <s v="ESP 9,8X6,0 usa reta "/>
    <s v="PERFIL"/>
    <n v="6"/>
    <x v="30"/>
    <x v="13"/>
    <x v="95"/>
    <x v="78"/>
    <n v="17"/>
    <x v="9"/>
    <n v="5"/>
    <s v="*"/>
    <s v="MARICOTA"/>
    <s v="SEM INTERVALO"/>
    <m/>
    <s v="DES 7,8X4,9"/>
  </r>
  <r>
    <x v="1"/>
    <m/>
    <s v="PERFIL"/>
    <n v="7"/>
    <x v="14"/>
    <x v="1"/>
    <x v="99"/>
    <x v="79"/>
    <n v="10.4"/>
    <x v="9"/>
    <n v="4"/>
    <s v="*"/>
    <s v="UBERTRATORES"/>
    <m/>
    <m/>
    <s v="ESP 9,8X6,0 usa reta "/>
  </r>
  <r>
    <x v="1"/>
    <m/>
    <m/>
    <m/>
    <x v="10"/>
    <x v="2"/>
    <x v="14"/>
    <x v="14"/>
    <m/>
    <x v="11"/>
    <m/>
    <m/>
    <m/>
    <m/>
    <m/>
    <m/>
  </r>
  <r>
    <x v="1"/>
    <m/>
    <s v="PERFIL"/>
    <n v="8"/>
    <x v="31"/>
    <x v="3"/>
    <x v="8"/>
    <x v="21"/>
    <n v="19"/>
    <x v="6"/>
    <n v="4"/>
    <n v="3"/>
    <s v="REDE INTEGRAÇÃO"/>
    <m/>
    <m/>
    <m/>
  </r>
  <r>
    <x v="1"/>
    <s v="RED. 10,5 , OVAL 10,5X6,1"/>
    <s v="PERFIL"/>
    <n v="9"/>
    <x v="32"/>
    <x v="3"/>
    <x v="100"/>
    <x v="80"/>
    <n v="7.5"/>
    <x v="6"/>
    <n v="4"/>
    <n v="1"/>
    <s v="SIGNO PLUS"/>
    <m/>
    <m/>
    <m/>
  </r>
  <r>
    <x v="1"/>
    <s v="RED. 6,9, OVAL 10,5X6,1"/>
    <s v="PERFIL"/>
    <n v="9"/>
    <x v="32"/>
    <x v="3"/>
    <x v="11"/>
    <x v="81"/>
    <n v="11"/>
    <x v="9"/>
    <n v="4"/>
    <n v="1"/>
    <s v="PRO SABOR"/>
    <m/>
    <m/>
    <s v="RED. 10,5 , OVAL 10,5X6,1"/>
  </r>
  <r>
    <x v="1"/>
    <s v="DES 9,2X6,0, OVAL 4,5X2,2"/>
    <s v="PERFIL"/>
    <n v="10"/>
    <x v="31"/>
    <x v="3"/>
    <x v="101"/>
    <x v="82"/>
    <n v="9.5"/>
    <x v="9"/>
    <n v="4"/>
    <n v="1"/>
    <s v="CREMOSINHO"/>
    <m/>
    <m/>
    <s v="RED. 6,9, OVAL 10,5X6,1"/>
  </r>
  <r>
    <x v="1"/>
    <m/>
    <m/>
    <m/>
    <x v="10"/>
    <x v="2"/>
    <x v="14"/>
    <x v="14"/>
    <m/>
    <x v="11"/>
    <m/>
    <m/>
    <m/>
    <m/>
    <m/>
    <s v="DES 9,2X6,0, OVAL 4,5X2,2"/>
  </r>
  <r>
    <x v="1"/>
    <s v="DES 9,2X6,0, RED 9,1"/>
    <s v="PERFIL"/>
    <n v="10"/>
    <x v="31"/>
    <x v="4"/>
    <x v="102"/>
    <x v="83"/>
    <n v="2.5"/>
    <x v="5"/>
    <n v="4"/>
    <n v="1"/>
    <m/>
    <m/>
    <m/>
    <m/>
  </r>
  <r>
    <x v="1"/>
    <s v="DES 4,7X7,5 / 4,7X3,8"/>
    <s v="PERFIL"/>
    <n v="11"/>
    <x v="16"/>
    <x v="4"/>
    <x v="103"/>
    <x v="84"/>
    <n v="6.5"/>
    <x v="6"/>
    <n v="5"/>
    <n v="1"/>
    <s v="SCALA"/>
    <m/>
    <m/>
    <s v="DES 9,2X6,0, RED 9,1"/>
  </r>
  <r>
    <x v="1"/>
    <s v="RED. 10,5 , RED 6,9"/>
    <s v="PERFIL"/>
    <n v="9"/>
    <x v="32"/>
    <x v="4"/>
    <x v="104"/>
    <x v="85"/>
    <n v="6.5"/>
    <x v="9"/>
    <n v="4"/>
    <n v="1"/>
    <s v="ALVES E MORAES"/>
    <m/>
    <m/>
    <s v="DES 4,7X7,5 / 4,7X3,8"/>
  </r>
  <r>
    <x v="1"/>
    <m/>
    <m/>
    <m/>
    <x v="10"/>
    <x v="2"/>
    <x v="14"/>
    <x v="14"/>
    <m/>
    <x v="11"/>
    <m/>
    <m/>
    <m/>
    <m/>
    <m/>
    <s v="RED. 10,5 , RED 6,9"/>
  </r>
  <r>
    <x v="1"/>
    <s v="DES. 9X1,2"/>
    <s v="PERFIL"/>
    <n v="12"/>
    <x v="16"/>
    <x v="6"/>
    <x v="38"/>
    <x v="86"/>
    <n v="10.5"/>
    <x v="2"/>
    <n v="5"/>
    <n v="3"/>
    <s v="MADRECOR"/>
    <m/>
    <m/>
    <m/>
  </r>
  <r>
    <x v="1"/>
    <m/>
    <s v="RESINO"/>
    <n v="13"/>
    <x v="19"/>
    <x v="6"/>
    <x v="37"/>
    <x v="87"/>
    <n v="21"/>
    <x v="3"/>
    <n v="5"/>
    <n v="6"/>
    <s v="HOSPITAIS"/>
    <m/>
    <m/>
    <s v="DES. 9X1,2"/>
  </r>
  <r>
    <x v="1"/>
    <m/>
    <s v="RESINO"/>
    <n v="13"/>
    <x v="19"/>
    <x v="6"/>
    <x v="37"/>
    <x v="87"/>
    <n v="21"/>
    <x v="3"/>
    <n v="5"/>
    <n v="6"/>
    <s v="HOSPITAIS"/>
    <m/>
    <m/>
    <m/>
  </r>
  <r>
    <x v="1"/>
    <s v="C/ INTER 3 E 6 COL TEM 2 FACAS"/>
    <s v="PERFIL"/>
    <n v="18"/>
    <x v="14"/>
    <x v="6"/>
    <x v="105"/>
    <x v="88"/>
    <n v="21"/>
    <x v="4"/>
    <n v="4"/>
    <n v="6"/>
    <s v="ORTHOMED"/>
    <m/>
    <m/>
    <m/>
  </r>
  <r>
    <x v="1"/>
    <s v="C/ INTER 3 E 6 COL TEM 2 FACAS"/>
    <s v="PERFIL"/>
    <n v="18"/>
    <x v="14"/>
    <x v="6"/>
    <x v="105"/>
    <x v="88"/>
    <n v="21"/>
    <x v="4"/>
    <n v="4"/>
    <n v="6"/>
    <s v="ORTHOMED"/>
    <m/>
    <m/>
    <s v="6,4X8,5 BETA"/>
  </r>
  <r>
    <x v="1"/>
    <s v="RETA 4CM "/>
    <s v="PERFIL"/>
    <n v="1"/>
    <x v="30"/>
    <x v="6"/>
    <x v="106"/>
    <x v="89"/>
    <n v="12"/>
    <x v="13"/>
    <n v="5"/>
    <n v="2"/>
    <s v="NHO BENTO"/>
    <m/>
    <m/>
    <s v="BETA"/>
  </r>
  <r>
    <x v="1"/>
    <s v="C/ INTERVALO 2 FACAS"/>
    <s v="PERFIL"/>
    <n v="16"/>
    <x v="17"/>
    <x v="6"/>
    <x v="107"/>
    <x v="90"/>
    <n v="25"/>
    <x v="5"/>
    <n v="3"/>
    <n v="6"/>
    <s v="TÉRMICA"/>
    <m/>
    <m/>
    <s v="BETA"/>
  </r>
  <r>
    <x v="1"/>
    <s v="C/ INTERVALO 2 FACAS"/>
    <s v="PERFIL"/>
    <n v="16"/>
    <x v="17"/>
    <x v="6"/>
    <x v="107"/>
    <x v="90"/>
    <n v="25"/>
    <x v="5"/>
    <n v="3"/>
    <n v="6"/>
    <s v="TÉRMICA"/>
    <m/>
    <m/>
    <s v="C/ INTERVALO 2 FACAS"/>
  </r>
  <r>
    <x v="1"/>
    <m/>
    <s v="PERFIL"/>
    <n v="56"/>
    <x v="28"/>
    <x v="6"/>
    <x v="108"/>
    <x v="91"/>
    <n v="25"/>
    <x v="6"/>
    <n v="5"/>
    <n v="6"/>
    <s v="TÉRMICA"/>
    <m/>
    <m/>
    <s v="C/ INTERVALO 2 FACAS"/>
  </r>
  <r>
    <x v="1"/>
    <s v="6,4X8,5 BETA"/>
    <s v="PERFIL"/>
    <n v="14"/>
    <x v="30"/>
    <x v="6"/>
    <x v="42"/>
    <x v="92"/>
    <n v="5.5"/>
    <x v="4"/>
    <n v="5"/>
    <n v="1"/>
    <s v="IPAC"/>
    <m/>
    <m/>
    <s v="BETA"/>
  </r>
  <r>
    <x v="1"/>
    <s v="BETA"/>
    <s v="PERFIL"/>
    <n v="15"/>
    <x v="30"/>
    <x v="6"/>
    <x v="42"/>
    <x v="92"/>
    <n v="21"/>
    <x v="4"/>
    <n v="5"/>
    <n v="4"/>
    <s v="FACA "/>
    <m/>
    <m/>
    <s v="C/ INTER 3 E 6 COL TEM 2 FACAS"/>
  </r>
  <r>
    <x v="1"/>
    <s v="BETA"/>
    <s v="MLC"/>
    <n v="15"/>
    <x v="30"/>
    <x v="6"/>
    <x v="42"/>
    <x v="92"/>
    <n v="21"/>
    <x v="4"/>
    <n v="5"/>
    <n v="4"/>
    <m/>
    <m/>
    <m/>
    <s v="C/ INTER 3 E 6 COL TEM 2 FACAS"/>
  </r>
  <r>
    <x v="1"/>
    <s v="C/ INTERVALO"/>
    <s v="PERFIL"/>
    <n v="19"/>
    <x v="17"/>
    <x v="6"/>
    <x v="109"/>
    <x v="90"/>
    <n v="21"/>
    <x v="5"/>
    <n v="3"/>
    <n v="4"/>
    <s v="REIMASSAS"/>
    <m/>
    <m/>
    <s v="RETA 4CM "/>
  </r>
  <r>
    <x v="1"/>
    <s v="C/ INTERVALO"/>
    <s v="PERFIL"/>
    <n v="20"/>
    <x v="17"/>
    <x v="6"/>
    <x v="109"/>
    <x v="90"/>
    <n v="21"/>
    <x v="5"/>
    <n v="3"/>
    <n v="4"/>
    <s v="REIMASSAS"/>
    <m/>
    <m/>
    <s v="C/ INTERVALO"/>
  </r>
  <r>
    <x v="1"/>
    <m/>
    <s v="PERFIL"/>
    <n v="43"/>
    <x v="33"/>
    <x v="6"/>
    <x v="110"/>
    <x v="93"/>
    <n v="21"/>
    <x v="9"/>
    <n v="4"/>
    <n v="4"/>
    <s v="sem int ALEX MUSSI"/>
    <m/>
    <m/>
    <s v="C/ INTERVALO"/>
  </r>
  <r>
    <x v="1"/>
    <m/>
    <s v="QUALIFLEXO"/>
    <n v="42"/>
    <x v="27"/>
    <x v="6"/>
    <x v="111"/>
    <x v="94"/>
    <n v="21"/>
    <x v="10"/>
    <n v="4"/>
    <n v="4"/>
    <s v="HORTIS"/>
    <m/>
    <m/>
    <m/>
  </r>
  <r>
    <x v="1"/>
    <s v="BETA"/>
    <s v="PERFIL"/>
    <n v="17"/>
    <x v="30"/>
    <x v="6"/>
    <x v="45"/>
    <x v="92"/>
    <n v="18.7"/>
    <x v="4"/>
    <n v="5"/>
    <n v="3"/>
    <s v="TÉRMICA"/>
    <m/>
    <m/>
    <m/>
  </r>
  <r>
    <x v="1"/>
    <m/>
    <s v="RESINO "/>
    <n v="21"/>
    <x v="30"/>
    <x v="5"/>
    <x v="45"/>
    <x v="92"/>
    <n v="25"/>
    <x v="4"/>
    <n v="5"/>
    <n v="4"/>
    <s v="TERMICA AMASSOU 1C"/>
    <m/>
    <m/>
    <m/>
  </r>
  <r>
    <x v="1"/>
    <m/>
    <s v="PERFIL"/>
    <n v="57"/>
    <x v="30"/>
    <x v="5"/>
    <x v="45"/>
    <x v="92"/>
    <n v="25"/>
    <x v="4"/>
    <n v="5"/>
    <n v="4"/>
    <s v="TERMICA"/>
    <m/>
    <m/>
    <m/>
  </r>
  <r>
    <x v="1"/>
    <m/>
    <s v="PERFIL"/>
    <n v="23"/>
    <x v="28"/>
    <x v="6"/>
    <x v="46"/>
    <x v="91"/>
    <n v="21"/>
    <x v="6"/>
    <n v="1"/>
    <n v="6"/>
    <s v="LOGISTICA"/>
    <m/>
    <m/>
    <m/>
  </r>
  <r>
    <x v="1"/>
    <m/>
    <s v="MLC"/>
    <n v="22"/>
    <x v="17"/>
    <x v="6"/>
    <x v="47"/>
    <x v="90"/>
    <n v="25"/>
    <x v="5"/>
    <n v="3"/>
    <n v="4"/>
    <s v="TÉRMICA"/>
    <m/>
    <m/>
    <m/>
  </r>
  <r>
    <x v="1"/>
    <m/>
    <s v="PERFIL"/>
    <n v="22"/>
    <x v="17"/>
    <x v="6"/>
    <x v="47"/>
    <x v="90"/>
    <n v="25"/>
    <x v="5"/>
    <n v="3"/>
    <n v="4"/>
    <s v="TÉRMICA"/>
    <m/>
    <m/>
    <m/>
  </r>
  <r>
    <x v="1"/>
    <m/>
    <s v="PERFIL"/>
    <n v="22"/>
    <x v="17"/>
    <x v="6"/>
    <x v="47"/>
    <x v="90"/>
    <n v="25"/>
    <x v="5"/>
    <n v="3"/>
    <n v="4"/>
    <s v="TÉRMICA"/>
    <m/>
    <m/>
    <m/>
  </r>
  <r>
    <x v="1"/>
    <m/>
    <s v="PERFIL"/>
    <n v="24"/>
    <x v="20"/>
    <x v="6"/>
    <x v="112"/>
    <x v="95"/>
    <n v="25"/>
    <x v="9"/>
    <n v="2"/>
    <n v="4"/>
    <s v="TÉRMICA"/>
    <m/>
    <m/>
    <s v="RETA 10CM"/>
  </r>
  <r>
    <x v="1"/>
    <s v="RETA 10CM"/>
    <s v="PERFIL"/>
    <n v="6"/>
    <x v="30"/>
    <x v="6"/>
    <x v="113"/>
    <x v="96"/>
    <n v="6.5"/>
    <x v="9"/>
    <n v="5"/>
    <n v="1"/>
    <s v="CASA FRANGO"/>
    <m/>
    <m/>
    <s v="FACA 1"/>
  </r>
  <r>
    <x v="1"/>
    <s v="FACA 1"/>
    <s v="MLC"/>
    <n v="54"/>
    <x v="34"/>
    <x v="6"/>
    <x v="114"/>
    <x v="97"/>
    <n v="25"/>
    <x v="9"/>
    <n v="2"/>
    <n v="4"/>
    <s v="SUPER MAXI"/>
    <m/>
    <m/>
    <s v="FACA 2"/>
  </r>
  <r>
    <x v="1"/>
    <s v="FACA 2"/>
    <s v="MLC"/>
    <n v="54"/>
    <x v="34"/>
    <x v="6"/>
    <x v="114"/>
    <x v="97"/>
    <n v="25"/>
    <x v="9"/>
    <n v="2"/>
    <n v="4"/>
    <s v="SUPER MAXI"/>
    <m/>
    <m/>
    <m/>
  </r>
  <r>
    <x v="1"/>
    <m/>
    <s v="PERFIL"/>
    <n v="58"/>
    <x v="19"/>
    <x v="6"/>
    <x v="115"/>
    <x v="98"/>
    <n v="24"/>
    <x v="4"/>
    <n v="6"/>
    <n v="3"/>
    <s v="UNICAMP"/>
    <m/>
    <m/>
    <s v="ESP 10X4"/>
  </r>
  <r>
    <x v="1"/>
    <m/>
    <s v="PERFIL"/>
    <n v="25"/>
    <x v="34"/>
    <x v="6"/>
    <x v="57"/>
    <x v="99"/>
    <n v="24"/>
    <x v="6"/>
    <n v="1"/>
    <n v="3"/>
    <s v="TITA"/>
    <m/>
    <m/>
    <m/>
  </r>
  <r>
    <x v="1"/>
    <s v="ESP 10X4"/>
    <s v="PERFIL"/>
    <n v="26"/>
    <x v="32"/>
    <x v="6"/>
    <x v="116"/>
    <x v="100"/>
    <n v="10"/>
    <x v="4"/>
    <n v="4"/>
    <n v="1"/>
    <s v="REMALINA SELECTA"/>
    <m/>
    <m/>
    <s v="PICOTE"/>
  </r>
  <r>
    <x v="1"/>
    <m/>
    <s v="QUALIFLEXO "/>
    <n v="27"/>
    <x v="28"/>
    <x v="5"/>
    <x v="117"/>
    <x v="91"/>
    <n v="20"/>
    <x v="6"/>
    <m/>
    <n v="2"/>
    <s v="CORREIO"/>
    <m/>
    <m/>
    <m/>
  </r>
  <r>
    <x v="1"/>
    <s v="PICOTE"/>
    <s v="PERFIL"/>
    <n v="36"/>
    <x v="35"/>
    <x v="6"/>
    <x v="118"/>
    <x v="101"/>
    <n v="25"/>
    <x v="9"/>
    <n v="4"/>
    <n v="2"/>
    <s v="IPAC (SORO)"/>
    <m/>
    <m/>
    <m/>
  </r>
  <r>
    <x v="1"/>
    <m/>
    <s v="QUALIFLEXO"/>
    <n v="28"/>
    <x v="5"/>
    <x v="6"/>
    <x v="119"/>
    <x v="102"/>
    <n v="21"/>
    <x v="13"/>
    <s v="**"/>
    <n v="2"/>
    <s v="PEIXOTO"/>
    <m/>
    <m/>
    <s v="ESP 9,5X3,3"/>
  </r>
  <r>
    <x v="1"/>
    <m/>
    <s v="CIG"/>
    <n v="41"/>
    <x v="23"/>
    <x v="6"/>
    <x v="120"/>
    <x v="103"/>
    <n v="21"/>
    <x v="4"/>
    <n v="5"/>
    <n v="2"/>
    <s v="ARCOM"/>
    <m/>
    <m/>
    <m/>
  </r>
  <r>
    <x v="1"/>
    <s v="ESP 9,5X3,3"/>
    <s v="PERFIL"/>
    <n v="26"/>
    <x v="17"/>
    <x v="5"/>
    <x v="121"/>
    <x v="90"/>
    <n v="21"/>
    <x v="5"/>
    <m/>
    <n v="1"/>
    <m/>
    <m/>
    <m/>
    <m/>
  </r>
  <r>
    <x v="1"/>
    <m/>
    <s v="PERFIL"/>
    <n v="31"/>
    <x v="17"/>
    <x v="5"/>
    <x v="121"/>
    <x v="90"/>
    <n v="21"/>
    <x v="5"/>
    <m/>
    <n v="2"/>
    <m/>
    <m/>
    <m/>
    <m/>
  </r>
  <r>
    <x v="1"/>
    <m/>
    <s v="PERFIL"/>
    <n v="30"/>
    <x v="14"/>
    <x v="6"/>
    <x v="65"/>
    <x v="104"/>
    <n v="21"/>
    <x v="6"/>
    <n v="4"/>
    <n v="2"/>
    <s v="AMERICANAS"/>
    <m/>
    <m/>
    <m/>
  </r>
  <r>
    <x v="1"/>
    <m/>
    <s v="PERFIL"/>
    <n v="32"/>
    <x v="14"/>
    <x v="6"/>
    <x v="122"/>
    <x v="104"/>
    <n v="10.5"/>
    <x v="6"/>
    <n v="2"/>
    <n v="2"/>
    <s v="CORREIOS"/>
    <m/>
    <m/>
    <s v="INTERVALO ERRADO"/>
  </r>
  <r>
    <x v="1"/>
    <m/>
    <s v="PERFIL"/>
    <n v="37"/>
    <x v="28"/>
    <x v="6"/>
    <x v="68"/>
    <x v="91"/>
    <n v="11"/>
    <x v="6"/>
    <n v="4"/>
    <n v="2"/>
    <s v="SANTA CLARA"/>
    <m/>
    <m/>
    <m/>
  </r>
  <r>
    <x v="1"/>
    <s v="INTERVALO ERRADO"/>
    <s v="PERFIL"/>
    <n v="44"/>
    <x v="20"/>
    <x v="6"/>
    <x v="123"/>
    <x v="95"/>
    <n v="21.5"/>
    <x v="9"/>
    <n v="2"/>
    <n v="2"/>
    <s v="TRANSLOG ARGUTO "/>
    <m/>
    <m/>
    <m/>
  </r>
  <r>
    <x v="1"/>
    <m/>
    <s v="PERFIL"/>
    <n v="29"/>
    <x v="5"/>
    <x v="5"/>
    <x v="70"/>
    <x v="105"/>
    <n v="21"/>
    <x v="9"/>
    <m/>
    <n v="2"/>
    <s v="PEIXOTO"/>
    <m/>
    <m/>
    <m/>
  </r>
  <r>
    <x v="1"/>
    <m/>
    <s v="PERFIL"/>
    <n v="33"/>
    <x v="5"/>
    <x v="5"/>
    <x v="70"/>
    <x v="105"/>
    <n v="21"/>
    <x v="9"/>
    <m/>
    <n v="2"/>
    <s v="PEIXOTO"/>
    <m/>
    <m/>
    <m/>
  </r>
  <r>
    <x v="1"/>
    <m/>
    <s v="METALFLEXO"/>
    <n v="34"/>
    <x v="33"/>
    <x v="6"/>
    <x v="124"/>
    <x v="93"/>
    <n v="21"/>
    <x v="9"/>
    <s v="***"/>
    <n v="2"/>
    <s v="DHL"/>
    <m/>
    <m/>
    <m/>
  </r>
  <r>
    <x v="1"/>
    <m/>
    <s v="QUALIFLEXO"/>
    <n v="35"/>
    <x v="27"/>
    <x v="6"/>
    <x v="125"/>
    <x v="106"/>
    <n v="11"/>
    <x v="5"/>
    <n v="4"/>
    <n v="2"/>
    <s v="SANTA CLARA"/>
    <m/>
    <m/>
    <m/>
  </r>
  <r>
    <x v="1"/>
    <m/>
    <s v="PERFIL"/>
    <n v="38"/>
    <x v="28"/>
    <x v="6"/>
    <x v="126"/>
    <x v="91"/>
    <n v="22"/>
    <x v="6"/>
    <n v="1"/>
    <n v="2"/>
    <s v="SUPPORTE"/>
    <m/>
    <m/>
    <m/>
  </r>
  <r>
    <x v="1"/>
    <m/>
    <s v="QUALIFLEXO"/>
    <n v="39"/>
    <x v="6"/>
    <x v="6"/>
    <x v="127"/>
    <x v="107"/>
    <n v="21"/>
    <x v="10"/>
    <n v="4"/>
    <n v="2"/>
    <s v="SUPPORTE"/>
    <m/>
    <m/>
    <m/>
  </r>
  <r>
    <x v="1"/>
    <m/>
    <s v="PERFIL"/>
    <n v="55"/>
    <x v="6"/>
    <x v="6"/>
    <x v="127"/>
    <x v="107"/>
    <n v="21"/>
    <x v="10"/>
    <n v="4"/>
    <n v="2"/>
    <s v="CORREIOS "/>
    <m/>
    <m/>
    <m/>
  </r>
  <r>
    <x v="1"/>
    <m/>
    <s v="PERFIL"/>
    <n v="40"/>
    <x v="35"/>
    <x v="6"/>
    <x v="128"/>
    <x v="108"/>
    <n v="15.5"/>
    <x v="10"/>
    <n v="4"/>
    <n v="1"/>
    <s v="START"/>
    <m/>
    <m/>
    <s v="OVAL 4,7X6,0/ DES 4,7X7,5"/>
  </r>
  <r>
    <x v="1"/>
    <m/>
    <m/>
    <m/>
    <x v="10"/>
    <x v="2"/>
    <x v="14"/>
    <x v="14"/>
    <m/>
    <x v="11"/>
    <m/>
    <m/>
    <m/>
    <m/>
    <m/>
    <s v="OVAL 4,7X6,0/ DES 4,7X3,8"/>
  </r>
  <r>
    <x v="1"/>
    <s v="OVAL 4,7X6,0/ DES 4,7X7,5"/>
    <s v="PERFIL"/>
    <n v="11"/>
    <x v="16"/>
    <x v="7"/>
    <x v="129"/>
    <x v="84"/>
    <n v="4.5"/>
    <x v="6"/>
    <n v="5"/>
    <n v="1"/>
    <s v="MILHO FORTE"/>
    <m/>
    <m/>
    <s v="ESP 5,0X3,0"/>
  </r>
  <r>
    <x v="1"/>
    <s v="OVAL 4,7X6,0/ DES 4,7X3,8"/>
    <s v="PERFIL"/>
    <n v="11"/>
    <x v="16"/>
    <x v="7"/>
    <x v="130"/>
    <x v="84"/>
    <n v="8"/>
    <x v="6"/>
    <n v="5"/>
    <n v="1"/>
    <s v="MINAS PEPPER"/>
    <m/>
    <m/>
    <s v="RETA 8,1"/>
  </r>
  <r>
    <x v="1"/>
    <s v="ESP 5,0X3,0"/>
    <s v="PERFIL"/>
    <n v="14"/>
    <x v="30"/>
    <x v="7"/>
    <x v="131"/>
    <x v="109"/>
    <n v="9"/>
    <x v="6"/>
    <n v="5"/>
    <n v="1"/>
    <s v="DOCELÂNDIA"/>
    <m/>
    <m/>
    <s v="ESP 3,2X1,2"/>
  </r>
  <r>
    <x v="1"/>
    <s v="RETA 8,1"/>
    <s v="PERFIL"/>
    <n v="5"/>
    <x v="27"/>
    <x v="7"/>
    <x v="132"/>
    <x v="110"/>
    <n v="11"/>
    <x v="9"/>
    <n v="4"/>
    <n v="2"/>
    <s v="FAMA DOCES"/>
    <m/>
    <m/>
    <s v="OVAL 4,5X2,0, RED 9,1"/>
  </r>
  <r>
    <x v="1"/>
    <s v="ESP 3,2X1,2"/>
    <s v="PERFIL"/>
    <n v="12"/>
    <x v="16"/>
    <x v="7"/>
    <x v="62"/>
    <x v="86"/>
    <n v="9.5"/>
    <x v="2"/>
    <n v="5"/>
    <n v="1"/>
    <s v="HOSP. AMPULHETA"/>
    <m/>
    <m/>
    <s v="RETA 10"/>
  </r>
  <r>
    <x v="1"/>
    <s v="OVAL 4,5X2,0, RED 9,1"/>
    <s v="PERFIL"/>
    <n v="10"/>
    <x v="31"/>
    <x v="7"/>
    <x v="133"/>
    <x v="111"/>
    <n v="6.5"/>
    <x v="9"/>
    <n v="4"/>
    <n v="1"/>
    <s v="FAMA DOCES"/>
    <m/>
    <m/>
    <s v="RED 9,1/ OVAL 4,5X2,0/DES 9,2X6,0"/>
  </r>
  <r>
    <x v="1"/>
    <s v="RETA 10"/>
    <s v="PERFIL"/>
    <n v="6"/>
    <x v="30"/>
    <x v="7"/>
    <x v="134"/>
    <x v="96"/>
    <n v="6.5"/>
    <x v="9"/>
    <n v="5"/>
    <n v="1"/>
    <s v="MINAS PEPPER"/>
    <m/>
    <m/>
    <s v="RETA 6,6"/>
  </r>
  <r>
    <x v="1"/>
    <s v="RED 9,1/ OVAL 4,5X2,0/DES 9,2X6,0"/>
    <s v="PERFIL"/>
    <n v="10"/>
    <x v="31"/>
    <x v="7"/>
    <x v="135"/>
    <x v="112"/>
    <n v="5.5"/>
    <x v="10"/>
    <n v="4"/>
    <n v="1"/>
    <s v="DURALAR"/>
    <m/>
    <m/>
    <m/>
  </r>
  <r>
    <x v="1"/>
    <s v="RETA 6,6"/>
    <s v="PERFIL"/>
    <n v="3"/>
    <x v="30"/>
    <x v="7"/>
    <x v="136"/>
    <x v="109"/>
    <n v="10.5"/>
    <x v="6"/>
    <n v="5"/>
    <n v="1"/>
    <s v="FAMA DOCES"/>
    <m/>
    <m/>
    <m/>
  </r>
  <r>
    <x v="1"/>
    <m/>
    <m/>
    <m/>
    <x v="10"/>
    <x v="2"/>
    <x v="14"/>
    <x v="14"/>
    <m/>
    <x v="11"/>
    <m/>
    <m/>
    <m/>
    <m/>
    <m/>
    <m/>
  </r>
  <r>
    <x v="1"/>
    <m/>
    <s v="QUALIFLEXO"/>
    <n v="45"/>
    <x v="12"/>
    <x v="8"/>
    <x v="137"/>
    <x v="5"/>
    <n v="22"/>
    <x v="5"/>
    <n v="5"/>
    <n v="2"/>
    <s v="REDE LUCAS"/>
    <m/>
    <m/>
    <m/>
  </r>
  <r>
    <x v="1"/>
    <m/>
    <s v="QUALIFLEXO"/>
    <n v="46"/>
    <x v="22"/>
    <x v="8"/>
    <x v="138"/>
    <x v="113"/>
    <n v="22"/>
    <x v="6"/>
    <n v="3"/>
    <n v="2"/>
    <s v="REDE LUCAS"/>
    <m/>
    <m/>
    <m/>
  </r>
  <r>
    <x v="1"/>
    <m/>
    <s v="QUALIFLEXO"/>
    <n v="47"/>
    <x v="16"/>
    <x v="8"/>
    <x v="139"/>
    <x v="4"/>
    <n v="16"/>
    <x v="4"/>
    <n v="0"/>
    <n v="2"/>
    <s v="REDE LUCAS"/>
    <m/>
    <m/>
    <m/>
  </r>
  <r>
    <x v="1"/>
    <m/>
    <s v="QUALIFLEXO"/>
    <n v="53"/>
    <x v="16"/>
    <x v="8"/>
    <x v="140"/>
    <x v="4"/>
    <n v="20"/>
    <x v="16"/>
    <n v="0"/>
    <n v="2"/>
    <s v="REDE LUCAS"/>
    <m/>
    <m/>
    <m/>
  </r>
  <r>
    <x v="1"/>
    <m/>
    <m/>
    <m/>
    <x v="10"/>
    <x v="2"/>
    <x v="14"/>
    <x v="14"/>
    <m/>
    <x v="11"/>
    <m/>
    <m/>
    <m/>
    <m/>
    <m/>
    <s v="PICOTE"/>
  </r>
  <r>
    <x v="1"/>
    <m/>
    <m/>
    <m/>
    <x v="10"/>
    <x v="2"/>
    <x v="14"/>
    <x v="14"/>
    <m/>
    <x v="11"/>
    <m/>
    <m/>
    <m/>
    <m/>
    <m/>
    <s v="SERRILHA"/>
  </r>
  <r>
    <x v="1"/>
    <s v="PICOTE"/>
    <s v="RESINO "/>
    <n v="48"/>
    <x v="14"/>
    <x v="14"/>
    <x v="141"/>
    <x v="104"/>
    <n v="21"/>
    <x v="6"/>
    <m/>
    <n v="2"/>
    <s v="AMERICANA"/>
    <m/>
    <m/>
    <m/>
  </r>
  <r>
    <x v="1"/>
    <s v="SERRILHA"/>
    <s v="RESINO"/>
    <n v="51"/>
    <x v="17"/>
    <x v="14"/>
    <x v="142"/>
    <x v="14"/>
    <n v="22"/>
    <x v="5"/>
    <m/>
    <n v="1"/>
    <s v="SERRILHA / 5 CERTOS"/>
    <m/>
    <m/>
    <m/>
  </r>
  <r>
    <x v="1"/>
    <m/>
    <m/>
    <n v="52"/>
    <x v="31"/>
    <x v="15"/>
    <x v="143"/>
    <x v="14"/>
    <m/>
    <x v="17"/>
    <s v="***"/>
    <s v="***"/>
    <m/>
    <m/>
    <m/>
    <m/>
  </r>
  <r>
    <x v="1"/>
    <m/>
    <s v="METALFLEXO"/>
    <n v="50"/>
    <x v="33"/>
    <x v="14"/>
    <x v="124"/>
    <x v="14"/>
    <m/>
    <x v="11"/>
    <m/>
    <m/>
    <s v="DHL"/>
    <m/>
    <m/>
    <s v="não achou a faca"/>
  </r>
  <r>
    <x v="2"/>
    <s v=" RED 4,3"/>
    <s v="PERFIL"/>
    <n v="1"/>
    <x v="1"/>
    <x v="1"/>
    <x v="144"/>
    <x v="114"/>
    <n v="7.5"/>
    <x v="18"/>
    <n v="4"/>
    <s v="**"/>
    <m/>
    <m/>
    <m/>
    <m/>
  </r>
  <r>
    <x v="2"/>
    <s v=" 7,8 RED"/>
    <m/>
    <n v="3"/>
    <x v="27"/>
    <x v="1"/>
    <x v="145"/>
    <x v="115"/>
    <n v="6.6"/>
    <x v="3"/>
    <n v="5"/>
    <n v="1"/>
    <m/>
    <m/>
    <m/>
    <m/>
  </r>
  <r>
    <x v="2"/>
    <s v="  2,5 x1,5 OVAL "/>
    <s v="PERFIL"/>
    <n v="4"/>
    <x v="1"/>
    <x v="1"/>
    <x v="146"/>
    <x v="116"/>
    <n v="9.5"/>
    <x v="19"/>
    <n v="4"/>
    <s v="**"/>
    <m/>
    <m/>
    <m/>
    <m/>
  </r>
  <r>
    <x v="2"/>
    <m/>
    <s v="PERFIL"/>
    <n v="5"/>
    <x v="4"/>
    <x v="1"/>
    <x v="147"/>
    <x v="18"/>
    <n v="16"/>
    <x v="20"/>
    <n v="5"/>
    <s v="**"/>
    <m/>
    <s v="BETA / ETI"/>
    <m/>
    <m/>
  </r>
  <r>
    <x v="2"/>
    <m/>
    <s v="PERFIL"/>
    <n v="6"/>
    <x v="16"/>
    <x v="1"/>
    <x v="7"/>
    <x v="7"/>
    <n v="16"/>
    <x v="21"/>
    <n v="5"/>
    <s v="**"/>
    <m/>
    <s v="BETA / ETI"/>
    <m/>
    <m/>
  </r>
  <r>
    <x v="2"/>
    <m/>
    <s v="QUALIFLEXO"/>
    <n v="7"/>
    <x v="16"/>
    <x v="1"/>
    <x v="7"/>
    <x v="7"/>
    <n v="16"/>
    <x v="21"/>
    <n v="5"/>
    <s v="**"/>
    <m/>
    <m/>
    <m/>
    <m/>
  </r>
  <r>
    <x v="2"/>
    <m/>
    <s v="PERFIL"/>
    <n v="8"/>
    <x v="4"/>
    <x v="1"/>
    <x v="8"/>
    <x v="8"/>
    <n v="16"/>
    <x v="22"/>
    <n v="5"/>
    <s v="**"/>
    <m/>
    <m/>
    <m/>
    <m/>
  </r>
  <r>
    <x v="2"/>
    <m/>
    <s v="PERFIL"/>
    <n v="9"/>
    <x v="4"/>
    <x v="1"/>
    <x v="8"/>
    <x v="8"/>
    <n v="16"/>
    <x v="22"/>
    <n v="5"/>
    <s v="**"/>
    <m/>
    <s v="BETA "/>
    <m/>
    <m/>
  </r>
  <r>
    <x v="2"/>
    <s v="DES 6,5X4,15"/>
    <s v="PERFIL"/>
    <n v="10"/>
    <x v="1"/>
    <x v="1"/>
    <x v="148"/>
    <x v="117"/>
    <n v="8.5"/>
    <x v="23"/>
    <n v="4"/>
    <s v="**"/>
    <s v="MELHOR DE MINAS"/>
    <m/>
    <m/>
    <m/>
  </r>
  <r>
    <x v="2"/>
    <m/>
    <s v="PERFIL"/>
    <n v="11"/>
    <x v="16"/>
    <x v="1"/>
    <x v="97"/>
    <x v="76"/>
    <n v="16"/>
    <x v="24"/>
    <n v="5"/>
    <s v="**"/>
    <m/>
    <s v="BETA / ETI"/>
    <m/>
    <m/>
  </r>
  <r>
    <x v="2"/>
    <m/>
    <s v="METALFLEXO"/>
    <n v="12"/>
    <x v="16"/>
    <x v="1"/>
    <x v="97"/>
    <x v="76"/>
    <n v="15.8"/>
    <x v="24"/>
    <n v="5"/>
    <s v="**"/>
    <s v="FACA CONSERTO "/>
    <m/>
    <m/>
    <m/>
  </r>
  <r>
    <x v="2"/>
    <s v=" ACAI 19,7X5,2"/>
    <s v="PERFIL"/>
    <n v="13"/>
    <x v="30"/>
    <x v="1"/>
    <x v="95"/>
    <x v="78"/>
    <n v="8.3000000000000007"/>
    <x v="25"/>
    <n v="5"/>
    <s v="**"/>
    <m/>
    <m/>
    <m/>
    <m/>
  </r>
  <r>
    <x v="2"/>
    <s v=" 13,1X8 SUPER BIJOUX"/>
    <s v="METALFLEXO"/>
    <n v="14"/>
    <x v="1"/>
    <x v="1"/>
    <x v="149"/>
    <x v="118"/>
    <n v="6.5"/>
    <x v="26"/>
    <n v="4"/>
    <s v="**"/>
    <m/>
    <m/>
    <m/>
    <m/>
  </r>
  <r>
    <x v="2"/>
    <s v="LACRE 5X2"/>
    <s v="PERFIL"/>
    <n v="113"/>
    <x v="1"/>
    <x v="1"/>
    <x v="150"/>
    <x v="119"/>
    <n v="8.8000000000000007"/>
    <x v="27"/>
    <n v="4"/>
    <s v="**."/>
    <m/>
    <m/>
    <m/>
    <m/>
  </r>
  <r>
    <x v="2"/>
    <s v=" 14,2X9,7 GERRE"/>
    <s v="PERFIL"/>
    <n v="15"/>
    <x v="16"/>
    <x v="1"/>
    <x v="151"/>
    <x v="120"/>
    <n v="5.3"/>
    <x v="10"/>
    <n v="5"/>
    <s v="**"/>
    <m/>
    <m/>
    <m/>
    <m/>
  </r>
  <r>
    <x v="2"/>
    <s v="DES 6X4,5 DAKI "/>
    <s v="PERFIL"/>
    <n v="16"/>
    <x v="30"/>
    <x v="1"/>
    <x v="152"/>
    <x v="121"/>
    <n v="9.5"/>
    <x v="10"/>
    <n v="5"/>
    <s v="**"/>
    <s v="DAKI"/>
    <m/>
    <m/>
    <m/>
  </r>
  <r>
    <x v="2"/>
    <m/>
    <m/>
    <m/>
    <x v="10"/>
    <x v="2"/>
    <x v="14"/>
    <x v="14"/>
    <m/>
    <x v="11"/>
    <m/>
    <m/>
    <m/>
    <m/>
    <m/>
    <m/>
  </r>
  <r>
    <x v="2"/>
    <s v=" 10,6X5,8  SABORAI"/>
    <s v="PERFIL "/>
    <n v="26"/>
    <x v="4"/>
    <x v="3"/>
    <x v="153"/>
    <x v="122"/>
    <n v="3.5"/>
    <x v="28"/>
    <n v="5"/>
    <n v="2"/>
    <m/>
    <m/>
    <m/>
    <m/>
  </r>
  <r>
    <x v="2"/>
    <s v=" 3,1 RED 6,5X5 BOM DE MINAS "/>
    <s v="METALFLEXO"/>
    <n v="17"/>
    <x v="1"/>
    <x v="3"/>
    <x v="145"/>
    <x v="16"/>
    <n v="2.5"/>
    <x v="4"/>
    <n v="4"/>
    <n v="1"/>
    <m/>
    <m/>
    <m/>
    <m/>
  </r>
  <r>
    <x v="2"/>
    <m/>
    <s v="METALFLEXO"/>
    <n v="18"/>
    <x v="1"/>
    <x v="3"/>
    <x v="154"/>
    <x v="123"/>
    <n v="3"/>
    <x v="29"/>
    <n v="4"/>
    <n v="1"/>
    <s v="INDUSAT"/>
    <m/>
    <m/>
    <m/>
  </r>
  <r>
    <x v="2"/>
    <s v=" 2 RED 6,5X5 BOM DE MINAS "/>
    <s v="PERFIL "/>
    <n v="17"/>
    <x v="1"/>
    <x v="3"/>
    <x v="155"/>
    <x v="116"/>
    <n v="3.5"/>
    <x v="30"/>
    <n v="4"/>
    <n v="1"/>
    <m/>
    <m/>
    <m/>
    <m/>
  </r>
  <r>
    <x v="2"/>
    <s v="LACRE 5X2,5"/>
    <s v="PERFIL "/>
    <n v="58"/>
    <x v="1"/>
    <x v="3"/>
    <x v="155"/>
    <x v="116"/>
    <n v="3.5"/>
    <x v="30"/>
    <n v="4"/>
    <n v="1"/>
    <m/>
    <m/>
    <m/>
    <m/>
  </r>
  <r>
    <x v="2"/>
    <s v=" 10,5X5,1 DES"/>
    <s v="PERFIL "/>
    <n v="20"/>
    <x v="27"/>
    <x v="3"/>
    <x v="156"/>
    <x v="5"/>
    <n v="4.2"/>
    <x v="31"/>
    <n v="5"/>
    <n v="1"/>
    <s v="GRAF. CONFIANÇA"/>
    <m/>
    <m/>
    <m/>
  </r>
  <r>
    <x v="2"/>
    <s v=" 4,6X2,5 CITROBEL "/>
    <s v="PERFIL "/>
    <n v="21"/>
    <x v="1"/>
    <x v="3"/>
    <x v="157"/>
    <x v="124"/>
    <n v="4.8"/>
    <x v="32"/>
    <n v="4"/>
    <n v="1"/>
    <s v="NIWNEY/NAGLE"/>
    <m/>
    <m/>
    <m/>
  </r>
  <r>
    <x v="2"/>
    <s v=" 0,9 RETA "/>
    <s v="QUALIFLEXO"/>
    <n v="1"/>
    <x v="1"/>
    <x v="3"/>
    <x v="157"/>
    <x v="124"/>
    <n v="5"/>
    <x v="32"/>
    <m/>
    <m/>
    <s v="EMPORIO CASTANHAS"/>
    <m/>
    <m/>
    <m/>
  </r>
  <r>
    <x v="2"/>
    <s v=" 10,5X7,2 TOM CEREJA "/>
    <s v="PERFIL "/>
    <n v="23"/>
    <x v="16"/>
    <x v="3"/>
    <x v="158"/>
    <x v="125"/>
    <n v="5.5"/>
    <x v="33"/>
    <n v="5"/>
    <n v="1"/>
    <m/>
    <m/>
    <m/>
    <m/>
  </r>
  <r>
    <x v="2"/>
    <m/>
    <s v="PERFIL "/>
    <n v="24"/>
    <x v="30"/>
    <x v="3"/>
    <x v="159"/>
    <x v="126"/>
    <n v="14"/>
    <x v="34"/>
    <n v="5"/>
    <n v="2"/>
    <s v="SORV. MATIAS"/>
    <m/>
    <m/>
    <m/>
  </r>
  <r>
    <x v="2"/>
    <m/>
    <s v="QUALIFLEXO"/>
    <n v="25"/>
    <x v="27"/>
    <x v="3"/>
    <x v="160"/>
    <x v="77"/>
    <n v="17"/>
    <x v="35"/>
    <n v="5"/>
    <n v="2"/>
    <s v="BOTTONS"/>
    <m/>
    <m/>
    <m/>
  </r>
  <r>
    <x v="2"/>
    <s v=" 2,02 RETA "/>
    <s v="PERFIL "/>
    <n v="3"/>
    <x v="27"/>
    <x v="3"/>
    <x v="160"/>
    <x v="77"/>
    <n v="17"/>
    <x v="35"/>
    <n v="5"/>
    <n v="1"/>
    <m/>
    <m/>
    <m/>
    <m/>
  </r>
  <r>
    <x v="2"/>
    <m/>
    <s v="PERFIL "/>
    <n v="125"/>
    <x v="27"/>
    <x v="3"/>
    <x v="160"/>
    <x v="77"/>
    <n v="17"/>
    <x v="35"/>
    <n v="5"/>
    <n v="1"/>
    <s v="1 COLUNA ESTRAGADA"/>
    <m/>
    <m/>
    <m/>
  </r>
  <r>
    <x v="2"/>
    <s v=" 6X4,5 DAKI"/>
    <s v="PERFIL "/>
    <n v="27"/>
    <x v="28"/>
    <x v="3"/>
    <x v="161"/>
    <x v="127"/>
    <n v="9.8000000000000007"/>
    <x v="36"/>
    <n v="4"/>
    <n v="1"/>
    <s v="DAKI"/>
    <m/>
    <m/>
    <m/>
  </r>
  <r>
    <x v="2"/>
    <s v=" 4,1X 2, ESP"/>
    <s v="PERFIL "/>
    <n v="28"/>
    <x v="30"/>
    <x v="3"/>
    <x v="162"/>
    <x v="78"/>
    <n v="10.5"/>
    <x v="37"/>
    <n v="5"/>
    <n v="1"/>
    <s v="FRUTOS DA TERRA"/>
    <m/>
    <m/>
    <m/>
  </r>
  <r>
    <x v="2"/>
    <m/>
    <s v="METALFLEXO"/>
    <n v="29"/>
    <x v="1"/>
    <x v="3"/>
    <x v="163"/>
    <x v="128"/>
    <n v="14"/>
    <x v="38"/>
    <n v="4"/>
    <n v="1"/>
    <s v="BOX CHICO/QUEIJO"/>
    <m/>
    <m/>
    <m/>
  </r>
  <r>
    <x v="2"/>
    <s v="INTERVALO DE 1,15CM"/>
    <s v="MLC"/>
    <n v="30"/>
    <x v="1"/>
    <x v="3"/>
    <x v="164"/>
    <x v="119"/>
    <n v="13"/>
    <x v="39"/>
    <n v="4"/>
    <n v="1"/>
    <s v="FRUTOS DA TERRA"/>
    <m/>
    <m/>
    <m/>
  </r>
  <r>
    <x v="2"/>
    <m/>
    <m/>
    <m/>
    <x v="10"/>
    <x v="2"/>
    <x v="14"/>
    <x v="14"/>
    <m/>
    <x v="11"/>
    <m/>
    <m/>
    <m/>
    <m/>
    <m/>
    <m/>
  </r>
  <r>
    <x v="2"/>
    <s v="RETA 3,4"/>
    <s v="PERFIL "/>
    <n v="4"/>
    <x v="1"/>
    <x v="4"/>
    <x v="165"/>
    <x v="129"/>
    <n v="5.5"/>
    <x v="13"/>
    <n v="4"/>
    <n v="3"/>
    <s v="CITROBELL"/>
    <m/>
    <m/>
    <m/>
  </r>
  <r>
    <x v="2"/>
    <s v=" 5,3X4,7 CORAÇÃO"/>
    <s v="PERFIL "/>
    <n v="32"/>
    <x v="16"/>
    <x v="4"/>
    <x v="166"/>
    <x v="130"/>
    <n v="7.5"/>
    <x v="4"/>
    <n v="5"/>
    <n v="2"/>
    <s v="PAPAYA TRIANG."/>
    <m/>
    <m/>
    <m/>
  </r>
  <r>
    <x v="2"/>
    <s v=" 5X2,5 ESP"/>
    <s v="METALFLEXO "/>
    <n v="33"/>
    <x v="1"/>
    <x v="4"/>
    <x v="167"/>
    <x v="131"/>
    <n v="3.5"/>
    <x v="6"/>
    <n v="4"/>
    <n v="1"/>
    <m/>
    <m/>
    <m/>
    <m/>
  </r>
  <r>
    <x v="2"/>
    <s v=" 10,5X7,8 REGIA "/>
    <s v="PERFIL "/>
    <n v="34"/>
    <x v="16"/>
    <x v="4"/>
    <x v="168"/>
    <x v="132"/>
    <n v="3.5"/>
    <x v="6"/>
    <n v="5"/>
    <n v="1"/>
    <s v="SELECTA"/>
    <m/>
    <m/>
    <m/>
  </r>
  <r>
    <x v="2"/>
    <s v=" 9,6X6,5 OVAL"/>
    <s v="MLC"/>
    <n v="35"/>
    <x v="1"/>
    <x v="4"/>
    <x v="169"/>
    <x v="133"/>
    <n v="3.5"/>
    <x v="9"/>
    <n v="4"/>
    <n v="1"/>
    <m/>
    <m/>
    <m/>
    <m/>
  </r>
  <r>
    <x v="2"/>
    <s v=" 14,6X9,5 UDI FRIO "/>
    <s v="MLC"/>
    <n v="36"/>
    <x v="16"/>
    <x v="4"/>
    <x v="170"/>
    <x v="134"/>
    <n v="5.5"/>
    <x v="9"/>
    <n v="5"/>
    <n v="1"/>
    <s v="DELÍCIAS DO MILHO"/>
    <m/>
    <m/>
    <m/>
  </r>
  <r>
    <x v="2"/>
    <s v=" 6X5 DES"/>
    <s v="PERFIL "/>
    <n v="37"/>
    <x v="30"/>
    <x v="4"/>
    <x v="171"/>
    <x v="135"/>
    <n v="8"/>
    <x v="5"/>
    <n v="5"/>
    <n v="1"/>
    <s v="CHÃO DE MINAS"/>
    <m/>
    <m/>
    <m/>
  </r>
  <r>
    <x v="2"/>
    <s v=" OVAL 6,6X3"/>
    <s v="METALFLEXO "/>
    <n v="35"/>
    <x v="1"/>
    <x v="4"/>
    <x v="172"/>
    <x v="133"/>
    <n v="10"/>
    <x v="9"/>
    <n v="4"/>
    <n v="1"/>
    <s v="PARA LAMINAÇÃO"/>
    <m/>
    <m/>
    <m/>
  </r>
  <r>
    <x v="2"/>
    <s v=" OVAL 6,6X3"/>
    <s v="METALFLEXO "/>
    <n v="122"/>
    <x v="1"/>
    <x v="4"/>
    <x v="172"/>
    <x v="133"/>
    <n v="10"/>
    <x v="9"/>
    <n v="4"/>
    <n v="1"/>
    <s v="COUCHE"/>
    <m/>
    <m/>
    <m/>
  </r>
  <r>
    <x v="2"/>
    <m/>
    <s v="METALFLEXO "/>
    <n v="40"/>
    <x v="4"/>
    <x v="4"/>
    <x v="173"/>
    <x v="136"/>
    <n v="13"/>
    <x v="9"/>
    <n v="5"/>
    <n v="1"/>
    <s v="CAR. LANCHES"/>
    <m/>
    <m/>
    <m/>
  </r>
  <r>
    <x v="2"/>
    <m/>
    <s v="PERFIL "/>
    <n v="41"/>
    <x v="28"/>
    <x v="4"/>
    <x v="174"/>
    <x v="137"/>
    <n v="14.5"/>
    <x v="9"/>
    <n v="4"/>
    <n v="1"/>
    <s v="EXPRESSO ALIM."/>
    <m/>
    <m/>
    <m/>
  </r>
  <r>
    <x v="2"/>
    <m/>
    <m/>
    <m/>
    <x v="10"/>
    <x v="2"/>
    <x v="14"/>
    <x v="14"/>
    <m/>
    <x v="11"/>
    <m/>
    <m/>
    <m/>
    <m/>
    <m/>
    <m/>
  </r>
  <r>
    <x v="2"/>
    <s v=" 24,5X5,5 "/>
    <s v="PERFIL "/>
    <n v="72"/>
    <x v="36"/>
    <x v="6"/>
    <x v="175"/>
    <x v="138"/>
    <n v="3.8"/>
    <x v="10"/>
    <n v="5"/>
    <n v="2"/>
    <s v="OF. QUEIJO"/>
    <m/>
    <m/>
    <m/>
  </r>
  <r>
    <x v="2"/>
    <s v=" 4,1X1 DES"/>
    <s v="PERFIL "/>
    <n v="42"/>
    <x v="16"/>
    <x v="6"/>
    <x v="176"/>
    <x v="139"/>
    <n v="10.5"/>
    <x v="3"/>
    <n v="5"/>
    <n v="3"/>
    <s v="MILI BIJOUX"/>
    <m/>
    <m/>
    <m/>
  </r>
  <r>
    <x v="2"/>
    <s v=" 5X3,3"/>
    <s v="QUALIFLEXO "/>
    <n v="43"/>
    <x v="32"/>
    <x v="6"/>
    <x v="177"/>
    <x v="140"/>
    <n v="8.5"/>
    <x v="16"/>
    <n v="5"/>
    <n v="2"/>
    <s v="SUPER BIJOUX"/>
    <m/>
    <m/>
    <m/>
  </r>
  <r>
    <x v="2"/>
    <m/>
    <s v="PERFIL "/>
    <n v="44"/>
    <x v="32"/>
    <x v="6"/>
    <x v="41"/>
    <x v="141"/>
    <n v="13.5"/>
    <x v="13"/>
    <n v="5"/>
    <n v="3"/>
    <s v="TERMICAS"/>
    <s v="                   BETA"/>
    <m/>
    <m/>
  </r>
  <r>
    <x v="2"/>
    <s v=" 9,7 RED"/>
    <s v="PERFIL "/>
    <n v="28"/>
    <x v="30"/>
    <x v="6"/>
    <x v="178"/>
    <x v="142"/>
    <n v="4.5"/>
    <x v="14"/>
    <n v="5"/>
    <n v="1"/>
    <m/>
    <m/>
    <m/>
    <m/>
  </r>
  <r>
    <x v="2"/>
    <s v=" 7,5X6,5 REGIA"/>
    <s v="PERFIL "/>
    <n v="46"/>
    <x v="1"/>
    <x v="6"/>
    <x v="179"/>
    <x v="143"/>
    <n v="5.5"/>
    <x v="4"/>
    <n v="4"/>
    <n v="1"/>
    <s v="VULCAFLEX"/>
    <m/>
    <m/>
    <m/>
  </r>
  <r>
    <x v="2"/>
    <s v=" OVAL 4,3X2,8"/>
    <s v="METALFLEXO "/>
    <n v="33"/>
    <x v="1"/>
    <x v="6"/>
    <x v="180"/>
    <x v="129"/>
    <n v="10.5"/>
    <x v="13"/>
    <n v="4"/>
    <n v="2"/>
    <s v="MADRECOR"/>
    <s v="                        C/  INTERVALO"/>
    <m/>
    <m/>
  </r>
  <r>
    <x v="2"/>
    <s v=" 3,8X2,8 ESP "/>
    <s v="QUALIFLEXO "/>
    <n v="43"/>
    <x v="32"/>
    <x v="6"/>
    <x v="181"/>
    <x v="144"/>
    <n v="5.5"/>
    <x v="4"/>
    <n v="5"/>
    <n v="1"/>
    <s v="SUPER BIJOUX"/>
    <m/>
    <m/>
    <m/>
  </r>
  <r>
    <x v="2"/>
    <s v=" 6X4 JOANINHA"/>
    <s v="PERFIL "/>
    <n v="49"/>
    <x v="28"/>
    <x v="6"/>
    <x v="47"/>
    <x v="145"/>
    <n v="9"/>
    <x v="6"/>
    <n v="4"/>
    <n v="2"/>
    <s v="BOX DO CHICO"/>
    <m/>
    <m/>
    <m/>
  </r>
  <r>
    <x v="2"/>
    <m/>
    <s v="PERFIL "/>
    <n v="50"/>
    <x v="28"/>
    <x v="6"/>
    <x v="46"/>
    <x v="145"/>
    <n v="10.5"/>
    <x v="6"/>
    <n v="4"/>
    <n v="3"/>
    <s v="LOGÍSTICA"/>
    <s v="BETA"/>
    <m/>
    <m/>
  </r>
  <r>
    <x v="2"/>
    <m/>
    <s v="PERFIL "/>
    <n v="51"/>
    <x v="32"/>
    <x v="6"/>
    <x v="47"/>
    <x v="141"/>
    <n v="13"/>
    <x v="13"/>
    <n v="5"/>
    <n v="2"/>
    <s v="TÉRMICAS"/>
    <s v="BETA"/>
    <m/>
    <m/>
  </r>
  <r>
    <x v="2"/>
    <m/>
    <s v="PERFIL "/>
    <n v="53"/>
    <x v="16"/>
    <x v="6"/>
    <x v="50"/>
    <x v="132"/>
    <n v="15"/>
    <x v="6"/>
    <n v="5"/>
    <n v="2"/>
    <m/>
    <s v="BETA"/>
    <m/>
    <m/>
  </r>
  <r>
    <x v="2"/>
    <s v="P/ LAMINAÇÃO"/>
    <s v="RESINO "/>
    <n v="54"/>
    <x v="16"/>
    <x v="6"/>
    <x v="50"/>
    <x v="132"/>
    <n v="11"/>
    <x v="6"/>
    <n v="5"/>
    <n v="2"/>
    <s v="QUEIJO MILITÃO"/>
    <s v="BETA"/>
    <m/>
    <m/>
  </r>
  <r>
    <x v="2"/>
    <m/>
    <s v="PERFIL"/>
    <n v="129"/>
    <x v="17"/>
    <x v="5"/>
    <x v="182"/>
    <x v="146"/>
    <n v="15"/>
    <x v="5"/>
    <n v="0"/>
    <n v="2"/>
    <s v="PATI BO"/>
    <m/>
    <m/>
    <m/>
  </r>
  <r>
    <x v="2"/>
    <m/>
    <s v="PERFIL "/>
    <n v="55"/>
    <x v="16"/>
    <x v="6"/>
    <x v="183"/>
    <x v="134"/>
    <n v="11"/>
    <x v="9"/>
    <n v="5"/>
    <n v="2"/>
    <s v="TITA"/>
    <m/>
    <m/>
    <m/>
  </r>
  <r>
    <x v="2"/>
    <m/>
    <s v="RESINO "/>
    <n v="76"/>
    <x v="1"/>
    <x v="6"/>
    <x v="184"/>
    <x v="147"/>
    <n v="8.5"/>
    <x v="5"/>
    <n v="4"/>
    <n v="1"/>
    <s v="BOX DO CHICO"/>
    <m/>
    <m/>
    <m/>
  </r>
  <r>
    <x v="2"/>
    <m/>
    <s v="PERFIL "/>
    <n v="56"/>
    <x v="1"/>
    <x v="6"/>
    <x v="185"/>
    <x v="129"/>
    <n v="9.5"/>
    <x v="13"/>
    <n v="4"/>
    <n v="1"/>
    <s v="FARMA"/>
    <m/>
    <m/>
    <m/>
  </r>
  <r>
    <x v="2"/>
    <m/>
    <s v="METALFLEXO "/>
    <n v="57"/>
    <x v="28"/>
    <x v="6"/>
    <x v="186"/>
    <x v="148"/>
    <n v="10"/>
    <x v="13"/>
    <n v="4"/>
    <n v="1"/>
    <s v="FARMA"/>
    <s v="C/ PICOTE"/>
    <m/>
    <m/>
  </r>
  <r>
    <x v="2"/>
    <s v="S/ INT 5 MM"/>
    <s v="METALFLEXO "/>
    <n v="75"/>
    <x v="28"/>
    <x v="6"/>
    <x v="187"/>
    <x v="137"/>
    <n v="3.5"/>
    <x v="9"/>
    <n v="4"/>
    <n v="1"/>
    <m/>
    <m/>
    <m/>
    <m/>
  </r>
  <r>
    <x v="2"/>
    <m/>
    <s v="LIDER"/>
    <n v="77"/>
    <x v="27"/>
    <x v="6"/>
    <x v="188"/>
    <x v="149"/>
    <n v="11"/>
    <x v="6"/>
    <n v="5"/>
    <n v="1"/>
    <s v="BOX DO CHICO"/>
    <m/>
    <m/>
    <m/>
  </r>
  <r>
    <x v="2"/>
    <s v="DES 3,3X5,5 BOX CHICO"/>
    <s v="PERFIL "/>
    <n v="22"/>
    <x v="28"/>
    <x v="6"/>
    <x v="189"/>
    <x v="145"/>
    <n v="11"/>
    <x v="6"/>
    <n v="4"/>
    <n v="1"/>
    <s v="BOX DO CHICO"/>
    <m/>
    <m/>
    <m/>
  </r>
  <r>
    <x v="2"/>
    <m/>
    <s v="METALFLEXO "/>
    <n v="59"/>
    <x v="16"/>
    <x v="6"/>
    <x v="190"/>
    <x v="134"/>
    <n v="15"/>
    <x v="9"/>
    <n v="5"/>
    <n v="2"/>
    <s v="UDIFRIOS"/>
    <m/>
    <m/>
    <m/>
  </r>
  <r>
    <x v="2"/>
    <m/>
    <s v="METALFLEXO "/>
    <n v="61"/>
    <x v="16"/>
    <x v="6"/>
    <x v="191"/>
    <x v="150"/>
    <n v="11.5"/>
    <x v="5"/>
    <n v="5"/>
    <n v="1"/>
    <s v="SAÚDE TOTAL"/>
    <m/>
    <m/>
    <m/>
  </r>
  <r>
    <x v="2"/>
    <m/>
    <s v="PERFIL "/>
    <n v="124"/>
    <x v="1"/>
    <x v="6"/>
    <x v="192"/>
    <x v="143"/>
    <n v="12"/>
    <x v="4"/>
    <n v="4"/>
    <n v="1"/>
    <s v="SOUZA CRUZ"/>
    <m/>
    <m/>
    <m/>
  </r>
  <r>
    <x v="2"/>
    <m/>
    <s v="METALFLEXO "/>
    <n v="62"/>
    <x v="36"/>
    <x v="6"/>
    <x v="193"/>
    <x v="151"/>
    <n v="13"/>
    <x v="9"/>
    <n v="5"/>
    <n v="2"/>
    <s v="FLAMBOYANT"/>
    <m/>
    <m/>
    <m/>
  </r>
  <r>
    <x v="2"/>
    <s v="MONTAR NO Z 78"/>
    <s v="METALFLEXO"/>
    <n v="31"/>
    <x v="37"/>
    <x v="6"/>
    <x v="193"/>
    <x v="151"/>
    <n v="13"/>
    <x v="10"/>
    <n v="5"/>
    <n v="2"/>
    <s v="FLAMBOYANT"/>
    <m/>
    <m/>
    <m/>
  </r>
  <r>
    <x v="2"/>
    <m/>
    <s v="METALFLEXO "/>
    <n v="65"/>
    <x v="16"/>
    <x v="6"/>
    <x v="194"/>
    <x v="152"/>
    <n v="12.5"/>
    <x v="10"/>
    <n v="5"/>
    <n v="1"/>
    <s v="SUNQUIMICA"/>
    <m/>
    <m/>
    <m/>
  </r>
  <r>
    <x v="2"/>
    <m/>
    <s v="LIDER"/>
    <n v="78"/>
    <x v="16"/>
    <x v="6"/>
    <x v="195"/>
    <x v="134"/>
    <n v="13.5"/>
    <x v="9"/>
    <n v="5"/>
    <n v="1"/>
    <s v="BOX DO CHICO"/>
    <m/>
    <m/>
    <m/>
  </r>
  <r>
    <x v="2"/>
    <s v=" 13,5X6,5 RETA"/>
    <s v="METALFLEXO "/>
    <n v="14"/>
    <x v="1"/>
    <x v="6"/>
    <x v="196"/>
    <x v="153"/>
    <n v="8.5"/>
    <x v="10"/>
    <n v="4"/>
    <n v="1"/>
    <s v="SUPER BIJOUX"/>
    <m/>
    <m/>
    <m/>
  </r>
  <r>
    <x v="2"/>
    <m/>
    <s v="METALFLEXO "/>
    <n v="60"/>
    <x v="1"/>
    <x v="6"/>
    <x v="197"/>
    <x v="153"/>
    <n v="11"/>
    <x v="10"/>
    <n v="4"/>
    <n v="1"/>
    <s v="ESPETO MANIA"/>
    <m/>
    <m/>
    <m/>
  </r>
  <r>
    <x v="2"/>
    <m/>
    <s v="METALFLEXO "/>
    <n v="2"/>
    <x v="1"/>
    <x v="6"/>
    <x v="197"/>
    <x v="153"/>
    <n v="11"/>
    <x v="10"/>
    <n v="4"/>
    <n v="1"/>
    <s v="ESPETO MANIA"/>
    <m/>
    <m/>
    <m/>
  </r>
  <r>
    <x v="2"/>
    <m/>
    <s v="METALFLEXO "/>
    <n v="64"/>
    <x v="16"/>
    <x v="6"/>
    <x v="198"/>
    <x v="152"/>
    <n v="15.5"/>
    <x v="10"/>
    <n v="5"/>
    <n v="2"/>
    <s v="FLAMBOYANT"/>
    <m/>
    <m/>
    <m/>
  </r>
  <r>
    <x v="2"/>
    <m/>
    <s v="QUALIFLEXO "/>
    <n v="67"/>
    <x v="27"/>
    <x v="6"/>
    <x v="199"/>
    <x v="154"/>
    <n v="11"/>
    <x v="10"/>
    <n v="5"/>
    <n v="1"/>
    <s v="ESPETO/DNA DINDA"/>
    <m/>
    <m/>
    <m/>
  </r>
  <r>
    <x v="2"/>
    <m/>
    <s v="PERFIL"/>
    <n v="112"/>
    <x v="4"/>
    <x v="6"/>
    <x v="200"/>
    <x v="155"/>
    <n v="11"/>
    <x v="10"/>
    <n v="4"/>
    <n v="1"/>
    <s v="ESPETO MANIA"/>
    <m/>
    <m/>
    <m/>
  </r>
  <r>
    <x v="2"/>
    <m/>
    <s v="PERFIL "/>
    <n v="66"/>
    <x v="16"/>
    <x v="6"/>
    <x v="201"/>
    <x v="134"/>
    <n v="15.7"/>
    <x v="9"/>
    <n v="5"/>
    <n v="1"/>
    <s v="PRECIOSO/NUNES"/>
    <m/>
    <m/>
    <m/>
  </r>
  <r>
    <x v="2"/>
    <s v="PICOTE 2 COL"/>
    <s v="PERFIL "/>
    <n v="68"/>
    <x v="30"/>
    <x v="6"/>
    <x v="202"/>
    <x v="156"/>
    <n v="13.5"/>
    <x v="10"/>
    <n v="5"/>
    <n v="3"/>
    <s v="PICOTE /MINAS PATIO"/>
    <m/>
    <m/>
    <m/>
  </r>
  <r>
    <x v="2"/>
    <s v=" 19,7X7,9"/>
    <s v="PERFIL "/>
    <n v="69"/>
    <x v="30"/>
    <x v="6"/>
    <x v="203"/>
    <x v="156"/>
    <n v="7.5"/>
    <x v="10"/>
    <n v="5"/>
    <n v="1"/>
    <s v="SA ALIMENTOS"/>
    <m/>
    <m/>
    <m/>
  </r>
  <r>
    <x v="2"/>
    <s v=" 19,7X6,9"/>
    <s v="PERFIL "/>
    <n v="69"/>
    <x v="30"/>
    <x v="6"/>
    <x v="204"/>
    <x v="156"/>
    <n v="8.5"/>
    <x v="10"/>
    <n v="5"/>
    <n v="1"/>
    <s v="SA ALIMENTOS"/>
    <m/>
    <m/>
    <m/>
  </r>
  <r>
    <x v="2"/>
    <m/>
    <s v="PERFIL "/>
    <n v="71"/>
    <x v="30"/>
    <x v="6"/>
    <x v="205"/>
    <x v="156"/>
    <n v="10.5"/>
    <x v="10"/>
    <n v="5"/>
    <n v="1"/>
    <s v="ESPETO MANIA"/>
    <m/>
    <m/>
    <m/>
  </r>
  <r>
    <x v="2"/>
    <m/>
    <s v="RESINA"/>
    <n v="111"/>
    <x v="32"/>
    <x v="6"/>
    <x v="206"/>
    <x v="157"/>
    <n v="15.5"/>
    <x v="10"/>
    <n v="5"/>
    <n v="1"/>
    <s v="SOUZA CRUZ "/>
    <m/>
    <m/>
    <m/>
  </r>
  <r>
    <x v="2"/>
    <m/>
    <s v="PERFIL"/>
    <n v="127"/>
    <x v="32"/>
    <x v="5"/>
    <x v="206"/>
    <x v="157"/>
    <n v="15.5"/>
    <x v="10"/>
    <n v="5"/>
    <n v="1"/>
    <s v="SOUZA CRUZ "/>
    <m/>
    <m/>
    <m/>
  </r>
  <r>
    <x v="2"/>
    <m/>
    <s v="PERFIL "/>
    <n v="73"/>
    <x v="38"/>
    <x v="6"/>
    <x v="207"/>
    <x v="158"/>
    <n v="11"/>
    <x v="10"/>
    <n v="5"/>
    <n v="1"/>
    <s v="SUNQUÍMICA"/>
    <m/>
    <m/>
    <m/>
  </r>
  <r>
    <x v="2"/>
    <s v="PARA LAMINAÇÃO"/>
    <s v="MLC"/>
    <n v="74"/>
    <x v="38"/>
    <x v="6"/>
    <x v="207"/>
    <x v="158"/>
    <n v="11"/>
    <x v="10"/>
    <n v="5"/>
    <n v="1"/>
    <s v="FAMA "/>
    <m/>
    <m/>
    <m/>
  </r>
  <r>
    <x v="2"/>
    <m/>
    <m/>
    <m/>
    <x v="10"/>
    <x v="2"/>
    <x v="14"/>
    <x v="14"/>
    <m/>
    <x v="11"/>
    <m/>
    <m/>
    <m/>
    <m/>
    <m/>
    <m/>
  </r>
  <r>
    <x v="2"/>
    <s v=" 3X2,8/4X2,1/4X1"/>
    <s v="PERFIL "/>
    <n v="79"/>
    <x v="1"/>
    <x v="7"/>
    <x v="208"/>
    <x v="129"/>
    <n v="2"/>
    <x v="13"/>
    <n v="4"/>
    <n v="1"/>
    <m/>
    <m/>
    <m/>
    <m/>
  </r>
  <r>
    <x v="2"/>
    <s v=" 1,5X2,5/4X2,1/4X1"/>
    <s v="PERFIL "/>
    <n v="79"/>
    <x v="1"/>
    <x v="7"/>
    <x v="209"/>
    <x v="159"/>
    <n v="7"/>
    <x v="13"/>
    <n v="4"/>
    <n v="2"/>
    <s v="CHOC. BRASIL"/>
    <m/>
    <m/>
    <m/>
  </r>
  <r>
    <x v="2"/>
    <s v=" 13,3X2 JOANINHA "/>
    <s v="PERFIL "/>
    <n v="84"/>
    <x v="1"/>
    <x v="7"/>
    <x v="210"/>
    <x v="147"/>
    <n v="2.5"/>
    <x v="5"/>
    <n v="4"/>
    <n v="1"/>
    <s v="CENTRAL GARDEN"/>
    <m/>
    <m/>
    <m/>
  </r>
  <r>
    <x v="2"/>
    <s v=" 10,5X5,7 SABORAI "/>
    <s v="PERFIL "/>
    <n v="81"/>
    <x v="4"/>
    <x v="7"/>
    <x v="211"/>
    <x v="160"/>
    <n v="3"/>
    <x v="13"/>
    <n v="5"/>
    <n v="1"/>
    <s v="PET SHOP EST."/>
    <m/>
    <m/>
    <m/>
  </r>
  <r>
    <x v="2"/>
    <s v=" 1,5X2,5/4X2,1/3X2,8"/>
    <s v="PERFIL "/>
    <n v="79"/>
    <x v="1"/>
    <x v="7"/>
    <x v="212"/>
    <x v="161"/>
    <n v="2.5"/>
    <x v="6"/>
    <n v="4"/>
    <n v="2"/>
    <s v="FARMA"/>
    <m/>
    <m/>
    <m/>
  </r>
  <r>
    <x v="2"/>
    <s v=" 3,2X1,6 ESP"/>
    <s v="PERFIL "/>
    <n v="42"/>
    <x v="16"/>
    <x v="7"/>
    <x v="213"/>
    <x v="162"/>
    <n v="4.5"/>
    <x v="40"/>
    <n v="5"/>
    <n v="1"/>
    <s v="EMELL/FARMA"/>
    <m/>
    <m/>
    <m/>
  </r>
  <r>
    <x v="2"/>
    <s v=" 1,5X2,5/3X2,8/4X1"/>
    <s v="PERFIL "/>
    <n v="79"/>
    <x v="1"/>
    <x v="7"/>
    <x v="214"/>
    <x v="131"/>
    <n v="2.5"/>
    <x v="6"/>
    <n v="4"/>
    <n v="1"/>
    <s v="VIVA DIET"/>
    <m/>
    <m/>
    <m/>
  </r>
  <r>
    <x v="2"/>
    <s v="18,7X4,5 JOANINHA"/>
    <s v="PERFIL "/>
    <n v="19"/>
    <x v="28"/>
    <x v="7"/>
    <x v="215"/>
    <x v="163"/>
    <n v="3.5"/>
    <x v="5"/>
    <n v="4"/>
    <n v="1"/>
    <s v="CENTRAL GARDEN"/>
    <m/>
    <m/>
    <m/>
  </r>
  <r>
    <x v="2"/>
    <s v=" 4,3 RED"/>
    <s v="PERFIL "/>
    <n v="21"/>
    <x v="1"/>
    <x v="7"/>
    <x v="216"/>
    <x v="129"/>
    <n v="10"/>
    <x v="13"/>
    <n v="4"/>
    <n v="2"/>
    <s v="CITROBELL"/>
    <m/>
    <m/>
    <m/>
  </r>
  <r>
    <x v="2"/>
    <s v="2,1X3,1 OVAL"/>
    <s v="PERFIL "/>
    <n v="32"/>
    <x v="16"/>
    <x v="7"/>
    <x v="217"/>
    <x v="132"/>
    <n v="6"/>
    <x v="6"/>
    <n v="5"/>
    <n v="1"/>
    <s v="SOS ALIMENTOS"/>
    <m/>
    <m/>
    <m/>
  </r>
  <r>
    <x v="2"/>
    <s v=" 10,5X6 BOX"/>
    <s v="PERFIL "/>
    <n v="22"/>
    <x v="28"/>
    <x v="7"/>
    <x v="218"/>
    <x v="164"/>
    <n v="4"/>
    <x v="6"/>
    <n v="4"/>
    <n v="1"/>
    <s v="BOX DO CHICO"/>
    <m/>
    <m/>
    <m/>
  </r>
  <r>
    <x v="2"/>
    <s v=" 9,6X5,8 SUSPIRINHO"/>
    <s v="PERFIL "/>
    <n v="83"/>
    <x v="4"/>
    <x v="7"/>
    <x v="219"/>
    <x v="165"/>
    <n v="3.5"/>
    <x v="6"/>
    <n v="5"/>
    <n v="1"/>
    <s v="DONNUTS"/>
    <m/>
    <m/>
    <m/>
  </r>
  <r>
    <x v="2"/>
    <s v=" 4X6 ESP"/>
    <s v="PERFIL "/>
    <n v="49"/>
    <x v="28"/>
    <x v="7"/>
    <x v="47"/>
    <x v="145"/>
    <n v="4.5"/>
    <x v="6"/>
    <n v="4"/>
    <n v="1"/>
    <s v="DOCES JOANINHA"/>
    <m/>
    <m/>
    <m/>
  </r>
  <r>
    <x v="2"/>
    <s v=" 9,2 RED"/>
    <s v="PERFIL "/>
    <n v="27"/>
    <x v="28"/>
    <x v="7"/>
    <x v="220"/>
    <x v="21"/>
    <n v="5"/>
    <x v="6"/>
    <n v="4"/>
    <n v="1"/>
    <s v="DAKI"/>
    <m/>
    <m/>
    <m/>
  </r>
  <r>
    <x v="2"/>
    <m/>
    <s v="PERFIL "/>
    <n v="109"/>
    <x v="28"/>
    <x v="7"/>
    <x v="221"/>
    <x v="145"/>
    <n v="16"/>
    <x v="6"/>
    <n v="4"/>
    <n v="3"/>
    <s v="DOCE MANIA"/>
    <m/>
    <m/>
    <m/>
  </r>
  <r>
    <x v="2"/>
    <s v=" 7,5X4,8 OVAL"/>
    <s v="PERFIL "/>
    <n v="37"/>
    <x v="30"/>
    <x v="7"/>
    <x v="222"/>
    <x v="135"/>
    <n v="6.5"/>
    <x v="5"/>
    <n v="5"/>
    <n v="1"/>
    <m/>
    <m/>
    <m/>
    <m/>
  </r>
  <r>
    <x v="2"/>
    <s v=" 6,8 RETA"/>
    <s v="PERFIL "/>
    <n v="10"/>
    <x v="1"/>
    <x v="7"/>
    <x v="223"/>
    <x v="131"/>
    <n v="7"/>
    <x v="6"/>
    <n v="4"/>
    <n v="1"/>
    <s v="MELHOR DE MINAS"/>
    <m/>
    <m/>
    <m/>
  </r>
  <r>
    <x v="2"/>
    <s v=" 3,1 RED 2 RED"/>
    <s v="METALFLEXO "/>
    <n v="17"/>
    <x v="1"/>
    <x v="7"/>
    <x v="224"/>
    <x v="133"/>
    <n v="5.5"/>
    <x v="9"/>
    <n v="4"/>
    <n v="1"/>
    <s v="BOM DE MINAS"/>
    <m/>
    <m/>
    <m/>
  </r>
  <r>
    <x v="2"/>
    <s v=" 5X2 ESP"/>
    <s v="PERFIL "/>
    <n v="46"/>
    <x v="1"/>
    <x v="7"/>
    <x v="225"/>
    <x v="133"/>
    <n v="8"/>
    <x v="9"/>
    <n v="4"/>
    <n v="1"/>
    <s v="PANIF. REGIA"/>
    <m/>
    <m/>
    <m/>
  </r>
  <r>
    <x v="2"/>
    <s v=" 8,9X6,1 FAMA"/>
    <s v="PERFIL "/>
    <n v="38"/>
    <x v="4"/>
    <x v="7"/>
    <x v="226"/>
    <x v="166"/>
    <n v="6.5"/>
    <x v="9"/>
    <n v="5"/>
    <n v="1"/>
    <s v="HERMON"/>
    <m/>
    <m/>
    <m/>
  </r>
  <r>
    <x v="2"/>
    <s v=" 8,9X6,1 HERMON"/>
    <s v="PERFIL "/>
    <n v="38"/>
    <x v="4"/>
    <x v="7"/>
    <x v="226"/>
    <x v="166"/>
    <n v="6.5"/>
    <x v="9"/>
    <n v="5"/>
    <n v="1"/>
    <s v="FAMA DOCES"/>
    <m/>
    <m/>
    <m/>
  </r>
  <r>
    <x v="2"/>
    <m/>
    <s v="QUALIFLEXO "/>
    <n v="39"/>
    <x v="13"/>
    <x v="7"/>
    <x v="227"/>
    <x v="167"/>
    <n v="9.5"/>
    <x v="40"/>
    <s v="**"/>
    <n v="1"/>
    <s v="BIJOUX"/>
    <m/>
    <m/>
    <m/>
  </r>
  <r>
    <x v="2"/>
    <m/>
    <s v="RESINO "/>
    <n v="45"/>
    <x v="16"/>
    <x v="7"/>
    <x v="228"/>
    <x v="134"/>
    <n v="9.5"/>
    <x v="9"/>
    <n v="5"/>
    <n v="1"/>
    <s v="MARMOREIO"/>
    <m/>
    <m/>
    <m/>
  </r>
  <r>
    <x v="2"/>
    <m/>
    <s v="PERFIL "/>
    <n v="47"/>
    <x v="28"/>
    <x v="7"/>
    <x v="229"/>
    <x v="137"/>
    <n v="8"/>
    <x v="9"/>
    <n v="4"/>
    <n v="2"/>
    <s v="DELICIAS ARAXÁ"/>
    <m/>
    <m/>
    <m/>
  </r>
  <r>
    <x v="2"/>
    <m/>
    <s v="PERFIL "/>
    <n v="48"/>
    <x v="28"/>
    <x v="7"/>
    <x v="230"/>
    <x v="137"/>
    <n v="10"/>
    <x v="9"/>
    <n v="4"/>
    <n v="1"/>
    <s v="FAZ. JARDIM"/>
    <m/>
    <m/>
    <m/>
  </r>
  <r>
    <x v="2"/>
    <s v=" 3X5,8 DONU"/>
    <s v="PERFIL "/>
    <n v="83"/>
    <x v="4"/>
    <x v="7"/>
    <x v="231"/>
    <x v="165"/>
    <n v="10"/>
    <x v="6"/>
    <n v="5"/>
    <n v="1"/>
    <s v="SUSPIRINHO"/>
    <m/>
    <m/>
    <m/>
  </r>
  <r>
    <x v="2"/>
    <m/>
    <s v="RESINO "/>
    <n v="70"/>
    <x v="27"/>
    <x v="7"/>
    <x v="232"/>
    <x v="168"/>
    <n v="10"/>
    <x v="9"/>
    <n v="5"/>
    <n v="1"/>
    <s v="CACHAÇA GOIAN."/>
    <m/>
    <m/>
    <m/>
  </r>
  <r>
    <x v="2"/>
    <m/>
    <s v="MLC"/>
    <n v="80"/>
    <x v="27"/>
    <x v="7"/>
    <x v="232"/>
    <x v="168"/>
    <n v="10"/>
    <x v="9"/>
    <n v="5"/>
    <n v="1"/>
    <s v="CACHAÇA GOIAN."/>
    <m/>
    <m/>
    <m/>
  </r>
  <r>
    <x v="2"/>
    <m/>
    <s v="METALFLEXO "/>
    <n v="63"/>
    <x v="30"/>
    <x v="7"/>
    <x v="233"/>
    <x v="169"/>
    <n v="8"/>
    <x v="9"/>
    <n v="5"/>
    <n v="2"/>
    <s v="FLAMBOYANT"/>
    <m/>
    <m/>
    <m/>
  </r>
  <r>
    <x v="2"/>
    <m/>
    <s v="PERFIL "/>
    <n v="82"/>
    <x v="30"/>
    <x v="7"/>
    <x v="136"/>
    <x v="170"/>
    <n v="10.5"/>
    <x v="6"/>
    <n v="5"/>
    <n v="1"/>
    <s v="MARICOTA"/>
    <m/>
    <m/>
    <m/>
  </r>
  <r>
    <x v="2"/>
    <m/>
    <s v="METALFLEXO "/>
    <n v="85"/>
    <x v="1"/>
    <x v="7"/>
    <x v="234"/>
    <x v="133"/>
    <n v="11"/>
    <x v="9"/>
    <n v="4"/>
    <n v="1"/>
    <s v="BOX DO CHICO"/>
    <m/>
    <m/>
    <m/>
  </r>
  <r>
    <x v="2"/>
    <s v=" 3,7 RED"/>
    <s v="PERFIL "/>
    <n v="20"/>
    <x v="27"/>
    <x v="7"/>
    <x v="188"/>
    <x v="149"/>
    <n v="11"/>
    <x v="6"/>
    <n v="5"/>
    <n v="1"/>
    <s v="DOCES JOANINHA"/>
    <m/>
    <m/>
    <m/>
  </r>
  <r>
    <x v="2"/>
    <s v=" 3,4X2,2 PET SHOP"/>
    <s v="PERFIL "/>
    <n v="81"/>
    <x v="4"/>
    <x v="7"/>
    <x v="235"/>
    <x v="165"/>
    <n v="11"/>
    <x v="6"/>
    <n v="5"/>
    <n v="1"/>
    <s v="SABORAÍ"/>
    <m/>
    <m/>
    <m/>
  </r>
  <r>
    <x v="2"/>
    <m/>
    <s v="PERFIL "/>
    <n v="86"/>
    <x v="4"/>
    <x v="7"/>
    <x v="235"/>
    <x v="8"/>
    <n v="11"/>
    <x v="9"/>
    <n v="5"/>
    <n v="1"/>
    <s v="SABORAÍ"/>
    <m/>
    <m/>
    <m/>
  </r>
  <r>
    <x v="2"/>
    <s v=" 4,8X3 OVAL"/>
    <s v="PERFIL "/>
    <n v="34"/>
    <x v="16"/>
    <x v="7"/>
    <x v="236"/>
    <x v="77"/>
    <n v="11"/>
    <x v="9"/>
    <n v="5"/>
    <n v="1"/>
    <s v="PANIF. REGIA"/>
    <m/>
    <m/>
    <m/>
  </r>
  <r>
    <x v="2"/>
    <s v=" 105X7"/>
    <s v="METALFLEXO "/>
    <n v="52"/>
    <x v="32"/>
    <x v="7"/>
    <x v="237"/>
    <x v="171"/>
    <n v="7"/>
    <x v="9"/>
    <n v="5"/>
    <n v="1"/>
    <s v="FAMA DOCES"/>
    <m/>
    <m/>
    <m/>
  </r>
  <r>
    <x v="2"/>
    <s v=" 10,5X6,5"/>
    <s v="METALFLEXO "/>
    <n v="52"/>
    <x v="32"/>
    <x v="7"/>
    <x v="71"/>
    <x v="171"/>
    <n v="7.5"/>
    <x v="9"/>
    <n v="5"/>
    <n v="1"/>
    <s v="RIC SAR"/>
    <m/>
    <m/>
    <m/>
  </r>
  <r>
    <x v="2"/>
    <s v=" 4,8 RED"/>
    <s v="PERFIL "/>
    <n v="23"/>
    <x v="16"/>
    <x v="7"/>
    <x v="190"/>
    <x v="76"/>
    <n v="11"/>
    <x v="9"/>
    <n v="5"/>
    <n v="1"/>
    <s v="TOMATE CEREJA"/>
    <m/>
    <m/>
    <m/>
  </r>
  <r>
    <x v="2"/>
    <m/>
    <s v="QUALIFLEXO "/>
    <n v="62"/>
    <x v="4"/>
    <x v="7"/>
    <x v="238"/>
    <x v="172"/>
    <n v="11"/>
    <x v="9"/>
    <n v="5"/>
    <n v="1"/>
    <s v="VO CLEUSA"/>
    <m/>
    <m/>
    <m/>
  </r>
  <r>
    <x v="2"/>
    <m/>
    <s v="RESINO "/>
    <n v="88"/>
    <x v="28"/>
    <x v="7"/>
    <x v="239"/>
    <x v="137"/>
    <n v="11"/>
    <x v="9"/>
    <n v="4"/>
    <n v="1"/>
    <s v="GOIANINHA"/>
    <m/>
    <m/>
    <m/>
  </r>
  <r>
    <x v="2"/>
    <m/>
    <s v="MLC"/>
    <n v="87"/>
    <x v="27"/>
    <x v="7"/>
    <x v="240"/>
    <x v="18"/>
    <n v="11"/>
    <x v="13"/>
    <n v="5"/>
    <n v="1"/>
    <s v="AGROLEITE"/>
    <m/>
    <m/>
    <m/>
  </r>
  <r>
    <x v="2"/>
    <s v=" 1,2 RED"/>
    <s v="PERFIL "/>
    <n v="26"/>
    <x v="4"/>
    <x v="7"/>
    <x v="241"/>
    <x v="165"/>
    <n v="11"/>
    <x v="6"/>
    <n v="5"/>
    <n v="1"/>
    <s v="SABORAÍ"/>
    <m/>
    <m/>
    <m/>
  </r>
  <r>
    <x v="2"/>
    <m/>
    <s v="PERFIL "/>
    <n v="89"/>
    <x v="1"/>
    <x v="7"/>
    <x v="242"/>
    <x v="153"/>
    <n v="6.8"/>
    <x v="10"/>
    <n v="4"/>
    <n v="2"/>
    <s v="ALFA E BETO"/>
    <m/>
    <m/>
    <m/>
  </r>
  <r>
    <x v="2"/>
    <m/>
    <s v="PERFIL "/>
    <n v="110"/>
    <x v="27"/>
    <x v="7"/>
    <x v="243"/>
    <x v="168"/>
    <n v="12.5"/>
    <x v="9"/>
    <m/>
    <n v="1"/>
    <s v="RAREPAN"/>
    <m/>
    <m/>
    <m/>
  </r>
  <r>
    <x v="2"/>
    <m/>
    <s v="PERFIL "/>
    <n v="90"/>
    <x v="36"/>
    <x v="7"/>
    <x v="244"/>
    <x v="151"/>
    <n v="6"/>
    <x v="9"/>
    <n v="5"/>
    <n v="2"/>
    <s v="FAMA DOCES"/>
    <m/>
    <m/>
    <m/>
  </r>
  <r>
    <x v="2"/>
    <m/>
    <s v="PERFIL "/>
    <n v="91"/>
    <x v="36"/>
    <x v="7"/>
    <x v="245"/>
    <x v="151"/>
    <n v="6.85"/>
    <x v="9"/>
    <n v="5"/>
    <n v="2"/>
    <s v="DELICIAS ARAXÁ"/>
    <m/>
    <m/>
    <m/>
  </r>
  <r>
    <x v="2"/>
    <m/>
    <s v="PERFIL "/>
    <n v="123"/>
    <x v="37"/>
    <x v="7"/>
    <x v="245"/>
    <x v="151"/>
    <n v="6.85"/>
    <x v="10"/>
    <n v="5"/>
    <n v="2"/>
    <s v="DELICIAS ARAXÁ"/>
    <m/>
    <m/>
    <m/>
  </r>
  <r>
    <x v="2"/>
    <s v=" 3,2X2,1 GARDEM"/>
    <s v="PERFIL "/>
    <n v="84"/>
    <x v="1"/>
    <x v="7"/>
    <x v="246"/>
    <x v="153"/>
    <n v="2.2999999999999998"/>
    <x v="10"/>
    <n v="4"/>
    <n v="4"/>
    <s v="DOCES JOANINHA"/>
    <m/>
    <m/>
    <m/>
  </r>
  <r>
    <x v="2"/>
    <m/>
    <s v="METALFLEXO "/>
    <n v="92"/>
    <x v="1"/>
    <x v="7"/>
    <x v="247"/>
    <x v="20"/>
    <n v="13.8"/>
    <x v="9"/>
    <n v="4"/>
    <n v="1"/>
    <s v="DOCES JOANINHA"/>
    <m/>
    <m/>
    <m/>
  </r>
  <r>
    <x v="2"/>
    <m/>
    <s v="QUALIFLEXO "/>
    <n v="93"/>
    <x v="1"/>
    <x v="7"/>
    <x v="248"/>
    <x v="119"/>
    <n v="7.5"/>
    <x v="10"/>
    <n v="4"/>
    <n v="1"/>
    <s v="VO CLEUSA"/>
    <m/>
    <m/>
    <m/>
  </r>
  <r>
    <x v="2"/>
    <m/>
    <s v="PERFIL "/>
    <n v="94"/>
    <x v="1"/>
    <x v="7"/>
    <x v="249"/>
    <x v="153"/>
    <n v="8.5"/>
    <x v="10"/>
    <n v="4"/>
    <n v="1"/>
    <s v="AÇAÍ NATIVO"/>
    <m/>
    <m/>
    <m/>
  </r>
  <r>
    <x v="2"/>
    <m/>
    <s v="RESINO "/>
    <n v="95"/>
    <x v="1"/>
    <x v="7"/>
    <x v="250"/>
    <x v="153"/>
    <n v="9.5"/>
    <x v="10"/>
    <n v="4"/>
    <n v="1"/>
    <s v="EMELL"/>
    <m/>
    <m/>
    <m/>
  </r>
  <r>
    <x v="2"/>
    <m/>
    <s v="RESINO "/>
    <n v="96"/>
    <x v="1"/>
    <x v="7"/>
    <x v="250"/>
    <x v="153"/>
    <n v="9.5"/>
    <x v="10"/>
    <n v="4"/>
    <n v="1"/>
    <s v="EMEL ESPELHADA"/>
    <m/>
    <m/>
    <m/>
  </r>
  <r>
    <x v="2"/>
    <m/>
    <m/>
    <n v="97"/>
    <x v="1"/>
    <x v="7"/>
    <x v="250"/>
    <x v="153"/>
    <n v="9.5"/>
    <x v="10"/>
    <n v="4"/>
    <n v="1"/>
    <s v="EMELL"/>
    <m/>
    <m/>
    <m/>
  </r>
  <r>
    <x v="2"/>
    <m/>
    <s v="METALFLEXO "/>
    <n v="98"/>
    <x v="1"/>
    <x v="7"/>
    <x v="251"/>
    <x v="133"/>
    <n v="14.5"/>
    <x v="9"/>
    <n v="4"/>
    <n v="1"/>
    <s v="TAPEÇARIA S. LUIS"/>
    <m/>
    <m/>
    <m/>
  </r>
  <r>
    <x v="2"/>
    <s v=" 14,90 RETA"/>
    <s v="PERFIL "/>
    <n v="15"/>
    <x v="16"/>
    <x v="7"/>
    <x v="252"/>
    <x v="120"/>
    <n v="10.5"/>
    <x v="10"/>
    <n v="5"/>
    <n v="1"/>
    <s v="GERRE"/>
    <m/>
    <m/>
    <m/>
  </r>
  <r>
    <x v="2"/>
    <m/>
    <s v="METALFLEXO "/>
    <n v="99"/>
    <x v="16"/>
    <x v="7"/>
    <x v="253"/>
    <x v="152"/>
    <n v="7"/>
    <x v="10"/>
    <n v="5"/>
    <n v="2"/>
    <s v="FAMA DOCES"/>
    <m/>
    <m/>
    <m/>
  </r>
  <r>
    <x v="2"/>
    <m/>
    <s v="PERFIL "/>
    <n v="100"/>
    <x v="16"/>
    <x v="7"/>
    <x v="254"/>
    <x v="152"/>
    <n v="5.5"/>
    <x v="10"/>
    <n v="5"/>
    <n v="2"/>
    <s v="FAMA DOCES"/>
    <m/>
    <m/>
    <m/>
  </r>
  <r>
    <x v="2"/>
    <s v=" 7,2X3,8 OVAL "/>
    <s v="MLC"/>
    <n v="36"/>
    <x v="16"/>
    <x v="7"/>
    <x v="255"/>
    <x v="152"/>
    <n v="10"/>
    <x v="10"/>
    <n v="5"/>
    <n v="1"/>
    <s v="UDIFRIOS"/>
    <m/>
    <m/>
    <m/>
  </r>
  <r>
    <x v="2"/>
    <m/>
    <s v="PERFIL "/>
    <n v="101"/>
    <x v="38"/>
    <x v="7"/>
    <x v="256"/>
    <x v="173"/>
    <n v="15.5"/>
    <x v="4"/>
    <n v="5"/>
    <n v="1"/>
    <s v="FOX CLUB"/>
    <m/>
    <m/>
    <m/>
  </r>
  <r>
    <x v="2"/>
    <m/>
    <s v="METALFLEXO "/>
    <n v="102"/>
    <x v="4"/>
    <x v="7"/>
    <x v="257"/>
    <x v="136"/>
    <n v="15.5"/>
    <x v="9"/>
    <n v="5"/>
    <n v="1"/>
    <s v="SABORAÍ"/>
    <m/>
    <m/>
    <m/>
  </r>
  <r>
    <x v="2"/>
    <m/>
    <s v="METALFLEXO "/>
    <n v="103"/>
    <x v="4"/>
    <x v="7"/>
    <x v="257"/>
    <x v="136"/>
    <n v="15.5"/>
    <x v="9"/>
    <n v="5"/>
    <n v="1"/>
    <s v="LUCITAR"/>
    <m/>
    <m/>
    <m/>
  </r>
  <r>
    <x v="2"/>
    <m/>
    <s v="MLC"/>
    <n v="104"/>
    <x v="27"/>
    <x v="7"/>
    <x v="258"/>
    <x v="149"/>
    <n v="16.3"/>
    <x v="6"/>
    <n v="5"/>
    <n v="1"/>
    <s v="AGROLEITE"/>
    <m/>
    <m/>
    <m/>
  </r>
  <r>
    <x v="2"/>
    <m/>
    <s v="PERFIL "/>
    <n v="105"/>
    <x v="27"/>
    <x v="7"/>
    <x v="259"/>
    <x v="154"/>
    <n v="7.5"/>
    <x v="10"/>
    <n v="5"/>
    <n v="2"/>
    <s v="FAMA DOCES"/>
    <m/>
    <m/>
    <m/>
  </r>
  <r>
    <x v="2"/>
    <m/>
    <s v="PERFIL "/>
    <n v="106"/>
    <x v="27"/>
    <x v="7"/>
    <x v="260"/>
    <x v="154"/>
    <n v="11.5"/>
    <x v="10"/>
    <n v="5"/>
    <n v="1"/>
    <s v="AÇAÍ NATIVO"/>
    <m/>
    <m/>
    <m/>
  </r>
  <r>
    <x v="2"/>
    <m/>
    <s v="PERFIL "/>
    <n v="107"/>
    <x v="4"/>
    <x v="7"/>
    <x v="261"/>
    <x v="155"/>
    <n v="15"/>
    <x v="10"/>
    <n v="4"/>
    <n v="1"/>
    <s v="DONA DINDA"/>
    <m/>
    <m/>
    <m/>
  </r>
  <r>
    <x v="2"/>
    <s v=" 4,5X2,6"/>
    <s v="PERFIL "/>
    <n v="19"/>
    <x v="28"/>
    <x v="7"/>
    <x v="262"/>
    <x v="174"/>
    <n v="5"/>
    <x v="10"/>
    <n v="4"/>
    <n v="2"/>
    <s v="DOCES JOANINHA"/>
    <m/>
    <m/>
    <m/>
  </r>
  <r>
    <x v="2"/>
    <s v=" 20 RETA "/>
    <m/>
    <n v="16"/>
    <x v="30"/>
    <x v="7"/>
    <x v="263"/>
    <x v="156"/>
    <n v="5.5"/>
    <x v="10"/>
    <n v="5"/>
    <n v="1"/>
    <s v="DAKI "/>
    <m/>
    <m/>
    <m/>
  </r>
  <r>
    <x v="2"/>
    <m/>
    <s v="PERFIL "/>
    <n v="108"/>
    <x v="30"/>
    <x v="7"/>
    <x v="264"/>
    <x v="156"/>
    <n v="11.5"/>
    <x v="10"/>
    <n v="5"/>
    <n v="2"/>
    <s v="ALFA E BETO"/>
    <m/>
    <m/>
    <m/>
  </r>
  <r>
    <x v="2"/>
    <s v=" 10 RETA "/>
    <m/>
    <n v="13"/>
    <x v="30"/>
    <x v="7"/>
    <x v="265"/>
    <x v="156"/>
    <n v="6"/>
    <x v="10"/>
    <n v="5"/>
    <n v="1"/>
    <s v="AÇAI NATIVO"/>
    <m/>
    <m/>
    <m/>
  </r>
  <r>
    <x v="2"/>
    <s v=" 24,5X1,5 LACRE"/>
    <s v="PERFIL "/>
    <n v="72"/>
    <x v="36"/>
    <x v="7"/>
    <x v="266"/>
    <x v="138"/>
    <n v="6"/>
    <x v="10"/>
    <n v="5"/>
    <n v="2"/>
    <s v="NATIVA/QDELIS"/>
    <m/>
    <m/>
    <m/>
  </r>
  <r>
    <x v="2"/>
    <m/>
    <m/>
    <m/>
    <x v="10"/>
    <x v="2"/>
    <x v="14"/>
    <x v="14"/>
    <m/>
    <x v="11"/>
    <m/>
    <m/>
    <m/>
    <m/>
    <m/>
    <m/>
  </r>
  <r>
    <x v="2"/>
    <s v=" 8,8x13,6 RETA"/>
    <s v="PERFIL "/>
    <n v="113"/>
    <x v="1"/>
    <x v="9"/>
    <x v="179"/>
    <x v="14"/>
    <m/>
    <x v="11"/>
    <m/>
    <m/>
    <s v="VULCAFLEX LACRE"/>
    <m/>
    <m/>
    <m/>
  </r>
  <r>
    <x v="2"/>
    <s v="RED 3,1"/>
    <s v="PERFIL "/>
    <n v="58"/>
    <x v="1"/>
    <x v="9"/>
    <x v="180"/>
    <x v="14"/>
    <m/>
    <x v="11"/>
    <m/>
    <m/>
    <s v="EMELL COM INTERVALO "/>
    <m/>
    <m/>
    <m/>
  </r>
  <r>
    <x v="2"/>
    <s v="VINCO E FURO  "/>
    <s v="PERFIL"/>
    <n v="114"/>
    <x v="16"/>
    <x v="9"/>
    <x v="267"/>
    <x v="14"/>
    <m/>
    <x v="11"/>
    <m/>
    <m/>
    <s v="TITA"/>
    <m/>
    <m/>
    <m/>
  </r>
  <r>
    <x v="2"/>
    <m/>
    <s v="PERFIL "/>
    <n v="115"/>
    <x v="1"/>
    <x v="16"/>
    <x v="185"/>
    <x v="14"/>
    <m/>
    <x v="11"/>
    <m/>
    <m/>
    <s v="SERRILHA"/>
    <m/>
    <m/>
    <m/>
  </r>
  <r>
    <x v="2"/>
    <m/>
    <m/>
    <n v="121"/>
    <x v="28"/>
    <x v="9"/>
    <x v="268"/>
    <x v="14"/>
    <m/>
    <x v="11"/>
    <m/>
    <m/>
    <m/>
    <m/>
    <m/>
    <m/>
  </r>
  <r>
    <x v="2"/>
    <m/>
    <s v="METALFLEXO "/>
    <n v="116"/>
    <x v="28"/>
    <x v="16"/>
    <x v="268"/>
    <x v="14"/>
    <m/>
    <x v="11"/>
    <m/>
    <m/>
    <s v="SERRILHA"/>
    <m/>
    <m/>
    <m/>
  </r>
  <r>
    <x v="2"/>
    <m/>
    <s v="RESINO"/>
    <n v="118"/>
    <x v="39"/>
    <x v="9"/>
    <x v="269"/>
    <x v="175"/>
    <n v="12.5"/>
    <x v="10"/>
    <n v="1"/>
    <n v="5"/>
    <s v="PULSEIRA "/>
    <m/>
    <m/>
    <m/>
  </r>
  <r>
    <x v="2"/>
    <m/>
    <s v="RESINO"/>
    <n v="120"/>
    <x v="39"/>
    <x v="10"/>
    <x v="269"/>
    <x v="175"/>
    <n v="12.5"/>
    <x v="10"/>
    <n v="1"/>
    <n v="5"/>
    <s v="PULSEIRA "/>
    <m/>
    <m/>
    <m/>
  </r>
  <r>
    <x v="2"/>
    <s v="PICOTE "/>
    <s v="PERFIL "/>
    <n v="117"/>
    <x v="30"/>
    <x v="9"/>
    <x v="202"/>
    <x v="14"/>
    <m/>
    <x v="11"/>
    <m/>
    <m/>
    <s v="MINAS PATIO"/>
    <m/>
    <m/>
    <m/>
  </r>
  <r>
    <x v="2"/>
    <m/>
    <s v="REMALINA "/>
    <n v="119"/>
    <x v="38"/>
    <x v="16"/>
    <x v="14"/>
    <x v="14"/>
    <m/>
    <x v="11"/>
    <m/>
    <m/>
    <s v="SERRILHA"/>
    <m/>
    <m/>
    <m/>
  </r>
  <r>
    <x v="2"/>
    <m/>
    <m/>
    <n v="126"/>
    <x v="10"/>
    <x v="17"/>
    <x v="95"/>
    <x v="14"/>
    <m/>
    <x v="11"/>
    <m/>
    <m/>
    <s v="CORTE LONGITUDINAL "/>
    <m/>
    <m/>
    <m/>
  </r>
  <r>
    <x v="2"/>
    <m/>
    <m/>
    <n v="128"/>
    <x v="9"/>
    <x v="17"/>
    <x v="14"/>
    <x v="14"/>
    <m/>
    <x v="11"/>
    <m/>
    <m/>
    <s v="CORTE LONGITUDINAL "/>
    <m/>
    <m/>
    <m/>
  </r>
  <r>
    <x v="3"/>
    <m/>
    <s v="RESINO"/>
    <n v="14"/>
    <x v="4"/>
    <x v="1"/>
    <x v="8"/>
    <x v="165"/>
    <n v="25"/>
    <x v="6"/>
    <n v="6"/>
    <n v="1"/>
    <s v="CALU "/>
    <m/>
    <m/>
    <m/>
  </r>
  <r>
    <x v="3"/>
    <s v="VO CLEUSA"/>
    <s v="RESINO"/>
    <n v="41"/>
    <x v="16"/>
    <x v="1"/>
    <x v="97"/>
    <x v="134"/>
    <n v="10.5"/>
    <x v="9"/>
    <n v="6"/>
    <n v="1"/>
    <s v="RETA "/>
    <m/>
    <m/>
    <m/>
  </r>
  <r>
    <x v="3"/>
    <s v=" 8,5X4,3 LARGURA DE 6,0"/>
    <s v="QUALIFLEXO"/>
    <n v="15"/>
    <x v="4"/>
    <x v="1"/>
    <x v="270"/>
    <x v="136"/>
    <n v="60"/>
    <x v="9"/>
    <n v="6"/>
    <n v="1"/>
    <m/>
    <m/>
    <m/>
    <m/>
  </r>
  <r>
    <x v="3"/>
    <s v="ABAETE "/>
    <s v="PERFIL"/>
    <n v="31"/>
    <x v="30"/>
    <x v="1"/>
    <x v="95"/>
    <x v="169"/>
    <n v="10"/>
    <x v="9"/>
    <m/>
    <n v="1"/>
    <s v="ATÉ 10,0 LARGURA"/>
    <m/>
    <m/>
    <m/>
  </r>
  <r>
    <x v="3"/>
    <m/>
    <s v="RESINO"/>
    <n v="18"/>
    <x v="38"/>
    <x v="1"/>
    <x v="271"/>
    <x v="158"/>
    <n v="25"/>
    <x v="10"/>
    <n v="6"/>
    <n v="1"/>
    <s v="ADVANTA "/>
    <m/>
    <m/>
    <m/>
  </r>
  <r>
    <x v="3"/>
    <m/>
    <m/>
    <m/>
    <x v="10"/>
    <x v="2"/>
    <x v="14"/>
    <x v="14"/>
    <m/>
    <x v="11"/>
    <m/>
    <m/>
    <m/>
    <m/>
    <m/>
    <m/>
  </r>
  <r>
    <x v="3"/>
    <s v=" LACRE ABELHINHA"/>
    <s v="PERFIL"/>
    <n v="26"/>
    <x v="16"/>
    <x v="3"/>
    <x v="4"/>
    <x v="150"/>
    <n v="3.5"/>
    <x v="5"/>
    <n v="6"/>
    <n v="1"/>
    <s v="ABELHINHA "/>
    <m/>
    <m/>
    <m/>
  </r>
  <r>
    <x v="3"/>
    <s v="GERRE "/>
    <s v="PERFIL"/>
    <n v="42"/>
    <x v="16"/>
    <x v="3"/>
    <x v="146"/>
    <x v="150"/>
    <n v="4.5"/>
    <x v="5"/>
    <n v="6"/>
    <n v="1"/>
    <m/>
    <m/>
    <m/>
    <m/>
  </r>
  <r>
    <x v="3"/>
    <m/>
    <s v="RESINO"/>
    <n v="19"/>
    <x v="30"/>
    <x v="3"/>
    <x v="158"/>
    <x v="135"/>
    <n v="21"/>
    <x v="5"/>
    <n v="6"/>
    <n v="4"/>
    <s v="D VILLE "/>
    <m/>
    <m/>
    <m/>
  </r>
  <r>
    <x v="3"/>
    <s v=" BOX CHICO 5,7X8"/>
    <s v="RESINO"/>
    <n v="16"/>
    <x v="4"/>
    <x v="3"/>
    <x v="272"/>
    <x v="136"/>
    <n v="9.5"/>
    <x v="9"/>
    <n v="6"/>
    <n v="1"/>
    <s v="CONJ BOX DO CHICO"/>
    <m/>
    <m/>
    <m/>
  </r>
  <r>
    <x v="3"/>
    <m/>
    <m/>
    <m/>
    <x v="10"/>
    <x v="2"/>
    <x v="14"/>
    <x v="14"/>
    <m/>
    <x v="11"/>
    <m/>
    <m/>
    <m/>
    <m/>
    <m/>
    <m/>
  </r>
  <r>
    <x v="3"/>
    <s v="32 ESP 9,7X7,0 TURBO ERVAS"/>
    <s v="QUALIFLEXO"/>
    <n v="32"/>
    <x v="30"/>
    <x v="4"/>
    <x v="273"/>
    <x v="169"/>
    <n v="7.5"/>
    <x v="9"/>
    <n v="6"/>
    <n v="2"/>
    <m/>
    <m/>
    <m/>
    <m/>
  </r>
  <r>
    <x v="3"/>
    <s v=" OVAL 10,5X7,1 / LACRE"/>
    <s v="QUALIFLEXO"/>
    <n v="4"/>
    <x v="16"/>
    <x v="4"/>
    <x v="274"/>
    <x v="134"/>
    <n v="11"/>
    <x v="9"/>
    <n v="6"/>
    <n v="1"/>
    <s v="OVAL"/>
    <m/>
    <m/>
    <m/>
  </r>
  <r>
    <x v="3"/>
    <s v="RETA 10 "/>
    <s v="PERFIL"/>
    <n v="31"/>
    <x v="30"/>
    <x v="4"/>
    <x v="275"/>
    <x v="170"/>
    <n v="125"/>
    <x v="6"/>
    <n v="6"/>
    <n v="1"/>
    <s v="DOCES ABAETE"/>
    <m/>
    <m/>
    <m/>
  </r>
  <r>
    <x v="3"/>
    <m/>
    <m/>
    <m/>
    <x v="10"/>
    <x v="2"/>
    <x v="14"/>
    <x v="14"/>
    <m/>
    <x v="11"/>
    <m/>
    <m/>
    <m/>
    <m/>
    <m/>
    <m/>
  </r>
  <r>
    <x v="3"/>
    <m/>
    <s v="PERFIL"/>
    <n v="23"/>
    <x v="40"/>
    <x v="5"/>
    <x v="276"/>
    <x v="176"/>
    <n v="21"/>
    <x v="6"/>
    <n v="6"/>
    <n v="4"/>
    <s v="START"/>
    <m/>
    <m/>
    <m/>
  </r>
  <r>
    <x v="3"/>
    <m/>
    <s v="RESINO"/>
    <n v="11"/>
    <x v="17"/>
    <x v="5"/>
    <x v="277"/>
    <x v="146"/>
    <n v="25"/>
    <x v="5"/>
    <n v="2"/>
    <n v="4"/>
    <s v="SUPERMERCADO"/>
    <m/>
    <m/>
    <m/>
  </r>
  <r>
    <x v="3"/>
    <m/>
    <s v="RESINO"/>
    <n v="5"/>
    <x v="12"/>
    <x v="5"/>
    <x v="278"/>
    <x v="177"/>
    <n v="25"/>
    <x v="6"/>
    <n v="2"/>
    <n v="4"/>
    <s v="SUPER MAXI "/>
    <m/>
    <m/>
    <m/>
  </r>
  <r>
    <x v="3"/>
    <m/>
    <s v="RESINO"/>
    <n v="7"/>
    <x v="12"/>
    <x v="5"/>
    <x v="278"/>
    <x v="177"/>
    <n v="25"/>
    <x v="6"/>
    <n v="2"/>
    <n v="4"/>
    <s v="SUPER MAXI LACRE"/>
    <m/>
    <m/>
    <m/>
  </r>
  <r>
    <x v="3"/>
    <m/>
    <s v="MLC"/>
    <n v="8"/>
    <x v="12"/>
    <x v="5"/>
    <x v="278"/>
    <x v="177"/>
    <n v="25"/>
    <x v="6"/>
    <n v="2"/>
    <n v="4"/>
    <s v="SUPER MAXI LACRE"/>
    <m/>
    <m/>
    <m/>
  </r>
  <r>
    <x v="3"/>
    <m/>
    <s v="MLC"/>
    <n v="29"/>
    <x v="36"/>
    <x v="6"/>
    <x v="279"/>
    <x v="151"/>
    <n v="25"/>
    <x v="9"/>
    <n v="6"/>
    <n v="4"/>
    <s v="TERMICA"/>
    <m/>
    <m/>
    <m/>
  </r>
  <r>
    <x v="3"/>
    <m/>
    <s v="MLC"/>
    <n v="30"/>
    <x v="41"/>
    <x v="6"/>
    <x v="280"/>
    <x v="178"/>
    <n v="25"/>
    <x v="9"/>
    <n v="6"/>
    <n v="4"/>
    <s v="REDE LUCAS"/>
    <m/>
    <m/>
    <m/>
  </r>
  <r>
    <x v="3"/>
    <s v=" COQUEIROS"/>
    <s v="PERFIL"/>
    <n v="1"/>
    <x v="16"/>
    <x v="5"/>
    <x v="281"/>
    <x v="134"/>
    <n v="8"/>
    <x v="9"/>
    <n v="6"/>
    <n v="1"/>
    <s v="COQUEIROS "/>
    <m/>
    <m/>
    <m/>
  </r>
  <r>
    <x v="3"/>
    <m/>
    <s v="RESINO"/>
    <n v="10"/>
    <x v="17"/>
    <x v="5"/>
    <x v="282"/>
    <x v="146"/>
    <n v="25"/>
    <x v="5"/>
    <n v="6"/>
    <n v="3"/>
    <s v="MERCADO LIVRE"/>
    <m/>
    <m/>
    <m/>
  </r>
  <r>
    <x v="3"/>
    <m/>
    <s v="QUALIFLEXO"/>
    <n v="15"/>
    <x v="4"/>
    <x v="5"/>
    <x v="59"/>
    <x v="179"/>
    <n v="180"/>
    <x v="5"/>
    <n v="6"/>
    <n v="2"/>
    <s v="TERMICA STA GENOVEVA "/>
    <m/>
    <m/>
    <m/>
  </r>
  <r>
    <x v="3"/>
    <m/>
    <s v="PERFIL"/>
    <n v="45"/>
    <x v="36"/>
    <x v="5"/>
    <x v="283"/>
    <x v="180"/>
    <n v="25"/>
    <x v="6"/>
    <n v="6"/>
    <n v="3"/>
    <s v="SABORIO"/>
    <m/>
    <m/>
    <m/>
  </r>
  <r>
    <x v="3"/>
    <s v="10,7X3,7"/>
    <s v="PERFIL"/>
    <n v="44"/>
    <x v="27"/>
    <x v="5"/>
    <x v="185"/>
    <x v="181"/>
    <n v="10"/>
    <x v="4"/>
    <n v="6"/>
    <n v="1"/>
    <s v="BOTHANICA"/>
    <m/>
    <m/>
    <m/>
  </r>
  <r>
    <x v="3"/>
    <m/>
    <s v="QUALIFLEXO"/>
    <n v="32"/>
    <x v="30"/>
    <x v="5"/>
    <x v="273"/>
    <x v="169"/>
    <n v="7.5"/>
    <x v="9"/>
    <n v="6"/>
    <n v="1"/>
    <s v="TURBO ERVAS"/>
    <m/>
    <m/>
    <m/>
  </r>
  <r>
    <x v="3"/>
    <m/>
    <s v="PERFIL"/>
    <n v="38"/>
    <x v="30"/>
    <x v="6"/>
    <x v="119"/>
    <x v="182"/>
    <n v="10.5"/>
    <x v="4"/>
    <n v="6"/>
    <n v="1"/>
    <s v="BOTHANICA"/>
    <m/>
    <m/>
    <m/>
  </r>
  <r>
    <x v="3"/>
    <s v="REDE LUCAS SUCOS "/>
    <s v="PERFIL"/>
    <n v="50"/>
    <x v="27"/>
    <x v="6"/>
    <x v="284"/>
    <x v="168"/>
    <n v="10.5"/>
    <x v="9"/>
    <n v="6"/>
    <n v="1"/>
    <s v="SEM DONO"/>
    <m/>
    <m/>
    <m/>
  </r>
  <r>
    <x v="3"/>
    <s v="10X3"/>
    <s v="PERFIL"/>
    <n v="38"/>
    <x v="30"/>
    <x v="6"/>
    <x v="285"/>
    <x v="182"/>
    <n v="11"/>
    <x v="4"/>
    <n v="6"/>
    <n v="1"/>
    <s v="PHORMULA"/>
    <m/>
    <m/>
    <m/>
  </r>
  <r>
    <x v="3"/>
    <m/>
    <s v="PERFIL"/>
    <n v="44"/>
    <x v="27"/>
    <x v="6"/>
    <x v="286"/>
    <x v="183"/>
    <n v="11.2"/>
    <x v="5"/>
    <n v="6"/>
    <n v="1"/>
    <s v="BOTHANICA"/>
    <m/>
    <m/>
    <m/>
  </r>
  <r>
    <x v="3"/>
    <s v="DOCES FLAVIA "/>
    <s v="PERFIL"/>
    <n v="39"/>
    <x v="30"/>
    <x v="6"/>
    <x v="287"/>
    <x v="156"/>
    <n v="11"/>
    <x v="10"/>
    <n v="6"/>
    <n v="1"/>
    <s v="ESPETO MANIA "/>
    <m/>
    <m/>
    <m/>
  </r>
  <r>
    <x v="3"/>
    <s v=" 9,7X6,0"/>
    <s v="PERFIL"/>
    <n v="20"/>
    <x v="30"/>
    <x v="5"/>
    <x v="288"/>
    <x v="169"/>
    <n v="12"/>
    <x v="9"/>
    <n v="6"/>
    <n v="1"/>
    <s v="IRINEU"/>
    <m/>
    <m/>
    <m/>
  </r>
  <r>
    <x v="3"/>
    <s v="MELORY"/>
    <s v="RESINO"/>
    <n v="24"/>
    <x v="36"/>
    <x v="5"/>
    <x v="289"/>
    <x v="151"/>
    <n v="11"/>
    <x v="9"/>
    <n v="6"/>
    <n v="4"/>
    <s v="MELORY"/>
    <m/>
    <m/>
    <m/>
  </r>
  <r>
    <x v="3"/>
    <m/>
    <s v="PERFIL"/>
    <n v="48"/>
    <x v="36"/>
    <x v="5"/>
    <x v="290"/>
    <x v="151"/>
    <n v="21"/>
    <x v="9"/>
    <n v="6"/>
    <n v="2"/>
    <s v="MARTINS COM SERRILHA"/>
    <m/>
    <m/>
    <m/>
  </r>
  <r>
    <x v="3"/>
    <s v=" OVAL 10,5X7,1"/>
    <s v="QUALIFLEXO"/>
    <n v="4"/>
    <x v="16"/>
    <x v="5"/>
    <x v="291"/>
    <x v="152"/>
    <n v="11"/>
    <x v="10"/>
    <n v="6"/>
    <n v="1"/>
    <s v="LACRE DE QUALIDADE"/>
    <m/>
    <m/>
    <m/>
  </r>
  <r>
    <x v="3"/>
    <s v="BADIÃO"/>
    <s v="PERFIL"/>
    <n v="47"/>
    <x v="4"/>
    <x v="6"/>
    <x v="292"/>
    <x v="155"/>
    <n v="8.5"/>
    <x v="10"/>
    <n v="6"/>
    <n v="1"/>
    <s v="LAUDO"/>
    <m/>
    <m/>
    <m/>
  </r>
  <r>
    <x v="3"/>
    <m/>
    <s v="PERFIL"/>
    <n v="13"/>
    <x v="4"/>
    <x v="5"/>
    <x v="293"/>
    <x v="155"/>
    <n v="24"/>
    <x v="10"/>
    <n v="6"/>
    <n v="3"/>
    <s v="GUARANA MINEIRO"/>
    <m/>
    <m/>
    <m/>
  </r>
  <r>
    <x v="3"/>
    <m/>
    <s v="PERFIL"/>
    <n v="33"/>
    <x v="4"/>
    <x v="5"/>
    <x v="293"/>
    <x v="155"/>
    <n v="24"/>
    <x v="10"/>
    <n v="6"/>
    <n v="3"/>
    <s v="GUARANA MINEIRO"/>
    <m/>
    <m/>
    <m/>
  </r>
  <r>
    <x v="3"/>
    <m/>
    <s v="RESINO"/>
    <n v="3"/>
    <x v="16"/>
    <x v="5"/>
    <x v="294"/>
    <x v="132"/>
    <n v="23.5"/>
    <x v="6"/>
    <n v="6"/>
    <n v="1"/>
    <s v="SUPER MAXI SUCOS "/>
    <m/>
    <m/>
    <m/>
  </r>
  <r>
    <x v="3"/>
    <s v="REDE LUCAS QUALIDADE"/>
    <s v="PERFIL"/>
    <n v="49"/>
    <x v="30"/>
    <x v="5"/>
    <x v="295"/>
    <x v="156"/>
    <n v="23.5"/>
    <x v="10"/>
    <n v="6"/>
    <n v="1"/>
    <s v="INATA AUTOGENA "/>
    <m/>
    <m/>
    <m/>
  </r>
  <r>
    <x v="3"/>
    <s v="REDE LUCAS SUCOS "/>
    <s v="PERFIL"/>
    <n v="46"/>
    <x v="30"/>
    <x v="6"/>
    <x v="296"/>
    <x v="170"/>
    <n v="10.5"/>
    <x v="6"/>
    <n v="6"/>
    <n v="2"/>
    <s v="TEMPERO 2 IRMÃOS "/>
    <m/>
    <m/>
    <m/>
  </r>
  <r>
    <x v="3"/>
    <m/>
    <m/>
    <m/>
    <x v="10"/>
    <x v="2"/>
    <x v="14"/>
    <x v="14"/>
    <m/>
    <x v="11"/>
    <m/>
    <m/>
    <m/>
    <m/>
    <m/>
    <m/>
  </r>
  <r>
    <x v="3"/>
    <s v=" -DIAM 6X4CM PRATOS PRONTOS , 6X8 AÇOUGUE"/>
    <s v="RESINO"/>
    <n v="12"/>
    <x v="17"/>
    <x v="18"/>
    <x v="5"/>
    <x v="146"/>
    <n v="9"/>
    <x v="5"/>
    <n v="6"/>
    <n v="1"/>
    <s v="SUPER MAXI FEITO PARA VC"/>
    <m/>
    <m/>
    <m/>
  </r>
  <r>
    <x v="3"/>
    <s v=" COQUEIROS"/>
    <s v="PERFIL"/>
    <n v="1"/>
    <x v="16"/>
    <x v="18"/>
    <x v="297"/>
    <x v="132"/>
    <n v="5.5"/>
    <x v="6"/>
    <n v="6"/>
    <n v="1"/>
    <s v="BABUSKA "/>
    <m/>
    <m/>
    <m/>
  </r>
  <r>
    <x v="3"/>
    <m/>
    <s v="PERFIL"/>
    <n v="34"/>
    <x v="16"/>
    <x v="18"/>
    <x v="297"/>
    <x v="132"/>
    <n v="5.5"/>
    <x v="6"/>
    <n v="6"/>
    <n v="4"/>
    <s v="REDE LUCAS"/>
    <m/>
    <m/>
    <m/>
  </r>
  <r>
    <x v="3"/>
    <s v=" ABELHINHA"/>
    <s v="PERFIL"/>
    <n v="26"/>
    <x v="16"/>
    <x v="18"/>
    <x v="298"/>
    <x v="132"/>
    <n v="12"/>
    <x v="6"/>
    <n v="6"/>
    <n v="1"/>
    <s v="ABELHINHA "/>
    <m/>
    <m/>
    <m/>
  </r>
  <r>
    <x v="3"/>
    <s v=" COQUEIROS"/>
    <s v="PERFIL"/>
    <n v="1"/>
    <x v="16"/>
    <x v="18"/>
    <x v="299"/>
    <x v="132"/>
    <n v="5.5"/>
    <x v="6"/>
    <n v="6"/>
    <n v="1"/>
    <s v="COQUEIROS "/>
    <m/>
    <m/>
    <m/>
  </r>
  <r>
    <x v="3"/>
    <s v=" OVAL 10,5X7,1"/>
    <s v="QUALIFLEXO"/>
    <n v="4"/>
    <x v="16"/>
    <x v="18"/>
    <x v="300"/>
    <x v="150"/>
    <n v="11"/>
    <x v="5"/>
    <n v="6"/>
    <n v="2"/>
    <s v="SELO DE QUALIDADE"/>
    <m/>
    <m/>
    <m/>
  </r>
  <r>
    <x v="3"/>
    <s v="ESPECIAL 10X7,8"/>
    <s v="RESINO"/>
    <n v="50"/>
    <x v="27"/>
    <x v="18"/>
    <x v="301"/>
    <x v="154"/>
    <n v="13"/>
    <x v="10"/>
    <n v="6"/>
    <n v="2"/>
    <s v="REDE LUCAS SUCOS "/>
    <m/>
    <m/>
    <m/>
  </r>
  <r>
    <x v="3"/>
    <m/>
    <s v="PERFIL"/>
    <n v="9"/>
    <x v="17"/>
    <x v="18"/>
    <x v="302"/>
    <x v="184"/>
    <n v="25"/>
    <x v="6"/>
    <n v="6"/>
    <n v="5"/>
    <s v="D VILLE"/>
    <m/>
    <m/>
    <m/>
  </r>
  <r>
    <x v="3"/>
    <s v=" -DIAM 4CM, 6X8 AÇOUGUE"/>
    <s v="RESINO"/>
    <n v="12"/>
    <x v="17"/>
    <x v="7"/>
    <x v="47"/>
    <x v="146"/>
    <n v="6.5"/>
    <x v="5"/>
    <n v="6"/>
    <n v="1"/>
    <s v="SUPER MAXI PRATOS PRONTOS "/>
    <m/>
    <m/>
    <m/>
  </r>
  <r>
    <x v="3"/>
    <s v="CHÃO DE MINAS "/>
    <s v="PERFIL"/>
    <n v="27"/>
    <x v="4"/>
    <x v="18"/>
    <x v="303"/>
    <x v="165"/>
    <n v="6.5"/>
    <x v="6"/>
    <n v="6"/>
    <n v="1"/>
    <s v="CORAÇÃO"/>
    <m/>
    <m/>
    <m/>
  </r>
  <r>
    <x v="3"/>
    <s v=" COQUEIROS"/>
    <s v="PERFIL"/>
    <n v="1"/>
    <x v="16"/>
    <x v="7"/>
    <x v="304"/>
    <x v="134"/>
    <n v="7"/>
    <x v="9"/>
    <n v="6"/>
    <n v="1"/>
    <s v="COQUEIROS "/>
    <m/>
    <m/>
    <m/>
  </r>
  <r>
    <x v="3"/>
    <s v="CHÃO DE MINAS "/>
    <s v="PERFIL"/>
    <n v="27"/>
    <x v="4"/>
    <x v="18"/>
    <x v="305"/>
    <x v="165"/>
    <n v="7.5"/>
    <x v="6"/>
    <n v="6"/>
    <n v="1"/>
    <s v="CHÃO DE MINAS PEQ"/>
    <m/>
    <m/>
    <m/>
  </r>
  <r>
    <x v="3"/>
    <s v="MAMÃO"/>
    <s v="PERFIL"/>
    <n v="43"/>
    <x v="16"/>
    <x v="18"/>
    <x v="306"/>
    <x v="134"/>
    <n v="6.5"/>
    <x v="9"/>
    <n v="6"/>
    <n v="1"/>
    <s v="AMANDA"/>
    <m/>
    <m/>
    <m/>
  </r>
  <r>
    <x v="3"/>
    <m/>
    <s v="RESINO"/>
    <n v="16"/>
    <x v="4"/>
    <x v="18"/>
    <x v="307"/>
    <x v="165"/>
    <n v="8.5"/>
    <x v="6"/>
    <n v="6"/>
    <n v="1"/>
    <s v="BOX DO CHICO"/>
    <m/>
    <m/>
    <m/>
  </r>
  <r>
    <x v="3"/>
    <s v=" -DIAM 4CM, 6X4 PRATOS PRONTOS "/>
    <s v="RESINO"/>
    <n v="12"/>
    <x v="17"/>
    <x v="18"/>
    <x v="308"/>
    <x v="185"/>
    <n v="6.5"/>
    <x v="9"/>
    <n v="6"/>
    <n v="1"/>
    <s v="SUPER MAXI AÇOUGUE"/>
    <m/>
    <m/>
    <m/>
  </r>
  <r>
    <x v="3"/>
    <s v="AMANDA"/>
    <s v="PERFIL"/>
    <n v="43"/>
    <x v="16"/>
    <x v="18"/>
    <x v="309"/>
    <x v="132"/>
    <n v="18"/>
    <x v="6"/>
    <n v="6"/>
    <n v="2"/>
    <s v="MAMÃO"/>
    <m/>
    <m/>
    <m/>
  </r>
  <r>
    <x v="3"/>
    <s v="LAUDO 8X17,7"/>
    <s v="PERFIL"/>
    <n v="47"/>
    <x v="4"/>
    <x v="7"/>
    <x v="310"/>
    <x v="136"/>
    <n v="14"/>
    <x v="9"/>
    <n v="6"/>
    <n v="2"/>
    <s v="BADIÃO"/>
    <m/>
    <m/>
    <m/>
  </r>
  <r>
    <x v="3"/>
    <s v="REDONDA 4,3"/>
    <s v="PERFIL"/>
    <n v="42"/>
    <x v="16"/>
    <x v="18"/>
    <x v="311"/>
    <x v="152"/>
    <n v="9.5"/>
    <x v="10"/>
    <n v="6"/>
    <n v="1"/>
    <s v="GERRE"/>
    <m/>
    <m/>
    <m/>
  </r>
  <r>
    <x v="3"/>
    <s v=" 11,5X9,7"/>
    <s v="PERFIL"/>
    <n v="20"/>
    <x v="30"/>
    <x v="18"/>
    <x v="312"/>
    <x v="169"/>
    <n v="6.5"/>
    <x v="9"/>
    <n v="6"/>
    <n v="1"/>
    <s v="SPICE BOX "/>
    <m/>
    <m/>
    <m/>
  </r>
  <r>
    <x v="3"/>
    <s v="DOCES BARBAROS 6X1,95 / 9,7X11"/>
    <s v="PERFIL"/>
    <n v="21"/>
    <x v="30"/>
    <x v="18"/>
    <x v="313"/>
    <x v="169"/>
    <n v="7"/>
    <x v="9"/>
    <n v="6"/>
    <n v="1"/>
    <s v="DOCES BARBAROS"/>
    <m/>
    <m/>
    <m/>
  </r>
  <r>
    <x v="3"/>
    <s v="FARINHAS"/>
    <s v="RESINO"/>
    <n v="17"/>
    <x v="4"/>
    <x v="18"/>
    <x v="314"/>
    <x v="136"/>
    <n v="10.5"/>
    <x v="9"/>
    <n v="6"/>
    <n v="1"/>
    <s v="FARINHAS"/>
    <m/>
    <m/>
    <m/>
  </r>
  <r>
    <x v="3"/>
    <m/>
    <m/>
    <m/>
    <x v="10"/>
    <x v="2"/>
    <x v="14"/>
    <x v="14"/>
    <m/>
    <x v="11"/>
    <m/>
    <m/>
    <m/>
    <m/>
    <m/>
    <m/>
  </r>
  <r>
    <x v="3"/>
    <m/>
    <s v="PERFIL"/>
    <n v="28"/>
    <x v="30"/>
    <x v="18"/>
    <x v="136"/>
    <x v="170"/>
    <n v="10.5"/>
    <x v="6"/>
    <n v="6"/>
    <n v="1"/>
    <s v="BAKED BROWNIE"/>
    <m/>
    <m/>
    <m/>
  </r>
  <r>
    <x v="3"/>
    <s v="TERRA MINEIRA GRANDE"/>
    <s v="PERFIL"/>
    <n v="2"/>
    <x v="16"/>
    <x v="18"/>
    <x v="315"/>
    <x v="134"/>
    <n v="10.5"/>
    <x v="9"/>
    <m/>
    <n v="1"/>
    <s v="TERRA MINEIRA "/>
    <m/>
    <m/>
    <m/>
  </r>
  <r>
    <x v="3"/>
    <m/>
    <s v="PERFIL"/>
    <n v="37"/>
    <x v="4"/>
    <x v="7"/>
    <x v="316"/>
    <x v="136"/>
    <n v="11"/>
    <x v="9"/>
    <n v="6"/>
    <n v="1"/>
    <s v="QUEIJINHO"/>
    <m/>
    <m/>
    <m/>
  </r>
  <r>
    <x v="3"/>
    <s v="CHÃO DE MINAS "/>
    <s v="PERFIL"/>
    <n v="27"/>
    <x v="4"/>
    <x v="18"/>
    <x v="317"/>
    <x v="136"/>
    <n v="11"/>
    <x v="9"/>
    <n v="6"/>
    <n v="1"/>
    <s v="CHÃO DE MINAS GRANDE"/>
    <m/>
    <m/>
    <m/>
  </r>
  <r>
    <x v="3"/>
    <m/>
    <s v="RESINO"/>
    <n v="22"/>
    <x v="30"/>
    <x v="7"/>
    <x v="318"/>
    <x v="169"/>
    <n v="11"/>
    <x v="9"/>
    <m/>
    <n v="1"/>
    <s v="FARINHAS "/>
    <m/>
    <m/>
    <m/>
  </r>
  <r>
    <x v="3"/>
    <s v=" LACRE ABELHINHA"/>
    <s v="PERFIL"/>
    <n v="26"/>
    <x v="16"/>
    <x v="7"/>
    <x v="319"/>
    <x v="132"/>
    <n v="12"/>
    <x v="6"/>
    <n v="6"/>
    <n v="1"/>
    <s v="ABELHINHA "/>
    <m/>
    <m/>
    <m/>
  </r>
  <r>
    <x v="3"/>
    <s v="DOCES BARBAROS 9,7X6,4 / 6X1,95"/>
    <s v="PERFIL"/>
    <n v="21"/>
    <x v="30"/>
    <x v="18"/>
    <x v="320"/>
    <x v="169"/>
    <n v="11.5"/>
    <x v="9"/>
    <n v="6"/>
    <n v="1"/>
    <s v="TREBESHI"/>
    <m/>
    <m/>
    <m/>
  </r>
  <r>
    <x v="3"/>
    <m/>
    <s v="RESINO"/>
    <n v="22"/>
    <x v="30"/>
    <x v="18"/>
    <x v="321"/>
    <x v="170"/>
    <n v="14"/>
    <x v="6"/>
    <m/>
    <n v="1"/>
    <s v="SABORAI"/>
    <m/>
    <m/>
    <m/>
  </r>
  <r>
    <x v="3"/>
    <s v="ESPETO MANIA"/>
    <s v="PERFIL"/>
    <n v="39"/>
    <x v="30"/>
    <x v="18"/>
    <x v="322"/>
    <x v="169"/>
    <n v="14"/>
    <x v="9"/>
    <n v="6"/>
    <n v="1"/>
    <s v="DOCES FLÁVIA "/>
    <m/>
    <m/>
    <m/>
  </r>
  <r>
    <x v="3"/>
    <m/>
    <s v="PERFIL"/>
    <n v="37"/>
    <x v="4"/>
    <x v="7"/>
    <x v="323"/>
    <x v="136"/>
    <n v="14.5"/>
    <x v="9"/>
    <n v="6"/>
    <n v="1"/>
    <s v="DONNUTS"/>
    <m/>
    <m/>
    <m/>
  </r>
  <r>
    <x v="3"/>
    <s v="  ABELHINHA"/>
    <s v="PERFIL"/>
    <n v="26"/>
    <x v="16"/>
    <x v="18"/>
    <x v="324"/>
    <x v="152"/>
    <n v="8.5"/>
    <x v="10"/>
    <n v="6"/>
    <n v="1"/>
    <s v="ABELHINHA "/>
    <m/>
    <m/>
    <m/>
  </r>
  <r>
    <x v="3"/>
    <s v="REDONDA 4,3, GERRE"/>
    <s v="PERFIL"/>
    <n v="42"/>
    <x v="16"/>
    <x v="18"/>
    <x v="325"/>
    <x v="152"/>
    <n v="11"/>
    <x v="10"/>
    <n v="6"/>
    <n v="1"/>
    <s v="CASINHA"/>
    <m/>
    <m/>
    <m/>
  </r>
  <r>
    <x v="3"/>
    <s v="TERRA MINEIRA PEQUENA "/>
    <s v="PERFIL"/>
    <n v="2"/>
    <x v="16"/>
    <x v="18"/>
    <x v="326"/>
    <x v="152"/>
    <n v="13"/>
    <x v="10"/>
    <m/>
    <n v="1"/>
    <s v="TERRA MINEIRA "/>
    <m/>
    <m/>
    <m/>
  </r>
  <r>
    <x v="3"/>
    <s v="RETA 7,5 "/>
    <s v="RESINO"/>
    <n v="41"/>
    <x v="16"/>
    <x v="18"/>
    <x v="327"/>
    <x v="152"/>
    <n v="13.5"/>
    <x v="10"/>
    <n v="6"/>
    <n v="1"/>
    <s v="VO CLEUSA "/>
    <m/>
    <m/>
    <m/>
  </r>
  <r>
    <x v="3"/>
    <s v="FAMA"/>
    <s v="RESINO"/>
    <n v="17"/>
    <x v="4"/>
    <x v="18"/>
    <x v="328"/>
    <x v="155"/>
    <n v="14.5"/>
    <x v="10"/>
    <n v="6"/>
    <n v="2"/>
    <s v="FAMA"/>
    <m/>
    <m/>
    <m/>
  </r>
  <r>
    <x v="3"/>
    <s v="DOCES BARBAROS 9,7X6,4 / 9,7X11"/>
    <s v="PERFIL"/>
    <n v="21"/>
    <x v="30"/>
    <x v="18"/>
    <x v="329"/>
    <x v="142"/>
    <n v="6.5"/>
    <x v="14"/>
    <n v="6"/>
    <n v="1"/>
    <s v="DOCES BARBAROS"/>
    <m/>
    <m/>
    <m/>
  </r>
  <r>
    <x v="3"/>
    <s v="INATA AUTOGENAS"/>
    <s v="PERFIL"/>
    <n v="49"/>
    <x v="30"/>
    <x v="18"/>
    <x v="330"/>
    <x v="156"/>
    <n v="9.5"/>
    <x v="10"/>
    <n v="6"/>
    <n v="1"/>
    <s v=" REDE LUCAS - QUALIDADE"/>
    <m/>
    <m/>
    <m/>
  </r>
  <r>
    <x v="3"/>
    <m/>
    <s v="PERFIL"/>
    <n v="36"/>
    <x v="27"/>
    <x v="18"/>
    <x v="331"/>
    <x v="149"/>
    <n v="230"/>
    <x v="6"/>
    <n v="6"/>
    <n v="1"/>
    <s v="REDE LUCAS"/>
    <m/>
    <m/>
    <m/>
  </r>
  <r>
    <x v="3"/>
    <s v=" SUPER MAXI SALADA DE FRUTAS"/>
    <s v="RESINO"/>
    <n v="25"/>
    <x v="38"/>
    <x v="18"/>
    <x v="332"/>
    <x v="158"/>
    <n v="11"/>
    <x v="10"/>
    <n v="6"/>
    <n v="3"/>
    <s v="SUPER MAXI PADARIA"/>
    <m/>
    <m/>
    <m/>
  </r>
  <r>
    <x v="3"/>
    <m/>
    <s v="PERFIL"/>
    <n v="35"/>
    <x v="38"/>
    <x v="18"/>
    <x v="333"/>
    <x v="158"/>
    <n v="12.5"/>
    <x v="10"/>
    <n v="6"/>
    <n v="3"/>
    <s v="REDE LUCAS"/>
    <m/>
    <m/>
    <m/>
  </r>
  <r>
    <x v="3"/>
    <s v=" SUPER MAXI PADARIA "/>
    <s v="RESINO"/>
    <n v="25"/>
    <x v="38"/>
    <x v="18"/>
    <x v="334"/>
    <x v="158"/>
    <n v="13"/>
    <x v="10"/>
    <n v="6"/>
    <n v="2"/>
    <s v="SUPER MAXI SALADA DE FRUTAS "/>
    <m/>
    <m/>
    <m/>
  </r>
  <r>
    <x v="3"/>
    <s v="TEMEPRO 2 IRMÃOS"/>
    <s v="PERFIL"/>
    <n v="46"/>
    <x v="30"/>
    <x v="18"/>
    <x v="335"/>
    <x v="169"/>
    <n v="13"/>
    <x v="9"/>
    <n v="6"/>
    <n v="1"/>
    <s v="REDE LUCAS SUCOS "/>
    <m/>
    <m/>
    <m/>
  </r>
  <r>
    <x v="3"/>
    <s v="REDE LUCAS SUCOS"/>
    <s v="PERFIL"/>
    <n v="46"/>
    <x v="30"/>
    <x v="18"/>
    <x v="336"/>
    <x v="170"/>
    <n v="13"/>
    <x v="6"/>
    <n v="6"/>
    <n v="1"/>
    <s v="LEAL / LUNASA"/>
    <m/>
    <m/>
    <m/>
  </r>
  <r>
    <x v="3"/>
    <m/>
    <m/>
    <m/>
    <x v="10"/>
    <x v="2"/>
    <x v="14"/>
    <x v="14"/>
    <m/>
    <x v="11"/>
    <m/>
    <m/>
    <m/>
    <m/>
    <m/>
    <m/>
  </r>
  <r>
    <x v="3"/>
    <m/>
    <s v="PERFIL"/>
    <n v="6"/>
    <x v="12"/>
    <x v="9"/>
    <x v="278"/>
    <x v="20"/>
    <n v="25"/>
    <x v="6"/>
    <n v="2"/>
    <n v="4"/>
    <s v="PICOTE"/>
    <m/>
    <m/>
    <m/>
  </r>
  <r>
    <x v="3"/>
    <m/>
    <s v="RESINO"/>
    <n v="40"/>
    <x v="27"/>
    <x v="16"/>
    <x v="337"/>
    <x v="186"/>
    <n v="11"/>
    <x v="4"/>
    <m/>
    <m/>
    <m/>
    <m/>
    <m/>
    <m/>
  </r>
  <r>
    <x v="3"/>
    <m/>
    <s v="RESINO"/>
    <n v="40"/>
    <x v="27"/>
    <x v="16"/>
    <x v="286"/>
    <x v="187"/>
    <n v="11"/>
    <x v="4"/>
    <m/>
    <m/>
    <m/>
    <m/>
    <m/>
    <m/>
  </r>
  <r>
    <x v="3"/>
    <m/>
    <s v="PERFIL"/>
    <n v="40"/>
    <x v="30"/>
    <x v="16"/>
    <x v="285"/>
    <x v="188"/>
    <n v="25"/>
    <x v="4"/>
    <m/>
    <m/>
    <m/>
    <m/>
    <m/>
    <m/>
  </r>
  <r>
    <x v="4"/>
    <m/>
    <s v="PERFIL"/>
    <n v="41"/>
    <x v="9"/>
    <x v="19"/>
    <x v="14"/>
    <x v="14"/>
    <m/>
    <x v="11"/>
    <m/>
    <m/>
    <m/>
    <m/>
    <m/>
    <m/>
  </r>
  <r>
    <x v="4"/>
    <s v="13X10,6"/>
    <s v="PERFIL"/>
    <n v="4"/>
    <x v="40"/>
    <x v="6"/>
    <x v="123"/>
    <x v="176"/>
    <n v="10.5"/>
    <x v="6"/>
    <n v="6"/>
    <n v="1"/>
    <s v="GOIANINHA"/>
    <m/>
    <m/>
    <m/>
  </r>
  <r>
    <x v="4"/>
    <s v="10X7"/>
    <s v="PERFIL"/>
    <n v="4"/>
    <x v="40"/>
    <x v="6"/>
    <x v="338"/>
    <x v="189"/>
    <n v="13.5"/>
    <x v="9"/>
    <n v="6"/>
    <n v="1"/>
    <s v="GOIANINHA"/>
    <m/>
    <m/>
    <m/>
  </r>
  <r>
    <x v="4"/>
    <s v="LAUDO"/>
    <s v="PERFIL"/>
    <n v="3"/>
    <x v="30"/>
    <x v="6"/>
    <x v="339"/>
    <x v="156"/>
    <n v="10"/>
    <x v="10"/>
    <n v="6"/>
    <n v="1"/>
    <s v="LAUDO"/>
    <m/>
    <m/>
    <m/>
  </r>
  <r>
    <x v="4"/>
    <s v="SEM DONO "/>
    <s v="PERFIL"/>
    <n v="3"/>
    <x v="22"/>
    <x v="6"/>
    <x v="340"/>
    <x v="190"/>
    <n v="15.5"/>
    <x v="10"/>
    <n v="6"/>
    <n v="1"/>
    <s v="SEM DONO"/>
    <m/>
    <m/>
    <m/>
  </r>
  <r>
    <x v="4"/>
    <s v="MOREA"/>
    <s v="PERFIL"/>
    <n v="5"/>
    <x v="36"/>
    <x v="6"/>
    <x v="341"/>
    <x v="151"/>
    <n v="10.5"/>
    <x v="9"/>
    <n v="6"/>
    <n v="1"/>
    <s v="MOREA"/>
    <m/>
    <m/>
    <m/>
  </r>
  <r>
    <x v="4"/>
    <m/>
    <m/>
    <m/>
    <x v="10"/>
    <x v="2"/>
    <x v="14"/>
    <x v="14"/>
    <m/>
    <x v="11"/>
    <m/>
    <m/>
    <m/>
    <m/>
    <m/>
    <m/>
  </r>
  <r>
    <x v="4"/>
    <m/>
    <m/>
    <m/>
    <x v="10"/>
    <x v="2"/>
    <x v="14"/>
    <x v="14"/>
    <m/>
    <x v="11"/>
    <m/>
    <m/>
    <m/>
    <m/>
    <m/>
    <m/>
  </r>
  <r>
    <x v="4"/>
    <s v="LUNASA, APIARIO"/>
    <s v="PERFIL"/>
    <n v="7"/>
    <x v="34"/>
    <x v="7"/>
    <x v="342"/>
    <x v="191"/>
    <n v="8.5"/>
    <x v="5"/>
    <n v="6"/>
    <n v="1"/>
    <s v="APIARIO PEQUENA "/>
    <m/>
    <m/>
    <m/>
  </r>
  <r>
    <x v="4"/>
    <s v="LUNASA, APIARIO"/>
    <s v="PERFIL"/>
    <n v="7"/>
    <x v="34"/>
    <x v="7"/>
    <x v="343"/>
    <x v="192"/>
    <n v="8"/>
    <x v="9"/>
    <n v="6"/>
    <n v="1"/>
    <s v="APIARIO "/>
    <m/>
    <m/>
    <m/>
  </r>
  <r>
    <x v="4"/>
    <m/>
    <s v="PERFIL"/>
    <n v="6"/>
    <x v="36"/>
    <x v="18"/>
    <x v="344"/>
    <x v="151"/>
    <n v="17.5"/>
    <x v="9"/>
    <n v="5"/>
    <n v="2"/>
    <s v="BRAHVA"/>
    <m/>
    <m/>
    <m/>
  </r>
  <r>
    <x v="4"/>
    <m/>
    <s v="PERFIL"/>
    <n v="6"/>
    <x v="36"/>
    <x v="18"/>
    <x v="345"/>
    <x v="193"/>
    <n v="21"/>
    <x v="5"/>
    <n v="6"/>
    <n v="2"/>
    <s v="VIEIRA TANNUS"/>
    <m/>
    <m/>
    <m/>
  </r>
  <r>
    <x v="4"/>
    <s v="APIARIO"/>
    <s v="PERFIL"/>
    <n v="7"/>
    <x v="34"/>
    <x v="7"/>
    <x v="346"/>
    <x v="192"/>
    <n v="7.5"/>
    <x v="9"/>
    <n v="6"/>
    <n v="1"/>
    <s v="LUNASA"/>
    <m/>
    <m/>
    <m/>
  </r>
  <r>
    <x v="4"/>
    <s v="20,5X15"/>
    <s v="PERFIL"/>
    <n v="3"/>
    <x v="22"/>
    <x v="18"/>
    <x v="347"/>
    <x v="194"/>
    <n v="10"/>
    <x v="9"/>
    <n v="6"/>
    <n v="1"/>
    <s v="MOREA"/>
    <m/>
    <m/>
    <m/>
  </r>
  <r>
    <x v="4"/>
    <s v="SEM DONO "/>
    <s v="PERFIL"/>
    <n v="5"/>
    <x v="36"/>
    <x v="7"/>
    <x v="348"/>
    <x v="151"/>
    <n v="10.5"/>
    <x v="9"/>
    <n v="6"/>
    <n v="1"/>
    <s v="SEM DONO"/>
    <m/>
    <m/>
    <m/>
  </r>
  <r>
    <x v="4"/>
    <s v="INATA 6,5X2,4"/>
    <s v="PERFIL"/>
    <n v="2"/>
    <x v="42"/>
    <x v="7"/>
    <x v="349"/>
    <x v="195"/>
    <n v="15.5"/>
    <x v="6"/>
    <n v="6"/>
    <n v="1"/>
    <s v="RAREPAN"/>
    <m/>
    <m/>
    <m/>
  </r>
  <r>
    <x v="4"/>
    <s v="INATA 19,7X9,0"/>
    <s v="PERFIL"/>
    <n v="2"/>
    <x v="30"/>
    <x v="7"/>
    <x v="330"/>
    <x v="156"/>
    <n v="11.5"/>
    <x v="10"/>
    <n v="6"/>
    <n v="1"/>
    <s v="REDE LUCAS"/>
    <m/>
    <m/>
    <m/>
  </r>
  <r>
    <x v="4"/>
    <s v="SUPER MAXI PADARIA "/>
    <s v="PERFIL"/>
    <n v="1"/>
    <x v="43"/>
    <x v="18"/>
    <x v="350"/>
    <x v="196"/>
    <n v="11"/>
    <x v="10"/>
    <n v="6"/>
    <n v="3"/>
    <s v="SUPER MAXI PADARIA "/>
    <m/>
    <m/>
    <m/>
  </r>
  <r>
    <x v="4"/>
    <s v="SUPER MAXI SALADA "/>
    <s v="PERFIL"/>
    <n v="1"/>
    <x v="43"/>
    <x v="18"/>
    <x v="351"/>
    <x v="196"/>
    <n v="6.5"/>
    <x v="10"/>
    <n v="6"/>
    <n v="2"/>
    <s v="SUPER MAXI SALADA "/>
    <m/>
    <m/>
    <m/>
  </r>
  <r>
    <x v="4"/>
    <m/>
    <m/>
    <m/>
    <x v="10"/>
    <x v="2"/>
    <x v="14"/>
    <x v="14"/>
    <m/>
    <x v="11"/>
    <m/>
    <m/>
    <m/>
    <m/>
    <m/>
    <m/>
  </r>
  <r>
    <x v="4"/>
    <s v="INATA TAG BLISTER"/>
    <s v="RESINO"/>
    <n v="8"/>
    <x v="34"/>
    <x v="20"/>
    <x v="277"/>
    <x v="191"/>
    <n v="9"/>
    <x v="5"/>
    <n v="6"/>
    <n v="1"/>
    <s v="TAG ROUPAS"/>
    <m/>
    <m/>
    <m/>
  </r>
  <r>
    <x v="4"/>
    <s v="TAG ROUPAS "/>
    <s v="RESINO"/>
    <n v="8"/>
    <x v="34"/>
    <x v="20"/>
    <x v="352"/>
    <x v="192"/>
    <n v="8"/>
    <x v="9"/>
    <n v="6"/>
    <n v="1"/>
    <s v="INATA BLISTER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58137C4-3196-425F-BCD2-B0D0C3C2F9A8}" name="Tabela dinâmica1" cacheId="3" applyNumberFormats="0" applyBorderFormats="0" applyFontFormats="0" applyPatternFormats="0" applyAlignmentFormats="0" applyWidthHeightFormats="1" dataCaption="Valores" updatedVersion="8" minRefreshableVersion="3" showDrill="0" useAutoFormatting="1" rowGrandTotals="0" colGrandTotals="0" itemPrintTitles="1" createdVersion="8" indent="0" compact="0" compactData="0" multipleFieldFilters="0">
  <location ref="B4:F5" firstHeaderRow="1" firstDataRow="1" firstDataCol="5" rowPageCount="1" colPageCount="1"/>
  <pivotFields count="16">
    <pivotField axis="axisRow" compact="0" outline="0" showAll="0" defaultSubtotal="0">
      <items count="5">
        <item h="1" x="0"/>
        <item x="1"/>
        <item x="4"/>
        <item x="2"/>
        <item x="3"/>
      </items>
    </pivotField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44">
        <item x="29"/>
        <item x="37"/>
        <item x="2"/>
        <item x="18"/>
        <item x="3"/>
        <item x="1"/>
        <item x="15"/>
        <item x="11"/>
        <item x="20"/>
        <item x="16"/>
        <item x="6"/>
        <item x="14"/>
        <item x="12"/>
        <item x="27"/>
        <item x="5"/>
        <item x="19"/>
        <item x="17"/>
        <item x="21"/>
        <item x="13"/>
        <item x="4"/>
        <item x="31"/>
        <item x="28"/>
        <item x="35"/>
        <item x="25"/>
        <item x="30"/>
        <item x="9"/>
        <item x="33"/>
        <item x="22"/>
        <item x="8"/>
        <item x="32"/>
        <item x="40"/>
        <item x="7"/>
        <item x="41"/>
        <item x="23"/>
        <item x="26"/>
        <item x="34"/>
        <item x="24"/>
        <item x="36"/>
        <item x="42"/>
        <item x="39"/>
        <item x="43"/>
        <item x="38"/>
        <item x="0"/>
        <item x="10"/>
      </items>
    </pivotField>
    <pivotField axis="axisRow" compact="0" outline="0" showAll="0" defaultSubtotal="0">
      <items count="21">
        <item x="15"/>
        <item x="11"/>
        <item x="19"/>
        <item x="17"/>
        <item x="7"/>
        <item x="18"/>
        <item x="6"/>
        <item x="5"/>
        <item x="0"/>
        <item x="12"/>
        <item x="8"/>
        <item x="9"/>
        <item x="4"/>
        <item x="14"/>
        <item x="10"/>
        <item x="3"/>
        <item x="1"/>
        <item x="13"/>
        <item x="16"/>
        <item x="20"/>
        <item x="2"/>
      </items>
    </pivotField>
    <pivotField axis="axisPage" compact="0" outline="0" multipleItemSelectionAllowed="1" showAll="0" defaultSubtotal="0">
      <items count="353">
        <item h="1" x="1"/>
        <item h="1" x="144"/>
        <item h="1" x="153"/>
        <item h="1" x="2"/>
        <item h="1" x="3"/>
        <item h="1" x="145"/>
        <item h="1" x="154"/>
        <item h="1" x="4"/>
        <item h="1" x="155"/>
        <item h="1" x="146"/>
        <item h="1" x="156"/>
        <item h="1" x="5"/>
        <item h="1" x="157"/>
        <item h="1" x="6"/>
        <item h="1" x="147"/>
        <item h="1" x="297"/>
        <item h="1" x="158"/>
        <item h="1" x="7"/>
        <item h="1" x="8"/>
        <item h="1" x="159"/>
        <item h="1" x="96"/>
        <item h="1" x="148"/>
        <item h="1" x="100"/>
        <item h="1" x="9"/>
        <item h="1" x="97"/>
        <item h="1" x="160"/>
        <item h="1" x="10"/>
        <item h="1" x="98"/>
        <item h="1" x="272"/>
        <item h="1" x="270"/>
        <item h="1" x="101"/>
        <item h="1" x="161"/>
        <item h="1" x="162"/>
        <item h="1" x="95"/>
        <item h="1" x="11"/>
        <item h="1" x="164"/>
        <item h="1" x="163"/>
        <item h="1" x="149"/>
        <item h="1" x="150"/>
        <item h="1" x="151"/>
        <item h="1" x="12"/>
        <item h="1" x="99"/>
        <item h="1" x="152"/>
        <item h="1" x="13"/>
        <item h="1" x="142"/>
        <item h="1" x="271"/>
        <item h="1" x="165"/>
        <item h="1" x="175"/>
        <item h="1" x="124"/>
        <item h="1" x="119"/>
        <item h="1" x="120"/>
        <item h="1" x="121"/>
        <item h="1" x="64"/>
        <item h="1" x="65"/>
        <item h="1" x="122"/>
        <item h="1" x="66"/>
        <item h="1" x="67"/>
        <item h="1" x="68"/>
        <item h="1" x="136"/>
        <item h="1" x="123"/>
        <item h="1" x="315"/>
        <item h="1" x="69"/>
        <item h="1" x="284"/>
        <item h="1" x="70"/>
        <item h="1" x="347"/>
        <item h="1" x="316"/>
        <item h="1" x="234"/>
        <item h="1" x="317"/>
        <item h="1" x="287"/>
        <item h="1" x="285"/>
        <item h="1" x="125"/>
        <item h="1" x="188"/>
        <item h="1" x="235"/>
        <item h="1" x="189"/>
        <item h="1" x="104"/>
        <item h="1" x="237"/>
        <item h="1" x="71"/>
        <item h="1" x="274"/>
        <item h="1" x="190"/>
        <item h="1" x="236"/>
        <item h="1" x="238"/>
        <item h="1" x="239"/>
        <item h="1" x="318"/>
        <item h="1" x="72"/>
        <item h="1" x="240"/>
        <item h="1" x="241"/>
        <item h="1" x="126"/>
        <item h="1" x="286"/>
        <item h="1" x="92"/>
        <item h="1" x="93"/>
        <item h="1" x="141"/>
        <item h="1" x="94"/>
        <item h="1" x="191"/>
        <item h="1" x="73"/>
        <item h="1" x="320"/>
        <item h="1" x="319"/>
        <item h="1" x="192"/>
        <item h="1" x="346"/>
        <item h="1" x="74"/>
        <item h="1" x="242"/>
        <item h="1" x="288"/>
        <item h="1" x="352"/>
        <item h="1" x="194"/>
        <item h="1" x="289"/>
        <item h="1" x="193"/>
        <item h="1" x="275"/>
        <item h="1" x="243"/>
        <item h="1" x="341"/>
        <item h="1" x="348"/>
        <item h="1" x="244"/>
        <item h="1" x="245"/>
        <item h="1" x="173"/>
        <item h="1" x="76"/>
        <item h="1" x="290"/>
        <item h="1" x="75"/>
        <item h="1" x="77"/>
        <item h="1" x="321"/>
        <item h="1" x="195"/>
        <item h="1" x="196"/>
        <item h="1" x="246"/>
        <item h="1" x="197"/>
        <item h="1" x="247"/>
        <item h="1" x="248"/>
        <item h="1" x="250"/>
        <item h="1" x="249"/>
        <item h="1" x="322"/>
        <item h="1" x="323"/>
        <item h="1" x="338"/>
        <item h="1" x="139"/>
        <item h="1" x="251"/>
        <item h="1" x="174"/>
        <item h="1" x="252"/>
        <item h="1" x="253"/>
        <item h="1" x="325"/>
        <item h="1" x="326"/>
        <item h="1" x="327"/>
        <item h="1" x="291"/>
        <item h="1" x="254"/>
        <item h="1" x="198"/>
        <item h="1" x="324"/>
        <item h="1" x="349"/>
        <item h="1" x="255"/>
        <item h="1" x="127"/>
        <item h="1" x="78"/>
        <item h="1" x="256"/>
        <item h="1" x="257"/>
        <item h="1" x="201"/>
        <item h="1" x="258"/>
        <item h="1" x="199"/>
        <item h="1" x="260"/>
        <item h="1" x="259"/>
        <item h="1" x="79"/>
        <item h="1" x="91"/>
        <item h="1" x="261"/>
        <item h="1" x="90"/>
        <item h="1" x="292"/>
        <item h="1" x="200"/>
        <item h="1" x="328"/>
        <item h="1" x="293"/>
        <item h="1" x="135"/>
        <item h="1" x="262"/>
        <item h="1" x="80"/>
        <item h="1" x="128"/>
        <item h="1" x="329"/>
        <item h="1" x="263"/>
        <item h="1" x="264"/>
        <item h="1" x="205"/>
        <item h="1" x="202"/>
        <item h="1" x="330"/>
        <item h="1" x="265"/>
        <item h="1" x="203"/>
        <item h="1" x="204"/>
        <item h="1" x="339"/>
        <item h="1" x="295"/>
        <item h="1" x="81"/>
        <item h="1" x="33"/>
        <item h="1" x="23"/>
        <item h="1" x="208"/>
        <item h="1" x="34"/>
        <item h="1" x="24"/>
        <item h="1" x="167"/>
        <item h="1" x="140"/>
        <item h="1" x="340"/>
        <item h="1" x="137"/>
        <item h="1" x="138"/>
        <item h="1" x="206"/>
        <item h="1" x="331"/>
        <item h="1" x="82"/>
        <item h="1" x="294"/>
        <item h="1" x="266"/>
        <item h="1" x="269"/>
        <item h="1" x="25"/>
        <item h="1" x="35"/>
        <item h="1" x="36"/>
        <item h="1" x="209"/>
        <item h="1" x="168"/>
        <item h="1" x="169"/>
        <item h="1" x="166"/>
        <item h="1" x="38"/>
        <item h="1" x="176"/>
        <item h="1" x="37"/>
        <item h="1" x="210"/>
        <item h="1" x="39"/>
        <item h="1" x="83"/>
        <item h="1" x="211"/>
        <item h="1" x="105"/>
        <item h="1" x="106"/>
        <item h="1" x="177"/>
        <item h="1" x="170"/>
        <item h="1" x="40"/>
        <item h="1" x="350"/>
        <item h="1" x="351"/>
        <item h="1" x="207"/>
        <item h="1" x="332"/>
        <item h="1" x="333"/>
        <item h="1" x="334"/>
        <item h="1" x="212"/>
        <item h="1" x="214"/>
        <item h="1" x="26"/>
        <item h="1" x="107"/>
        <item h="1" x="41"/>
        <item h="1" x="108"/>
        <item h="1" x="213"/>
        <item h="1" x="178"/>
        <item h="1" x="27"/>
        <item h="1" x="28"/>
        <item h="1" x="336"/>
        <item h="1" x="102"/>
        <item h="1" x="215"/>
        <item h="1" x="296"/>
        <item h="1" x="216"/>
        <item h="1" x="298"/>
        <item h="1" x="129"/>
        <item h="1" x="299"/>
        <item h="1" x="103"/>
        <item h="1" x="84"/>
        <item h="1" x="29"/>
        <item h="1" x="110"/>
        <item h="1" x="111"/>
        <item h="1" x="179"/>
        <item h="1" x="180"/>
        <item x="42"/>
        <item h="1" x="181"/>
        <item h="1" x="300"/>
        <item h="1" x="109"/>
        <item h="1" x="276"/>
        <item h="1" x="301"/>
        <item h="1" x="43"/>
        <item h="1" x="217"/>
        <item h="1" x="302"/>
        <item h="1" x="218"/>
        <item h="1" x="85"/>
        <item h="1" x="342"/>
        <item h="1" x="86"/>
        <item h="1" x="219"/>
        <item h="1" x="30"/>
        <item h="1" x="277"/>
        <item h="1" x="278"/>
        <item h="1" x="44"/>
        <item h="1" x="280"/>
        <item h="1" x="114"/>
        <item h="1" x="279"/>
        <item h="1" x="45"/>
        <item h="1" x="46"/>
        <item h="1" x="47"/>
        <item h="1" x="220"/>
        <item h="1" x="221"/>
        <item h="1" x="222"/>
        <item h="1" x="303"/>
        <item h="1" x="112"/>
        <item h="1" x="113"/>
        <item h="1" x="48"/>
        <item h="1" x="31"/>
        <item h="1" x="49"/>
        <item h="1" x="32"/>
        <item h="1" x="223"/>
        <item h="1" x="224"/>
        <item h="1" x="304"/>
        <item h="1" x="51"/>
        <item h="1" x="335"/>
        <item h="1" x="343"/>
        <item h="1" x="50"/>
        <item h="1" x="305"/>
        <item h="1" x="87"/>
        <item h="1" x="52"/>
        <item h="1" x="53"/>
        <item h="1" x="182"/>
        <item h="1" x="183"/>
        <item h="1" x="306"/>
        <item h="1" x="54"/>
        <item h="1" x="281"/>
        <item h="1" x="55"/>
        <item h="1" x="56"/>
        <item h="1" x="115"/>
        <item h="1" x="130"/>
        <item h="1" x="171"/>
        <item h="1" x="225"/>
        <item h="1" x="132"/>
        <item h="1" x="282"/>
        <item h="1" x="267"/>
        <item h="1" x="344"/>
        <item h="1" x="184"/>
        <item h="1" x="307"/>
        <item h="1" x="308"/>
        <item h="1" x="57"/>
        <item h="1" x="283"/>
        <item h="1" x="58"/>
        <item h="1" x="60"/>
        <item h="1" x="59"/>
        <item h="1" x="309"/>
        <item h="1" x="61"/>
        <item h="1" x="131"/>
        <item h="1" x="310"/>
        <item h="1" x="311"/>
        <item h="1" x="88"/>
        <item h="1" x="226"/>
        <item h="1" x="62"/>
        <item h="1" x="227"/>
        <item h="1" x="63"/>
        <item h="1" x="185"/>
        <item h="1" x="117"/>
        <item h="1" x="89"/>
        <item h="1" x="228"/>
        <item h="1" x="133"/>
        <item h="1" x="229"/>
        <item h="1" x="118"/>
        <item h="1" x="187"/>
        <item h="1" x="116"/>
        <item h="1" x="268"/>
        <item h="1" x="186"/>
        <item h="1" x="232"/>
        <item h="1" x="230"/>
        <item h="1" x="231"/>
        <item h="1" x="172"/>
        <item h="1" x="312"/>
        <item h="1" x="313"/>
        <item h="1" x="273"/>
        <item h="1" x="233"/>
        <item h="1" x="134"/>
        <item h="1" x="345"/>
        <item h="1" x="314"/>
        <item h="1" x="337"/>
        <item h="1" x="16"/>
        <item h="1" x="22"/>
        <item h="1" x="15"/>
        <item h="1" x="17"/>
        <item h="1" x="18"/>
        <item h="1" x="19"/>
        <item h="1" x="20"/>
        <item h="1" x="21"/>
        <item h="1" x="143"/>
        <item h="1" x="0"/>
        <item h="1" x="14"/>
      </items>
    </pivotField>
    <pivotField axis="axisRow" compact="0" outline="0" showAll="0" defaultSubtotal="0">
      <items count="197">
        <item x="1"/>
        <item x="43"/>
        <item x="114"/>
        <item x="15"/>
        <item x="162"/>
        <item x="2"/>
        <item x="47"/>
        <item x="36"/>
        <item x="86"/>
        <item x="122"/>
        <item x="167"/>
        <item x="45"/>
        <item x="3"/>
        <item x="31"/>
        <item x="41"/>
        <item x="139"/>
        <item x="115"/>
        <item x="35"/>
        <item x="87"/>
        <item x="142"/>
        <item x="50"/>
        <item x="143"/>
        <item x="16"/>
        <item x="33"/>
        <item x="130"/>
        <item x="37"/>
        <item x="88"/>
        <item x="23"/>
        <item x="181"/>
        <item x="186"/>
        <item x="32"/>
        <item x="129"/>
        <item x="123"/>
        <item x="98"/>
        <item x="34"/>
        <item x="24"/>
        <item x="4"/>
        <item x="140"/>
        <item x="159"/>
        <item x="68"/>
        <item x="25"/>
        <item x="188"/>
        <item x="102"/>
        <item x="182"/>
        <item x="92"/>
        <item x="116"/>
        <item x="147"/>
        <item x="17"/>
        <item x="144"/>
        <item x="100"/>
        <item x="160"/>
        <item x="150"/>
        <item x="46"/>
        <item x="148"/>
        <item x="103"/>
        <item x="44"/>
        <item x="187"/>
        <item x="5"/>
        <item x="89"/>
        <item x="183"/>
        <item x="106"/>
        <item x="38"/>
        <item x="146"/>
        <item x="90"/>
        <item x="39"/>
        <item x="161"/>
        <item x="141"/>
        <item x="26"/>
        <item x="6"/>
        <item x="27"/>
        <item x="18"/>
        <item x="51"/>
        <item x="179"/>
        <item x="131"/>
        <item x="124"/>
        <item x="83"/>
        <item x="163"/>
        <item x="19"/>
        <item x="53"/>
        <item x="132"/>
        <item x="84"/>
        <item x="135"/>
        <item x="7"/>
        <item x="28"/>
        <item x="125"/>
        <item x="173"/>
        <item x="104"/>
        <item x="73"/>
        <item x="54"/>
        <item x="177"/>
        <item x="20"/>
        <item x="149"/>
        <item x="48"/>
        <item x="40"/>
        <item x="184"/>
        <item x="55"/>
        <item x="164"/>
        <item x="52"/>
        <item x="191"/>
        <item x="29"/>
        <item x="8"/>
        <item x="165"/>
        <item x="193"/>
        <item x="42"/>
        <item x="21"/>
        <item x="145"/>
        <item x="91"/>
        <item x="30"/>
        <item x="75"/>
        <item x="170"/>
        <item x="109"/>
        <item x="126"/>
        <item x="117"/>
        <item x="133"/>
        <item x="113"/>
        <item x="80"/>
        <item x="176"/>
        <item x="95"/>
        <item x="58"/>
        <item x="9"/>
        <item x="134"/>
        <item x="76"/>
        <item x="74"/>
        <item x="99"/>
        <item x="49"/>
        <item x="10"/>
        <item x="168"/>
        <item x="110"/>
        <item x="77"/>
        <item x="57"/>
        <item x="180"/>
        <item x="105"/>
        <item x="185"/>
        <item x="69"/>
        <item x="136"/>
        <item x="195"/>
        <item x="172"/>
        <item x="166"/>
        <item x="22"/>
        <item x="111"/>
        <item x="82"/>
        <item x="127"/>
        <item x="137"/>
        <item x="101"/>
        <item x="169"/>
        <item x="78"/>
        <item x="96"/>
        <item x="70"/>
        <item x="93"/>
        <item x="56"/>
        <item x="194"/>
        <item x="11"/>
        <item x="171"/>
        <item x="85"/>
        <item x="81"/>
        <item x="189"/>
        <item x="178"/>
        <item x="59"/>
        <item x="192"/>
        <item x="97"/>
        <item x="60"/>
        <item x="151"/>
        <item x="62"/>
        <item x="61"/>
        <item x="118"/>
        <item x="119"/>
        <item x="128"/>
        <item x="153"/>
        <item x="120"/>
        <item x="152"/>
        <item x="12"/>
        <item x="107"/>
        <item x="63"/>
        <item x="79"/>
        <item x="154"/>
        <item x="94"/>
        <item x="72"/>
        <item x="64"/>
        <item x="71"/>
        <item x="155"/>
        <item x="112"/>
        <item x="174"/>
        <item x="108"/>
        <item x="65"/>
        <item x="156"/>
        <item x="121"/>
        <item x="13"/>
        <item x="66"/>
        <item x="190"/>
        <item x="157"/>
        <item x="67"/>
        <item x="138"/>
        <item x="175"/>
        <item x="196"/>
        <item x="158"/>
        <item x="0"/>
        <item x="14"/>
      </items>
    </pivotField>
    <pivotField compact="0" outline="0" showAll="0" defaultSubtotal="0"/>
    <pivotField axis="axisRow" compact="0" outline="0" showAll="0" defaultSubtotal="0">
      <items count="41">
        <item x="10"/>
        <item x="27"/>
        <item x="26"/>
        <item x="38"/>
        <item x="39"/>
        <item x="24"/>
        <item x="25"/>
        <item x="9"/>
        <item x="23"/>
        <item x="37"/>
        <item x="36"/>
        <item x="35"/>
        <item x="8"/>
        <item x="21"/>
        <item x="6"/>
        <item x="22"/>
        <item x="7"/>
        <item x="34"/>
        <item x="33"/>
        <item x="32"/>
        <item x="5"/>
        <item x="19"/>
        <item x="20"/>
        <item x="31"/>
        <item x="30"/>
        <item x="13"/>
        <item x="29"/>
        <item x="4"/>
        <item x="16"/>
        <item x="3"/>
        <item x="14"/>
        <item x="2"/>
        <item x="12"/>
        <item x="40"/>
        <item x="18"/>
        <item x="15"/>
        <item x="1"/>
        <item x="28"/>
        <item x="17"/>
        <item x="0"/>
        <item x="1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5">
    <field x="0"/>
    <field x="5"/>
    <field x="7"/>
    <field x="4"/>
    <field x="9"/>
  </rowFields>
  <rowItems count="1">
    <i>
      <x v="1"/>
      <x v="6"/>
      <x v="44"/>
      <x v="24"/>
      <x v="27"/>
    </i>
  </rowItems>
  <colItems count="1">
    <i/>
  </colItems>
  <pageFields count="1">
    <pageField fld="6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B2759A16-EB8B-421A-8D2C-EB93F4594532}" autoFormatId="16" applyNumberFormats="0" applyBorderFormats="0" applyFontFormats="0" applyPatternFormats="0" applyAlignmentFormats="0" applyWidthHeightFormats="0">
  <queryTableRefresh nextId="32">
    <queryTableFields count="16">
      <queryTableField id="1" name="MAQUINA" tableColumnId="1"/>
      <queryTableField id="17" name="CONJUGADA " tableColumnId="17"/>
      <queryTableField id="18" name="FORNECEDOR" tableColumnId="18"/>
      <queryTableField id="19" name="Nº FACAS " tableColumnId="19"/>
      <queryTableField id="20" name="Z" tableColumnId="20"/>
      <queryTableField id="21" name="FORMATO" tableColumnId="21"/>
      <queryTableField id="22" name="TAMANHO" tableColumnId="22"/>
      <queryTableField id="23" name="PUXADA" tableColumnId="23"/>
      <queryTableField id="24" name="LARGURA" tableColumnId="24"/>
      <queryTableField id="25" name="REP" tableColumnId="25"/>
      <queryTableField id="26" name="CIL" tableColumnId="26"/>
      <queryTableField id="27" name="COL" tableColumnId="27"/>
      <queryTableField id="28" name="CLIENTE " tableColumnId="28"/>
      <queryTableField id="29" name="MAQ" tableColumnId="29"/>
      <queryTableField id="30" name="Column15" tableColumnId="30"/>
      <queryTableField id="31" name="Column16" tableColumnId="31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91FAF80-A743-4603-B216-11A8546BBBB1}" name="Tabela1" displayName="Tabela1" ref="C8:J13" totalsRowShown="0" headerRowDxfId="22" dataDxfId="21">
  <autoFilter ref="C8:J13" xr:uid="{691FAF80-A743-4603-B216-11A8546BBBB1}"/>
  <tableColumns count="8">
    <tableColumn id="1" xr3:uid="{E63E2898-CAAC-49E9-8B71-A73046511551}" name="MATERIAL" dataDxfId="20">
      <calculatedColumnFormula>IF(ORÇAMENTO!$F$8="","",ORÇAMENTO!$F$8)</calculatedColumnFormula>
    </tableColumn>
    <tableColumn id="4" xr3:uid="{A47E4FB4-5BA4-4BE2-A9CE-E671ECEA0F2C}" name="ACABAMENTO" dataDxfId="19">
      <calculatedColumnFormula>ORÇAMENTO!$G$8</calculatedColumnFormula>
    </tableColumn>
    <tableColumn id="2" xr3:uid="{81B64086-4A2B-4E1C-B063-88540122D10B}" name="ETIQ POR ROLO" dataDxfId="18">
      <calculatedColumnFormula>IF(ORÇAMENTO!$J$8="","",ORÇAMENTO!$J$8)</calculatedColumnFormula>
    </tableColumn>
    <tableColumn id="8" xr3:uid="{50057CFF-D0BB-4DEC-BCBA-27AE80F75C53}" name="ROLOS" dataDxfId="17">
      <calculatedColumnFormula>IF(Tabela1[[#This Row],[ETIQUETAS]]="","",Tabela1[[#This Row],[ETIQUETAS]]/$E$9)</calculatedColumnFormula>
    </tableColumn>
    <tableColumn id="3" xr3:uid="{F332CACC-BD25-4BD4-B666-F932E2EFD5E9}" name="ETIQUETAS" dataDxfId="16">
      <calculatedColumnFormula>IF(ORÇAMENTO!G28="","",ORÇAMENTO!G28)</calculatedColumnFormula>
    </tableColumn>
    <tableColumn id="5" xr3:uid="{95248AB6-EC0C-46A8-8E20-48002A087E9C}" name="TOTAL" dataDxfId="15">
      <calculatedColumnFormula>IF(ORÇAMENTO!H28="","",ORÇAMENTO!H28)</calculatedColumnFormula>
    </tableColumn>
    <tableColumn id="6" xr3:uid="{58B015E9-BA05-411F-859F-C6950C4383A2}" name="UNITÁRIO" dataDxfId="14">
      <calculatedColumnFormula>IF(Tabela1[[#This Row],[TOTAL]]="","",Tabela1[[#This Row],[TOTAL]]/Tabela1[[#This Row],[ETIQUETAS]])</calculatedColumnFormula>
    </tableColumn>
    <tableColumn id="7" xr3:uid="{063E70AE-1562-4035-B0E8-5A1B6D4F1CEF}" name="VALOR ROLO" dataDxfId="13">
      <calculatedColumnFormula>IF(Tabela1[[#This Row],[UNITÁRIO]]="","",Tabela1[[#This Row],[TOTAL]]/F9)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DA77324-75D5-49EC-9BA3-9CEC4F347C1C}" name="MAPA_DE_FACAS_2026__27_02_xlsm" displayName="MAPA_DE_FACAS_2026__27_02_xlsm" ref="A1:P492" tableType="queryTable" totalsRowShown="0">
  <autoFilter ref="A1:P492" xr:uid="{2DA77324-75D5-49EC-9BA3-9CEC4F347C1C}">
    <filterColumn colId="0">
      <filters>
        <filter val="MODULAR SPX"/>
      </filters>
    </filterColumn>
  </autoFilter>
  <tableColumns count="16">
    <tableColumn id="1" xr3:uid="{0ED52BA9-DA44-4045-B310-84A192E3B294}" uniqueName="1" name="MAQUINA" queryTableFieldId="1" dataDxfId="6"/>
    <tableColumn id="17" xr3:uid="{856DDD95-6E69-426F-86E3-B02B5E8E8C69}" uniqueName="17" name="CONJUGADA " queryTableFieldId="17" dataDxfId="5"/>
    <tableColumn id="18" xr3:uid="{48FFBE7B-4E84-45BA-A683-A12DFC9E540E}" uniqueName="18" name="FORNECEDOR" queryTableFieldId="18" dataDxfId="4"/>
    <tableColumn id="19" xr3:uid="{B9619989-7981-48A3-BECD-A67A22CB00C8}" uniqueName="19" name="Nº FACAS " queryTableFieldId="19"/>
    <tableColumn id="20" xr3:uid="{AA93974D-625D-4C28-AB88-D7A8BF8A1211}" uniqueName="20" name="Z" queryTableFieldId="20"/>
    <tableColumn id="21" xr3:uid="{52EB6682-F005-4ED1-8317-12DC2113BC23}" uniqueName="21" name="FORMATO" queryTableFieldId="21" dataDxfId="3"/>
    <tableColumn id="22" xr3:uid="{D1FADEC5-5CA8-4E3B-9ED7-CF094B676E05}" uniqueName="22" name="TAMANHO" queryTableFieldId="22"/>
    <tableColumn id="23" xr3:uid="{3824E37C-0D63-4EF8-A140-7587C5507AC0}" uniqueName="23" name="PUXADA" queryTableFieldId="23"/>
    <tableColumn id="24" xr3:uid="{D7542775-0A62-4441-828A-7213AE0EF006}" uniqueName="24" name="LARGURA" queryTableFieldId="24"/>
    <tableColumn id="25" xr3:uid="{A0F6BC02-4C95-4533-A004-D044CCD46AA8}" uniqueName="25" name="REP" queryTableFieldId="25"/>
    <tableColumn id="26" xr3:uid="{43A744CA-946C-4146-A456-02A298A90A41}" uniqueName="26" name="CIL" queryTableFieldId="26"/>
    <tableColumn id="27" xr3:uid="{78A6E565-D196-495C-9B6A-2229966B00BF}" uniqueName="27" name="COL" queryTableFieldId="27"/>
    <tableColumn id="28" xr3:uid="{0016E238-F87F-4E13-AFFE-B2DBEDB09F9A}" uniqueName="28" name="CLIENTE " queryTableFieldId="28" dataDxfId="2"/>
    <tableColumn id="29" xr3:uid="{354BA8D8-8E6E-4141-9EA6-8840C40983B5}" uniqueName="29" name="MAQ" queryTableFieldId="29" dataDxfId="1"/>
    <tableColumn id="30" xr3:uid="{8C19775E-CD1E-4441-9E8F-7A46798819B4}" uniqueName="30" name="Column15" queryTableFieldId="30"/>
    <tableColumn id="31" xr3:uid="{4DD53879-7D86-4041-AB22-C7E49988CA88}" uniqueName="31" name="Column16" queryTableFieldId="31" dataDxfId="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B1B8213-BE55-41EF-8660-2C7EE447F9C4}" name="Tabela3" displayName="Tabela3" ref="A1:P492" totalsRowShown="0">
  <autoFilter ref="A1:P492" xr:uid="{8B1B8213-BE55-41EF-8660-2C7EE447F9C4}"/>
  <tableColumns count="16">
    <tableColumn id="1" xr3:uid="{5048A75C-7B89-4CB6-8437-8092898491AC}" name="MAQUINA"/>
    <tableColumn id="2" xr3:uid="{95A611D6-D9A1-4743-9BD3-30180463F79C}" name="CONJUGADA "/>
    <tableColumn id="3" xr3:uid="{C9DA6F59-DEB1-4756-BCF3-FD767847703E}" name="FORNECEDOR"/>
    <tableColumn id="4" xr3:uid="{F1EBB734-8BDA-4163-BD67-FBD9DEBC76BE}" name="Nº FACAS "/>
    <tableColumn id="5" xr3:uid="{DA245EEE-488F-44E6-ABE5-5477F31C5720}" name="Z"/>
    <tableColumn id="6" xr3:uid="{DA6DE4F2-7BFF-4D21-ADC5-D0D1DF890838}" name="FORMATO"/>
    <tableColumn id="7" xr3:uid="{D58738DC-D0F0-4E5D-A97A-823722E56B4A}" name="TAMANHO"/>
    <tableColumn id="8" xr3:uid="{7EBA772C-57FF-4203-B43C-E996D8F64EC8}" name="PUXADA"/>
    <tableColumn id="9" xr3:uid="{62A525E2-0562-4F3B-811F-336A9DA8E550}" name="LARGURA"/>
    <tableColumn id="10" xr3:uid="{BDF7DF9D-8B10-4CBB-998D-B64D517693B3}" name="REP"/>
    <tableColumn id="11" xr3:uid="{59680845-50EB-47E9-8BB9-D8B1EB809291}" name="CIL"/>
    <tableColumn id="12" xr3:uid="{3D56FEC0-3DC1-48A5-9161-EDE72423070F}" name="COL"/>
    <tableColumn id="13" xr3:uid="{799D1D70-3C7C-4A44-9BFD-8D92F8DB1982}" name="CLIENTE "/>
    <tableColumn id="14" xr3:uid="{A4F00165-A97E-40F9-99E5-3E269B23FD3B}" name="MAQ"/>
    <tableColumn id="15" xr3:uid="{C3C13B06-3B57-4140-91A3-D3E11AD6B5A7}" name="Column15"/>
    <tableColumn id="16" xr3:uid="{00277D65-B8C9-4322-A29F-2AC3DFB59EA7}" name="Column16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A302A-CDE5-438D-BAF7-5DE0D51024B1}">
  <sheetPr codeName="Planilha6">
    <pageSetUpPr fitToPage="1"/>
  </sheetPr>
  <dimension ref="B1:M22"/>
  <sheetViews>
    <sheetView showGridLines="0" zoomScale="70" zoomScaleNormal="70" workbookViewId="0">
      <selection activeCell="N9" sqref="N9"/>
    </sheetView>
  </sheetViews>
  <sheetFormatPr defaultColWidth="15.5703125" defaultRowHeight="15" x14ac:dyDescent="0.25"/>
  <cols>
    <col min="1" max="2" width="2.7109375" customWidth="1"/>
    <col min="3" max="3" width="19.28515625" bestFit="1" customWidth="1"/>
    <col min="4" max="4" width="27.85546875" customWidth="1"/>
    <col min="5" max="5" width="18.5703125" bestFit="1" customWidth="1"/>
    <col min="6" max="6" width="11.140625" bestFit="1" customWidth="1"/>
    <col min="7" max="7" width="14.85546875" bestFit="1" customWidth="1"/>
    <col min="8" max="8" width="15" customWidth="1"/>
    <col min="9" max="9" width="13.85546875" bestFit="1" customWidth="1"/>
    <col min="10" max="10" width="16.28515625" bestFit="1" customWidth="1"/>
    <col min="11" max="13" width="2.7109375" customWidth="1"/>
  </cols>
  <sheetData>
    <row r="1" spans="2:13" ht="15.75" thickBot="1" x14ac:dyDescent="0.3"/>
    <row r="2" spans="2:13" ht="15.75" thickBot="1" x14ac:dyDescent="0.3">
      <c r="B2" s="24"/>
      <c r="C2" s="25"/>
      <c r="D2" s="25"/>
      <c r="E2" s="25"/>
      <c r="F2" s="25"/>
      <c r="G2" s="25"/>
      <c r="H2" s="25"/>
      <c r="I2" s="25"/>
      <c r="J2" s="25"/>
      <c r="K2" s="26"/>
    </row>
    <row r="3" spans="2:13" ht="16.5" thickBot="1" x14ac:dyDescent="0.3">
      <c r="B3" s="27"/>
      <c r="C3" s="36" t="s">
        <v>92</v>
      </c>
      <c r="D3" s="106">
        <f ca="1">ORÇAMENTO!A5</f>
        <v>46226</v>
      </c>
      <c r="E3" s="121" t="str">
        <f>ORÇAMENTO!B5</f>
        <v>GABRIEL</v>
      </c>
      <c r="F3" s="122"/>
      <c r="G3" s="122"/>
      <c r="H3" s="123"/>
      <c r="K3" s="28"/>
    </row>
    <row r="4" spans="2:13" x14ac:dyDescent="0.25">
      <c r="B4" s="27"/>
      <c r="I4" s="9"/>
      <c r="J4" s="9"/>
      <c r="K4" s="28"/>
    </row>
    <row r="5" spans="2:13" ht="15.75" thickBot="1" x14ac:dyDescent="0.3">
      <c r="B5" s="27"/>
      <c r="C5" s="9"/>
      <c r="D5" s="9"/>
      <c r="E5" s="9"/>
      <c r="F5" s="9"/>
      <c r="G5" s="9"/>
      <c r="K5" s="29"/>
      <c r="L5" s="9"/>
    </row>
    <row r="6" spans="2:13" ht="15.75" thickBot="1" x14ac:dyDescent="0.3">
      <c r="B6" s="30"/>
      <c r="C6" s="118" t="str">
        <f>"MATERIAL: "&amp;C9&amp;"- MEDIDA: "&amp;ORÇAMENTO!$B$8&amp;" - ACABAMENTO: "&amp;D9&amp;" - ETIQ. ROLO: "&amp;$E$9&amp;" - CORES: "&amp;ORÇAMENTO!$E$8&amp;" "</f>
        <v xml:space="preserve">MATERIAL: BOPP FOSCO - MEDIDA: 5,0x3,0 - ACABAMENTO: SEM ACABAMENTO - ETIQ. ROLO: 1000 - CORES: 0 </v>
      </c>
      <c r="D6" s="119"/>
      <c r="E6" s="119"/>
      <c r="F6" s="119"/>
      <c r="G6" s="119"/>
      <c r="H6" s="119"/>
      <c r="I6" s="119"/>
      <c r="J6" s="120"/>
      <c r="K6" s="28"/>
    </row>
    <row r="7" spans="2:13" x14ac:dyDescent="0.25">
      <c r="B7" s="31"/>
      <c r="K7" s="28"/>
    </row>
    <row r="8" spans="2:13" x14ac:dyDescent="0.25">
      <c r="B8" s="31"/>
      <c r="C8" s="9" t="s">
        <v>88</v>
      </c>
      <c r="D8" s="9" t="s">
        <v>797</v>
      </c>
      <c r="E8" s="9" t="s">
        <v>107</v>
      </c>
      <c r="F8" s="9" t="s">
        <v>89</v>
      </c>
      <c r="G8" s="9" t="s">
        <v>86</v>
      </c>
      <c r="H8" s="9" t="s">
        <v>87</v>
      </c>
      <c r="I8" s="9" t="s">
        <v>90</v>
      </c>
      <c r="J8" s="9" t="s">
        <v>91</v>
      </c>
      <c r="K8" s="28"/>
    </row>
    <row r="9" spans="2:13" s="9" customFormat="1" x14ac:dyDescent="0.25">
      <c r="B9" s="31"/>
      <c r="C9" s="9" t="str">
        <f>IF(ORÇAMENTO!$F$8="","",ORÇAMENTO!$F$8)</f>
        <v xml:space="preserve">BOPP FOSCO </v>
      </c>
      <c r="D9" s="9" t="str">
        <f>IF(ORÇAMENTO!$G$8="","",ORÇAMENTO!$G$8)</f>
        <v>SEM ACABAMENTO</v>
      </c>
      <c r="E9" s="9">
        <f>IF(ORÇAMENTO!$J$8="","",ORÇAMENTO!$J$8)</f>
        <v>1000</v>
      </c>
      <c r="F9" s="9" t="str">
        <f>IF(Tabela1[[#This Row],[ETIQUETAS]]="","",Tabela1[[#This Row],[ETIQUETAS]]/$E$9)</f>
        <v/>
      </c>
      <c r="G9" s="37" t="str">
        <f>IF(ORÇAMENTO!G28="","",ORÇAMENTO!G28)</f>
        <v/>
      </c>
      <c r="H9" s="32" t="str">
        <f>IF(ORÇAMENTO!H28="","",ORÇAMENTO!H28)</f>
        <v/>
      </c>
      <c r="I9" s="32" t="str">
        <f>IF(Tabela1[[#This Row],[TOTAL]]="","",Tabela1[[#This Row],[TOTAL]]/Tabela1[[#This Row],[ETIQUETAS]])</f>
        <v/>
      </c>
      <c r="J9" s="32" t="str">
        <f>IF(Tabela1[[#This Row],[UNITÁRIO]]="","",Tabela1[[#This Row],[TOTAL]]/F9)</f>
        <v/>
      </c>
      <c r="K9" s="28"/>
      <c r="L9"/>
      <c r="M9"/>
    </row>
    <row r="10" spans="2:13" s="9" customFormat="1" x14ac:dyDescent="0.25">
      <c r="B10" s="31"/>
      <c r="F10" s="9" t="str">
        <f>IF(Tabela1[[#This Row],[ETIQUETAS]]="","",Tabela1[[#This Row],[ETIQUETAS]]/$E$9)</f>
        <v/>
      </c>
      <c r="G10" s="37" t="str">
        <f>IF(ORÇAMENTO!G29="","",ORÇAMENTO!G29)</f>
        <v/>
      </c>
      <c r="H10" s="32" t="str">
        <f>IF(ORÇAMENTO!H29="","",ORÇAMENTO!H29)</f>
        <v/>
      </c>
      <c r="I10" s="32" t="str">
        <f>IF(Tabela1[[#This Row],[TOTAL]]="","",Tabela1[[#This Row],[TOTAL]]/Tabela1[[#This Row],[ETIQUETAS]])</f>
        <v/>
      </c>
      <c r="J10" s="32" t="str">
        <f>IF(Tabela1[[#This Row],[UNITÁRIO]]="","",Tabela1[[#This Row],[TOTAL]]/F10)</f>
        <v/>
      </c>
      <c r="K10" s="28"/>
      <c r="L10"/>
      <c r="M10"/>
    </row>
    <row r="11" spans="2:13" s="9" customFormat="1" x14ac:dyDescent="0.25">
      <c r="B11" s="31"/>
      <c r="F11" s="9" t="str">
        <f>IF(Tabela1[[#This Row],[ETIQUETAS]]="","",Tabela1[[#This Row],[ETIQUETAS]]/$E$9)</f>
        <v/>
      </c>
      <c r="G11" s="37" t="str">
        <f>IF(ORÇAMENTO!G30="","",ORÇAMENTO!G30)</f>
        <v/>
      </c>
      <c r="H11" s="32" t="str">
        <f>IF(ORÇAMENTO!H30="","",ORÇAMENTO!H30)</f>
        <v/>
      </c>
      <c r="I11" s="32" t="str">
        <f>IF(Tabela1[[#This Row],[TOTAL]]="","",Tabela1[[#This Row],[TOTAL]]/Tabela1[[#This Row],[ETIQUETAS]])</f>
        <v/>
      </c>
      <c r="J11" s="32" t="str">
        <f>IF(Tabela1[[#This Row],[UNITÁRIO]]="","",Tabela1[[#This Row],[TOTAL]]/F11)</f>
        <v/>
      </c>
      <c r="K11" s="28"/>
      <c r="L11"/>
    </row>
    <row r="12" spans="2:13" s="9" customFormat="1" x14ac:dyDescent="0.25">
      <c r="B12" s="31"/>
      <c r="F12" s="9" t="str">
        <f>IF(Tabela1[[#This Row],[ETIQUETAS]]="","",Tabela1[[#This Row],[ETIQUETAS]]/$E$9)</f>
        <v/>
      </c>
      <c r="G12" s="37" t="str">
        <f>IF(ORÇAMENTO!G31="","",ORÇAMENTO!G31)</f>
        <v/>
      </c>
      <c r="H12" s="32" t="str">
        <f>IF(ORÇAMENTO!H31="","",ORÇAMENTO!H31)</f>
        <v/>
      </c>
      <c r="I12" s="32" t="str">
        <f>IF(Tabela1[[#This Row],[TOTAL]]="","",Tabela1[[#This Row],[TOTAL]]/Tabela1[[#This Row],[ETIQUETAS]])</f>
        <v/>
      </c>
      <c r="J12" s="32" t="str">
        <f>IF(Tabela1[[#This Row],[UNITÁRIO]]="","",Tabela1[[#This Row],[TOTAL]]/F12)</f>
        <v/>
      </c>
      <c r="K12" s="28"/>
      <c r="L12"/>
    </row>
    <row r="13" spans="2:13" s="9" customFormat="1" x14ac:dyDescent="0.25">
      <c r="B13" s="31"/>
      <c r="F13" s="9" t="str">
        <f>IF(Tabela1[[#This Row],[ETIQUETAS]]="","",Tabela1[[#This Row],[ETIQUETAS]]/$E$9)</f>
        <v/>
      </c>
      <c r="G13" s="37" t="str">
        <f>IF(ORÇAMENTO!G32="","",ORÇAMENTO!G32)</f>
        <v/>
      </c>
      <c r="H13" s="32" t="str">
        <f>IF(ORÇAMENTO!H32="","",ORÇAMENTO!H32)</f>
        <v/>
      </c>
      <c r="I13" s="32" t="str">
        <f>IF(Tabela1[[#This Row],[TOTAL]]="","",Tabela1[[#This Row],[TOTAL]]/Tabela1[[#This Row],[ETIQUETAS]])</f>
        <v/>
      </c>
      <c r="J13" s="32" t="str">
        <f>IF(Tabela1[[#This Row],[UNITÁRIO]]="","",Tabela1[[#This Row],[TOTAL]]/F13)</f>
        <v/>
      </c>
      <c r="K13" s="28"/>
      <c r="L13"/>
    </row>
    <row r="14" spans="2:13" s="9" customFormat="1" x14ac:dyDescent="0.25">
      <c r="B14" s="31"/>
      <c r="C14" s="2"/>
      <c r="D14" s="2"/>
      <c r="E14" s="2"/>
      <c r="G14" s="37"/>
      <c r="H14" s="32"/>
      <c r="I14" s="32"/>
      <c r="J14" s="32"/>
      <c r="K14" s="28"/>
      <c r="L14"/>
    </row>
    <row r="15" spans="2:13" s="9" customFormat="1" x14ac:dyDescent="0.25">
      <c r="B15" s="31"/>
      <c r="C15" s="45" t="s">
        <v>85</v>
      </c>
      <c r="D15" s="45"/>
      <c r="E15" s="40" t="str">
        <f>ORÇAMENTO!$I$28</f>
        <v/>
      </c>
      <c r="F15" s="32"/>
      <c r="G15" s="32"/>
      <c r="H15" s="32"/>
      <c r="I15" s="32"/>
      <c r="J15" s="32"/>
      <c r="K15" s="28"/>
      <c r="L15"/>
    </row>
    <row r="16" spans="2:13" s="9" customFormat="1" x14ac:dyDescent="0.25">
      <c r="B16" s="31"/>
      <c r="C16" s="46"/>
      <c r="D16" s="46"/>
      <c r="E16" s="44"/>
      <c r="F16" s="32"/>
      <c r="G16" s="32"/>
      <c r="H16" s="32"/>
      <c r="I16" s="32"/>
      <c r="J16" s="32"/>
      <c r="K16" s="28"/>
      <c r="L16"/>
    </row>
    <row r="17" spans="2:12" s="9" customFormat="1" x14ac:dyDescent="0.25">
      <c r="B17" s="31"/>
      <c r="C17" s="45" t="s">
        <v>94</v>
      </c>
      <c r="D17" s="45"/>
      <c r="E17" s="41" t="s">
        <v>95</v>
      </c>
      <c r="F17" s="32"/>
      <c r="G17" s="32"/>
      <c r="H17" s="32"/>
      <c r="I17" s="32"/>
      <c r="J17" s="32"/>
      <c r="K17" s="28"/>
      <c r="L17"/>
    </row>
    <row r="18" spans="2:12" s="9" customFormat="1" x14ac:dyDescent="0.25">
      <c r="B18" s="31"/>
      <c r="C18" s="42"/>
      <c r="D18" s="42"/>
      <c r="E18" s="43"/>
      <c r="F18" s="32"/>
      <c r="G18" s="32"/>
      <c r="H18" s="32"/>
      <c r="I18" s="32"/>
      <c r="J18" s="32"/>
      <c r="K18" s="28"/>
      <c r="L18"/>
    </row>
    <row r="19" spans="2:12" s="9" customFormat="1" x14ac:dyDescent="0.25">
      <c r="B19" s="31"/>
      <c r="C19" s="117" t="s">
        <v>108</v>
      </c>
      <c r="D19" s="117"/>
      <c r="E19" s="117"/>
      <c r="F19" s="32"/>
      <c r="G19" s="32"/>
      <c r="H19" s="32"/>
      <c r="I19" s="32"/>
      <c r="J19" s="32"/>
      <c r="K19" s="28"/>
      <c r="L19"/>
    </row>
    <row r="20" spans="2:12" s="9" customFormat="1" ht="52.5" customHeight="1" x14ac:dyDescent="0.25">
      <c r="B20" s="31"/>
      <c r="C20" s="115" t="s">
        <v>109</v>
      </c>
      <c r="D20" s="115"/>
      <c r="E20" s="116"/>
      <c r="F20" s="116"/>
      <c r="G20" s="116"/>
      <c r="H20" s="116"/>
      <c r="I20" s="116"/>
      <c r="J20" s="116"/>
      <c r="K20" s="28"/>
      <c r="L20"/>
    </row>
    <row r="21" spans="2:12" s="23" customFormat="1" ht="15.75" thickBot="1" x14ac:dyDescent="0.3">
      <c r="B21" s="33"/>
      <c r="C21" s="34"/>
      <c r="D21" s="34"/>
      <c r="E21" s="34"/>
      <c r="F21" s="34"/>
      <c r="G21" s="34"/>
      <c r="H21" s="34"/>
      <c r="I21" s="34"/>
      <c r="J21" s="34"/>
      <c r="K21" s="35"/>
      <c r="L21"/>
    </row>
    <row r="22" spans="2:12" x14ac:dyDescent="0.25">
      <c r="H22" s="32"/>
      <c r="I22" s="32"/>
      <c r="J22" s="32"/>
    </row>
  </sheetData>
  <mergeCells count="4">
    <mergeCell ref="C20:J20"/>
    <mergeCell ref="C19:E19"/>
    <mergeCell ref="C6:J6"/>
    <mergeCell ref="E3:H3"/>
  </mergeCells>
  <pageMargins left="0.511811024" right="0.511811024" top="0.78740157499999996" bottom="0.78740157499999996" header="0.31496062000000002" footer="0.31496062000000002"/>
  <pageSetup paperSize="261" scale="64" fitToHeight="0" orientation="portrait" horizontalDpi="203" verticalDpi="203" r:id="rId1"/>
  <ignoredErrors>
    <ignoredError sqref="D9" calculatedColumn="1"/>
  </ignoredErrors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70FF1-2BF2-402C-BEEC-650493981B48}">
  <dimension ref="A1:G6"/>
  <sheetViews>
    <sheetView showGridLines="0" zoomScale="140" zoomScaleNormal="140" workbookViewId="0">
      <pane xSplit="2" ySplit="4" topLeftCell="C5" activePane="bottomRight" state="frozen"/>
      <selection activeCell="B3" sqref="B3"/>
      <selection pane="topRight" activeCell="B3" sqref="B3"/>
      <selection pane="bottomLeft" activeCell="B3" sqref="B3"/>
      <selection pane="bottomRight" activeCell="B15" sqref="B15"/>
    </sheetView>
  </sheetViews>
  <sheetFormatPr defaultRowHeight="15" x14ac:dyDescent="0.25"/>
  <cols>
    <col min="1" max="1" width="2.7109375" customWidth="1"/>
    <col min="2" max="2" width="14.28515625" bestFit="1" customWidth="1"/>
    <col min="3" max="3" width="14.140625" bestFit="1" customWidth="1"/>
    <col min="4" max="4" width="12.7109375" bestFit="1" customWidth="1"/>
    <col min="5" max="5" width="6.42578125" bestFit="1" customWidth="1"/>
    <col min="6" max="6" width="6.5703125" bestFit="1" customWidth="1"/>
    <col min="7" max="7" width="2.7109375" customWidth="1"/>
    <col min="8" max="8" width="26.140625" bestFit="1" customWidth="1"/>
    <col min="12" max="12" width="6.5703125" bestFit="1" customWidth="1"/>
  </cols>
  <sheetData>
    <row r="1" spans="1:7" x14ac:dyDescent="0.25">
      <c r="A1" s="100"/>
      <c r="B1" s="100"/>
      <c r="C1" s="100"/>
      <c r="D1" s="100"/>
      <c r="E1" s="100"/>
      <c r="F1" s="100"/>
      <c r="G1" s="100"/>
    </row>
    <row r="2" spans="1:7" x14ac:dyDescent="0.25">
      <c r="A2" s="100"/>
      <c r="B2" s="110" t="s">
        <v>45</v>
      </c>
      <c r="C2" t="s">
        <v>237</v>
      </c>
      <c r="G2" s="100"/>
    </row>
    <row r="3" spans="1:7" x14ac:dyDescent="0.25">
      <c r="A3" s="100"/>
      <c r="G3" s="100"/>
    </row>
    <row r="4" spans="1:7" x14ac:dyDescent="0.25">
      <c r="A4" s="100"/>
      <c r="B4" s="110" t="s">
        <v>147</v>
      </c>
      <c r="C4" s="110" t="s">
        <v>114</v>
      </c>
      <c r="D4" s="110" t="s">
        <v>115</v>
      </c>
      <c r="E4" s="110" t="s">
        <v>38</v>
      </c>
      <c r="F4" s="110" t="s">
        <v>117</v>
      </c>
      <c r="G4" s="100"/>
    </row>
    <row r="5" spans="1:7" x14ac:dyDescent="0.25">
      <c r="A5" s="100"/>
      <c r="B5" t="s">
        <v>149</v>
      </c>
      <c r="C5" t="s">
        <v>122</v>
      </c>
      <c r="D5">
        <v>3.3337499999999998</v>
      </c>
      <c r="E5">
        <v>63</v>
      </c>
      <c r="F5">
        <v>6</v>
      </c>
      <c r="G5" s="100"/>
    </row>
    <row r="6" spans="1:7" x14ac:dyDescent="0.25">
      <c r="A6" s="100"/>
      <c r="G6" s="100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>
    <pageSetUpPr fitToPage="1"/>
  </sheetPr>
  <dimension ref="A1:O34"/>
  <sheetViews>
    <sheetView tabSelected="1" zoomScale="40" zoomScaleNormal="40" workbookViewId="0">
      <pane xSplit="1" ySplit="12" topLeftCell="B13" activePane="bottomRight" state="frozen"/>
      <selection activeCell="B3" sqref="B3"/>
      <selection pane="topRight" activeCell="B3" sqref="B3"/>
      <selection pane="bottomLeft" activeCell="B3" sqref="B3"/>
      <selection pane="bottomRight" activeCell="C13" sqref="C13"/>
    </sheetView>
  </sheetViews>
  <sheetFormatPr defaultColWidth="20.5703125" defaultRowHeight="15" zeroHeight="1" x14ac:dyDescent="0.25"/>
  <cols>
    <col min="1" max="1" width="32.28515625" style="1" customWidth="1"/>
    <col min="2" max="2" width="32.5703125" style="1" bestFit="1" customWidth="1"/>
    <col min="3" max="3" width="35.42578125" style="1" bestFit="1" customWidth="1"/>
    <col min="4" max="4" width="26.85546875" style="1" customWidth="1"/>
    <col min="5" max="5" width="35.7109375" style="1" bestFit="1" customWidth="1"/>
    <col min="6" max="6" width="26.7109375" style="1" bestFit="1" customWidth="1"/>
    <col min="7" max="7" width="49.28515625" style="1" bestFit="1" customWidth="1"/>
    <col min="8" max="8" width="30.5703125" style="1" bestFit="1" customWidth="1"/>
    <col min="9" max="9" width="28.7109375" style="1" customWidth="1"/>
    <col min="10" max="10" width="26.28515625" style="1" bestFit="1" customWidth="1"/>
    <col min="11" max="11" width="23.28515625" style="1" bestFit="1" customWidth="1"/>
    <col min="12" max="12" width="31.140625" style="1" customWidth="1"/>
    <col min="13" max="13" width="23.85546875" style="1" customWidth="1"/>
    <col min="14" max="14" width="27.7109375" style="1" customWidth="1"/>
    <col min="15" max="15" width="2.7109375" style="1" customWidth="1"/>
    <col min="16" max="16" width="16.5703125" style="1" customWidth="1"/>
    <col min="17" max="17" width="7.85546875" style="1" customWidth="1"/>
    <col min="18" max="18" width="11.42578125" style="1" customWidth="1"/>
    <col min="19" max="16384" width="20.5703125" style="1"/>
  </cols>
  <sheetData>
    <row r="1" spans="1:15" ht="14.45" customHeight="1" x14ac:dyDescent="0.25">
      <c r="A1" s="128" t="s">
        <v>24</v>
      </c>
      <c r="B1" s="129"/>
      <c r="O1" s="100"/>
    </row>
    <row r="2" spans="1:15" ht="15" customHeight="1" thickBot="1" x14ac:dyDescent="0.3">
      <c r="A2" s="130"/>
      <c r="B2" s="131"/>
      <c r="O2" s="100"/>
    </row>
    <row r="3" spans="1:15" ht="15.75" thickBot="1" x14ac:dyDescent="0.3">
      <c r="O3" s="100"/>
    </row>
    <row r="4" spans="1:15" s="93" customFormat="1" ht="29.25" thickBot="1" x14ac:dyDescent="0.5">
      <c r="A4" s="97" t="s">
        <v>793</v>
      </c>
      <c r="B4" s="98" t="s">
        <v>92</v>
      </c>
      <c r="C4" s="99" t="s">
        <v>794</v>
      </c>
      <c r="E4" s="133" t="s">
        <v>80</v>
      </c>
      <c r="F4" s="134"/>
      <c r="G4" s="135"/>
      <c r="H4" s="92"/>
      <c r="I4" s="92"/>
      <c r="O4" s="100"/>
    </row>
    <row r="5" spans="1:15" s="93" customFormat="1" ht="29.25" thickBot="1" x14ac:dyDescent="0.5">
      <c r="A5" s="107">
        <f ca="1">TODAY()</f>
        <v>46226</v>
      </c>
      <c r="B5" s="95" t="s">
        <v>970</v>
      </c>
      <c r="C5" s="94"/>
      <c r="E5" s="96"/>
      <c r="F5" s="132" t="s">
        <v>72</v>
      </c>
      <c r="G5" s="132"/>
      <c r="H5" s="92"/>
      <c r="I5" s="92"/>
      <c r="O5" s="100"/>
    </row>
    <row r="6" spans="1:15" ht="15.75" thickBot="1" x14ac:dyDescent="0.3">
      <c r="A6" s="2"/>
      <c r="B6" s="2"/>
      <c r="C6" s="2"/>
      <c r="D6" s="2"/>
      <c r="E6" s="2"/>
      <c r="F6" s="2"/>
      <c r="G6" s="2"/>
      <c r="H6" s="2"/>
      <c r="I6" s="2"/>
      <c r="O6" s="100"/>
    </row>
    <row r="7" spans="1:15" ht="53.25" thickBot="1" x14ac:dyDescent="0.45">
      <c r="A7" s="124" t="s">
        <v>795</v>
      </c>
      <c r="B7" s="114" t="s">
        <v>969</v>
      </c>
      <c r="C7" s="49" t="s">
        <v>12</v>
      </c>
      <c r="D7" s="49" t="s">
        <v>11</v>
      </c>
      <c r="E7" s="50" t="s">
        <v>8</v>
      </c>
      <c r="F7" s="49" t="s">
        <v>18</v>
      </c>
      <c r="G7" s="49" t="s">
        <v>13</v>
      </c>
      <c r="H7" s="49" t="s">
        <v>14</v>
      </c>
      <c r="I7" s="49" t="s">
        <v>27</v>
      </c>
      <c r="J7" s="51" t="s">
        <v>25</v>
      </c>
      <c r="K7" s="52"/>
      <c r="O7" s="100"/>
    </row>
    <row r="8" spans="1:15" ht="27" thickBot="1" x14ac:dyDescent="0.45">
      <c r="A8" s="125"/>
      <c r="B8" s="103" t="str">
        <f>MAPA_DE_FACAS!$C$2</f>
        <v>5,0x3,0</v>
      </c>
      <c r="C8" s="53">
        <v>5.5</v>
      </c>
      <c r="D8" s="54">
        <f>MAPA_DE_FACAS!D5</f>
        <v>3.3337499999999998</v>
      </c>
      <c r="E8" s="55">
        <v>0</v>
      </c>
      <c r="F8" s="55" t="s">
        <v>52</v>
      </c>
      <c r="G8" s="55" t="s">
        <v>803</v>
      </c>
      <c r="H8" s="55">
        <v>0</v>
      </c>
      <c r="I8" s="55">
        <v>2</v>
      </c>
      <c r="J8" s="55">
        <v>1000</v>
      </c>
      <c r="K8" s="52"/>
      <c r="O8" s="100"/>
    </row>
    <row r="9" spans="1:15" ht="79.5" thickBot="1" x14ac:dyDescent="0.45">
      <c r="A9" s="125"/>
      <c r="B9" s="48" t="s">
        <v>22</v>
      </c>
      <c r="C9" s="49" t="s">
        <v>84</v>
      </c>
      <c r="D9" s="49" t="s">
        <v>112</v>
      </c>
      <c r="E9" s="50" t="s">
        <v>111</v>
      </c>
      <c r="F9" s="49" t="s">
        <v>150</v>
      </c>
      <c r="G9" s="49" t="s">
        <v>19</v>
      </c>
      <c r="H9" s="49" t="s">
        <v>93</v>
      </c>
      <c r="I9" s="49" t="s">
        <v>110</v>
      </c>
      <c r="J9" s="51" t="s">
        <v>151</v>
      </c>
      <c r="K9" s="52"/>
      <c r="O9" s="100"/>
    </row>
    <row r="10" spans="1:15" ht="27" thickBot="1" x14ac:dyDescent="0.45">
      <c r="A10" s="126"/>
      <c r="B10" s="56" t="s">
        <v>23</v>
      </c>
      <c r="C10" s="59">
        <f>MAPA_DE_FACAS!E5</f>
        <v>63</v>
      </c>
      <c r="D10" s="104" t="str">
        <f>MAPA_DE_FACAS!$C$5</f>
        <v>ESPECIAL</v>
      </c>
      <c r="E10" s="59">
        <f>MAPA_DE_FACAS!$F$5</f>
        <v>6</v>
      </c>
      <c r="F10" s="57">
        <v>250</v>
      </c>
      <c r="G10" s="57" t="s">
        <v>145</v>
      </c>
      <c r="H10" s="58">
        <v>16</v>
      </c>
      <c r="I10" s="58" t="s">
        <v>96</v>
      </c>
      <c r="J10" s="57">
        <v>1</v>
      </c>
      <c r="K10" s="52"/>
      <c r="O10" s="100"/>
    </row>
    <row r="11" spans="1:15" s="2" customFormat="1" ht="15" customHeight="1" thickBot="1" x14ac:dyDescent="0.45">
      <c r="A11" s="60"/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 t="s">
        <v>154</v>
      </c>
      <c r="O11" s="100"/>
    </row>
    <row r="12" spans="1:15" ht="79.5" thickBot="1" x14ac:dyDescent="0.3">
      <c r="A12" s="127" t="s">
        <v>155</v>
      </c>
      <c r="B12" s="61" t="s">
        <v>7</v>
      </c>
      <c r="C12" s="49" t="s">
        <v>127</v>
      </c>
      <c r="D12" s="49" t="s">
        <v>17</v>
      </c>
      <c r="E12" s="49" t="s">
        <v>129</v>
      </c>
      <c r="F12" s="49" t="s">
        <v>130</v>
      </c>
      <c r="G12" s="49" t="s">
        <v>965</v>
      </c>
      <c r="H12" s="49" t="s">
        <v>21</v>
      </c>
      <c r="I12" s="49" t="s">
        <v>128</v>
      </c>
      <c r="J12" s="49" t="s">
        <v>810</v>
      </c>
      <c r="K12" s="49" t="s">
        <v>131</v>
      </c>
      <c r="L12" s="49" t="s">
        <v>81</v>
      </c>
      <c r="M12" s="49" t="s">
        <v>16</v>
      </c>
      <c r="N12" s="62" t="s">
        <v>20</v>
      </c>
      <c r="O12" s="100"/>
    </row>
    <row r="13" spans="1:15" ht="26.25" x14ac:dyDescent="0.4">
      <c r="A13" s="125"/>
      <c r="B13" s="63"/>
      <c r="C13" s="64"/>
      <c r="D13" s="67" t="str">
        <f>IF(C13="","",((((($D$8/100)*B13/$I$8)/$C$18)+1)))</f>
        <v/>
      </c>
      <c r="E13" s="66" t="str">
        <f>IF(C13="","",VLOOKUP($C$13,'HORA PARADA'!$A:$B,2,0)*((($H$8)-1)))</f>
        <v/>
      </c>
      <c r="F13" s="67" t="str">
        <f>IF(C13="","",IF(G13&lt;1000,"",((((G13/1000)-1)*5)/60)))</f>
        <v/>
      </c>
      <c r="G13" s="68" t="str">
        <f>IF(C13="","",(($D$8/100)*B13/$I$8))</f>
        <v/>
      </c>
      <c r="H13" s="67" t="str">
        <f>IF(C13="","",CEILING(((B13*($C$8)*$D$8)/10000),0.1))</f>
        <v/>
      </c>
      <c r="I13" s="69" t="str">
        <f>IF(C13="","",IF($E$8=0,VLOOKUP($E$8,'PERDA DE PAPEL'!$A:$D,4,0),IF($E$8=1,VLOOKUP($E$8,'PERDA DE PAPEL'!$A:$D,4,0),IF($E$8=2,VLOOKUP($E$8,'PERDA DE PAPEL'!$A:$D,4,0),IF($E$8=3,VLOOKUP($E$8,'PERDA DE PAPEL'!$A:$D,4,0),IF($E$8=4,($C$8+1)/100*'PERDA DE PAPEL'!$F$6,IF($E$8="4V",($C$8/100)*250,IF($E$8=5,($C$8/100)*250,IF($E$8=6,($C$8/100)*260,IF($E$8=7,($C$8/100)*270,IF($E$8=8,($C$8/100)*280,"")))))))))))</f>
        <v/>
      </c>
      <c r="J13" s="113" t="str">
        <f>IF(C13="","",VLOOKUP($G$8,'PERDA DE ACABAMENTO'!$A:$B,2,0))</f>
        <v/>
      </c>
      <c r="K13" s="70" t="str">
        <f>IF(C13="","",IF(G13&lt;=1000,"0",((5*($C$8-0.75)*$I$8/100)*(G13/1000))))</f>
        <v/>
      </c>
      <c r="L13" s="69" t="str">
        <f>IF(C13="","",B13/$J$8)</f>
        <v/>
      </c>
      <c r="M13" s="65">
        <v>1</v>
      </c>
      <c r="N13" s="71">
        <f>IF($I$10="SIM",'MATRIZ '!$E$3,"")</f>
        <v>0</v>
      </c>
      <c r="O13" s="100"/>
    </row>
    <row r="14" spans="1:15" ht="26.25" x14ac:dyDescent="0.4">
      <c r="A14" s="125"/>
      <c r="B14" s="72"/>
      <c r="C14" s="73" t="str">
        <f t="shared" ref="C14:C17" si="0">IF(B14="","",C13)</f>
        <v/>
      </c>
      <c r="D14" s="67" t="str">
        <f t="shared" ref="D14:D17" si="1">IF(C14="","",((((($D$8/100)*B14/$I$8)/$C$18)+1)))</f>
        <v/>
      </c>
      <c r="E14" s="66" t="str">
        <f>IF(C14="","",VLOOKUP($C$13,'HORA PARADA'!$A:$B,2,0)*((($H$8)-1)))</f>
        <v/>
      </c>
      <c r="F14" s="67" t="str">
        <f t="shared" ref="F14:F17" si="2">IF(C14="","",IF(G14&lt;1000,"",((((G14/1000)-1)*5)/60)))</f>
        <v/>
      </c>
      <c r="G14" s="68" t="str">
        <f t="shared" ref="G14:G16" si="3">IF(C14="","",(($D$8/100)*B14/$I$8))</f>
        <v/>
      </c>
      <c r="H14" s="67" t="str">
        <f t="shared" ref="H14:H17" si="4">IF(C14="","",CEILING(((B14*($C$8)*$D$8)/10000),0.1))</f>
        <v/>
      </c>
      <c r="I14" s="69" t="str">
        <f>IF(C14="","",IF($E$8=0,VLOOKUP($E$8,'PERDA DE PAPEL'!$A:$D,4,0),IF($E$8=1,VLOOKUP($E$8,'PERDA DE PAPEL'!$A:$D,4,0),IF($E$8=2,VLOOKUP($E$8,'PERDA DE PAPEL'!$A:$D,4,0),IF($E$8=3,VLOOKUP($E$8,'PERDA DE PAPEL'!$A:$D,4,0),IF($E$8=4,($C$8+1)/100*'PERDA DE PAPEL'!$F$6,IF($E$8="4V",($C$8/100)*250,IF($E$8=5,($C$8/100)*250,IF($E$8=6,($C$8/100)*260,IF($E$8=7,($C$8/100)*270,IF($E$8=8,($C$8/100)*280,"")))))))))))</f>
        <v/>
      </c>
      <c r="J14" s="113" t="str">
        <f>IF(C14="","",VLOOKUP($G$8,'PERDA DE ACABAMENTO'!$A:$B,2,0))</f>
        <v/>
      </c>
      <c r="K14" s="70" t="str">
        <f>IF(C14="","",IF(G14&lt;=1000,"0",((5*($C$8-0.75)*$I$8/100)*(G14/1000))))</f>
        <v/>
      </c>
      <c r="L14" s="69" t="str">
        <f>IF(C14="","",B14/$J$8)</f>
        <v/>
      </c>
      <c r="M14" s="65" t="str">
        <f>IF(C14="","",VLOOKUP(CONCATENATE($B$10&amp;L14),CAIXAS!$B:$E,4,0))</f>
        <v/>
      </c>
      <c r="N14" s="52"/>
      <c r="O14" s="100"/>
    </row>
    <row r="15" spans="1:15" ht="26.25" x14ac:dyDescent="0.4">
      <c r="A15" s="125"/>
      <c r="B15" s="72"/>
      <c r="C15" s="73" t="str">
        <f t="shared" si="0"/>
        <v/>
      </c>
      <c r="D15" s="67" t="str">
        <f t="shared" si="1"/>
        <v/>
      </c>
      <c r="E15" s="66" t="str">
        <f>IF(C15="","",VLOOKUP($C$13,'HORA PARADA'!$A:$B,2,0)*((($H$8)-1)))</f>
        <v/>
      </c>
      <c r="F15" s="67" t="str">
        <f t="shared" si="2"/>
        <v/>
      </c>
      <c r="G15" s="68" t="str">
        <f t="shared" si="3"/>
        <v/>
      </c>
      <c r="H15" s="67" t="str">
        <f t="shared" si="4"/>
        <v/>
      </c>
      <c r="I15" s="69" t="str">
        <f>IF(C15="","",IF($E$8=0,VLOOKUP($E$8,'PERDA DE PAPEL'!$A:$D,4,0),IF($E$8=1,VLOOKUP($E$8,'PERDA DE PAPEL'!$A:$D,4,0),IF($E$8=2,VLOOKUP($E$8,'PERDA DE PAPEL'!$A:$D,4,0),IF($E$8=3,VLOOKUP($E$8,'PERDA DE PAPEL'!$A:$D,4,0),IF($E$8=4,($C$8+1)/100*'PERDA DE PAPEL'!$F$6,IF($E$8="4V",($C$8/100)*250,IF($E$8=5,($C$8/100)*250,IF($E$8=6,($C$8/100)*260,IF($E$8=7,($C$8/100)*270,IF($E$8=8,($C$8/100)*280,"")))))))))))</f>
        <v/>
      </c>
      <c r="J15" s="113" t="str">
        <f>IF(C15="","",VLOOKUP($G$8,'PERDA DE ACABAMENTO'!$A:$B,2,0))</f>
        <v/>
      </c>
      <c r="K15" s="70" t="str">
        <f>IF(C15="","",IF(G15&lt;=1000,"0",((5*($C$8-0.75)*$I$8/100)*(G15/1000))))</f>
        <v/>
      </c>
      <c r="L15" s="69" t="str">
        <f>IF(C15="","",B15/$J$8)</f>
        <v/>
      </c>
      <c r="M15" s="65" t="str">
        <f>IF(C15="","",VLOOKUP(CONCATENATE($B$10&amp;L15),CAIXAS!$B:$E,4,0))</f>
        <v/>
      </c>
      <c r="N15" s="52"/>
      <c r="O15" s="100"/>
    </row>
    <row r="16" spans="1:15" ht="26.25" x14ac:dyDescent="0.4">
      <c r="A16" s="125"/>
      <c r="B16" s="72"/>
      <c r="C16" s="73" t="str">
        <f t="shared" si="0"/>
        <v/>
      </c>
      <c r="D16" s="67" t="str">
        <f t="shared" si="1"/>
        <v/>
      </c>
      <c r="E16" s="66" t="str">
        <f>IF(C16="","",VLOOKUP($C$13,'HORA PARADA'!$A:$B,2,0)*((($H$8)-1)))</f>
        <v/>
      </c>
      <c r="F16" s="67" t="str">
        <f t="shared" si="2"/>
        <v/>
      </c>
      <c r="G16" s="68" t="str">
        <f t="shared" si="3"/>
        <v/>
      </c>
      <c r="H16" s="67" t="str">
        <f t="shared" si="4"/>
        <v/>
      </c>
      <c r="I16" s="69" t="str">
        <f>IF(C16="","",IF($E$8=0,VLOOKUP($E$8,'PERDA DE PAPEL'!$A:$D,4,0),IF($E$8=1,VLOOKUP($E$8,'PERDA DE PAPEL'!$A:$D,4,0),IF($E$8=2,VLOOKUP($E$8,'PERDA DE PAPEL'!$A:$D,4,0),IF($E$8=3,VLOOKUP($E$8,'PERDA DE PAPEL'!$A:$D,4,0),IF($E$8=4,($C$8+1)/100*'PERDA DE PAPEL'!$F$6,IF($E$8="4V",($C$8/100)*250,IF($E$8=5,($C$8/100)*250,IF($E$8=6,($C$8/100)*260,IF($E$8=7,($C$8/100)*270,IF($E$8=8,($C$8/100)*280,"")))))))))))</f>
        <v/>
      </c>
      <c r="J16" s="113" t="str">
        <f>IF(C16="","",VLOOKUP($G$8,'PERDA DE ACABAMENTO'!$A:$B,2,0))</f>
        <v/>
      </c>
      <c r="K16" s="70" t="str">
        <f>IF(C16="","",IF(G16&lt;=1000,"0",((5*($C$8-0.75)*$I$8/100)*(G16/1000))))</f>
        <v/>
      </c>
      <c r="L16" s="69" t="str">
        <f>IF(C16="","",B16/$J$8)</f>
        <v/>
      </c>
      <c r="M16" s="65" t="str">
        <f>IF(C16="","",VLOOKUP(CONCATENATE($B$10&amp;L16),CAIXAS!$B:$E,4,0))</f>
        <v/>
      </c>
      <c r="N16" s="52"/>
      <c r="O16" s="100"/>
    </row>
    <row r="17" spans="1:15" ht="26.25" x14ac:dyDescent="0.4">
      <c r="A17" s="125"/>
      <c r="B17" s="72"/>
      <c r="C17" s="73" t="str">
        <f t="shared" si="0"/>
        <v/>
      </c>
      <c r="D17" s="67" t="str">
        <f t="shared" si="1"/>
        <v/>
      </c>
      <c r="E17" s="66" t="str">
        <f t="shared" ref="E17" si="5">IF(C17="","",IF(F17="","",((($H$8)-1)*F17)))</f>
        <v/>
      </c>
      <c r="F17" s="67" t="str">
        <f t="shared" si="2"/>
        <v/>
      </c>
      <c r="G17" s="68" t="str">
        <f t="shared" ref="G17" si="6">IF(C17="","",(($D$8/100)*B17/$I$8)*$J$10)</f>
        <v/>
      </c>
      <c r="H17" s="67" t="str">
        <f t="shared" si="4"/>
        <v/>
      </c>
      <c r="I17" s="69" t="str">
        <f>IF(C17="","",IF($E$8=0,VLOOKUP($E$8,'PERDA DE PAPEL'!$A:$D,4,0),IF($E$8=1,VLOOKUP($E$8,'PERDA DE PAPEL'!$A:$D,4,0),IF($E$8=2,VLOOKUP($E$8,'PERDA DE PAPEL'!$A:$D,4,0),IF($E$8=3,VLOOKUP($E$8,'PERDA DE PAPEL'!$A:$D,4,0),IF($E$8=4,($C$8+1)/100*'PERDA DE PAPEL'!$F$6,IF($E$8="4V",($C$8/100)*250,IF($E$8=5,($C$8/100)*250,IF($E$8=6,($C$8/100)*260,IF($E$8=7,($C$8/100)*270,IF($E$8=8,($C$8/100)*280,"")))))))))))</f>
        <v/>
      </c>
      <c r="J17" s="113" t="str">
        <f>IF(C17="","",VLOOKUP($G$8,'PERDA DE ACABAMENTO'!$A:$B,2,0))</f>
        <v/>
      </c>
      <c r="K17" s="70" t="str">
        <f>IF(C17="","",IF(G17&lt;=1000,"0",((5*($C$8-0.75)*$I$8/100)*(G17/1000))))</f>
        <v/>
      </c>
      <c r="L17" s="69" t="str">
        <f>IF(C17="","",B17/$J$8)</f>
        <v/>
      </c>
      <c r="M17" s="65" t="str">
        <f>IF(C17="","",VLOOKUP(CONCATENATE($B$10&amp;L17),CAIXAS!$B:$E,4,0))</f>
        <v/>
      </c>
      <c r="N17" s="52"/>
      <c r="O17" s="100"/>
    </row>
    <row r="18" spans="1:15" ht="26.25" x14ac:dyDescent="0.4">
      <c r="A18" s="125"/>
      <c r="B18" s="74" t="s">
        <v>76</v>
      </c>
      <c r="C18" s="75">
        <v>1000</v>
      </c>
      <c r="D18" s="76"/>
      <c r="E18" s="77"/>
      <c r="F18" s="52"/>
      <c r="G18" s="78"/>
      <c r="H18" s="52"/>
      <c r="I18" s="78"/>
      <c r="J18" s="60"/>
      <c r="K18" s="60"/>
      <c r="L18" s="78"/>
      <c r="M18" s="79"/>
      <c r="O18" s="100"/>
    </row>
    <row r="19" spans="1:15" ht="15" customHeight="1" thickBot="1" x14ac:dyDescent="0.45">
      <c r="A19" s="125"/>
      <c r="B19" s="52"/>
      <c r="C19" s="60"/>
      <c r="D19" s="60"/>
      <c r="E19" s="60"/>
      <c r="F19" s="60"/>
      <c r="G19" s="60"/>
      <c r="H19" s="60"/>
      <c r="I19" s="60"/>
      <c r="J19" s="60"/>
      <c r="K19" s="52"/>
      <c r="L19" s="52"/>
      <c r="M19" s="52"/>
      <c r="O19" s="100"/>
    </row>
    <row r="20" spans="1:15" ht="53.25" thickBot="1" x14ac:dyDescent="0.45">
      <c r="A20" s="125"/>
      <c r="B20" s="61" t="s">
        <v>7</v>
      </c>
      <c r="C20" s="49" t="s">
        <v>15</v>
      </c>
      <c r="D20" s="49" t="s">
        <v>132</v>
      </c>
      <c r="E20" s="49" t="s">
        <v>133</v>
      </c>
      <c r="F20" s="49" t="s">
        <v>134</v>
      </c>
      <c r="G20" s="49" t="s">
        <v>105</v>
      </c>
      <c r="H20" s="49" t="s">
        <v>797</v>
      </c>
      <c r="I20" s="49" t="s">
        <v>28</v>
      </c>
      <c r="J20" s="49" t="s">
        <v>44</v>
      </c>
      <c r="K20" s="49" t="s">
        <v>104</v>
      </c>
      <c r="L20" s="80" t="s">
        <v>98</v>
      </c>
      <c r="M20" s="52"/>
      <c r="O20" s="100"/>
    </row>
    <row r="21" spans="1:15" ht="26.25" x14ac:dyDescent="0.4">
      <c r="A21" s="125"/>
      <c r="B21" s="81" t="str">
        <f>IF(C13="","",B13)</f>
        <v/>
      </c>
      <c r="C21" s="82" t="str">
        <f>IF(C13="","",((H13+I13+K13)*VLOOKUP($F$8,PAPEL!$A:$B,2,0)))</f>
        <v/>
      </c>
      <c r="D21" s="82" t="str">
        <f>IF(C13="","",IF($G$10='HORA MÁQUINA '!$B$2,VLOOKUP($E$8,'HORA MÁQUINA '!$C:$E,3,0)*(D13),IF($G$10='HORA MÁQUINA '!$I$2,VLOOKUP($E$8,'HORA MÁQUINA '!$J:$L,3,0)*(D13),IF($G$10='HORA MÁQUINA '!$P$2,VLOOKUP($E$8,'HORA MÁQUINA '!$Q:$S,3,0)*(D13)))))</f>
        <v/>
      </c>
      <c r="E21" s="82" t="str">
        <f>IF(B13="","",IF($G$10='HORA MÁQUINA '!$B$2,VLOOKUP($E$8,'HORA MÁQUINA '!$C:$E,3,0)*(E13),IF($G$10='HORA MÁQUINA '!$I$2,VLOOKUP($E$8,'HORA MÁQUINA '!$J:$L,3,0)*(E13),IF($G$10='HORA MÁQUINA '!$P$2,VLOOKUP($E$8,'HORA MÁQUINA '!$Q:$S,3,0)*(E13)))))</f>
        <v/>
      </c>
      <c r="F21" s="82" t="str">
        <f>IF(F13="","",IF($G$10='HORA MÁQUINA '!$B$2,VLOOKUP($E$8,'HORA MÁQUINA '!$C:$E,3,0)*(F13),IF($G$10='HORA MÁQUINA '!$I$2,VLOOKUP($E$8,'HORA MÁQUINA '!$J:$L,3,0)*(F13),IF($G$10='HORA MÁQUINA '!$P$2,VLOOKUP($E$8,'HORA MÁQUINA '!$Q:$S,3,0)*(F13)))))</f>
        <v/>
      </c>
      <c r="G21" s="83" t="str">
        <f>IF($E$8=0,"",IF(SUM(H13:I13)&lt;=30,$E$8*10,SUM(H13:I13)*TINTA!$C$3))</f>
        <v/>
      </c>
      <c r="H21" s="83" t="str">
        <f>IF(B21="","",VLOOKUP($G$8,ACABAMENTOS!$A:$B,2,0)*SUM(H13+J13))</f>
        <v/>
      </c>
      <c r="I21" s="82" t="str">
        <f>IF(G13="","",((((G13*$I$8)/$J$10)/1000)*ACABAMENTOS!$B$6))</f>
        <v/>
      </c>
      <c r="J21" s="82" t="str">
        <f>IF(C13="","",B13/$J$8*VLOOKUP($B$10,TUBETE!$B:$C,2,0))</f>
        <v/>
      </c>
      <c r="K21" s="82">
        <f>IF(M13="","",M13*7)</f>
        <v>7</v>
      </c>
      <c r="L21" s="84" t="str">
        <f>IF(B21="","",SUM(C21:K21))</f>
        <v/>
      </c>
      <c r="M21" s="52"/>
      <c r="O21" s="100"/>
    </row>
    <row r="22" spans="1:15" ht="26.25" x14ac:dyDescent="0.4">
      <c r="A22" s="125"/>
      <c r="B22" s="81" t="str">
        <f>IF(C14="","",B14)</f>
        <v/>
      </c>
      <c r="C22" s="82" t="str">
        <f>IF(C14="","",((H14+I14+K14)*VLOOKUP($F$8,PAPEL!$A:$B,2,0)))</f>
        <v/>
      </c>
      <c r="D22" s="82" t="str">
        <f>IF(C14="","",IF($G$10='HORA MÁQUINA '!$B$2,VLOOKUP($E$8,'HORA MÁQUINA '!$C:$E,3,0)*(D14),IF($G$10='HORA MÁQUINA '!$I$2,VLOOKUP($E$8,'HORA MÁQUINA '!$J:$L,3,0)*(D14),IF($G$10='HORA MÁQUINA '!$P$2,VLOOKUP($E$8,'HORA MÁQUINA '!$Q:$S,3,0)*(D14)))))</f>
        <v/>
      </c>
      <c r="E22" s="82" t="str">
        <f>IF(B14="","",IF($G$10='HORA MÁQUINA '!$B$2,VLOOKUP($E$8,'HORA MÁQUINA '!$C:$E,3,0)*(E14),IF($G$10='HORA MÁQUINA '!$I$2,VLOOKUP($E$8,'HORA MÁQUINA '!$J:$L,3,0)*(E14),IF($G$10='HORA MÁQUINA '!$P$2,VLOOKUP($E$8,'HORA MÁQUINA '!$Q:$S,3,0)*(E14)))))</f>
        <v/>
      </c>
      <c r="F22" s="82" t="str">
        <f>IF(F14="","",IF($G$10='HORA MÁQUINA '!$B$2,VLOOKUP($E$8,'HORA MÁQUINA '!$C:$E,3,0)*(F14),IF($G$10='HORA MÁQUINA '!$I$2,VLOOKUP($E$8,'HORA MÁQUINA '!$J:$L,3,0)*(F14),IF($G$10='HORA MÁQUINA '!$P$2,VLOOKUP($E$8,'HORA MÁQUINA '!$Q:$S,3,0)*(F14)))))</f>
        <v/>
      </c>
      <c r="G22" s="83" t="str">
        <f>IF($E$8=0,"",IF(SUM(H14:I14)&lt;=30,$E$8*10,SUM(H14:I14)*TINTA!$C$3))</f>
        <v/>
      </c>
      <c r="H22" s="83" t="str">
        <f>IF(B22="","",VLOOKUP($G$8,ACABAMENTOS!$A:$B,2,0)*SUM(H14:J14))</f>
        <v/>
      </c>
      <c r="I22" s="82" t="str">
        <f>IF(G14="","",((((G14*$I$8)/$J$10)/1000)*ACABAMENTOS!$B$6))</f>
        <v/>
      </c>
      <c r="J22" s="82" t="str">
        <f>IF(C14="","",B14/$J$8*VLOOKUP($B$10,TUBETE!$B:$C,2,0))</f>
        <v/>
      </c>
      <c r="K22" s="82" t="str">
        <f>IF(M14="","",M14*7)</f>
        <v/>
      </c>
      <c r="L22" s="84" t="str">
        <f>IF(B22="","",SUM(C22:K22))</f>
        <v/>
      </c>
      <c r="M22" s="52"/>
      <c r="O22" s="100"/>
    </row>
    <row r="23" spans="1:15" ht="26.25" x14ac:dyDescent="0.4">
      <c r="A23" s="125"/>
      <c r="B23" s="81" t="str">
        <f t="shared" ref="B23:B24" si="7">IF(C15="","",B15)</f>
        <v/>
      </c>
      <c r="C23" s="82" t="str">
        <f>IF(C15="","",((H15+I15+K15)*VLOOKUP($F$8,PAPEL!$A:$B,2,0)))</f>
        <v/>
      </c>
      <c r="D23" s="82" t="str">
        <f>IF(C15="","",IF($G$10='HORA MÁQUINA '!$B$2,VLOOKUP($E$8,'HORA MÁQUINA '!$C:$E,3,0)*(D15),IF($G$10='HORA MÁQUINA '!$I$2,VLOOKUP($E$8,'HORA MÁQUINA '!$J:$L,3,0)*(D15),IF($G$10='HORA MÁQUINA '!$P$2,VLOOKUP($E$8,'HORA MÁQUINA '!$Q:$S,3,0)*(D15)))))</f>
        <v/>
      </c>
      <c r="E23" s="82" t="str">
        <f>IF(B15="","",IF($G$10='HORA MÁQUINA '!$B$2,VLOOKUP($E$8,'HORA MÁQUINA '!$C:$E,3,0)*(E15),IF($G$10='HORA MÁQUINA '!$I$2,VLOOKUP($E$8,'HORA MÁQUINA '!$J:$L,3,0)*(E15),IF($G$10='HORA MÁQUINA '!$P$2,VLOOKUP($E$8,'HORA MÁQUINA '!$Q:$S,3,0)*(E15)))))</f>
        <v/>
      </c>
      <c r="F23" s="82" t="str">
        <f>IF(F15="","",IF($G$10='HORA MÁQUINA '!$B$2,VLOOKUP($E$8,'HORA MÁQUINA '!$C:$E,3,0)*(F15),IF($G$10='HORA MÁQUINA '!$I$2,VLOOKUP($E$8,'HORA MÁQUINA '!$J:$L,3,0)*(F15),IF($G$10='HORA MÁQUINA '!$P$2,VLOOKUP($E$8,'HORA MÁQUINA '!$Q:$S,3,0)*(F15)))))</f>
        <v/>
      </c>
      <c r="G23" s="83" t="str">
        <f>IF($E$8=0,"",IF(SUM(H15:I15)&lt;=30,$E$8*10,SUM(H15:I15)*TINTA!$C$3))</f>
        <v/>
      </c>
      <c r="H23" s="83" t="str">
        <f>IF(B23="","",VLOOKUP($G$8,ACABAMENTOS!$A:$B,2,0)*SUM(H15:J15))</f>
        <v/>
      </c>
      <c r="I23" s="82" t="str">
        <f>IF(G15="","",((((G15*$I$8)/$J$10)/1000)*ACABAMENTOS!$B$6))</f>
        <v/>
      </c>
      <c r="J23" s="82" t="str">
        <f>IF(C15="","",B15/$J$8*VLOOKUP($B$10,TUBETE!$B:$C,2,0))</f>
        <v/>
      </c>
      <c r="K23" s="82" t="str">
        <f>IF(M15="","",M15*7)</f>
        <v/>
      </c>
      <c r="L23" s="84" t="str">
        <f>IF(B23="","",SUM(C23:K23))</f>
        <v/>
      </c>
      <c r="M23" s="52"/>
      <c r="O23" s="100"/>
    </row>
    <row r="24" spans="1:15" ht="26.25" x14ac:dyDescent="0.4">
      <c r="A24" s="125"/>
      <c r="B24" s="81" t="str">
        <f t="shared" si="7"/>
        <v/>
      </c>
      <c r="C24" s="82" t="str">
        <f>IF(C16="","",((H16+I16+K16)*VLOOKUP($F$8,PAPEL!$A:$B,2,0)))</f>
        <v/>
      </c>
      <c r="D24" s="82" t="str">
        <f>IF(C16="","",IF($G$10='HORA MÁQUINA '!$B$2,VLOOKUP($E$8,'HORA MÁQUINA '!$C:$E,3,0)*(D16),IF($G$10='HORA MÁQUINA '!$I$2,VLOOKUP($E$8,'HORA MÁQUINA '!$J:$L,3,0)*(D16),IF($G$10='HORA MÁQUINA '!$P$2,VLOOKUP($E$8,'HORA MÁQUINA '!$Q:$S,3,0)*(D16)))))</f>
        <v/>
      </c>
      <c r="E24" s="82" t="str">
        <f>IF(F16="","",IF($G$10='HORA MÁQUINA '!$B$2,VLOOKUP($E$8,'HORA MÁQUINA '!$C:$E,3,0)*(E16),IF($G$10='HORA MÁQUINA '!$I$2,VLOOKUP($E$8,'HORA MÁQUINA '!$J:$L,3,0)*(E16),IF($G$10='HORA MÁQUINA '!$P$2,VLOOKUP($E$8,'HORA MÁQUINA '!$Q:$S,3,0)*(E16)))))</f>
        <v/>
      </c>
      <c r="F24" s="82" t="str">
        <f>IF(F16="","",IF($G$10='HORA MÁQUINA '!$B$2,VLOOKUP($E$8,'HORA MÁQUINA '!$C:$E,3,0)*(F16),IF($G$10='HORA MÁQUINA '!$I$2,VLOOKUP($E$8,'HORA MÁQUINA '!$J:$L,3,0)*(F16),IF($G$10='HORA MÁQUINA '!$P$2,VLOOKUP($E$8,'HORA MÁQUINA '!$Q:$S,3,0)*(F16)))))</f>
        <v/>
      </c>
      <c r="G24" s="83" t="str">
        <f>IF($E$8=0,"",IF(SUM(H16:I16)&lt;=30,$E$8*10,SUM(H16:I16)*TINTA!$C$3))</f>
        <v/>
      </c>
      <c r="H24" s="83" t="str">
        <f>IF(B24="","",VLOOKUP($G$8,ACABAMENTOS!$A:$B,2,0)*SUM(H16:J16))</f>
        <v/>
      </c>
      <c r="I24" s="82" t="str">
        <f>IF(G16="","",((((G16*$I$8)/$J$10)/1000)*ACABAMENTOS!$B$6))</f>
        <v/>
      </c>
      <c r="J24" s="82" t="str">
        <f>IF(C16="","",B16/$J$8*VLOOKUP($B$10,TUBETE!$B:$C,2,0))</f>
        <v/>
      </c>
      <c r="K24" s="82" t="str">
        <f>IF(M16="","",M16*7)</f>
        <v/>
      </c>
      <c r="L24" s="84" t="str">
        <f>IF(B24="","",SUM(C24:K24))</f>
        <v/>
      </c>
      <c r="M24" s="52"/>
      <c r="O24" s="100"/>
    </row>
    <row r="25" spans="1:15" ht="26.25" x14ac:dyDescent="0.4">
      <c r="A25" s="125"/>
      <c r="B25" s="81" t="str">
        <f t="shared" ref="B25" si="8">IF(C17="","",B17)</f>
        <v/>
      </c>
      <c r="C25" s="82" t="str">
        <f>IF(C17="","",((H17+I17+K17)*VLOOKUP($F$8,PAPEL!$A:$B,2,0)))</f>
        <v/>
      </c>
      <c r="D25" s="82" t="str">
        <f>IF(C17="","",IF($G$10='HORA MÁQUINA '!$B$2,VLOOKUP($E$8,'HORA MÁQUINA '!$C:$E,3,0)*(D17),IF($G$10='HORA MÁQUINA '!$I$2,VLOOKUP($E$8,'HORA MÁQUINA '!$J:$L,3,0)*(D17),IF($G$10='HORA MÁQUINA '!$P$2,VLOOKUP($E$8,'HORA MÁQUINA '!$Q:$S,3,0)*(D17)))))</f>
        <v/>
      </c>
      <c r="E25" s="82" t="str">
        <f>IF(F17="","",IF($G$10='HORA MÁQUINA '!$B$2,VLOOKUP($E$8,'HORA MÁQUINA '!$C:$E,3,0)*(E17),IF($G$10='HORA MÁQUINA '!$I$2,VLOOKUP($E$8,'HORA MÁQUINA '!$J:$L,3,0)*(E17),IF($G$10='HORA MÁQUINA '!$P$2,VLOOKUP($E$8,'HORA MÁQUINA '!$Q:$S,3,0)*(E17)))))</f>
        <v/>
      </c>
      <c r="F25" s="82" t="str">
        <f>IF(F17="","",IF($G$10='HORA MÁQUINA '!$B$2,VLOOKUP($E$8,'HORA MÁQUINA '!$C:$E,3,0)*(F17),IF($G$10='HORA MÁQUINA '!$I$2,VLOOKUP($E$8,'HORA MÁQUINA '!$J:$L,3,0)*(F17),IF($G$10='HORA MÁQUINA '!$P$2,VLOOKUP($E$8,'HORA MÁQUINA '!$Q:$S,3,0)*(F17)))))</f>
        <v/>
      </c>
      <c r="G25" s="83" t="str">
        <f>IF(B17="","",IF(SUM(H17:I17)&lt;=30,$E$8*10,SUM(H17:I17)*TINTA!$C$3))</f>
        <v/>
      </c>
      <c r="H25" s="83" t="str">
        <f>IF(B25="","",VLOOKUP($G$8,ACABAMENTOS!$A:$B,2,0)*SUM(H17:J17))</f>
        <v/>
      </c>
      <c r="I25" s="82" t="str">
        <f>IF(G17="","",((((G17*$I$8)/$J$10)/1000)*ACABAMENTOS!$B$6))</f>
        <v/>
      </c>
      <c r="J25" s="82" t="str">
        <f>IF(C17="","",B17/$J$8*VLOOKUP($B$10,TUBETE!$B:$C,2,0))</f>
        <v/>
      </c>
      <c r="K25" s="82" t="str">
        <f>IF(M17="","",M17*7)</f>
        <v/>
      </c>
      <c r="L25" s="84" t="str">
        <f>IF(B25="","",SUM(C25:K25))</f>
        <v/>
      </c>
      <c r="M25" s="52"/>
      <c r="O25" s="100"/>
    </row>
    <row r="26" spans="1:15" ht="15" customHeight="1" thickBot="1" x14ac:dyDescent="0.45">
      <c r="A26" s="125"/>
      <c r="B26" s="52"/>
      <c r="C26" s="52"/>
      <c r="D26" s="52"/>
      <c r="E26" s="52"/>
      <c r="F26" s="52"/>
      <c r="G26" s="52"/>
      <c r="H26" s="52"/>
      <c r="I26" s="52"/>
      <c r="J26" s="52"/>
      <c r="K26" s="52"/>
      <c r="L26" s="52"/>
      <c r="M26" s="52"/>
      <c r="O26" s="100"/>
    </row>
    <row r="27" spans="1:15" ht="79.5" thickBot="1" x14ac:dyDescent="0.45">
      <c r="A27" s="125"/>
      <c r="B27" s="85" t="s">
        <v>47</v>
      </c>
      <c r="C27" s="49" t="s">
        <v>43</v>
      </c>
      <c r="D27" s="49" t="s">
        <v>93</v>
      </c>
      <c r="E27" s="80" t="s">
        <v>99</v>
      </c>
      <c r="F27" s="52"/>
      <c r="G27" s="111" t="s">
        <v>86</v>
      </c>
      <c r="H27" s="111" t="s">
        <v>49</v>
      </c>
      <c r="I27" s="111" t="s">
        <v>85</v>
      </c>
      <c r="J27" s="111" t="s">
        <v>50</v>
      </c>
      <c r="K27" s="52"/>
      <c r="L27" s="89" t="str">
        <f>N12&amp;" - "&amp;A34</f>
        <v>MATRIZ  - Somente no 1º pedido</v>
      </c>
      <c r="O27" s="100"/>
    </row>
    <row r="28" spans="1:15" ht="27" thickBot="1" x14ac:dyDescent="0.45">
      <c r="A28" s="125"/>
      <c r="B28" s="86">
        <v>0</v>
      </c>
      <c r="C28" s="82">
        <f>IF(B28="","",SUM(C21:K21)*B28/100)</f>
        <v>0</v>
      </c>
      <c r="D28" s="82" t="str">
        <f>IF(L21="","",SUM(C21:K21)*($H$10/100))</f>
        <v/>
      </c>
      <c r="E28" s="87" t="str">
        <f>IFERROR(SUM(L21+C28+D28),"")</f>
        <v/>
      </c>
      <c r="F28" s="52"/>
      <c r="G28" s="112" t="str">
        <f>IF(L21="","",B13)</f>
        <v/>
      </c>
      <c r="H28" s="102" t="str">
        <f>IFERROR(CEILING(E28,10),"")</f>
        <v/>
      </c>
      <c r="I28" s="102" t="str">
        <f>IF(B13="","",CEILING($N$13,1))</f>
        <v/>
      </c>
      <c r="J28" s="102" t="str">
        <f>IF(H28="","",SUM(H28:I28))</f>
        <v/>
      </c>
      <c r="K28" s="52"/>
      <c r="L28" s="90">
        <f>IF(N13="","",CEILING(N13,1))</f>
        <v>0</v>
      </c>
      <c r="M28" s="52"/>
      <c r="O28" s="100"/>
    </row>
    <row r="29" spans="1:15" ht="26.25" x14ac:dyDescent="0.4">
      <c r="A29" s="125"/>
      <c r="B29" s="86">
        <v>0</v>
      </c>
      <c r="C29" s="82">
        <f t="shared" ref="C29:C32" si="9">IF(B29="","",SUM(C22:K22)*B29/100)</f>
        <v>0</v>
      </c>
      <c r="D29" s="82" t="str">
        <f t="shared" ref="D29:D32" si="10">IF(L22="","",SUM(C22:K22)*($H$10/100))</f>
        <v/>
      </c>
      <c r="E29" s="87" t="str">
        <f t="shared" ref="E29:E32" si="11">IFERROR(SUM(L22+C29+D29),"")</f>
        <v/>
      </c>
      <c r="F29" s="52"/>
      <c r="G29" s="112" t="str">
        <f t="shared" ref="G29:G32" si="12">IF(L22="","",B14)</f>
        <v/>
      </c>
      <c r="H29" s="102" t="str">
        <f t="shared" ref="H29:H32" si="13">IFERROR(CEILING(E29,10),"")</f>
        <v/>
      </c>
      <c r="I29" s="102" t="str">
        <f>IF(B14="","",CEILING($N$13,1))</f>
        <v/>
      </c>
      <c r="J29" s="102" t="str">
        <f t="shared" ref="J29:J32" si="14">IF(H29="","",SUM(H29:I29))</f>
        <v/>
      </c>
      <c r="K29" s="52"/>
      <c r="L29" s="52"/>
      <c r="M29" s="52"/>
      <c r="O29" s="100"/>
    </row>
    <row r="30" spans="1:15" ht="26.25" x14ac:dyDescent="0.4">
      <c r="A30" s="125"/>
      <c r="B30" s="86">
        <v>0</v>
      </c>
      <c r="C30" s="82">
        <f t="shared" si="9"/>
        <v>0</v>
      </c>
      <c r="D30" s="82" t="str">
        <f t="shared" si="10"/>
        <v/>
      </c>
      <c r="E30" s="87" t="str">
        <f t="shared" si="11"/>
        <v/>
      </c>
      <c r="F30" s="52"/>
      <c r="G30" s="112" t="str">
        <f t="shared" si="12"/>
        <v/>
      </c>
      <c r="H30" s="102" t="str">
        <f t="shared" si="13"/>
        <v/>
      </c>
      <c r="I30" s="102" t="str">
        <f>IF(B15="","",CEILING($N$13,1))</f>
        <v/>
      </c>
      <c r="J30" s="102" t="str">
        <f t="shared" si="14"/>
        <v/>
      </c>
      <c r="K30" s="52"/>
      <c r="L30" s="52"/>
      <c r="M30" s="52"/>
      <c r="O30" s="100"/>
    </row>
    <row r="31" spans="1:15" ht="26.25" x14ac:dyDescent="0.4">
      <c r="A31" s="125"/>
      <c r="B31" s="86">
        <v>0</v>
      </c>
      <c r="C31" s="82">
        <f t="shared" si="9"/>
        <v>0</v>
      </c>
      <c r="D31" s="82" t="str">
        <f t="shared" si="10"/>
        <v/>
      </c>
      <c r="E31" s="87" t="str">
        <f t="shared" si="11"/>
        <v/>
      </c>
      <c r="F31" s="52"/>
      <c r="G31" s="112" t="str">
        <f t="shared" si="12"/>
        <v/>
      </c>
      <c r="H31" s="102" t="str">
        <f t="shared" si="13"/>
        <v/>
      </c>
      <c r="I31" s="102" t="str">
        <f>IF(B16="","",CEILING($N$13,1))</f>
        <v/>
      </c>
      <c r="J31" s="102" t="str">
        <f t="shared" si="14"/>
        <v/>
      </c>
      <c r="K31" s="52"/>
      <c r="L31" s="52"/>
      <c r="M31" s="52"/>
      <c r="O31" s="100"/>
    </row>
    <row r="32" spans="1:15" ht="27" thickBot="1" x14ac:dyDescent="0.45">
      <c r="A32" s="126"/>
      <c r="B32" s="86"/>
      <c r="C32" s="82" t="str">
        <f t="shared" si="9"/>
        <v/>
      </c>
      <c r="D32" s="82" t="str">
        <f t="shared" si="10"/>
        <v/>
      </c>
      <c r="E32" s="87" t="str">
        <f t="shared" si="11"/>
        <v/>
      </c>
      <c r="F32" s="52"/>
      <c r="G32" s="112" t="str">
        <f t="shared" si="12"/>
        <v/>
      </c>
      <c r="H32" s="102" t="str">
        <f t="shared" si="13"/>
        <v/>
      </c>
      <c r="I32" s="102" t="str">
        <f>IF(B17="","",CEILING($N$13,1))</f>
        <v/>
      </c>
      <c r="J32" s="102" t="str">
        <f t="shared" si="14"/>
        <v/>
      </c>
      <c r="K32" s="52"/>
      <c r="L32" s="52"/>
      <c r="M32" s="52"/>
      <c r="O32" s="100"/>
    </row>
    <row r="33" spans="1:15" ht="15" customHeight="1" x14ac:dyDescent="0.25">
      <c r="A33" s="100"/>
      <c r="B33" s="100"/>
      <c r="C33" s="100"/>
      <c r="D33" s="100"/>
      <c r="E33" s="100"/>
      <c r="F33" s="100"/>
      <c r="G33" s="100"/>
      <c r="H33" s="100"/>
      <c r="I33" s="100"/>
      <c r="J33" s="100"/>
      <c r="K33" s="100"/>
      <c r="L33" s="100"/>
      <c r="M33" s="100"/>
      <c r="N33" s="100"/>
      <c r="O33" s="100"/>
    </row>
    <row r="34" spans="1:15" ht="26.25" hidden="1" x14ac:dyDescent="0.4">
      <c r="A34" s="88" t="s">
        <v>156</v>
      </c>
      <c r="B34" s="52"/>
      <c r="C34" s="52"/>
      <c r="D34" s="52"/>
      <c r="E34" s="52"/>
      <c r="F34" s="52"/>
      <c r="I34" s="52"/>
      <c r="J34" s="52"/>
      <c r="K34" s="52"/>
      <c r="L34" s="52"/>
      <c r="M34" s="52"/>
      <c r="N34" s="52"/>
    </row>
  </sheetData>
  <customSheetViews>
    <customSheetView guid="{D37D6912-536D-43B7-9963-1D0EB3FC6412}" scale="85" topLeftCell="C1">
      <selection activeCell="K16" sqref="K16"/>
      <pageMargins left="0.511811024" right="0.511811024" top="0.78740157499999996" bottom="0.78740157499999996" header="0.31496062000000002" footer="0.31496062000000002"/>
      <pageSetup paperSize="9" orientation="portrait" horizontalDpi="300" verticalDpi="300" r:id="rId1"/>
    </customSheetView>
  </customSheetViews>
  <mergeCells count="5">
    <mergeCell ref="A7:A10"/>
    <mergeCell ref="A12:A32"/>
    <mergeCell ref="A1:B2"/>
    <mergeCell ref="F5:G5"/>
    <mergeCell ref="E4:G4"/>
  </mergeCells>
  <phoneticPr fontId="4" type="noConversion"/>
  <conditionalFormatting sqref="D28:D32">
    <cfRule type="cellIs" dxfId="12" priority="8" operator="greaterThan">
      <formula>0</formula>
    </cfRule>
    <cfRule type="cellIs" dxfId="11" priority="9" operator="equal">
      <formula>0</formula>
    </cfRule>
  </conditionalFormatting>
  <conditionalFormatting sqref="C14:C17">
    <cfRule type="cellIs" dxfId="10" priority="2" operator="equal">
      <formula>0</formula>
    </cfRule>
    <cfRule type="cellIs" dxfId="9" priority="3" operator="equal">
      <formula>FALSE</formula>
    </cfRule>
    <cfRule type="cellIs" dxfId="8" priority="4" operator="equal">
      <formula>TRUE</formula>
    </cfRule>
  </conditionalFormatting>
  <conditionalFormatting sqref="K13:K17">
    <cfRule type="cellIs" dxfId="7" priority="1" operator="equal">
      <formula>0</formula>
    </cfRule>
  </conditionalFormatting>
  <pageMargins left="0.25" right="0.25" top="0.75" bottom="0.75" header="0.3" footer="0.3"/>
  <pageSetup paperSize="9" scale="38" orientation="landscape" horizontalDpi="360" verticalDpi="360" r:id="rId2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8BF9AE90-B7E1-448A-AF0A-F02526D5E2C5}">
          <x14:formula1>
            <xm:f>'HORA PARADA'!$A$2:$A$9</xm:f>
          </x14:formula1>
          <xm:sqref>C13</xm:sqref>
        </x14:dataValidation>
        <x14:dataValidation type="list" allowBlank="1" showInputMessage="1" showErrorMessage="1" xr:uid="{7921319E-D1AF-465F-AD22-BF2CDDBE0369}">
          <x14:formula1>
            <xm:f>PAPEL!$A$2:$A$15</xm:f>
          </x14:formula1>
          <xm:sqref>F8:F9</xm:sqref>
        </x14:dataValidation>
        <x14:dataValidation type="list" allowBlank="1" showInputMessage="1" showErrorMessage="1" xr:uid="{2B8E96D2-9715-4618-AA11-7A01DB1E7A56}">
          <x14:formula1>
            <xm:f>ACABAMENTOS!$A$2:$A$8</xm:f>
          </x14:formula1>
          <xm:sqref>G8:G9</xm:sqref>
        </x14:dataValidation>
        <x14:dataValidation type="list" allowBlank="1" showInputMessage="1" showErrorMessage="1" xr:uid="{A3BBCACC-1B4A-4BD6-9FF6-B7B6E1FCC109}">
          <x14:formula1>
            <xm:f>COMISSÃO!$A$1:$A$17</xm:f>
          </x14:formula1>
          <xm:sqref>B28:B32</xm:sqref>
        </x14:dataValidation>
        <x14:dataValidation type="list" allowBlank="1" showInputMessage="1" showErrorMessage="1" xr:uid="{712BF66B-04A1-48CA-8814-C7F3A41ABD33}">
          <x14:formula1>
            <xm:f>TUBETE!$B$2:$B$4</xm:f>
          </x14:formula1>
          <xm:sqref>B10</xm:sqref>
        </x14:dataValidation>
        <x14:dataValidation type="list" allowBlank="1" showInputMessage="1" showErrorMessage="1" xr:uid="{457DC920-DA6C-49C8-8A0B-496AD4F18764}">
          <x14:formula1>
            <xm:f>'MÁQUINAS '!$B$1:$B$4</xm:f>
          </x14:formula1>
          <xm:sqref>G10</xm:sqref>
        </x14:dataValidation>
        <x14:dataValidation type="list" allowBlank="1" showInputMessage="1" showErrorMessage="1" xr:uid="{EC1C2F1A-20A2-44C1-95FD-341896AF7E71}">
          <x14:formula1>
            <xm:f>'MÁQUINAS '!$A$1:$A$7</xm:f>
          </x14:formula1>
          <xm:sqref>F10</xm:sqref>
        </x14:dataValidation>
        <x14:dataValidation type="list" allowBlank="1" showInputMessage="1" showErrorMessage="1" xr:uid="{29763C1E-A8D6-4424-BB49-82300E979B7E}">
          <x14:formula1>
            <xm:f>'MATRIZ '!$F$1:$F$3</xm:f>
          </x14:formula1>
          <xm:sqref>I10</xm:sqref>
        </x14:dataValidation>
        <x14:dataValidation type="list" allowBlank="1" showInputMessage="1" showErrorMessage="1" xr:uid="{2D49B73F-7E7D-4FDC-96B5-E3F8984C9C68}">
          <x14:formula1>
            <xm:f>IMPOSTO!$A$2:$A$20</xm:f>
          </x14:formula1>
          <xm:sqref>H10</xm:sqref>
        </x14:dataValidation>
        <x14:dataValidation type="list" allowBlank="1" showInputMessage="1" showErrorMessage="1" xr:uid="{AC1158D8-B4A1-4AB4-A139-A8DDD7F01A85}">
          <x14:formula1>
            <xm:f>'PERDA DE PAPEL'!$A$1:$A$13</xm:f>
          </x14:formula1>
          <xm:sqref>E7</xm:sqref>
        </x14:dataValidation>
        <x14:dataValidation type="list" allowBlank="1" showInputMessage="1" showErrorMessage="1" xr:uid="{DC85110B-ABE9-4716-86AD-A7D8E5DC93FB}">
          <x14:formula1>
            <xm:f>'PERDA DE PAPEL'!$A$2:$A$13</xm:f>
          </x14:formula1>
          <xm:sqref>E8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09192-0634-45D8-A490-DD15CF4CDFDB}">
  <dimension ref="A1:P492"/>
  <sheetViews>
    <sheetView topLeftCell="A476" workbookViewId="0">
      <selection activeCell="D491" sqref="D491:D492"/>
    </sheetView>
  </sheetViews>
  <sheetFormatPr defaultRowHeight="15" x14ac:dyDescent="0.25"/>
  <cols>
    <col min="1" max="1" width="13.140625" bestFit="1" customWidth="1"/>
    <col min="2" max="2" width="23.7109375" bestFit="1" customWidth="1"/>
    <col min="3" max="3" width="14.7109375" bestFit="1" customWidth="1"/>
    <col min="4" max="4" width="11.7109375" bestFit="1" customWidth="1"/>
    <col min="5" max="5" width="6" bestFit="1" customWidth="1"/>
    <col min="6" max="6" width="20" bestFit="1" customWidth="1"/>
    <col min="7" max="7" width="12.28515625" bestFit="1" customWidth="1"/>
    <col min="8" max="8" width="12" bestFit="1" customWidth="1"/>
    <col min="9" max="9" width="11.28515625" bestFit="1" customWidth="1"/>
    <col min="10" max="10" width="12" bestFit="1" customWidth="1"/>
    <col min="11" max="11" width="5.7109375" bestFit="1" customWidth="1"/>
    <col min="12" max="12" width="6.5703125" bestFit="1" customWidth="1"/>
    <col min="13" max="13" width="28.28515625" bestFit="1" customWidth="1"/>
    <col min="14" max="14" width="24.28515625" bestFit="1" customWidth="1"/>
    <col min="15" max="15" width="11.7109375" bestFit="1" customWidth="1"/>
    <col min="16" max="16" width="30" bestFit="1" customWidth="1"/>
    <col min="17" max="17" width="32" bestFit="1" customWidth="1"/>
    <col min="18" max="18" width="12.42578125" bestFit="1" customWidth="1"/>
    <col min="19" max="19" width="11.28515625" bestFit="1" customWidth="1"/>
    <col min="20" max="20" width="10.7109375" bestFit="1" customWidth="1"/>
    <col min="21" max="21" width="20" bestFit="1" customWidth="1"/>
    <col min="22" max="22" width="10.7109375" bestFit="1" customWidth="1"/>
    <col min="23" max="23" width="12" bestFit="1" customWidth="1"/>
    <col min="24" max="24" width="10.7109375" bestFit="1" customWidth="1"/>
    <col min="25" max="25" width="12" bestFit="1" customWidth="1"/>
    <col min="26" max="27" width="11.7109375" bestFit="1" customWidth="1"/>
    <col min="28" max="28" width="28.28515625" bestFit="1" customWidth="1"/>
    <col min="29" max="29" width="24.28515625" bestFit="1" customWidth="1"/>
    <col min="30" max="30" width="11.7109375" bestFit="1" customWidth="1"/>
    <col min="31" max="31" width="30.28515625" bestFit="1" customWidth="1"/>
  </cols>
  <sheetData>
    <row r="1" spans="1:16" x14ac:dyDescent="0.25">
      <c r="A1" t="s">
        <v>147</v>
      </c>
      <c r="B1" t="s">
        <v>160</v>
      </c>
      <c r="C1" t="s">
        <v>113</v>
      </c>
      <c r="D1" t="s">
        <v>161</v>
      </c>
      <c r="E1" t="s">
        <v>38</v>
      </c>
      <c r="F1" t="s">
        <v>114</v>
      </c>
      <c r="G1" t="s">
        <v>45</v>
      </c>
      <c r="H1" t="s">
        <v>115</v>
      </c>
      <c r="I1" t="s">
        <v>116</v>
      </c>
      <c r="J1" t="s">
        <v>117</v>
      </c>
      <c r="K1" t="s">
        <v>118</v>
      </c>
      <c r="L1" t="s">
        <v>119</v>
      </c>
      <c r="M1" t="s">
        <v>162</v>
      </c>
      <c r="N1" t="s">
        <v>120</v>
      </c>
      <c r="O1" t="s">
        <v>791</v>
      </c>
      <c r="P1" t="s">
        <v>792</v>
      </c>
    </row>
    <row r="2" spans="1:16" hidden="1" x14ac:dyDescent="0.25">
      <c r="A2" t="s">
        <v>159</v>
      </c>
      <c r="B2" t="s">
        <v>160</v>
      </c>
      <c r="C2" t="s">
        <v>113</v>
      </c>
      <c r="D2" t="s">
        <v>161</v>
      </c>
      <c r="E2" t="s">
        <v>38</v>
      </c>
      <c r="F2" t="s">
        <v>114</v>
      </c>
      <c r="G2" t="s">
        <v>45</v>
      </c>
      <c r="H2" t="s">
        <v>115</v>
      </c>
      <c r="I2" t="s">
        <v>116</v>
      </c>
      <c r="J2" t="s">
        <v>117</v>
      </c>
      <c r="K2" t="s">
        <v>118</v>
      </c>
      <c r="L2" t="s">
        <v>119</v>
      </c>
      <c r="M2" t="s">
        <v>162</v>
      </c>
      <c r="N2" t="s">
        <v>120</v>
      </c>
    </row>
    <row r="3" spans="1:16" hidden="1" x14ac:dyDescent="0.25">
      <c r="A3" t="s">
        <v>159</v>
      </c>
      <c r="B3" t="s">
        <v>163</v>
      </c>
      <c r="C3" t="s">
        <v>164</v>
      </c>
      <c r="D3">
        <v>17</v>
      </c>
      <c r="E3">
        <v>43</v>
      </c>
      <c r="F3" t="s">
        <v>135</v>
      </c>
      <c r="G3">
        <v>0.9</v>
      </c>
      <c r="H3">
        <v>0.9</v>
      </c>
      <c r="I3">
        <v>3.3</v>
      </c>
      <c r="J3">
        <v>15.009388888888891</v>
      </c>
      <c r="K3">
        <v>3</v>
      </c>
      <c r="L3" t="s">
        <v>165</v>
      </c>
    </row>
    <row r="4" spans="1:16" hidden="1" x14ac:dyDescent="0.25">
      <c r="A4" t="s">
        <v>159</v>
      </c>
      <c r="B4" t="s">
        <v>166</v>
      </c>
      <c r="C4" t="s">
        <v>136</v>
      </c>
      <c r="D4">
        <v>1</v>
      </c>
      <c r="E4">
        <v>40</v>
      </c>
      <c r="F4" t="s">
        <v>135</v>
      </c>
      <c r="G4">
        <v>1.25</v>
      </c>
      <c r="H4">
        <v>1.25</v>
      </c>
      <c r="I4">
        <v>11</v>
      </c>
      <c r="J4">
        <v>10</v>
      </c>
      <c r="K4">
        <v>3</v>
      </c>
      <c r="L4" t="s">
        <v>165</v>
      </c>
      <c r="M4" t="s">
        <v>167</v>
      </c>
    </row>
    <row r="5" spans="1:16" hidden="1" x14ac:dyDescent="0.25">
      <c r="A5" t="s">
        <v>159</v>
      </c>
      <c r="C5" t="s">
        <v>168</v>
      </c>
      <c r="D5">
        <v>2</v>
      </c>
      <c r="E5">
        <v>42</v>
      </c>
      <c r="F5" t="s">
        <v>135</v>
      </c>
      <c r="G5">
        <v>1.7</v>
      </c>
      <c r="H5">
        <v>1.7</v>
      </c>
      <c r="I5">
        <v>8</v>
      </c>
      <c r="J5">
        <v>8</v>
      </c>
      <c r="K5">
        <v>3</v>
      </c>
      <c r="L5" t="s">
        <v>165</v>
      </c>
      <c r="M5" t="s">
        <v>169</v>
      </c>
    </row>
    <row r="6" spans="1:16" hidden="1" x14ac:dyDescent="0.25">
      <c r="A6" t="s">
        <v>159</v>
      </c>
      <c r="C6" t="s">
        <v>121</v>
      </c>
      <c r="D6">
        <v>3</v>
      </c>
      <c r="E6">
        <v>57</v>
      </c>
      <c r="F6" t="s">
        <v>135</v>
      </c>
      <c r="G6">
        <v>3</v>
      </c>
      <c r="H6">
        <v>3</v>
      </c>
      <c r="I6">
        <v>11</v>
      </c>
      <c r="J6">
        <v>6</v>
      </c>
      <c r="K6">
        <v>3</v>
      </c>
      <c r="L6" t="s">
        <v>165</v>
      </c>
      <c r="M6" t="s">
        <v>170</v>
      </c>
    </row>
    <row r="7" spans="1:16" hidden="1" x14ac:dyDescent="0.25">
      <c r="A7" t="s">
        <v>159</v>
      </c>
      <c r="C7" t="s">
        <v>168</v>
      </c>
      <c r="D7">
        <v>4</v>
      </c>
      <c r="E7">
        <v>57</v>
      </c>
      <c r="F7" t="s">
        <v>135</v>
      </c>
      <c r="G7">
        <v>3</v>
      </c>
      <c r="H7">
        <v>3</v>
      </c>
      <c r="I7">
        <v>10.5</v>
      </c>
      <c r="J7">
        <v>6</v>
      </c>
      <c r="K7">
        <v>3</v>
      </c>
      <c r="L7" t="s">
        <v>165</v>
      </c>
      <c r="M7" t="s">
        <v>170</v>
      </c>
    </row>
    <row r="8" spans="1:16" hidden="1" x14ac:dyDescent="0.25">
      <c r="A8" t="s">
        <v>159</v>
      </c>
      <c r="C8" t="s">
        <v>168</v>
      </c>
      <c r="D8">
        <v>5</v>
      </c>
      <c r="E8">
        <v>52</v>
      </c>
      <c r="F8" t="s">
        <v>135</v>
      </c>
      <c r="G8">
        <v>4</v>
      </c>
      <c r="H8">
        <v>4</v>
      </c>
      <c r="I8">
        <v>11</v>
      </c>
      <c r="J8">
        <v>4</v>
      </c>
      <c r="K8">
        <v>3</v>
      </c>
      <c r="L8" t="s">
        <v>165</v>
      </c>
    </row>
    <row r="9" spans="1:16" hidden="1" x14ac:dyDescent="0.25">
      <c r="A9" t="s">
        <v>159</v>
      </c>
      <c r="C9" t="s">
        <v>168</v>
      </c>
      <c r="D9">
        <v>6</v>
      </c>
      <c r="E9">
        <v>42</v>
      </c>
      <c r="F9" t="s">
        <v>135</v>
      </c>
      <c r="G9">
        <v>4.4000000000000004</v>
      </c>
      <c r="H9">
        <v>4.4000000000000004</v>
      </c>
      <c r="I9">
        <v>11</v>
      </c>
      <c r="J9">
        <v>3</v>
      </c>
      <c r="K9">
        <v>3</v>
      </c>
      <c r="L9" t="s">
        <v>165</v>
      </c>
    </row>
    <row r="10" spans="1:16" hidden="1" x14ac:dyDescent="0.25">
      <c r="A10" t="s">
        <v>159</v>
      </c>
      <c r="C10" t="s">
        <v>168</v>
      </c>
      <c r="D10">
        <v>7</v>
      </c>
      <c r="E10">
        <v>48</v>
      </c>
      <c r="F10" t="s">
        <v>135</v>
      </c>
      <c r="G10">
        <v>5</v>
      </c>
      <c r="H10">
        <v>5</v>
      </c>
      <c r="I10">
        <v>11</v>
      </c>
      <c r="J10">
        <v>3</v>
      </c>
      <c r="K10">
        <v>3</v>
      </c>
      <c r="L10" t="s">
        <v>165</v>
      </c>
      <c r="N10" t="s">
        <v>171</v>
      </c>
    </row>
    <row r="11" spans="1:16" hidden="1" x14ac:dyDescent="0.25">
      <c r="A11" t="s">
        <v>159</v>
      </c>
      <c r="C11" t="s">
        <v>172</v>
      </c>
      <c r="D11">
        <v>16</v>
      </c>
      <c r="E11">
        <v>48</v>
      </c>
      <c r="F11" t="s">
        <v>135</v>
      </c>
      <c r="G11">
        <v>5</v>
      </c>
      <c r="H11">
        <v>5</v>
      </c>
      <c r="I11">
        <v>13</v>
      </c>
      <c r="J11">
        <v>3.0158399999999999</v>
      </c>
      <c r="K11">
        <v>3</v>
      </c>
      <c r="L11" t="s">
        <v>165</v>
      </c>
    </row>
    <row r="12" spans="1:16" hidden="1" x14ac:dyDescent="0.25">
      <c r="A12" t="s">
        <v>159</v>
      </c>
      <c r="C12" t="s">
        <v>168</v>
      </c>
      <c r="D12">
        <v>8</v>
      </c>
      <c r="E12">
        <v>57</v>
      </c>
      <c r="F12" t="s">
        <v>135</v>
      </c>
      <c r="G12">
        <v>6</v>
      </c>
      <c r="H12">
        <v>6</v>
      </c>
      <c r="I12">
        <v>11</v>
      </c>
      <c r="J12">
        <v>3</v>
      </c>
      <c r="K12">
        <v>3</v>
      </c>
      <c r="L12" t="s">
        <v>165</v>
      </c>
    </row>
    <row r="13" spans="1:16" hidden="1" x14ac:dyDescent="0.25">
      <c r="A13" t="s">
        <v>159</v>
      </c>
      <c r="C13" t="s">
        <v>168</v>
      </c>
      <c r="D13">
        <v>9</v>
      </c>
      <c r="E13">
        <v>57</v>
      </c>
      <c r="F13" t="s">
        <v>135</v>
      </c>
      <c r="G13">
        <v>6</v>
      </c>
      <c r="H13">
        <v>6</v>
      </c>
      <c r="I13">
        <v>11</v>
      </c>
      <c r="J13">
        <v>3</v>
      </c>
      <c r="K13">
        <v>3</v>
      </c>
      <c r="L13" t="s">
        <v>165</v>
      </c>
      <c r="N13" t="s">
        <v>173</v>
      </c>
    </row>
    <row r="14" spans="1:16" hidden="1" x14ac:dyDescent="0.25">
      <c r="A14" t="s">
        <v>159</v>
      </c>
      <c r="C14" t="s">
        <v>168</v>
      </c>
      <c r="D14">
        <v>10</v>
      </c>
      <c r="E14">
        <v>70</v>
      </c>
      <c r="F14" t="s">
        <v>135</v>
      </c>
      <c r="G14">
        <v>7.4</v>
      </c>
      <c r="H14">
        <v>7.4</v>
      </c>
      <c r="I14">
        <v>10.5</v>
      </c>
      <c r="J14">
        <v>3</v>
      </c>
      <c r="K14">
        <v>3</v>
      </c>
      <c r="L14" t="s">
        <v>165</v>
      </c>
      <c r="N14" t="s">
        <v>171</v>
      </c>
    </row>
    <row r="15" spans="1:16" hidden="1" x14ac:dyDescent="0.25">
      <c r="A15" t="s">
        <v>159</v>
      </c>
      <c r="C15" t="s">
        <v>168</v>
      </c>
      <c r="D15">
        <v>15</v>
      </c>
      <c r="E15">
        <v>70</v>
      </c>
      <c r="F15" t="s">
        <v>135</v>
      </c>
      <c r="G15">
        <v>7.4</v>
      </c>
      <c r="H15">
        <v>7.4</v>
      </c>
      <c r="I15">
        <v>12</v>
      </c>
      <c r="J15">
        <v>2.9716891891891892</v>
      </c>
      <c r="K15">
        <v>3</v>
      </c>
      <c r="L15" t="s">
        <v>165</v>
      </c>
    </row>
    <row r="16" spans="1:16" hidden="1" x14ac:dyDescent="0.25">
      <c r="A16" t="s">
        <v>159</v>
      </c>
      <c r="C16" t="s">
        <v>168</v>
      </c>
      <c r="D16">
        <v>11</v>
      </c>
      <c r="E16">
        <v>52</v>
      </c>
      <c r="F16" t="s">
        <v>135</v>
      </c>
      <c r="G16">
        <v>8</v>
      </c>
      <c r="H16">
        <v>8</v>
      </c>
      <c r="I16">
        <v>11</v>
      </c>
      <c r="J16">
        <v>2</v>
      </c>
      <c r="K16">
        <v>3</v>
      </c>
      <c r="L16" t="s">
        <v>165</v>
      </c>
    </row>
    <row r="17" spans="1:13" hidden="1" x14ac:dyDescent="0.25">
      <c r="A17" t="s">
        <v>159</v>
      </c>
      <c r="C17" t="s">
        <v>168</v>
      </c>
      <c r="D17">
        <v>12</v>
      </c>
      <c r="E17">
        <v>67</v>
      </c>
      <c r="F17" t="s">
        <v>135</v>
      </c>
      <c r="G17">
        <v>10.5</v>
      </c>
      <c r="H17">
        <v>10.5</v>
      </c>
      <c r="I17">
        <v>11</v>
      </c>
      <c r="J17">
        <v>2</v>
      </c>
      <c r="K17">
        <v>3</v>
      </c>
      <c r="L17" t="s">
        <v>165</v>
      </c>
      <c r="M17" t="s">
        <v>174</v>
      </c>
    </row>
    <row r="18" spans="1:13" hidden="1" x14ac:dyDescent="0.25">
      <c r="A18" t="s">
        <v>159</v>
      </c>
      <c r="C18" t="s">
        <v>168</v>
      </c>
      <c r="D18">
        <v>13</v>
      </c>
      <c r="E18">
        <v>48</v>
      </c>
      <c r="F18" t="s">
        <v>135</v>
      </c>
      <c r="G18">
        <v>15</v>
      </c>
      <c r="H18">
        <v>15</v>
      </c>
      <c r="I18">
        <v>11</v>
      </c>
      <c r="J18">
        <v>1</v>
      </c>
      <c r="K18">
        <v>3</v>
      </c>
      <c r="L18" t="s">
        <v>165</v>
      </c>
      <c r="M18" t="s">
        <v>175</v>
      </c>
    </row>
    <row r="19" spans="1:13" hidden="1" x14ac:dyDescent="0.25">
      <c r="A19" t="s">
        <v>159</v>
      </c>
      <c r="C19" t="s">
        <v>168</v>
      </c>
      <c r="D19">
        <v>14</v>
      </c>
      <c r="E19">
        <v>64</v>
      </c>
      <c r="F19" t="s">
        <v>135</v>
      </c>
      <c r="G19">
        <v>20.100000000000001</v>
      </c>
      <c r="H19">
        <v>20.100000000000001</v>
      </c>
      <c r="I19">
        <v>11</v>
      </c>
      <c r="J19">
        <v>1</v>
      </c>
      <c r="K19">
        <v>3</v>
      </c>
      <c r="L19" t="s">
        <v>165</v>
      </c>
      <c r="M19" t="s">
        <v>176</v>
      </c>
    </row>
    <row r="20" spans="1:13" hidden="1" x14ac:dyDescent="0.25">
      <c r="A20" t="s">
        <v>159</v>
      </c>
    </row>
    <row r="21" spans="1:13" hidden="1" x14ac:dyDescent="0.25">
      <c r="A21" t="s">
        <v>159</v>
      </c>
      <c r="C21" t="s">
        <v>136</v>
      </c>
      <c r="D21">
        <v>18</v>
      </c>
      <c r="E21">
        <v>40</v>
      </c>
      <c r="F21" t="s">
        <v>177</v>
      </c>
      <c r="G21" t="s">
        <v>178</v>
      </c>
      <c r="H21">
        <v>1.2</v>
      </c>
      <c r="I21">
        <v>5</v>
      </c>
      <c r="J21">
        <v>11</v>
      </c>
      <c r="K21">
        <v>3</v>
      </c>
      <c r="L21">
        <v>5</v>
      </c>
    </row>
    <row r="22" spans="1:13" hidden="1" x14ac:dyDescent="0.25">
      <c r="A22" t="s">
        <v>159</v>
      </c>
      <c r="C22" t="s">
        <v>136</v>
      </c>
      <c r="D22">
        <v>25</v>
      </c>
      <c r="E22">
        <v>43</v>
      </c>
      <c r="F22" t="s">
        <v>177</v>
      </c>
      <c r="G22" t="s">
        <v>179</v>
      </c>
      <c r="H22">
        <v>2.2999999999999998</v>
      </c>
      <c r="I22">
        <v>10</v>
      </c>
      <c r="J22">
        <v>6</v>
      </c>
      <c r="K22">
        <v>3</v>
      </c>
      <c r="L22">
        <v>4</v>
      </c>
      <c r="M22" t="s">
        <v>180</v>
      </c>
    </row>
    <row r="23" spans="1:13" hidden="1" x14ac:dyDescent="0.25">
      <c r="A23" t="s">
        <v>159</v>
      </c>
      <c r="B23" t="s">
        <v>181</v>
      </c>
      <c r="C23" t="s">
        <v>121</v>
      </c>
      <c r="D23">
        <v>19</v>
      </c>
      <c r="E23">
        <v>57</v>
      </c>
      <c r="F23" t="s">
        <v>177</v>
      </c>
      <c r="G23" t="s">
        <v>182</v>
      </c>
      <c r="H23">
        <v>3.5</v>
      </c>
      <c r="I23">
        <v>4</v>
      </c>
      <c r="J23">
        <v>5</v>
      </c>
      <c r="K23">
        <v>3</v>
      </c>
      <c r="L23">
        <v>1</v>
      </c>
    </row>
    <row r="24" spans="1:13" hidden="1" x14ac:dyDescent="0.25">
      <c r="A24" t="s">
        <v>159</v>
      </c>
      <c r="C24" t="s">
        <v>136</v>
      </c>
      <c r="D24">
        <v>20</v>
      </c>
      <c r="E24">
        <v>42</v>
      </c>
      <c r="F24" t="s">
        <v>177</v>
      </c>
      <c r="G24" t="s">
        <v>183</v>
      </c>
      <c r="H24">
        <v>4.5</v>
      </c>
      <c r="I24">
        <v>4.7</v>
      </c>
      <c r="J24">
        <v>3</v>
      </c>
      <c r="K24">
        <v>3</v>
      </c>
      <c r="L24">
        <v>1</v>
      </c>
      <c r="M24" t="s">
        <v>184</v>
      </c>
    </row>
    <row r="25" spans="1:13" hidden="1" x14ac:dyDescent="0.25">
      <c r="A25" t="s">
        <v>159</v>
      </c>
      <c r="C25" t="s">
        <v>136</v>
      </c>
      <c r="D25">
        <v>21</v>
      </c>
      <c r="E25">
        <v>45</v>
      </c>
      <c r="F25" t="s">
        <v>177</v>
      </c>
      <c r="G25" t="s">
        <v>185</v>
      </c>
      <c r="H25">
        <v>4.8</v>
      </c>
      <c r="I25">
        <v>5</v>
      </c>
      <c r="J25">
        <v>3</v>
      </c>
      <c r="K25">
        <v>3</v>
      </c>
      <c r="L25">
        <v>1</v>
      </c>
      <c r="M25" t="s">
        <v>184</v>
      </c>
    </row>
    <row r="26" spans="1:13" hidden="1" x14ac:dyDescent="0.25">
      <c r="A26" t="s">
        <v>159</v>
      </c>
      <c r="C26" t="s">
        <v>136</v>
      </c>
      <c r="D26">
        <v>22</v>
      </c>
      <c r="E26">
        <v>50</v>
      </c>
      <c r="F26" t="s">
        <v>177</v>
      </c>
      <c r="G26" t="s">
        <v>186</v>
      </c>
      <c r="H26">
        <v>5.3</v>
      </c>
      <c r="I26">
        <v>5.5</v>
      </c>
      <c r="J26">
        <v>3</v>
      </c>
      <c r="K26">
        <v>3</v>
      </c>
      <c r="L26">
        <v>1</v>
      </c>
      <c r="M26" t="s">
        <v>187</v>
      </c>
    </row>
    <row r="27" spans="1:13" hidden="1" x14ac:dyDescent="0.25">
      <c r="A27" t="s">
        <v>159</v>
      </c>
      <c r="C27" t="s">
        <v>136</v>
      </c>
      <c r="D27">
        <v>23</v>
      </c>
      <c r="E27">
        <v>40</v>
      </c>
      <c r="F27" t="s">
        <v>177</v>
      </c>
      <c r="G27" t="s">
        <v>188</v>
      </c>
      <c r="H27">
        <v>6.3</v>
      </c>
      <c r="I27">
        <v>6.5</v>
      </c>
      <c r="J27">
        <v>3</v>
      </c>
      <c r="K27">
        <v>3</v>
      </c>
      <c r="L27">
        <v>1</v>
      </c>
      <c r="M27" t="s">
        <v>189</v>
      </c>
    </row>
    <row r="28" spans="1:13" hidden="1" x14ac:dyDescent="0.25">
      <c r="A28" t="s">
        <v>159</v>
      </c>
      <c r="C28" t="s">
        <v>136</v>
      </c>
      <c r="D28">
        <v>24</v>
      </c>
      <c r="E28">
        <v>57</v>
      </c>
      <c r="F28" t="s">
        <v>177</v>
      </c>
      <c r="G28" t="s">
        <v>190</v>
      </c>
      <c r="H28">
        <v>9.3000000000000007</v>
      </c>
      <c r="I28">
        <v>9.5</v>
      </c>
      <c r="J28">
        <v>11</v>
      </c>
      <c r="K28">
        <v>3</v>
      </c>
      <c r="L28">
        <v>1</v>
      </c>
      <c r="M28" t="s">
        <v>184</v>
      </c>
    </row>
    <row r="29" spans="1:13" hidden="1" x14ac:dyDescent="0.25">
      <c r="A29" t="s">
        <v>159</v>
      </c>
    </row>
    <row r="30" spans="1:13" hidden="1" x14ac:dyDescent="0.25">
      <c r="A30" t="s">
        <v>159</v>
      </c>
      <c r="B30" t="s">
        <v>191</v>
      </c>
      <c r="C30" t="s">
        <v>136</v>
      </c>
      <c r="D30">
        <v>26</v>
      </c>
      <c r="E30">
        <v>42</v>
      </c>
      <c r="F30" t="s">
        <v>192</v>
      </c>
      <c r="G30" t="s">
        <v>193</v>
      </c>
      <c r="H30">
        <v>2.6388600000000002</v>
      </c>
      <c r="I30">
        <v>3.5</v>
      </c>
      <c r="J30">
        <v>5</v>
      </c>
      <c r="K30">
        <v>3</v>
      </c>
      <c r="L30">
        <v>2</v>
      </c>
      <c r="M30" t="s">
        <v>194</v>
      </c>
    </row>
    <row r="31" spans="1:13" hidden="1" x14ac:dyDescent="0.25">
      <c r="A31" t="s">
        <v>159</v>
      </c>
      <c r="B31" t="s">
        <v>195</v>
      </c>
      <c r="C31" t="s">
        <v>168</v>
      </c>
      <c r="D31">
        <v>29</v>
      </c>
      <c r="E31">
        <v>57</v>
      </c>
      <c r="F31" t="s">
        <v>192</v>
      </c>
      <c r="G31" t="s">
        <v>196</v>
      </c>
      <c r="H31">
        <v>2.9844250000000003</v>
      </c>
      <c r="I31">
        <v>5</v>
      </c>
      <c r="J31">
        <v>6</v>
      </c>
      <c r="K31">
        <v>3</v>
      </c>
      <c r="L31">
        <v>1</v>
      </c>
      <c r="M31" t="s">
        <v>197</v>
      </c>
    </row>
    <row r="32" spans="1:13" hidden="1" x14ac:dyDescent="0.25">
      <c r="A32" t="s">
        <v>159</v>
      </c>
      <c r="B32" t="s">
        <v>198</v>
      </c>
      <c r="C32" t="s">
        <v>168</v>
      </c>
      <c r="D32">
        <v>26</v>
      </c>
      <c r="E32">
        <v>42</v>
      </c>
      <c r="F32" t="s">
        <v>192</v>
      </c>
      <c r="G32" t="s">
        <v>199</v>
      </c>
      <c r="H32">
        <v>3.2985750000000005</v>
      </c>
      <c r="I32">
        <v>2.5</v>
      </c>
      <c r="J32">
        <v>4</v>
      </c>
      <c r="K32">
        <v>3</v>
      </c>
      <c r="L32">
        <v>1</v>
      </c>
    </row>
    <row r="33" spans="1:13" hidden="1" x14ac:dyDescent="0.25">
      <c r="A33" t="s">
        <v>159</v>
      </c>
      <c r="B33" t="s">
        <v>200</v>
      </c>
      <c r="C33" t="s">
        <v>168</v>
      </c>
      <c r="D33">
        <v>26</v>
      </c>
      <c r="E33">
        <v>42</v>
      </c>
      <c r="F33" t="s">
        <v>192</v>
      </c>
      <c r="G33" t="s">
        <v>201</v>
      </c>
      <c r="H33">
        <v>4.3981000000000003</v>
      </c>
      <c r="I33">
        <v>2.7</v>
      </c>
      <c r="J33">
        <v>3</v>
      </c>
      <c r="K33">
        <v>3</v>
      </c>
      <c r="L33">
        <v>1</v>
      </c>
    </row>
    <row r="34" spans="1:13" hidden="1" x14ac:dyDescent="0.25">
      <c r="A34" t="s">
        <v>159</v>
      </c>
      <c r="B34" t="s">
        <v>202</v>
      </c>
      <c r="C34" t="s">
        <v>168</v>
      </c>
      <c r="D34">
        <v>27</v>
      </c>
      <c r="E34">
        <v>56</v>
      </c>
      <c r="F34" t="s">
        <v>192</v>
      </c>
      <c r="G34" t="s">
        <v>203</v>
      </c>
      <c r="H34">
        <v>4.3981000000000003</v>
      </c>
      <c r="I34">
        <v>3</v>
      </c>
      <c r="J34">
        <v>4</v>
      </c>
      <c r="K34">
        <v>3</v>
      </c>
      <c r="L34">
        <v>1</v>
      </c>
    </row>
    <row r="35" spans="1:13" hidden="1" x14ac:dyDescent="0.25">
      <c r="A35" t="s">
        <v>159</v>
      </c>
      <c r="B35" t="s">
        <v>204</v>
      </c>
      <c r="C35" t="s">
        <v>168</v>
      </c>
      <c r="D35">
        <v>28</v>
      </c>
      <c r="E35">
        <v>57</v>
      </c>
      <c r="F35" t="s">
        <v>192</v>
      </c>
      <c r="G35" t="s">
        <v>205</v>
      </c>
      <c r="H35">
        <v>4.4766375000000007</v>
      </c>
      <c r="I35">
        <v>4</v>
      </c>
      <c r="J35">
        <v>4</v>
      </c>
      <c r="K35">
        <v>3</v>
      </c>
      <c r="L35">
        <v>1</v>
      </c>
      <c r="M35" t="s">
        <v>206</v>
      </c>
    </row>
    <row r="36" spans="1:13" hidden="1" x14ac:dyDescent="0.25">
      <c r="A36" t="s">
        <v>159</v>
      </c>
      <c r="C36" t="s">
        <v>168</v>
      </c>
      <c r="D36">
        <v>30</v>
      </c>
      <c r="E36">
        <v>48</v>
      </c>
      <c r="F36" t="s">
        <v>192</v>
      </c>
      <c r="G36" t="s">
        <v>207</v>
      </c>
      <c r="H36">
        <v>5.0264000000000006</v>
      </c>
      <c r="I36">
        <v>7.5</v>
      </c>
      <c r="J36">
        <v>3</v>
      </c>
      <c r="K36">
        <v>3</v>
      </c>
      <c r="L36">
        <v>1</v>
      </c>
      <c r="M36" t="s">
        <v>208</v>
      </c>
    </row>
    <row r="37" spans="1:13" hidden="1" x14ac:dyDescent="0.25">
      <c r="A37" t="s">
        <v>159</v>
      </c>
      <c r="B37" t="s">
        <v>209</v>
      </c>
      <c r="C37" t="s">
        <v>168</v>
      </c>
      <c r="D37">
        <v>28</v>
      </c>
      <c r="E37">
        <v>57</v>
      </c>
      <c r="F37" t="s">
        <v>192</v>
      </c>
      <c r="G37" t="s">
        <v>210</v>
      </c>
      <c r="H37">
        <v>5.9688500000000007</v>
      </c>
      <c r="I37">
        <v>4.5</v>
      </c>
      <c r="J37">
        <v>3</v>
      </c>
      <c r="K37">
        <v>3</v>
      </c>
      <c r="L37">
        <v>1</v>
      </c>
      <c r="M37" t="s">
        <v>211</v>
      </c>
    </row>
    <row r="38" spans="1:13" hidden="1" x14ac:dyDescent="0.25">
      <c r="A38" t="s">
        <v>159</v>
      </c>
      <c r="B38" t="s">
        <v>212</v>
      </c>
      <c r="C38" t="s">
        <v>168</v>
      </c>
      <c r="D38">
        <v>31</v>
      </c>
      <c r="E38">
        <v>42</v>
      </c>
      <c r="F38" t="s">
        <v>192</v>
      </c>
      <c r="G38" t="s">
        <v>213</v>
      </c>
      <c r="H38">
        <v>6.597150000000001</v>
      </c>
      <c r="I38">
        <v>4</v>
      </c>
      <c r="J38">
        <v>2</v>
      </c>
      <c r="K38">
        <v>3</v>
      </c>
      <c r="L38">
        <v>1</v>
      </c>
      <c r="M38" t="s">
        <v>214</v>
      </c>
    </row>
    <row r="39" spans="1:13" hidden="1" x14ac:dyDescent="0.25">
      <c r="A39" t="s">
        <v>159</v>
      </c>
      <c r="C39" t="s">
        <v>168</v>
      </c>
      <c r="D39">
        <v>32</v>
      </c>
      <c r="E39">
        <v>42</v>
      </c>
      <c r="F39" t="s">
        <v>192</v>
      </c>
      <c r="G39" t="s">
        <v>215</v>
      </c>
      <c r="H39">
        <v>6.597150000000001</v>
      </c>
      <c r="I39">
        <v>10</v>
      </c>
      <c r="J39">
        <v>2</v>
      </c>
      <c r="K39">
        <v>3</v>
      </c>
      <c r="L39">
        <v>1</v>
      </c>
      <c r="M39" t="s">
        <v>216</v>
      </c>
    </row>
    <row r="40" spans="1:13" hidden="1" x14ac:dyDescent="0.25">
      <c r="A40" t="s">
        <v>159</v>
      </c>
    </row>
    <row r="41" spans="1:13" hidden="1" x14ac:dyDescent="0.25">
      <c r="A41" t="s">
        <v>159</v>
      </c>
      <c r="C41" t="s">
        <v>153</v>
      </c>
      <c r="D41">
        <v>81</v>
      </c>
      <c r="E41">
        <v>49</v>
      </c>
      <c r="F41" t="s">
        <v>217</v>
      </c>
      <c r="G41" t="s">
        <v>218</v>
      </c>
      <c r="H41">
        <v>1.7103722222222224</v>
      </c>
      <c r="I41">
        <v>7.5</v>
      </c>
      <c r="J41">
        <v>9</v>
      </c>
      <c r="K41">
        <v>2</v>
      </c>
      <c r="L41">
        <v>3</v>
      </c>
      <c r="M41" t="s">
        <v>219</v>
      </c>
    </row>
    <row r="42" spans="1:13" hidden="1" x14ac:dyDescent="0.25">
      <c r="A42" t="s">
        <v>159</v>
      </c>
      <c r="C42" t="s">
        <v>168</v>
      </c>
      <c r="D42">
        <v>39</v>
      </c>
      <c r="E42">
        <v>43</v>
      </c>
      <c r="F42" t="s">
        <v>122</v>
      </c>
      <c r="G42" t="s">
        <v>220</v>
      </c>
      <c r="H42">
        <v>2.7016900000000001</v>
      </c>
      <c r="I42">
        <v>10.5</v>
      </c>
      <c r="J42">
        <v>5</v>
      </c>
      <c r="K42">
        <v>3</v>
      </c>
      <c r="L42">
        <v>1</v>
      </c>
      <c r="M42" t="s">
        <v>221</v>
      </c>
    </row>
    <row r="43" spans="1:13" hidden="1" x14ac:dyDescent="0.25">
      <c r="A43" t="s">
        <v>159</v>
      </c>
      <c r="C43" t="s">
        <v>136</v>
      </c>
      <c r="D43">
        <v>84</v>
      </c>
      <c r="E43">
        <v>44</v>
      </c>
      <c r="F43" t="s">
        <v>217</v>
      </c>
      <c r="G43" t="s">
        <v>222</v>
      </c>
      <c r="H43">
        <v>2.3037666666666667</v>
      </c>
      <c r="I43">
        <v>10</v>
      </c>
      <c r="J43">
        <v>6</v>
      </c>
      <c r="K43">
        <v>0</v>
      </c>
      <c r="L43">
        <v>3</v>
      </c>
      <c r="M43" t="s">
        <v>223</v>
      </c>
    </row>
    <row r="44" spans="1:13" hidden="1" x14ac:dyDescent="0.25">
      <c r="A44" t="s">
        <v>159</v>
      </c>
      <c r="C44" t="s">
        <v>224</v>
      </c>
      <c r="D44">
        <v>55</v>
      </c>
      <c r="E44">
        <v>45</v>
      </c>
      <c r="F44" t="s">
        <v>122</v>
      </c>
      <c r="G44" t="s">
        <v>225</v>
      </c>
      <c r="H44">
        <v>2.82735</v>
      </c>
      <c r="I44">
        <v>10.5</v>
      </c>
      <c r="J44">
        <v>5</v>
      </c>
      <c r="K44">
        <v>3</v>
      </c>
      <c r="L44">
        <v>3</v>
      </c>
      <c r="M44" t="s">
        <v>226</v>
      </c>
    </row>
    <row r="45" spans="1:13" hidden="1" x14ac:dyDescent="0.25">
      <c r="A45" t="s">
        <v>159</v>
      </c>
      <c r="C45" t="s">
        <v>224</v>
      </c>
      <c r="D45">
        <v>82</v>
      </c>
      <c r="E45">
        <v>45</v>
      </c>
      <c r="F45" t="s">
        <v>217</v>
      </c>
      <c r="G45" t="s">
        <v>225</v>
      </c>
      <c r="H45">
        <v>2.82735</v>
      </c>
      <c r="I45">
        <v>10.5</v>
      </c>
      <c r="J45">
        <v>5</v>
      </c>
      <c r="K45">
        <v>3</v>
      </c>
      <c r="L45">
        <v>3</v>
      </c>
      <c r="M45" t="s">
        <v>226</v>
      </c>
    </row>
    <row r="46" spans="1:13" hidden="1" x14ac:dyDescent="0.25">
      <c r="A46" t="s">
        <v>159</v>
      </c>
      <c r="C46" t="s">
        <v>168</v>
      </c>
      <c r="D46">
        <v>35</v>
      </c>
      <c r="E46">
        <v>40</v>
      </c>
      <c r="F46" t="s">
        <v>122</v>
      </c>
      <c r="G46" t="s">
        <v>227</v>
      </c>
      <c r="H46">
        <v>2.0943333333333336</v>
      </c>
      <c r="I46">
        <v>10.5</v>
      </c>
      <c r="J46">
        <v>6</v>
      </c>
      <c r="K46">
        <v>3</v>
      </c>
      <c r="L46">
        <v>3</v>
      </c>
      <c r="M46" t="s">
        <v>141</v>
      </c>
    </row>
    <row r="47" spans="1:13" hidden="1" x14ac:dyDescent="0.25">
      <c r="A47" t="s">
        <v>159</v>
      </c>
      <c r="C47" t="s">
        <v>168</v>
      </c>
      <c r="D47">
        <v>36</v>
      </c>
      <c r="E47">
        <v>40</v>
      </c>
      <c r="F47" t="s">
        <v>122</v>
      </c>
      <c r="G47" t="s">
        <v>227</v>
      </c>
      <c r="H47">
        <v>2.0943333333333336</v>
      </c>
      <c r="I47">
        <v>10.5</v>
      </c>
      <c r="J47">
        <v>6</v>
      </c>
      <c r="K47">
        <v>3</v>
      </c>
      <c r="L47">
        <v>3</v>
      </c>
      <c r="M47" t="s">
        <v>141</v>
      </c>
    </row>
    <row r="48" spans="1:13" hidden="1" x14ac:dyDescent="0.25">
      <c r="A48" t="s">
        <v>159</v>
      </c>
      <c r="C48" t="s">
        <v>153</v>
      </c>
      <c r="D48">
        <v>36</v>
      </c>
      <c r="E48">
        <v>40</v>
      </c>
      <c r="F48" t="s">
        <v>122</v>
      </c>
      <c r="G48" t="s">
        <v>227</v>
      </c>
      <c r="H48">
        <v>2.0943333333333336</v>
      </c>
      <c r="I48">
        <v>10.5</v>
      </c>
      <c r="J48">
        <v>6</v>
      </c>
      <c r="K48">
        <v>3</v>
      </c>
      <c r="L48">
        <v>3</v>
      </c>
    </row>
    <row r="49" spans="1:13" hidden="1" x14ac:dyDescent="0.25">
      <c r="A49" t="s">
        <v>159</v>
      </c>
      <c r="C49" t="s">
        <v>153</v>
      </c>
      <c r="D49">
        <v>75</v>
      </c>
      <c r="E49">
        <v>47</v>
      </c>
      <c r="F49" t="s">
        <v>122</v>
      </c>
      <c r="G49" t="s">
        <v>228</v>
      </c>
      <c r="H49">
        <v>1.4765050000000002</v>
      </c>
      <c r="I49">
        <v>10.5</v>
      </c>
      <c r="J49">
        <v>10</v>
      </c>
      <c r="K49">
        <v>0</v>
      </c>
      <c r="L49">
        <v>1</v>
      </c>
    </row>
    <row r="50" spans="1:13" hidden="1" x14ac:dyDescent="0.25">
      <c r="A50" t="s">
        <v>159</v>
      </c>
      <c r="C50" t="s">
        <v>153</v>
      </c>
      <c r="D50">
        <v>76</v>
      </c>
      <c r="E50">
        <v>48</v>
      </c>
      <c r="F50" t="s">
        <v>122</v>
      </c>
      <c r="G50" t="s">
        <v>229</v>
      </c>
      <c r="H50">
        <v>2.5132000000000003</v>
      </c>
      <c r="I50">
        <v>10.5</v>
      </c>
      <c r="J50">
        <v>6</v>
      </c>
      <c r="K50">
        <v>3</v>
      </c>
      <c r="L50">
        <v>3</v>
      </c>
      <c r="M50" t="s">
        <v>230</v>
      </c>
    </row>
    <row r="51" spans="1:13" hidden="1" x14ac:dyDescent="0.25">
      <c r="A51" t="s">
        <v>159</v>
      </c>
      <c r="B51" t="s">
        <v>231</v>
      </c>
      <c r="C51" t="s">
        <v>168</v>
      </c>
      <c r="D51">
        <v>37</v>
      </c>
      <c r="E51">
        <v>54</v>
      </c>
      <c r="F51" t="s">
        <v>122</v>
      </c>
      <c r="G51" t="s">
        <v>232</v>
      </c>
      <c r="H51">
        <v>4.2410250000000005</v>
      </c>
      <c r="I51">
        <v>10.5</v>
      </c>
      <c r="J51">
        <v>4</v>
      </c>
      <c r="K51" t="s">
        <v>165</v>
      </c>
      <c r="L51">
        <v>5</v>
      </c>
      <c r="M51" t="s">
        <v>233</v>
      </c>
    </row>
    <row r="52" spans="1:13" hidden="1" x14ac:dyDescent="0.25">
      <c r="A52" t="s">
        <v>159</v>
      </c>
      <c r="B52" t="s">
        <v>234</v>
      </c>
      <c r="C52" t="s">
        <v>168</v>
      </c>
      <c r="D52">
        <v>38</v>
      </c>
      <c r="E52">
        <v>41</v>
      </c>
      <c r="F52" t="s">
        <v>122</v>
      </c>
      <c r="G52" t="s">
        <v>235</v>
      </c>
      <c r="H52">
        <v>4.2933833333333329</v>
      </c>
      <c r="I52">
        <v>4.5</v>
      </c>
      <c r="J52">
        <v>3</v>
      </c>
      <c r="K52">
        <v>3</v>
      </c>
      <c r="L52">
        <v>1</v>
      </c>
      <c r="M52" t="s">
        <v>123</v>
      </c>
    </row>
    <row r="53" spans="1:13" hidden="1" x14ac:dyDescent="0.25">
      <c r="A53" t="s">
        <v>159</v>
      </c>
      <c r="C53" t="s">
        <v>136</v>
      </c>
      <c r="D53">
        <v>73</v>
      </c>
      <c r="E53">
        <v>41</v>
      </c>
      <c r="F53" t="s">
        <v>217</v>
      </c>
      <c r="G53" t="s">
        <v>235</v>
      </c>
      <c r="H53">
        <v>4.2933833333333329</v>
      </c>
      <c r="I53">
        <v>900</v>
      </c>
      <c r="J53">
        <v>3</v>
      </c>
      <c r="K53">
        <v>3</v>
      </c>
      <c r="L53">
        <v>2</v>
      </c>
      <c r="M53" t="s">
        <v>236</v>
      </c>
    </row>
    <row r="54" spans="1:13" hidden="1" x14ac:dyDescent="0.25">
      <c r="A54" t="s">
        <v>159</v>
      </c>
      <c r="C54" t="s">
        <v>168</v>
      </c>
      <c r="D54">
        <v>41</v>
      </c>
      <c r="E54">
        <v>42</v>
      </c>
      <c r="F54" t="s">
        <v>122</v>
      </c>
      <c r="G54" t="s">
        <v>237</v>
      </c>
      <c r="H54">
        <v>3.2985750000000005</v>
      </c>
      <c r="I54">
        <v>10.5</v>
      </c>
      <c r="J54">
        <v>4</v>
      </c>
      <c r="K54">
        <v>3</v>
      </c>
      <c r="L54">
        <v>2</v>
      </c>
      <c r="M54" t="s">
        <v>238</v>
      </c>
    </row>
    <row r="55" spans="1:13" hidden="1" x14ac:dyDescent="0.25">
      <c r="A55" t="s">
        <v>159</v>
      </c>
      <c r="C55" t="s">
        <v>168</v>
      </c>
      <c r="D55">
        <v>42</v>
      </c>
      <c r="E55">
        <v>53</v>
      </c>
      <c r="F55" t="s">
        <v>122</v>
      </c>
      <c r="G55" t="s">
        <v>239</v>
      </c>
      <c r="H55">
        <v>5.5499833333333335</v>
      </c>
      <c r="I55">
        <v>10.5</v>
      </c>
      <c r="J55">
        <v>3</v>
      </c>
      <c r="K55">
        <v>3</v>
      </c>
      <c r="L55">
        <v>3</v>
      </c>
      <c r="M55" t="s">
        <v>240</v>
      </c>
    </row>
    <row r="56" spans="1:13" hidden="1" x14ac:dyDescent="0.25">
      <c r="A56" t="s">
        <v>159</v>
      </c>
      <c r="C56" t="s">
        <v>153</v>
      </c>
      <c r="D56">
        <v>34</v>
      </c>
      <c r="E56">
        <v>45</v>
      </c>
      <c r="F56" t="s">
        <v>122</v>
      </c>
      <c r="G56" t="s">
        <v>241</v>
      </c>
      <c r="H56">
        <v>1.7670937500000001</v>
      </c>
      <c r="I56">
        <v>6.5</v>
      </c>
      <c r="J56">
        <v>8</v>
      </c>
      <c r="K56">
        <v>3</v>
      </c>
      <c r="L56">
        <v>1</v>
      </c>
      <c r="M56" t="s">
        <v>242</v>
      </c>
    </row>
    <row r="57" spans="1:13" hidden="1" x14ac:dyDescent="0.25">
      <c r="A57" t="s">
        <v>159</v>
      </c>
      <c r="B57" t="s">
        <v>243</v>
      </c>
      <c r="C57" t="s">
        <v>168</v>
      </c>
      <c r="D57">
        <v>31</v>
      </c>
      <c r="E57">
        <v>42</v>
      </c>
      <c r="F57" t="s">
        <v>122</v>
      </c>
      <c r="G57" t="s">
        <v>244</v>
      </c>
      <c r="H57">
        <v>3.2985750000000005</v>
      </c>
      <c r="I57">
        <v>6.5</v>
      </c>
      <c r="J57">
        <v>4</v>
      </c>
      <c r="K57">
        <v>3</v>
      </c>
      <c r="L57">
        <v>1</v>
      </c>
      <c r="M57" t="s">
        <v>123</v>
      </c>
    </row>
    <row r="58" spans="1:13" hidden="1" x14ac:dyDescent="0.25">
      <c r="A58" t="s">
        <v>159</v>
      </c>
      <c r="C58" t="s">
        <v>168</v>
      </c>
      <c r="D58">
        <v>43</v>
      </c>
      <c r="E58">
        <v>40</v>
      </c>
      <c r="F58" t="s">
        <v>122</v>
      </c>
      <c r="G58" t="s">
        <v>142</v>
      </c>
      <c r="H58">
        <v>6.2830000000000004</v>
      </c>
      <c r="I58">
        <v>10.5</v>
      </c>
      <c r="J58">
        <v>2</v>
      </c>
      <c r="K58">
        <v>3</v>
      </c>
      <c r="L58">
        <v>3</v>
      </c>
      <c r="M58" t="s">
        <v>143</v>
      </c>
    </row>
    <row r="59" spans="1:13" hidden="1" x14ac:dyDescent="0.25">
      <c r="A59" t="s">
        <v>159</v>
      </c>
      <c r="B59" t="s">
        <v>245</v>
      </c>
      <c r="C59" t="s">
        <v>168</v>
      </c>
      <c r="D59">
        <v>38</v>
      </c>
      <c r="E59">
        <v>41</v>
      </c>
      <c r="F59" t="s">
        <v>122</v>
      </c>
      <c r="G59" t="s">
        <v>246</v>
      </c>
      <c r="H59">
        <v>4.2933833333333329</v>
      </c>
      <c r="I59">
        <v>6.5</v>
      </c>
      <c r="J59">
        <v>3</v>
      </c>
      <c r="K59">
        <v>3</v>
      </c>
      <c r="L59">
        <v>1</v>
      </c>
      <c r="M59" t="s">
        <v>123</v>
      </c>
    </row>
    <row r="60" spans="1:13" hidden="1" x14ac:dyDescent="0.25">
      <c r="A60" t="s">
        <v>159</v>
      </c>
      <c r="B60" t="s">
        <v>247</v>
      </c>
      <c r="C60" t="s">
        <v>153</v>
      </c>
      <c r="D60">
        <v>17</v>
      </c>
      <c r="E60">
        <v>43</v>
      </c>
      <c r="F60" t="s">
        <v>122</v>
      </c>
      <c r="G60" t="s">
        <v>248</v>
      </c>
      <c r="H60">
        <v>0.90056333333333338</v>
      </c>
      <c r="I60">
        <v>7</v>
      </c>
      <c r="J60">
        <v>15</v>
      </c>
      <c r="K60">
        <v>3</v>
      </c>
      <c r="L60">
        <v>1</v>
      </c>
      <c r="M60" t="s">
        <v>249</v>
      </c>
    </row>
    <row r="61" spans="1:13" hidden="1" x14ac:dyDescent="0.25">
      <c r="A61" t="s">
        <v>159</v>
      </c>
      <c r="B61" t="s">
        <v>231</v>
      </c>
      <c r="C61" t="s">
        <v>168</v>
      </c>
      <c r="D61">
        <v>44</v>
      </c>
      <c r="E61">
        <v>49</v>
      </c>
      <c r="F61" t="s">
        <v>122</v>
      </c>
      <c r="G61" t="s">
        <v>250</v>
      </c>
      <c r="H61">
        <v>3.8483375000000004</v>
      </c>
      <c r="I61">
        <v>7</v>
      </c>
      <c r="J61">
        <v>4</v>
      </c>
      <c r="K61">
        <v>2</v>
      </c>
      <c r="L61">
        <v>1</v>
      </c>
    </row>
    <row r="62" spans="1:13" hidden="1" x14ac:dyDescent="0.25">
      <c r="A62" t="s">
        <v>159</v>
      </c>
      <c r="B62" t="s">
        <v>251</v>
      </c>
      <c r="C62" t="s">
        <v>168</v>
      </c>
      <c r="D62">
        <v>45</v>
      </c>
      <c r="E62">
        <v>48</v>
      </c>
      <c r="F62" t="s">
        <v>122</v>
      </c>
      <c r="G62" t="s">
        <v>252</v>
      </c>
      <c r="H62">
        <v>5.0264000000000006</v>
      </c>
      <c r="I62">
        <v>7.3</v>
      </c>
      <c r="J62">
        <v>3</v>
      </c>
      <c r="K62">
        <v>3</v>
      </c>
      <c r="L62">
        <v>1</v>
      </c>
      <c r="M62" t="s">
        <v>253</v>
      </c>
    </row>
    <row r="63" spans="1:13" hidden="1" x14ac:dyDescent="0.25">
      <c r="A63" t="s">
        <v>159</v>
      </c>
      <c r="C63" t="s">
        <v>153</v>
      </c>
      <c r="D63">
        <v>54</v>
      </c>
      <c r="E63">
        <v>45</v>
      </c>
      <c r="F63" t="s">
        <v>122</v>
      </c>
      <c r="G63" t="s">
        <v>254</v>
      </c>
      <c r="H63">
        <v>1.7670937500000001</v>
      </c>
      <c r="I63">
        <v>6.7</v>
      </c>
      <c r="J63">
        <v>8</v>
      </c>
      <c r="K63">
        <v>3</v>
      </c>
      <c r="L63">
        <v>1</v>
      </c>
      <c r="M63" t="s">
        <v>223</v>
      </c>
    </row>
    <row r="64" spans="1:13" hidden="1" x14ac:dyDescent="0.25">
      <c r="A64" t="s">
        <v>159</v>
      </c>
      <c r="C64" t="s">
        <v>168</v>
      </c>
      <c r="D64">
        <v>33</v>
      </c>
      <c r="E64">
        <v>42</v>
      </c>
      <c r="F64" t="s">
        <v>122</v>
      </c>
      <c r="G64" t="s">
        <v>255</v>
      </c>
      <c r="H64">
        <v>1.6492875000000002</v>
      </c>
      <c r="I64">
        <v>7.5</v>
      </c>
      <c r="J64">
        <v>8</v>
      </c>
      <c r="K64">
        <v>3</v>
      </c>
      <c r="L64">
        <v>1</v>
      </c>
      <c r="M64" t="s">
        <v>256</v>
      </c>
    </row>
    <row r="65" spans="1:13" hidden="1" x14ac:dyDescent="0.25">
      <c r="A65" t="s">
        <v>159</v>
      </c>
      <c r="C65" t="s">
        <v>121</v>
      </c>
      <c r="D65">
        <v>51</v>
      </c>
      <c r="E65">
        <v>48</v>
      </c>
      <c r="F65" t="s">
        <v>122</v>
      </c>
      <c r="G65" t="s">
        <v>257</v>
      </c>
      <c r="H65">
        <v>3.7698</v>
      </c>
      <c r="I65">
        <v>7.5</v>
      </c>
      <c r="J65">
        <v>4</v>
      </c>
      <c r="K65">
        <v>3</v>
      </c>
      <c r="L65">
        <v>1</v>
      </c>
      <c r="M65" t="s">
        <v>258</v>
      </c>
    </row>
    <row r="66" spans="1:13" hidden="1" x14ac:dyDescent="0.25">
      <c r="A66" t="s">
        <v>159</v>
      </c>
      <c r="C66" t="s">
        <v>168</v>
      </c>
      <c r="D66">
        <v>52</v>
      </c>
      <c r="E66">
        <v>49</v>
      </c>
      <c r="F66" t="s">
        <v>122</v>
      </c>
      <c r="G66" t="s">
        <v>259</v>
      </c>
      <c r="H66">
        <v>1.3993954545454546</v>
      </c>
      <c r="I66">
        <v>7.7</v>
      </c>
      <c r="J66">
        <v>11</v>
      </c>
      <c r="K66">
        <v>2</v>
      </c>
      <c r="L66">
        <v>1</v>
      </c>
      <c r="M66" t="s">
        <v>249</v>
      </c>
    </row>
    <row r="67" spans="1:13" hidden="1" x14ac:dyDescent="0.25">
      <c r="A67" t="s">
        <v>159</v>
      </c>
      <c r="B67" t="s">
        <v>260</v>
      </c>
      <c r="C67" t="s">
        <v>168</v>
      </c>
      <c r="D67">
        <v>93</v>
      </c>
      <c r="E67">
        <v>52</v>
      </c>
      <c r="F67" t="s">
        <v>122</v>
      </c>
      <c r="G67" t="s">
        <v>261</v>
      </c>
      <c r="H67">
        <v>5.5</v>
      </c>
      <c r="I67">
        <v>7.8</v>
      </c>
      <c r="J67">
        <v>3</v>
      </c>
      <c r="K67">
        <v>3</v>
      </c>
      <c r="L67">
        <v>1</v>
      </c>
    </row>
    <row r="68" spans="1:13" hidden="1" x14ac:dyDescent="0.25">
      <c r="A68" t="s">
        <v>159</v>
      </c>
      <c r="C68" t="s">
        <v>153</v>
      </c>
      <c r="D68">
        <v>70</v>
      </c>
      <c r="E68">
        <v>48</v>
      </c>
      <c r="F68" t="s">
        <v>122</v>
      </c>
      <c r="G68" t="s">
        <v>262</v>
      </c>
      <c r="H68">
        <v>3.7698</v>
      </c>
      <c r="I68">
        <v>8</v>
      </c>
      <c r="J68">
        <v>4</v>
      </c>
      <c r="K68">
        <v>3</v>
      </c>
      <c r="L68">
        <v>1</v>
      </c>
      <c r="M68" t="s">
        <v>180</v>
      </c>
    </row>
    <row r="69" spans="1:13" hidden="1" x14ac:dyDescent="0.25">
      <c r="A69" t="s">
        <v>159</v>
      </c>
      <c r="B69" t="s">
        <v>251</v>
      </c>
      <c r="C69" t="s">
        <v>168</v>
      </c>
      <c r="D69">
        <v>46</v>
      </c>
      <c r="E69">
        <v>50</v>
      </c>
      <c r="F69" t="s">
        <v>122</v>
      </c>
      <c r="G69" t="s">
        <v>263</v>
      </c>
      <c r="H69">
        <v>7.8537500000000007</v>
      </c>
      <c r="I69">
        <v>8.5</v>
      </c>
      <c r="J69">
        <v>2</v>
      </c>
      <c r="K69">
        <v>3</v>
      </c>
      <c r="L69">
        <v>1</v>
      </c>
      <c r="M69" t="s">
        <v>152</v>
      </c>
    </row>
    <row r="70" spans="1:13" hidden="1" x14ac:dyDescent="0.25">
      <c r="A70" t="s">
        <v>159</v>
      </c>
      <c r="C70" t="s">
        <v>168</v>
      </c>
      <c r="D70">
        <v>71</v>
      </c>
      <c r="E70">
        <v>43</v>
      </c>
      <c r="F70" t="s">
        <v>122</v>
      </c>
      <c r="G70" t="s">
        <v>264</v>
      </c>
      <c r="H70">
        <v>2.2514083333333335</v>
      </c>
      <c r="I70">
        <v>9</v>
      </c>
      <c r="J70">
        <v>6</v>
      </c>
      <c r="K70">
        <v>3</v>
      </c>
      <c r="L70">
        <v>1</v>
      </c>
      <c r="M70" t="s">
        <v>180</v>
      </c>
    </row>
    <row r="71" spans="1:13" hidden="1" x14ac:dyDescent="0.25">
      <c r="A71" t="s">
        <v>159</v>
      </c>
      <c r="C71" t="s">
        <v>168</v>
      </c>
      <c r="D71">
        <v>47</v>
      </c>
      <c r="E71">
        <v>43</v>
      </c>
      <c r="F71" t="s">
        <v>122</v>
      </c>
      <c r="G71" t="s">
        <v>265</v>
      </c>
      <c r="H71">
        <v>4.5028166666666669</v>
      </c>
      <c r="I71">
        <v>9</v>
      </c>
      <c r="J71">
        <v>3</v>
      </c>
      <c r="K71">
        <v>3</v>
      </c>
      <c r="L71">
        <v>1</v>
      </c>
      <c r="M71" t="s">
        <v>266</v>
      </c>
    </row>
    <row r="72" spans="1:13" hidden="1" x14ac:dyDescent="0.25">
      <c r="A72" t="s">
        <v>159</v>
      </c>
      <c r="C72" t="s">
        <v>168</v>
      </c>
      <c r="D72">
        <v>92</v>
      </c>
      <c r="E72">
        <v>56</v>
      </c>
      <c r="F72" t="s">
        <v>122</v>
      </c>
      <c r="G72" t="s">
        <v>267</v>
      </c>
      <c r="H72">
        <v>5.8641333333333332</v>
      </c>
      <c r="I72">
        <v>9</v>
      </c>
      <c r="J72">
        <v>3</v>
      </c>
      <c r="K72">
        <v>3</v>
      </c>
      <c r="L72">
        <v>1</v>
      </c>
      <c r="M72" t="s">
        <v>256</v>
      </c>
    </row>
    <row r="73" spans="1:13" hidden="1" x14ac:dyDescent="0.25">
      <c r="A73" t="s">
        <v>159</v>
      </c>
      <c r="C73" t="s">
        <v>121</v>
      </c>
      <c r="D73">
        <v>72</v>
      </c>
      <c r="E73">
        <v>56</v>
      </c>
      <c r="F73" t="s">
        <v>122</v>
      </c>
      <c r="G73" t="s">
        <v>268</v>
      </c>
      <c r="H73">
        <v>5.8641333333333332</v>
      </c>
      <c r="I73">
        <v>9</v>
      </c>
      <c r="J73">
        <v>3</v>
      </c>
      <c r="K73">
        <v>3</v>
      </c>
      <c r="L73">
        <v>1</v>
      </c>
      <c r="M73" t="s">
        <v>180</v>
      </c>
    </row>
    <row r="74" spans="1:13" hidden="1" x14ac:dyDescent="0.25">
      <c r="A74" t="s">
        <v>159</v>
      </c>
      <c r="C74" t="s">
        <v>153</v>
      </c>
      <c r="D74">
        <v>74</v>
      </c>
      <c r="E74">
        <v>47</v>
      </c>
      <c r="F74" t="s">
        <v>122</v>
      </c>
      <c r="G74" t="s">
        <v>269</v>
      </c>
      <c r="H74">
        <v>1.4765050000000002</v>
      </c>
      <c r="I74">
        <v>9.5</v>
      </c>
      <c r="J74">
        <v>10</v>
      </c>
      <c r="K74">
        <v>0</v>
      </c>
      <c r="L74">
        <v>1</v>
      </c>
      <c r="M74" t="s">
        <v>270</v>
      </c>
    </row>
    <row r="75" spans="1:13" hidden="1" x14ac:dyDescent="0.25">
      <c r="A75" t="s">
        <v>159</v>
      </c>
      <c r="C75" t="s">
        <v>153</v>
      </c>
      <c r="D75">
        <v>68</v>
      </c>
      <c r="E75">
        <v>43</v>
      </c>
      <c r="F75" t="s">
        <v>122</v>
      </c>
      <c r="G75" t="s">
        <v>271</v>
      </c>
      <c r="H75">
        <v>2.2514083333333335</v>
      </c>
      <c r="I75">
        <v>9.5</v>
      </c>
      <c r="J75">
        <v>6</v>
      </c>
      <c r="K75">
        <v>3</v>
      </c>
      <c r="L75">
        <v>1</v>
      </c>
      <c r="M75" t="s">
        <v>180</v>
      </c>
    </row>
    <row r="76" spans="1:13" hidden="1" x14ac:dyDescent="0.25">
      <c r="A76" t="s">
        <v>159</v>
      </c>
      <c r="C76" t="s">
        <v>172</v>
      </c>
      <c r="D76">
        <v>53</v>
      </c>
      <c r="E76">
        <v>46</v>
      </c>
      <c r="F76" t="s">
        <v>122</v>
      </c>
      <c r="G76" t="s">
        <v>272</v>
      </c>
      <c r="H76">
        <v>4.8169666666666675</v>
      </c>
      <c r="I76">
        <v>10.5</v>
      </c>
      <c r="J76">
        <v>3</v>
      </c>
      <c r="K76" t="s">
        <v>165</v>
      </c>
      <c r="L76">
        <v>1</v>
      </c>
      <c r="M76" t="s">
        <v>273</v>
      </c>
    </row>
    <row r="77" spans="1:13" hidden="1" x14ac:dyDescent="0.25">
      <c r="A77" t="s">
        <v>159</v>
      </c>
      <c r="B77" t="s">
        <v>274</v>
      </c>
      <c r="C77" t="s">
        <v>157</v>
      </c>
      <c r="D77">
        <v>48</v>
      </c>
      <c r="E77">
        <v>50</v>
      </c>
      <c r="F77" t="s">
        <v>122</v>
      </c>
      <c r="G77" t="s">
        <v>275</v>
      </c>
      <c r="H77">
        <v>5.2358333333333338</v>
      </c>
      <c r="I77">
        <v>10.5</v>
      </c>
      <c r="J77">
        <v>3</v>
      </c>
      <c r="K77">
        <v>3</v>
      </c>
      <c r="L77">
        <v>1</v>
      </c>
      <c r="M77" t="s">
        <v>276</v>
      </c>
    </row>
    <row r="78" spans="1:13" hidden="1" x14ac:dyDescent="0.25">
      <c r="A78" t="s">
        <v>159</v>
      </c>
      <c r="C78" t="s">
        <v>157</v>
      </c>
      <c r="D78">
        <v>49</v>
      </c>
      <c r="E78">
        <v>55</v>
      </c>
      <c r="F78" t="s">
        <v>122</v>
      </c>
      <c r="G78" t="s">
        <v>277</v>
      </c>
      <c r="H78">
        <v>5.7594166666666666</v>
      </c>
      <c r="I78">
        <v>10.5</v>
      </c>
      <c r="J78">
        <v>3</v>
      </c>
      <c r="K78" t="s">
        <v>165</v>
      </c>
      <c r="L78">
        <v>1</v>
      </c>
      <c r="M78" t="s">
        <v>143</v>
      </c>
    </row>
    <row r="79" spans="1:13" hidden="1" x14ac:dyDescent="0.25">
      <c r="A79" t="s">
        <v>159</v>
      </c>
      <c r="C79" t="s">
        <v>168</v>
      </c>
      <c r="D79">
        <v>50</v>
      </c>
      <c r="E79">
        <v>66</v>
      </c>
      <c r="F79" t="s">
        <v>122</v>
      </c>
      <c r="G79" t="s">
        <v>278</v>
      </c>
      <c r="H79">
        <v>10.366949999999999</v>
      </c>
      <c r="I79">
        <v>6</v>
      </c>
      <c r="J79">
        <v>2</v>
      </c>
      <c r="K79">
        <v>3</v>
      </c>
      <c r="L79">
        <v>1</v>
      </c>
      <c r="M79" t="s">
        <v>279</v>
      </c>
    </row>
    <row r="80" spans="1:13" hidden="1" x14ac:dyDescent="0.25">
      <c r="A80" t="s">
        <v>159</v>
      </c>
      <c r="B80" t="s">
        <v>280</v>
      </c>
      <c r="C80" t="s">
        <v>168</v>
      </c>
      <c r="D80">
        <v>56</v>
      </c>
      <c r="E80">
        <v>40</v>
      </c>
      <c r="F80" t="s">
        <v>122</v>
      </c>
      <c r="G80" t="s">
        <v>140</v>
      </c>
      <c r="H80">
        <v>6.2830000000000004</v>
      </c>
      <c r="I80">
        <v>10.5</v>
      </c>
      <c r="J80">
        <v>2</v>
      </c>
      <c r="K80">
        <v>3</v>
      </c>
      <c r="L80">
        <v>1</v>
      </c>
      <c r="M80" t="s">
        <v>281</v>
      </c>
    </row>
    <row r="81" spans="1:13" hidden="1" x14ac:dyDescent="0.25">
      <c r="A81" t="s">
        <v>159</v>
      </c>
      <c r="C81" t="s">
        <v>172</v>
      </c>
      <c r="D81">
        <v>94</v>
      </c>
      <c r="E81">
        <v>50</v>
      </c>
      <c r="F81" t="s">
        <v>122</v>
      </c>
      <c r="G81" t="s">
        <v>282</v>
      </c>
      <c r="H81">
        <v>7.8537500000000007</v>
      </c>
      <c r="I81">
        <v>11</v>
      </c>
      <c r="J81">
        <v>2</v>
      </c>
      <c r="K81">
        <v>2</v>
      </c>
      <c r="L81">
        <v>1</v>
      </c>
      <c r="M81" t="s">
        <v>283</v>
      </c>
    </row>
    <row r="82" spans="1:13" hidden="1" x14ac:dyDescent="0.25">
      <c r="A82" t="s">
        <v>159</v>
      </c>
      <c r="C82" t="s">
        <v>168</v>
      </c>
      <c r="D82">
        <v>57</v>
      </c>
      <c r="E82">
        <v>52</v>
      </c>
      <c r="F82" t="s">
        <v>122</v>
      </c>
      <c r="G82" t="s">
        <v>138</v>
      </c>
      <c r="H82">
        <v>8.1678999999999995</v>
      </c>
      <c r="I82">
        <v>10.5</v>
      </c>
      <c r="J82">
        <v>2</v>
      </c>
      <c r="K82">
        <v>3</v>
      </c>
      <c r="L82">
        <v>1</v>
      </c>
      <c r="M82" t="s">
        <v>139</v>
      </c>
    </row>
    <row r="83" spans="1:13" hidden="1" x14ac:dyDescent="0.25">
      <c r="A83" t="s">
        <v>159</v>
      </c>
      <c r="C83" t="s">
        <v>168</v>
      </c>
      <c r="D83">
        <v>58</v>
      </c>
      <c r="E83">
        <v>70</v>
      </c>
      <c r="F83" t="s">
        <v>122</v>
      </c>
      <c r="G83" t="s">
        <v>284</v>
      </c>
      <c r="H83">
        <v>7.3301666666666661</v>
      </c>
      <c r="I83">
        <v>11</v>
      </c>
      <c r="J83">
        <v>3</v>
      </c>
      <c r="K83">
        <v>3</v>
      </c>
      <c r="L83">
        <v>1</v>
      </c>
      <c r="M83" t="s">
        <v>285</v>
      </c>
    </row>
    <row r="84" spans="1:13" hidden="1" x14ac:dyDescent="0.25">
      <c r="A84" t="s">
        <v>159</v>
      </c>
      <c r="C84" t="s">
        <v>153</v>
      </c>
      <c r="D84">
        <v>69</v>
      </c>
      <c r="E84">
        <v>43</v>
      </c>
      <c r="F84" t="s">
        <v>122</v>
      </c>
      <c r="G84" t="s">
        <v>286</v>
      </c>
      <c r="H84">
        <v>2.2514083333333335</v>
      </c>
      <c r="I84">
        <v>11</v>
      </c>
      <c r="J84">
        <v>6</v>
      </c>
      <c r="K84">
        <v>3</v>
      </c>
      <c r="L84">
        <v>1</v>
      </c>
      <c r="M84" t="s">
        <v>180</v>
      </c>
    </row>
    <row r="85" spans="1:13" hidden="1" x14ac:dyDescent="0.25">
      <c r="A85" t="s">
        <v>159</v>
      </c>
      <c r="C85" t="s">
        <v>172</v>
      </c>
      <c r="D85">
        <v>77</v>
      </c>
      <c r="E85">
        <v>72</v>
      </c>
      <c r="F85" t="s">
        <v>122</v>
      </c>
      <c r="G85" t="s">
        <v>287</v>
      </c>
      <c r="H85">
        <v>11.3094</v>
      </c>
      <c r="I85">
        <v>9.5</v>
      </c>
      <c r="J85">
        <v>2</v>
      </c>
      <c r="K85">
        <v>0</v>
      </c>
      <c r="L85">
        <v>1</v>
      </c>
      <c r="M85" t="s">
        <v>288</v>
      </c>
    </row>
    <row r="86" spans="1:13" hidden="1" x14ac:dyDescent="0.25">
      <c r="A86" t="s">
        <v>159</v>
      </c>
      <c r="C86" t="s">
        <v>168</v>
      </c>
      <c r="D86">
        <v>59</v>
      </c>
      <c r="E86">
        <v>75</v>
      </c>
      <c r="F86" t="s">
        <v>122</v>
      </c>
      <c r="G86" t="s">
        <v>289</v>
      </c>
      <c r="H86">
        <v>11.780625000000001</v>
      </c>
      <c r="I86">
        <v>10.5</v>
      </c>
      <c r="J86">
        <v>2</v>
      </c>
      <c r="K86">
        <v>3</v>
      </c>
      <c r="L86">
        <v>1</v>
      </c>
      <c r="M86" t="s">
        <v>290</v>
      </c>
    </row>
    <row r="87" spans="1:13" hidden="1" x14ac:dyDescent="0.25">
      <c r="A87" t="s">
        <v>159</v>
      </c>
      <c r="D87">
        <v>83</v>
      </c>
      <c r="E87">
        <v>42</v>
      </c>
      <c r="F87" t="s">
        <v>217</v>
      </c>
      <c r="G87" t="s">
        <v>291</v>
      </c>
      <c r="H87">
        <v>13.194300000000002</v>
      </c>
      <c r="I87">
        <v>5.5</v>
      </c>
      <c r="J87">
        <v>1</v>
      </c>
      <c r="K87">
        <v>3</v>
      </c>
      <c r="L87">
        <v>1</v>
      </c>
    </row>
    <row r="88" spans="1:13" hidden="1" x14ac:dyDescent="0.25">
      <c r="A88" t="s">
        <v>159</v>
      </c>
      <c r="C88" t="s">
        <v>168</v>
      </c>
      <c r="D88">
        <v>60</v>
      </c>
      <c r="E88">
        <v>41</v>
      </c>
      <c r="F88" t="s">
        <v>122</v>
      </c>
      <c r="G88" t="s">
        <v>292</v>
      </c>
      <c r="H88">
        <v>12.88015</v>
      </c>
      <c r="I88">
        <v>8.5</v>
      </c>
      <c r="J88">
        <v>1</v>
      </c>
      <c r="K88">
        <v>3</v>
      </c>
      <c r="L88">
        <v>1</v>
      </c>
      <c r="M88" t="s">
        <v>293</v>
      </c>
    </row>
    <row r="89" spans="1:13" hidden="1" x14ac:dyDescent="0.25">
      <c r="A89" t="s">
        <v>159</v>
      </c>
      <c r="C89" t="s">
        <v>168</v>
      </c>
      <c r="D89">
        <v>61</v>
      </c>
      <c r="E89">
        <v>42</v>
      </c>
      <c r="F89" t="s">
        <v>122</v>
      </c>
      <c r="G89" t="s">
        <v>294</v>
      </c>
      <c r="H89">
        <v>13.194300000000002</v>
      </c>
      <c r="I89">
        <v>7.5</v>
      </c>
      <c r="J89">
        <v>1</v>
      </c>
      <c r="K89">
        <v>3</v>
      </c>
      <c r="L89">
        <v>1</v>
      </c>
      <c r="M89" t="s">
        <v>295</v>
      </c>
    </row>
    <row r="90" spans="1:13" hidden="1" x14ac:dyDescent="0.25">
      <c r="A90" t="s">
        <v>159</v>
      </c>
      <c r="C90" t="s">
        <v>168</v>
      </c>
      <c r="D90">
        <v>62</v>
      </c>
      <c r="E90">
        <v>49</v>
      </c>
      <c r="F90" t="s">
        <v>122</v>
      </c>
      <c r="G90" t="s">
        <v>296</v>
      </c>
      <c r="H90">
        <v>15.393350000000002</v>
      </c>
      <c r="I90">
        <v>10</v>
      </c>
      <c r="J90">
        <v>1</v>
      </c>
      <c r="K90">
        <v>2</v>
      </c>
      <c r="L90">
        <v>3</v>
      </c>
      <c r="M90" t="s">
        <v>297</v>
      </c>
    </row>
    <row r="91" spans="1:13" hidden="1" x14ac:dyDescent="0.25">
      <c r="A91" t="s">
        <v>159</v>
      </c>
      <c r="C91" t="s">
        <v>168</v>
      </c>
      <c r="D91">
        <v>63</v>
      </c>
      <c r="E91">
        <v>52</v>
      </c>
      <c r="F91" t="s">
        <v>122</v>
      </c>
      <c r="G91" t="s">
        <v>298</v>
      </c>
      <c r="H91">
        <v>16.335799999999999</v>
      </c>
      <c r="I91">
        <v>7.5</v>
      </c>
      <c r="J91">
        <v>1</v>
      </c>
      <c r="K91">
        <v>3</v>
      </c>
      <c r="L91">
        <v>1</v>
      </c>
      <c r="M91" t="s">
        <v>299</v>
      </c>
    </row>
    <row r="92" spans="1:13" hidden="1" x14ac:dyDescent="0.25">
      <c r="A92" t="s">
        <v>159</v>
      </c>
      <c r="C92" t="s">
        <v>168</v>
      </c>
      <c r="D92">
        <v>67</v>
      </c>
      <c r="E92">
        <v>62</v>
      </c>
      <c r="F92" t="s">
        <v>122</v>
      </c>
      <c r="G92" t="s">
        <v>300</v>
      </c>
      <c r="H92">
        <v>19.477300000000003</v>
      </c>
      <c r="I92">
        <v>10.5</v>
      </c>
      <c r="J92">
        <v>1</v>
      </c>
      <c r="K92">
        <v>3</v>
      </c>
      <c r="L92">
        <v>2</v>
      </c>
      <c r="M92" t="s">
        <v>301</v>
      </c>
    </row>
    <row r="93" spans="1:13" hidden="1" x14ac:dyDescent="0.25">
      <c r="A93" t="s">
        <v>159</v>
      </c>
      <c r="B93" t="s">
        <v>302</v>
      </c>
      <c r="C93" t="s">
        <v>121</v>
      </c>
      <c r="D93">
        <v>64</v>
      </c>
      <c r="E93">
        <v>64</v>
      </c>
      <c r="F93" t="s">
        <v>122</v>
      </c>
      <c r="G93" t="s">
        <v>303</v>
      </c>
      <c r="H93">
        <v>20.105600000000003</v>
      </c>
      <c r="I93">
        <v>10.5</v>
      </c>
      <c r="J93">
        <v>1</v>
      </c>
      <c r="K93">
        <v>3</v>
      </c>
      <c r="L93">
        <v>1</v>
      </c>
      <c r="M93" t="s">
        <v>304</v>
      </c>
    </row>
    <row r="94" spans="1:13" hidden="1" x14ac:dyDescent="0.25">
      <c r="A94" t="s">
        <v>159</v>
      </c>
      <c r="C94" t="s">
        <v>168</v>
      </c>
      <c r="D94">
        <v>66</v>
      </c>
      <c r="E94">
        <v>73</v>
      </c>
      <c r="F94" t="s">
        <v>122</v>
      </c>
      <c r="G94" t="s">
        <v>305</v>
      </c>
      <c r="H94">
        <v>22.932950000000002</v>
      </c>
      <c r="I94">
        <v>11</v>
      </c>
      <c r="J94">
        <v>1</v>
      </c>
      <c r="K94">
        <v>1</v>
      </c>
      <c r="L94">
        <v>1</v>
      </c>
      <c r="M94" t="s">
        <v>301</v>
      </c>
    </row>
    <row r="95" spans="1:13" hidden="1" x14ac:dyDescent="0.25">
      <c r="A95" t="s">
        <v>159</v>
      </c>
    </row>
    <row r="96" spans="1:13" hidden="1" x14ac:dyDescent="0.25">
      <c r="A96" t="s">
        <v>159</v>
      </c>
    </row>
    <row r="97" spans="1:13" hidden="1" x14ac:dyDescent="0.25">
      <c r="A97" t="s">
        <v>159</v>
      </c>
      <c r="B97" t="s">
        <v>306</v>
      </c>
      <c r="C97" t="s">
        <v>168</v>
      </c>
      <c r="D97">
        <v>78</v>
      </c>
      <c r="E97">
        <v>48</v>
      </c>
      <c r="F97" t="s">
        <v>126</v>
      </c>
      <c r="G97" t="s">
        <v>307</v>
      </c>
      <c r="H97">
        <v>3.7698</v>
      </c>
      <c r="I97">
        <v>5</v>
      </c>
      <c r="J97">
        <v>4</v>
      </c>
      <c r="K97">
        <v>3</v>
      </c>
      <c r="L97">
        <v>3</v>
      </c>
      <c r="M97" t="s">
        <v>308</v>
      </c>
    </row>
    <row r="98" spans="1:13" hidden="1" x14ac:dyDescent="0.25">
      <c r="A98" t="s">
        <v>159</v>
      </c>
      <c r="B98" t="s">
        <v>309</v>
      </c>
      <c r="C98" t="s">
        <v>168</v>
      </c>
      <c r="D98">
        <v>78</v>
      </c>
      <c r="E98">
        <v>48</v>
      </c>
      <c r="F98" t="s">
        <v>126</v>
      </c>
      <c r="G98" t="s">
        <v>310</v>
      </c>
      <c r="H98">
        <v>5.0264000000000006</v>
      </c>
      <c r="I98">
        <v>4.5</v>
      </c>
      <c r="J98">
        <v>3</v>
      </c>
      <c r="K98">
        <v>3</v>
      </c>
      <c r="L98">
        <v>1</v>
      </c>
      <c r="M98" t="s">
        <v>311</v>
      </c>
    </row>
    <row r="99" spans="1:13" hidden="1" x14ac:dyDescent="0.25">
      <c r="A99" t="s">
        <v>159</v>
      </c>
      <c r="C99" t="s">
        <v>168</v>
      </c>
      <c r="D99">
        <v>27</v>
      </c>
      <c r="E99">
        <v>56</v>
      </c>
      <c r="F99" t="s">
        <v>126</v>
      </c>
      <c r="G99" t="s">
        <v>312</v>
      </c>
      <c r="H99">
        <v>5.8641333333333332</v>
      </c>
      <c r="I99">
        <v>4</v>
      </c>
      <c r="J99">
        <v>3</v>
      </c>
      <c r="K99">
        <v>3</v>
      </c>
      <c r="L99">
        <v>1</v>
      </c>
      <c r="M99" t="s">
        <v>313</v>
      </c>
    </row>
    <row r="100" spans="1:13" hidden="1" x14ac:dyDescent="0.25">
      <c r="A100" t="s">
        <v>159</v>
      </c>
      <c r="C100" t="s">
        <v>168</v>
      </c>
      <c r="D100">
        <v>29</v>
      </c>
      <c r="E100">
        <v>57</v>
      </c>
      <c r="F100" t="s">
        <v>126</v>
      </c>
      <c r="G100" t="s">
        <v>314</v>
      </c>
      <c r="H100">
        <v>5.9688500000000007</v>
      </c>
      <c r="I100">
        <v>3.5</v>
      </c>
      <c r="J100">
        <v>3</v>
      </c>
      <c r="K100">
        <v>3</v>
      </c>
      <c r="L100">
        <v>1</v>
      </c>
      <c r="M100" t="s">
        <v>315</v>
      </c>
    </row>
    <row r="101" spans="1:13" hidden="1" x14ac:dyDescent="0.25">
      <c r="A101" t="s">
        <v>159</v>
      </c>
      <c r="B101" t="s">
        <v>316</v>
      </c>
      <c r="C101" t="s">
        <v>168</v>
      </c>
      <c r="D101">
        <v>1</v>
      </c>
      <c r="E101">
        <v>40</v>
      </c>
      <c r="F101" t="s">
        <v>126</v>
      </c>
      <c r="G101" t="s">
        <v>317</v>
      </c>
      <c r="H101">
        <v>3.1415000000000002</v>
      </c>
      <c r="I101">
        <v>7.5</v>
      </c>
      <c r="J101">
        <v>4</v>
      </c>
      <c r="K101">
        <v>3</v>
      </c>
      <c r="L101">
        <v>1</v>
      </c>
      <c r="M101" t="s">
        <v>318</v>
      </c>
    </row>
    <row r="102" spans="1:13" hidden="1" x14ac:dyDescent="0.25">
      <c r="A102" t="s">
        <v>159</v>
      </c>
      <c r="C102" t="s">
        <v>168</v>
      </c>
      <c r="D102">
        <v>79</v>
      </c>
      <c r="E102">
        <v>57</v>
      </c>
      <c r="F102" t="s">
        <v>126</v>
      </c>
      <c r="G102" t="s">
        <v>319</v>
      </c>
      <c r="H102">
        <v>8.9532750000000014</v>
      </c>
      <c r="I102">
        <v>8</v>
      </c>
      <c r="J102">
        <v>2</v>
      </c>
      <c r="K102">
        <v>3</v>
      </c>
      <c r="L102">
        <v>1</v>
      </c>
      <c r="M102" t="s">
        <v>311</v>
      </c>
    </row>
    <row r="103" spans="1:13" hidden="1" x14ac:dyDescent="0.25">
      <c r="A103" t="s">
        <v>159</v>
      </c>
      <c r="C103" t="s">
        <v>168</v>
      </c>
      <c r="D103">
        <v>80</v>
      </c>
      <c r="E103">
        <v>64</v>
      </c>
      <c r="F103" t="s">
        <v>126</v>
      </c>
      <c r="G103" t="s">
        <v>320</v>
      </c>
      <c r="H103">
        <v>10.052800000000001</v>
      </c>
      <c r="I103">
        <v>7</v>
      </c>
      <c r="J103">
        <v>2</v>
      </c>
      <c r="K103">
        <v>3</v>
      </c>
      <c r="L103">
        <v>1</v>
      </c>
      <c r="M103" t="s">
        <v>321</v>
      </c>
    </row>
    <row r="104" spans="1:13" hidden="1" x14ac:dyDescent="0.25">
      <c r="A104" t="s">
        <v>159</v>
      </c>
      <c r="C104" t="s">
        <v>121</v>
      </c>
      <c r="D104">
        <v>19</v>
      </c>
      <c r="E104">
        <v>57</v>
      </c>
      <c r="F104" t="s">
        <v>126</v>
      </c>
      <c r="G104" t="s">
        <v>322</v>
      </c>
      <c r="H104">
        <v>17.906550000000003</v>
      </c>
      <c r="I104">
        <v>4</v>
      </c>
      <c r="J104">
        <v>1</v>
      </c>
      <c r="K104">
        <v>3</v>
      </c>
      <c r="L104">
        <v>1</v>
      </c>
      <c r="M104" t="s">
        <v>323</v>
      </c>
    </row>
    <row r="105" spans="1:13" hidden="1" x14ac:dyDescent="0.25">
      <c r="A105" t="s">
        <v>159</v>
      </c>
    </row>
    <row r="106" spans="1:13" hidden="1" x14ac:dyDescent="0.25">
      <c r="A106" t="s">
        <v>159</v>
      </c>
      <c r="C106" t="s">
        <v>172</v>
      </c>
      <c r="D106">
        <v>85</v>
      </c>
      <c r="E106">
        <v>51</v>
      </c>
      <c r="F106" t="s">
        <v>324</v>
      </c>
      <c r="G106" t="s">
        <v>325</v>
      </c>
      <c r="H106">
        <v>16.2</v>
      </c>
      <c r="I106">
        <v>11</v>
      </c>
      <c r="J106">
        <v>1</v>
      </c>
      <c r="K106">
        <v>1</v>
      </c>
      <c r="L106">
        <v>2</v>
      </c>
      <c r="M106" t="s">
        <v>326</v>
      </c>
    </row>
    <row r="107" spans="1:13" hidden="1" x14ac:dyDescent="0.25">
      <c r="A107" t="s">
        <v>159</v>
      </c>
    </row>
    <row r="108" spans="1:13" hidden="1" x14ac:dyDescent="0.25">
      <c r="A108" t="s">
        <v>159</v>
      </c>
      <c r="D108">
        <v>86</v>
      </c>
      <c r="E108">
        <v>44</v>
      </c>
      <c r="F108" t="s">
        <v>302</v>
      </c>
      <c r="G108" t="s">
        <v>222</v>
      </c>
      <c r="M108" t="s">
        <v>223</v>
      </c>
    </row>
    <row r="109" spans="1:13" hidden="1" x14ac:dyDescent="0.25">
      <c r="A109" t="s">
        <v>159</v>
      </c>
      <c r="B109" t="s">
        <v>302</v>
      </c>
      <c r="C109" t="s">
        <v>172</v>
      </c>
      <c r="D109">
        <v>65</v>
      </c>
      <c r="E109">
        <v>46</v>
      </c>
      <c r="F109" t="s">
        <v>302</v>
      </c>
      <c r="G109" t="s">
        <v>327</v>
      </c>
      <c r="H109">
        <v>4.8</v>
      </c>
      <c r="I109">
        <v>10.5</v>
      </c>
      <c r="J109">
        <v>3</v>
      </c>
      <c r="K109">
        <v>3</v>
      </c>
      <c r="L109">
        <v>1</v>
      </c>
      <c r="M109" t="s">
        <v>273</v>
      </c>
    </row>
    <row r="110" spans="1:13" hidden="1" x14ac:dyDescent="0.25">
      <c r="A110" t="s">
        <v>159</v>
      </c>
      <c r="D110">
        <v>87</v>
      </c>
      <c r="E110">
        <v>50</v>
      </c>
      <c r="F110" t="s">
        <v>302</v>
      </c>
      <c r="G110" t="s">
        <v>328</v>
      </c>
      <c r="H110">
        <v>5.2</v>
      </c>
      <c r="I110">
        <v>10.5</v>
      </c>
      <c r="J110">
        <v>3</v>
      </c>
      <c r="K110">
        <v>3</v>
      </c>
      <c r="L110">
        <v>1</v>
      </c>
      <c r="M110" t="s">
        <v>329</v>
      </c>
    </row>
    <row r="111" spans="1:13" hidden="1" x14ac:dyDescent="0.25">
      <c r="A111" t="s">
        <v>159</v>
      </c>
      <c r="C111" t="s">
        <v>172</v>
      </c>
      <c r="D111">
        <v>95</v>
      </c>
      <c r="E111">
        <v>50</v>
      </c>
      <c r="F111" t="s">
        <v>302</v>
      </c>
      <c r="G111" t="s">
        <v>330</v>
      </c>
      <c r="H111">
        <v>7.8</v>
      </c>
      <c r="I111">
        <v>10.5</v>
      </c>
      <c r="J111">
        <v>2</v>
      </c>
      <c r="K111">
        <v>2</v>
      </c>
      <c r="L111">
        <v>1</v>
      </c>
      <c r="M111" t="s">
        <v>331</v>
      </c>
    </row>
    <row r="112" spans="1:13" hidden="1" x14ac:dyDescent="0.25">
      <c r="A112" t="s">
        <v>159</v>
      </c>
      <c r="D112">
        <v>88</v>
      </c>
      <c r="E112">
        <v>64</v>
      </c>
      <c r="F112" t="s">
        <v>247</v>
      </c>
      <c r="M112" t="s">
        <v>304</v>
      </c>
    </row>
    <row r="113" spans="1:16" hidden="1" x14ac:dyDescent="0.25">
      <c r="A113" t="s">
        <v>159</v>
      </c>
      <c r="D113">
        <v>89</v>
      </c>
      <c r="E113">
        <v>60</v>
      </c>
      <c r="F113" t="s">
        <v>332</v>
      </c>
    </row>
    <row r="114" spans="1:16" hidden="1" x14ac:dyDescent="0.25">
      <c r="A114" t="s">
        <v>159</v>
      </c>
      <c r="D114">
        <v>90</v>
      </c>
      <c r="E114">
        <v>38</v>
      </c>
      <c r="F114" t="s">
        <v>332</v>
      </c>
      <c r="G114">
        <v>10</v>
      </c>
    </row>
    <row r="115" spans="1:16" hidden="1" x14ac:dyDescent="0.25">
      <c r="A115" t="s">
        <v>159</v>
      </c>
      <c r="D115">
        <v>91</v>
      </c>
      <c r="E115">
        <v>66</v>
      </c>
      <c r="F115" t="s">
        <v>333</v>
      </c>
      <c r="M115" t="s">
        <v>334</v>
      </c>
    </row>
    <row r="116" spans="1:16" hidden="1" x14ac:dyDescent="0.25">
      <c r="A116" t="s">
        <v>149</v>
      </c>
      <c r="B116" t="s">
        <v>335</v>
      </c>
      <c r="C116" t="s">
        <v>136</v>
      </c>
      <c r="D116">
        <v>1</v>
      </c>
      <c r="E116">
        <v>63</v>
      </c>
      <c r="F116" t="s">
        <v>135</v>
      </c>
      <c r="G116">
        <v>4</v>
      </c>
      <c r="H116">
        <v>4</v>
      </c>
      <c r="I116">
        <v>12.5</v>
      </c>
      <c r="J116">
        <v>5</v>
      </c>
      <c r="K116">
        <v>5</v>
      </c>
      <c r="L116" t="s">
        <v>165</v>
      </c>
      <c r="P116" t="s">
        <v>160</v>
      </c>
    </row>
    <row r="117" spans="1:16" hidden="1" x14ac:dyDescent="0.25">
      <c r="A117" t="s">
        <v>149</v>
      </c>
      <c r="C117" t="s">
        <v>136</v>
      </c>
      <c r="D117">
        <v>2</v>
      </c>
      <c r="E117">
        <v>47</v>
      </c>
      <c r="F117" t="s">
        <v>135</v>
      </c>
      <c r="G117">
        <v>5</v>
      </c>
      <c r="H117">
        <v>5</v>
      </c>
      <c r="I117">
        <v>25</v>
      </c>
      <c r="J117">
        <v>3</v>
      </c>
      <c r="K117">
        <v>5</v>
      </c>
      <c r="L117" t="s">
        <v>165</v>
      </c>
      <c r="N117" t="s">
        <v>336</v>
      </c>
      <c r="P117" t="s">
        <v>335</v>
      </c>
    </row>
    <row r="118" spans="1:16" hidden="1" x14ac:dyDescent="0.25">
      <c r="A118" t="s">
        <v>149</v>
      </c>
      <c r="B118" t="s">
        <v>337</v>
      </c>
      <c r="C118" t="s">
        <v>136</v>
      </c>
      <c r="D118">
        <v>3</v>
      </c>
      <c r="E118">
        <v>63</v>
      </c>
      <c r="F118" t="s">
        <v>135</v>
      </c>
      <c r="G118">
        <v>6.6</v>
      </c>
      <c r="H118">
        <v>6.6</v>
      </c>
      <c r="I118">
        <v>13</v>
      </c>
      <c r="J118">
        <v>3</v>
      </c>
      <c r="K118">
        <v>5</v>
      </c>
      <c r="L118" t="s">
        <v>165</v>
      </c>
    </row>
    <row r="119" spans="1:16" hidden="1" x14ac:dyDescent="0.25">
      <c r="A119" t="s">
        <v>149</v>
      </c>
      <c r="C119" t="s">
        <v>136</v>
      </c>
      <c r="D119">
        <v>4</v>
      </c>
      <c r="E119">
        <v>47</v>
      </c>
      <c r="F119" t="s">
        <v>135</v>
      </c>
      <c r="G119">
        <v>7.5</v>
      </c>
      <c r="H119">
        <v>7.5</v>
      </c>
      <c r="I119">
        <v>25</v>
      </c>
      <c r="J119">
        <v>2</v>
      </c>
      <c r="K119">
        <v>5</v>
      </c>
      <c r="L119" t="s">
        <v>165</v>
      </c>
      <c r="N119" t="s">
        <v>336</v>
      </c>
      <c r="P119" t="s">
        <v>337</v>
      </c>
    </row>
    <row r="120" spans="1:16" hidden="1" x14ac:dyDescent="0.25">
      <c r="A120" t="s">
        <v>149</v>
      </c>
      <c r="B120" t="s">
        <v>338</v>
      </c>
      <c r="C120" t="s">
        <v>136</v>
      </c>
      <c r="D120">
        <v>5</v>
      </c>
      <c r="E120">
        <v>51</v>
      </c>
      <c r="F120" t="s">
        <v>135</v>
      </c>
      <c r="G120">
        <v>8.1</v>
      </c>
      <c r="H120">
        <v>8.1</v>
      </c>
      <c r="I120">
        <v>13</v>
      </c>
      <c r="J120">
        <v>2</v>
      </c>
      <c r="K120">
        <v>4</v>
      </c>
      <c r="L120" t="s">
        <v>165</v>
      </c>
    </row>
    <row r="121" spans="1:16" hidden="1" x14ac:dyDescent="0.25">
      <c r="A121" t="s">
        <v>149</v>
      </c>
      <c r="B121" t="s">
        <v>342</v>
      </c>
      <c r="C121" t="s">
        <v>136</v>
      </c>
      <c r="D121">
        <v>6</v>
      </c>
      <c r="E121">
        <v>63</v>
      </c>
      <c r="F121" t="s">
        <v>339</v>
      </c>
      <c r="G121">
        <v>10</v>
      </c>
      <c r="H121">
        <v>10</v>
      </c>
      <c r="I121">
        <v>17</v>
      </c>
      <c r="J121">
        <v>2</v>
      </c>
      <c r="K121">
        <v>5</v>
      </c>
      <c r="L121" t="s">
        <v>165</v>
      </c>
      <c r="M121" t="s">
        <v>340</v>
      </c>
      <c r="N121" t="s">
        <v>341</v>
      </c>
      <c r="P121" t="s">
        <v>338</v>
      </c>
    </row>
    <row r="122" spans="1:16" hidden="1" x14ac:dyDescent="0.25">
      <c r="A122" t="s">
        <v>149</v>
      </c>
      <c r="C122" t="s">
        <v>136</v>
      </c>
      <c r="D122">
        <v>7</v>
      </c>
      <c r="E122">
        <v>49</v>
      </c>
      <c r="F122" t="s">
        <v>135</v>
      </c>
      <c r="G122">
        <v>15.5</v>
      </c>
      <c r="H122">
        <v>15.5</v>
      </c>
      <c r="I122">
        <v>10.4</v>
      </c>
      <c r="J122">
        <v>2</v>
      </c>
      <c r="K122">
        <v>4</v>
      </c>
      <c r="L122" t="s">
        <v>165</v>
      </c>
      <c r="M122" t="s">
        <v>343</v>
      </c>
      <c r="P122" t="s">
        <v>342</v>
      </c>
    </row>
    <row r="123" spans="1:16" hidden="1" x14ac:dyDescent="0.25">
      <c r="A123" t="s">
        <v>149</v>
      </c>
    </row>
    <row r="124" spans="1:16" hidden="1" x14ac:dyDescent="0.25">
      <c r="A124" t="s">
        <v>149</v>
      </c>
      <c r="C124" t="s">
        <v>136</v>
      </c>
      <c r="D124">
        <v>8</v>
      </c>
      <c r="E124">
        <v>59</v>
      </c>
      <c r="F124" t="s">
        <v>177</v>
      </c>
      <c r="G124">
        <v>6</v>
      </c>
      <c r="H124">
        <v>6.3</v>
      </c>
      <c r="I124">
        <v>19</v>
      </c>
      <c r="J124">
        <v>3</v>
      </c>
      <c r="K124">
        <v>4</v>
      </c>
      <c r="L124">
        <v>3</v>
      </c>
      <c r="M124" t="s">
        <v>344</v>
      </c>
    </row>
    <row r="125" spans="1:16" hidden="1" x14ac:dyDescent="0.25">
      <c r="A125" t="s">
        <v>149</v>
      </c>
      <c r="B125" t="s">
        <v>346</v>
      </c>
      <c r="C125" t="s">
        <v>136</v>
      </c>
      <c r="D125">
        <v>9</v>
      </c>
      <c r="E125">
        <v>68</v>
      </c>
      <c r="F125" t="s">
        <v>177</v>
      </c>
      <c r="G125">
        <v>6.9</v>
      </c>
      <c r="H125">
        <v>7.2</v>
      </c>
      <c r="I125">
        <v>7.5</v>
      </c>
      <c r="J125">
        <v>3</v>
      </c>
      <c r="K125">
        <v>4</v>
      </c>
      <c r="L125">
        <v>1</v>
      </c>
      <c r="M125" t="s">
        <v>345</v>
      </c>
    </row>
    <row r="126" spans="1:16" hidden="1" x14ac:dyDescent="0.25">
      <c r="A126" t="s">
        <v>149</v>
      </c>
      <c r="B126" t="s">
        <v>348</v>
      </c>
      <c r="C126" t="s">
        <v>136</v>
      </c>
      <c r="D126">
        <v>9</v>
      </c>
      <c r="E126">
        <v>68</v>
      </c>
      <c r="F126" t="s">
        <v>177</v>
      </c>
      <c r="G126">
        <v>10.5</v>
      </c>
      <c r="H126">
        <v>10.8</v>
      </c>
      <c r="I126">
        <v>11</v>
      </c>
      <c r="J126">
        <v>2</v>
      </c>
      <c r="K126">
        <v>4</v>
      </c>
      <c r="L126">
        <v>1</v>
      </c>
      <c r="M126" t="s">
        <v>347</v>
      </c>
      <c r="P126" t="s">
        <v>346</v>
      </c>
    </row>
    <row r="127" spans="1:16" hidden="1" x14ac:dyDescent="0.25">
      <c r="A127" t="s">
        <v>149</v>
      </c>
      <c r="B127" t="s">
        <v>350</v>
      </c>
      <c r="C127" t="s">
        <v>136</v>
      </c>
      <c r="D127">
        <v>10</v>
      </c>
      <c r="E127">
        <v>59</v>
      </c>
      <c r="F127" t="s">
        <v>177</v>
      </c>
      <c r="G127">
        <v>9.1</v>
      </c>
      <c r="H127">
        <v>9.4</v>
      </c>
      <c r="I127">
        <v>9.5</v>
      </c>
      <c r="J127">
        <v>2</v>
      </c>
      <c r="K127">
        <v>4</v>
      </c>
      <c r="L127">
        <v>1</v>
      </c>
      <c r="M127" t="s">
        <v>349</v>
      </c>
      <c r="P127" t="s">
        <v>348</v>
      </c>
    </row>
    <row r="128" spans="1:16" hidden="1" x14ac:dyDescent="0.25">
      <c r="A128" t="s">
        <v>149</v>
      </c>
      <c r="P128" t="s">
        <v>350</v>
      </c>
    </row>
    <row r="129" spans="1:16" hidden="1" x14ac:dyDescent="0.25">
      <c r="A129" t="s">
        <v>149</v>
      </c>
      <c r="B129" t="s">
        <v>352</v>
      </c>
      <c r="C129" t="s">
        <v>136</v>
      </c>
      <c r="D129">
        <v>10</v>
      </c>
      <c r="E129">
        <v>59</v>
      </c>
      <c r="F129" t="s">
        <v>192</v>
      </c>
      <c r="G129" t="s">
        <v>351</v>
      </c>
      <c r="H129">
        <v>4.6831249999999995</v>
      </c>
      <c r="I129">
        <v>2.5</v>
      </c>
      <c r="J129">
        <v>4</v>
      </c>
      <c r="K129">
        <v>4</v>
      </c>
      <c r="L129">
        <v>1</v>
      </c>
    </row>
    <row r="130" spans="1:16" hidden="1" x14ac:dyDescent="0.25">
      <c r="A130" t="s">
        <v>149</v>
      </c>
      <c r="B130" t="s">
        <v>355</v>
      </c>
      <c r="C130" t="s">
        <v>136</v>
      </c>
      <c r="D130">
        <v>11</v>
      </c>
      <c r="E130">
        <v>47</v>
      </c>
      <c r="F130" t="s">
        <v>192</v>
      </c>
      <c r="G130" t="s">
        <v>353</v>
      </c>
      <c r="H130">
        <v>4.9741666666666671</v>
      </c>
      <c r="I130">
        <v>6.5</v>
      </c>
      <c r="J130">
        <v>3</v>
      </c>
      <c r="K130">
        <v>5</v>
      </c>
      <c r="L130">
        <v>1</v>
      </c>
      <c r="M130" t="s">
        <v>354</v>
      </c>
      <c r="P130" t="s">
        <v>352</v>
      </c>
    </row>
    <row r="131" spans="1:16" hidden="1" x14ac:dyDescent="0.25">
      <c r="A131" t="s">
        <v>149</v>
      </c>
      <c r="B131" t="s">
        <v>358</v>
      </c>
      <c r="C131" t="s">
        <v>136</v>
      </c>
      <c r="D131">
        <v>9</v>
      </c>
      <c r="E131">
        <v>68</v>
      </c>
      <c r="F131" t="s">
        <v>192</v>
      </c>
      <c r="G131" t="s">
        <v>356</v>
      </c>
      <c r="H131">
        <v>10.794999999999998</v>
      </c>
      <c r="I131">
        <v>6.5</v>
      </c>
      <c r="J131">
        <v>2</v>
      </c>
      <c r="K131">
        <v>4</v>
      </c>
      <c r="L131">
        <v>1</v>
      </c>
      <c r="M131" t="s">
        <v>357</v>
      </c>
      <c r="P131" t="s">
        <v>355</v>
      </c>
    </row>
    <row r="132" spans="1:16" hidden="1" x14ac:dyDescent="0.25">
      <c r="A132" t="s">
        <v>149</v>
      </c>
      <c r="P132" t="s">
        <v>358</v>
      </c>
    </row>
    <row r="133" spans="1:16" hidden="1" x14ac:dyDescent="0.25">
      <c r="A133" t="s">
        <v>149</v>
      </c>
      <c r="B133" t="s">
        <v>360</v>
      </c>
      <c r="C133" t="s">
        <v>136</v>
      </c>
      <c r="D133">
        <v>12</v>
      </c>
      <c r="E133">
        <v>47</v>
      </c>
      <c r="F133" t="s">
        <v>122</v>
      </c>
      <c r="G133" t="s">
        <v>228</v>
      </c>
      <c r="H133">
        <v>1.4922499999999999</v>
      </c>
      <c r="I133">
        <v>10.5</v>
      </c>
      <c r="J133">
        <v>10</v>
      </c>
      <c r="K133">
        <v>5</v>
      </c>
      <c r="L133">
        <v>3</v>
      </c>
      <c r="M133" t="s">
        <v>359</v>
      </c>
    </row>
    <row r="134" spans="1:16" hidden="1" x14ac:dyDescent="0.25">
      <c r="A134" t="s">
        <v>149</v>
      </c>
      <c r="C134" t="s">
        <v>172</v>
      </c>
      <c r="D134">
        <v>13</v>
      </c>
      <c r="E134">
        <v>53</v>
      </c>
      <c r="F134" t="s">
        <v>122</v>
      </c>
      <c r="G134" t="s">
        <v>227</v>
      </c>
      <c r="H134">
        <v>2.1034374999999996</v>
      </c>
      <c r="I134">
        <v>21</v>
      </c>
      <c r="J134">
        <v>8</v>
      </c>
      <c r="K134">
        <v>5</v>
      </c>
      <c r="L134">
        <v>6</v>
      </c>
      <c r="M134" t="s">
        <v>361</v>
      </c>
      <c r="P134" t="s">
        <v>360</v>
      </c>
    </row>
    <row r="135" spans="1:16" hidden="1" x14ac:dyDescent="0.25">
      <c r="A135" t="s">
        <v>149</v>
      </c>
      <c r="C135" t="s">
        <v>172</v>
      </c>
      <c r="D135">
        <v>13</v>
      </c>
      <c r="E135">
        <v>53</v>
      </c>
      <c r="F135" t="s">
        <v>122</v>
      </c>
      <c r="G135" t="s">
        <v>227</v>
      </c>
      <c r="H135">
        <v>2.1034374999999996</v>
      </c>
      <c r="I135">
        <v>21</v>
      </c>
      <c r="J135">
        <v>8</v>
      </c>
      <c r="K135">
        <v>5</v>
      </c>
      <c r="L135">
        <v>6</v>
      </c>
      <c r="M135" t="s">
        <v>361</v>
      </c>
    </row>
    <row r="136" spans="1:16" hidden="1" x14ac:dyDescent="0.25">
      <c r="A136" t="s">
        <v>149</v>
      </c>
      <c r="B136" t="s">
        <v>368</v>
      </c>
      <c r="C136" t="s">
        <v>136</v>
      </c>
      <c r="D136">
        <v>18</v>
      </c>
      <c r="E136">
        <v>49</v>
      </c>
      <c r="F136" t="s">
        <v>122</v>
      </c>
      <c r="G136" t="s">
        <v>813</v>
      </c>
      <c r="H136">
        <v>2.5929166666666665</v>
      </c>
      <c r="I136">
        <v>21</v>
      </c>
      <c r="J136">
        <v>6</v>
      </c>
      <c r="K136">
        <v>4</v>
      </c>
      <c r="L136">
        <v>6</v>
      </c>
      <c r="M136" t="s">
        <v>144</v>
      </c>
    </row>
    <row r="137" spans="1:16" hidden="1" x14ac:dyDescent="0.25">
      <c r="A137" t="s">
        <v>149</v>
      </c>
      <c r="B137" t="s">
        <v>368</v>
      </c>
      <c r="C137" t="s">
        <v>136</v>
      </c>
      <c r="D137">
        <v>18</v>
      </c>
      <c r="E137">
        <v>49</v>
      </c>
      <c r="F137" t="s">
        <v>122</v>
      </c>
      <c r="G137" t="s">
        <v>813</v>
      </c>
      <c r="H137">
        <v>2.5929166666666665</v>
      </c>
      <c r="I137">
        <v>21</v>
      </c>
      <c r="J137">
        <v>6</v>
      </c>
      <c r="K137">
        <v>4</v>
      </c>
      <c r="L137">
        <v>6</v>
      </c>
      <c r="M137" t="s">
        <v>144</v>
      </c>
      <c r="P137" t="s">
        <v>363</v>
      </c>
    </row>
    <row r="138" spans="1:16" hidden="1" x14ac:dyDescent="0.25">
      <c r="A138" t="s">
        <v>149</v>
      </c>
      <c r="B138" t="s">
        <v>371</v>
      </c>
      <c r="C138" t="s">
        <v>136</v>
      </c>
      <c r="D138">
        <v>1</v>
      </c>
      <c r="E138">
        <v>63</v>
      </c>
      <c r="F138" t="s">
        <v>122</v>
      </c>
      <c r="G138" t="s">
        <v>369</v>
      </c>
      <c r="H138">
        <v>4.0004999999999997</v>
      </c>
      <c r="I138">
        <v>12</v>
      </c>
      <c r="J138">
        <v>5</v>
      </c>
      <c r="K138">
        <v>5</v>
      </c>
      <c r="L138">
        <v>2</v>
      </c>
      <c r="M138" t="s">
        <v>370</v>
      </c>
      <c r="P138" t="s">
        <v>148</v>
      </c>
    </row>
    <row r="139" spans="1:16" hidden="1" x14ac:dyDescent="0.25">
      <c r="A139" t="s">
        <v>149</v>
      </c>
      <c r="B139" t="s">
        <v>367</v>
      </c>
      <c r="C139" t="s">
        <v>136</v>
      </c>
      <c r="D139">
        <v>16</v>
      </c>
      <c r="E139">
        <v>54</v>
      </c>
      <c r="F139" t="s">
        <v>122</v>
      </c>
      <c r="G139" t="s">
        <v>365</v>
      </c>
      <c r="H139">
        <v>4.2862499999999999</v>
      </c>
      <c r="I139">
        <v>25</v>
      </c>
      <c r="J139">
        <v>4</v>
      </c>
      <c r="K139">
        <v>3</v>
      </c>
      <c r="L139">
        <v>6</v>
      </c>
      <c r="M139" t="s">
        <v>366</v>
      </c>
      <c r="P139" t="s">
        <v>148</v>
      </c>
    </row>
    <row r="140" spans="1:16" hidden="1" x14ac:dyDescent="0.25">
      <c r="A140" t="s">
        <v>149</v>
      </c>
      <c r="B140" t="s">
        <v>367</v>
      </c>
      <c r="C140" t="s">
        <v>136</v>
      </c>
      <c r="D140">
        <v>16</v>
      </c>
      <c r="E140">
        <v>54</v>
      </c>
      <c r="F140" t="s">
        <v>122</v>
      </c>
      <c r="G140" t="s">
        <v>365</v>
      </c>
      <c r="H140">
        <v>4.2862499999999999</v>
      </c>
      <c r="I140">
        <v>25</v>
      </c>
      <c r="J140">
        <v>4</v>
      </c>
      <c r="K140">
        <v>3</v>
      </c>
      <c r="L140">
        <v>6</v>
      </c>
      <c r="M140" t="s">
        <v>366</v>
      </c>
      <c r="P140" t="s">
        <v>367</v>
      </c>
    </row>
    <row r="141" spans="1:16" hidden="1" x14ac:dyDescent="0.25">
      <c r="A141" t="s">
        <v>149</v>
      </c>
      <c r="C141" t="s">
        <v>136</v>
      </c>
      <c r="D141">
        <v>56</v>
      </c>
      <c r="E141">
        <v>60</v>
      </c>
      <c r="F141" t="s">
        <v>122</v>
      </c>
      <c r="G141" t="s">
        <v>814</v>
      </c>
      <c r="H141">
        <v>6.35</v>
      </c>
      <c r="I141">
        <v>25</v>
      </c>
      <c r="J141">
        <v>3</v>
      </c>
      <c r="K141">
        <v>5</v>
      </c>
      <c r="L141">
        <v>6</v>
      </c>
      <c r="M141" t="s">
        <v>366</v>
      </c>
      <c r="P141" t="s">
        <v>367</v>
      </c>
    </row>
    <row r="142" spans="1:16" hidden="1" x14ac:dyDescent="0.25">
      <c r="A142" t="s">
        <v>149</v>
      </c>
      <c r="B142" t="s">
        <v>363</v>
      </c>
      <c r="C142" t="s">
        <v>136</v>
      </c>
      <c r="D142">
        <v>14</v>
      </c>
      <c r="E142">
        <v>63</v>
      </c>
      <c r="F142" t="s">
        <v>122</v>
      </c>
      <c r="G142" t="s">
        <v>237</v>
      </c>
      <c r="H142">
        <v>3.3337499999999998</v>
      </c>
      <c r="I142">
        <v>5.5</v>
      </c>
      <c r="J142">
        <v>6</v>
      </c>
      <c r="K142">
        <v>5</v>
      </c>
      <c r="L142">
        <v>1</v>
      </c>
      <c r="M142" t="s">
        <v>362</v>
      </c>
      <c r="P142" t="s">
        <v>148</v>
      </c>
    </row>
    <row r="143" spans="1:16" hidden="1" x14ac:dyDescent="0.25">
      <c r="A143" t="s">
        <v>149</v>
      </c>
      <c r="B143" t="s">
        <v>148</v>
      </c>
      <c r="C143" t="s">
        <v>136</v>
      </c>
      <c r="D143">
        <v>15</v>
      </c>
      <c r="E143">
        <v>63</v>
      </c>
      <c r="F143" t="s">
        <v>122</v>
      </c>
      <c r="G143" t="s">
        <v>237</v>
      </c>
      <c r="H143">
        <v>3.3337499999999998</v>
      </c>
      <c r="I143">
        <v>21</v>
      </c>
      <c r="J143">
        <v>6</v>
      </c>
      <c r="K143">
        <v>5</v>
      </c>
      <c r="L143">
        <v>4</v>
      </c>
      <c r="M143" t="s">
        <v>364</v>
      </c>
      <c r="P143" t="s">
        <v>368</v>
      </c>
    </row>
    <row r="144" spans="1:16" hidden="1" x14ac:dyDescent="0.25">
      <c r="A144" t="s">
        <v>149</v>
      </c>
      <c r="B144" t="s">
        <v>148</v>
      </c>
      <c r="C144" t="s">
        <v>121</v>
      </c>
      <c r="D144">
        <v>15</v>
      </c>
      <c r="E144">
        <v>63</v>
      </c>
      <c r="F144" t="s">
        <v>122</v>
      </c>
      <c r="G144" t="s">
        <v>237</v>
      </c>
      <c r="H144">
        <v>3.3337499999999998</v>
      </c>
      <c r="I144">
        <v>21</v>
      </c>
      <c r="J144">
        <v>6</v>
      </c>
      <c r="K144">
        <v>5</v>
      </c>
      <c r="L144">
        <v>4</v>
      </c>
      <c r="P144" t="s">
        <v>368</v>
      </c>
    </row>
    <row r="145" spans="1:16" hidden="1" x14ac:dyDescent="0.25">
      <c r="A145" t="s">
        <v>149</v>
      </c>
      <c r="B145" t="s">
        <v>374</v>
      </c>
      <c r="C145" t="s">
        <v>136</v>
      </c>
      <c r="D145">
        <v>19</v>
      </c>
      <c r="E145">
        <v>54</v>
      </c>
      <c r="F145" t="s">
        <v>122</v>
      </c>
      <c r="G145" t="s">
        <v>372</v>
      </c>
      <c r="H145">
        <v>4.2862499999999999</v>
      </c>
      <c r="I145">
        <v>21</v>
      </c>
      <c r="J145">
        <v>4</v>
      </c>
      <c r="K145">
        <v>3</v>
      </c>
      <c r="L145">
        <v>4</v>
      </c>
      <c r="M145" t="s">
        <v>373</v>
      </c>
      <c r="P145" t="s">
        <v>371</v>
      </c>
    </row>
    <row r="146" spans="1:16" hidden="1" x14ac:dyDescent="0.25">
      <c r="A146" t="s">
        <v>149</v>
      </c>
      <c r="B146" t="s">
        <v>374</v>
      </c>
      <c r="C146" t="s">
        <v>136</v>
      </c>
      <c r="D146">
        <v>20</v>
      </c>
      <c r="E146">
        <v>54</v>
      </c>
      <c r="F146" t="s">
        <v>122</v>
      </c>
      <c r="G146" t="s">
        <v>372</v>
      </c>
      <c r="H146">
        <v>4.2862499999999999</v>
      </c>
      <c r="I146">
        <v>21</v>
      </c>
      <c r="J146">
        <v>4</v>
      </c>
      <c r="K146">
        <v>3</v>
      </c>
      <c r="L146">
        <v>4</v>
      </c>
      <c r="M146" t="s">
        <v>373</v>
      </c>
      <c r="P146" t="s">
        <v>374</v>
      </c>
    </row>
    <row r="147" spans="1:16" hidden="1" x14ac:dyDescent="0.25">
      <c r="A147" t="s">
        <v>149</v>
      </c>
      <c r="C147" t="s">
        <v>136</v>
      </c>
      <c r="D147">
        <v>43</v>
      </c>
      <c r="E147">
        <v>65</v>
      </c>
      <c r="F147" t="s">
        <v>122</v>
      </c>
      <c r="G147" t="s">
        <v>375</v>
      </c>
      <c r="H147">
        <v>10.31875</v>
      </c>
      <c r="I147">
        <v>21</v>
      </c>
      <c r="J147">
        <v>2</v>
      </c>
      <c r="K147">
        <v>4</v>
      </c>
      <c r="L147">
        <v>4</v>
      </c>
      <c r="M147" t="s">
        <v>376</v>
      </c>
      <c r="P147" t="s">
        <v>374</v>
      </c>
    </row>
    <row r="148" spans="1:16" hidden="1" x14ac:dyDescent="0.25">
      <c r="A148" t="s">
        <v>149</v>
      </c>
      <c r="C148" t="s">
        <v>153</v>
      </c>
      <c r="D148">
        <v>42</v>
      </c>
      <c r="E148">
        <v>51</v>
      </c>
      <c r="F148" t="s">
        <v>122</v>
      </c>
      <c r="G148" t="s">
        <v>377</v>
      </c>
      <c r="H148">
        <v>16.192499999999999</v>
      </c>
      <c r="I148">
        <v>21</v>
      </c>
      <c r="J148">
        <v>1</v>
      </c>
      <c r="K148">
        <v>4</v>
      </c>
      <c r="L148">
        <v>4</v>
      </c>
      <c r="M148" t="s">
        <v>326</v>
      </c>
    </row>
    <row r="149" spans="1:16" hidden="1" x14ac:dyDescent="0.25">
      <c r="A149" t="s">
        <v>149</v>
      </c>
      <c r="B149" t="s">
        <v>148</v>
      </c>
      <c r="C149" t="s">
        <v>136</v>
      </c>
      <c r="D149">
        <v>17</v>
      </c>
      <c r="E149">
        <v>63</v>
      </c>
      <c r="F149" t="s">
        <v>122</v>
      </c>
      <c r="G149" t="s">
        <v>244</v>
      </c>
      <c r="H149">
        <v>3.3337499999999998</v>
      </c>
      <c r="I149">
        <v>18.7</v>
      </c>
      <c r="J149">
        <v>6</v>
      </c>
      <c r="K149">
        <v>5</v>
      </c>
      <c r="L149">
        <v>3</v>
      </c>
      <c r="M149" t="s">
        <v>366</v>
      </c>
    </row>
    <row r="150" spans="1:16" hidden="1" x14ac:dyDescent="0.25">
      <c r="A150" t="s">
        <v>149</v>
      </c>
      <c r="C150" t="s">
        <v>378</v>
      </c>
      <c r="D150">
        <v>21</v>
      </c>
      <c r="E150">
        <v>63</v>
      </c>
      <c r="F150" t="s">
        <v>217</v>
      </c>
      <c r="G150" t="s">
        <v>379</v>
      </c>
      <c r="H150">
        <v>3.3337499999999998</v>
      </c>
      <c r="I150">
        <v>25</v>
      </c>
      <c r="J150">
        <v>6</v>
      </c>
      <c r="K150">
        <v>5</v>
      </c>
      <c r="L150">
        <v>4</v>
      </c>
      <c r="M150" t="s">
        <v>815</v>
      </c>
    </row>
    <row r="151" spans="1:16" hidden="1" x14ac:dyDescent="0.25">
      <c r="A151" t="s">
        <v>149</v>
      </c>
      <c r="C151" t="s">
        <v>136</v>
      </c>
      <c r="D151">
        <v>57</v>
      </c>
      <c r="E151">
        <v>63</v>
      </c>
      <c r="F151" t="s">
        <v>217</v>
      </c>
      <c r="G151" t="s">
        <v>379</v>
      </c>
      <c r="H151">
        <v>3.3337499999999998</v>
      </c>
      <c r="I151">
        <v>25</v>
      </c>
      <c r="J151">
        <v>6</v>
      </c>
      <c r="K151">
        <v>5</v>
      </c>
      <c r="L151">
        <v>4</v>
      </c>
      <c r="M151" t="s">
        <v>123</v>
      </c>
    </row>
    <row r="152" spans="1:16" hidden="1" x14ac:dyDescent="0.25">
      <c r="A152" t="s">
        <v>149</v>
      </c>
      <c r="C152" t="s">
        <v>136</v>
      </c>
      <c r="D152">
        <v>23</v>
      </c>
      <c r="E152">
        <v>60</v>
      </c>
      <c r="F152" t="s">
        <v>122</v>
      </c>
      <c r="G152" t="s">
        <v>142</v>
      </c>
      <c r="H152">
        <v>6.35</v>
      </c>
      <c r="I152">
        <v>21</v>
      </c>
      <c r="J152">
        <v>3</v>
      </c>
      <c r="K152">
        <v>1</v>
      </c>
      <c r="L152">
        <v>6</v>
      </c>
      <c r="M152" t="s">
        <v>143</v>
      </c>
    </row>
    <row r="153" spans="1:16" hidden="1" x14ac:dyDescent="0.25">
      <c r="A153" t="s">
        <v>149</v>
      </c>
      <c r="C153" t="s">
        <v>121</v>
      </c>
      <c r="D153">
        <v>22</v>
      </c>
      <c r="E153">
        <v>54</v>
      </c>
      <c r="F153" t="s">
        <v>122</v>
      </c>
      <c r="G153" t="s">
        <v>246</v>
      </c>
      <c r="H153">
        <v>4.2862499999999999</v>
      </c>
      <c r="I153">
        <v>25</v>
      </c>
      <c r="J153">
        <v>4</v>
      </c>
      <c r="K153">
        <v>3</v>
      </c>
      <c r="L153">
        <v>4</v>
      </c>
      <c r="M153" t="s">
        <v>366</v>
      </c>
    </row>
    <row r="154" spans="1:16" hidden="1" x14ac:dyDescent="0.25">
      <c r="A154" t="s">
        <v>149</v>
      </c>
      <c r="C154" t="s">
        <v>136</v>
      </c>
      <c r="D154">
        <v>22</v>
      </c>
      <c r="E154">
        <v>54</v>
      </c>
      <c r="F154" t="s">
        <v>122</v>
      </c>
      <c r="G154" t="s">
        <v>246</v>
      </c>
      <c r="H154">
        <v>4.2862499999999999</v>
      </c>
      <c r="I154">
        <v>25</v>
      </c>
      <c r="J154">
        <v>4</v>
      </c>
      <c r="K154">
        <v>3</v>
      </c>
      <c r="L154">
        <v>4</v>
      </c>
      <c r="M154" t="s">
        <v>366</v>
      </c>
    </row>
    <row r="155" spans="1:16" hidden="1" x14ac:dyDescent="0.25">
      <c r="A155" t="s">
        <v>149</v>
      </c>
      <c r="C155" t="s">
        <v>136</v>
      </c>
      <c r="D155">
        <v>22</v>
      </c>
      <c r="E155">
        <v>54</v>
      </c>
      <c r="F155" t="s">
        <v>122</v>
      </c>
      <c r="G155" t="s">
        <v>246</v>
      </c>
      <c r="H155">
        <v>4.2862499999999999</v>
      </c>
      <c r="I155">
        <v>25</v>
      </c>
      <c r="J155">
        <v>4</v>
      </c>
      <c r="K155">
        <v>3</v>
      </c>
      <c r="L155">
        <v>4</v>
      </c>
      <c r="M155" t="s">
        <v>366</v>
      </c>
    </row>
    <row r="156" spans="1:16" hidden="1" x14ac:dyDescent="0.25">
      <c r="A156" t="s">
        <v>149</v>
      </c>
      <c r="C156" t="s">
        <v>136</v>
      </c>
      <c r="D156">
        <v>24</v>
      </c>
      <c r="E156">
        <v>46</v>
      </c>
      <c r="F156" t="s">
        <v>122</v>
      </c>
      <c r="G156" t="s">
        <v>380</v>
      </c>
      <c r="H156">
        <v>7.3024999999999993</v>
      </c>
      <c r="I156">
        <v>25</v>
      </c>
      <c r="J156">
        <v>2</v>
      </c>
      <c r="K156">
        <v>2</v>
      </c>
      <c r="L156">
        <v>4</v>
      </c>
      <c r="M156" t="s">
        <v>366</v>
      </c>
      <c r="P156" t="s">
        <v>383</v>
      </c>
    </row>
    <row r="157" spans="1:16" hidden="1" x14ac:dyDescent="0.25">
      <c r="A157" t="s">
        <v>149</v>
      </c>
      <c r="B157" t="s">
        <v>383</v>
      </c>
      <c r="C157" t="s">
        <v>136</v>
      </c>
      <c r="D157">
        <v>6</v>
      </c>
      <c r="E157">
        <v>63</v>
      </c>
      <c r="F157" t="s">
        <v>122</v>
      </c>
      <c r="G157" t="s">
        <v>381</v>
      </c>
      <c r="H157">
        <v>10.001249999999999</v>
      </c>
      <c r="I157">
        <v>6.5</v>
      </c>
      <c r="J157">
        <v>2</v>
      </c>
      <c r="K157">
        <v>5</v>
      </c>
      <c r="L157">
        <v>1</v>
      </c>
      <c r="M157" t="s">
        <v>382</v>
      </c>
      <c r="P157" t="s">
        <v>386</v>
      </c>
    </row>
    <row r="158" spans="1:16" hidden="1" x14ac:dyDescent="0.25">
      <c r="A158" t="s">
        <v>149</v>
      </c>
      <c r="B158" t="s">
        <v>386</v>
      </c>
      <c r="C158" t="s">
        <v>121</v>
      </c>
      <c r="D158">
        <v>54</v>
      </c>
      <c r="E158">
        <v>74</v>
      </c>
      <c r="F158" t="s">
        <v>122</v>
      </c>
      <c r="G158" t="s">
        <v>384</v>
      </c>
      <c r="H158">
        <v>11.747499999999999</v>
      </c>
      <c r="I158">
        <v>25</v>
      </c>
      <c r="J158">
        <v>2</v>
      </c>
      <c r="K158">
        <v>2</v>
      </c>
      <c r="L158">
        <v>4</v>
      </c>
      <c r="M158" t="s">
        <v>385</v>
      </c>
      <c r="P158" t="s">
        <v>387</v>
      </c>
    </row>
    <row r="159" spans="1:16" hidden="1" x14ac:dyDescent="0.25">
      <c r="A159" t="s">
        <v>149</v>
      </c>
      <c r="B159" t="s">
        <v>387</v>
      </c>
      <c r="C159" t="s">
        <v>121</v>
      </c>
      <c r="D159">
        <v>54</v>
      </c>
      <c r="E159">
        <v>74</v>
      </c>
      <c r="F159" t="s">
        <v>122</v>
      </c>
      <c r="G159" t="s">
        <v>384</v>
      </c>
      <c r="H159">
        <v>11.747499999999999</v>
      </c>
      <c r="I159">
        <v>25</v>
      </c>
      <c r="J159">
        <v>2</v>
      </c>
      <c r="K159">
        <v>2</v>
      </c>
      <c r="L159">
        <v>4</v>
      </c>
      <c r="M159" t="s">
        <v>385</v>
      </c>
    </row>
    <row r="160" spans="1:16" hidden="1" x14ac:dyDescent="0.25">
      <c r="A160" t="s">
        <v>149</v>
      </c>
      <c r="C160" t="s">
        <v>136</v>
      </c>
      <c r="D160">
        <v>58</v>
      </c>
      <c r="E160">
        <v>53</v>
      </c>
      <c r="F160" t="s">
        <v>122</v>
      </c>
      <c r="G160" t="s">
        <v>816</v>
      </c>
      <c r="H160">
        <v>2.804583333333333</v>
      </c>
      <c r="I160">
        <v>24</v>
      </c>
      <c r="J160">
        <v>6</v>
      </c>
      <c r="K160">
        <v>6</v>
      </c>
      <c r="L160">
        <v>3</v>
      </c>
      <c r="M160" t="s">
        <v>817</v>
      </c>
      <c r="P160" t="s">
        <v>391</v>
      </c>
    </row>
    <row r="161" spans="1:16" hidden="1" x14ac:dyDescent="0.25">
      <c r="A161" t="s">
        <v>149</v>
      </c>
      <c r="C161" t="s">
        <v>136</v>
      </c>
      <c r="D161">
        <v>25</v>
      </c>
      <c r="E161">
        <v>74</v>
      </c>
      <c r="F161" t="s">
        <v>122</v>
      </c>
      <c r="G161" t="s">
        <v>388</v>
      </c>
      <c r="H161">
        <v>7.8316666666666661</v>
      </c>
      <c r="I161">
        <v>24</v>
      </c>
      <c r="J161">
        <v>3</v>
      </c>
      <c r="K161">
        <v>1</v>
      </c>
      <c r="L161">
        <v>3</v>
      </c>
      <c r="M161" t="s">
        <v>152</v>
      </c>
    </row>
    <row r="162" spans="1:16" hidden="1" x14ac:dyDescent="0.25">
      <c r="A162" t="s">
        <v>149</v>
      </c>
      <c r="B162" t="s">
        <v>391</v>
      </c>
      <c r="C162" t="s">
        <v>136</v>
      </c>
      <c r="D162">
        <v>26</v>
      </c>
      <c r="E162">
        <v>68</v>
      </c>
      <c r="F162" t="s">
        <v>122</v>
      </c>
      <c r="G162" t="s">
        <v>389</v>
      </c>
      <c r="H162">
        <v>3.5983333333333327</v>
      </c>
      <c r="I162">
        <v>10</v>
      </c>
      <c r="J162">
        <v>6</v>
      </c>
      <c r="K162">
        <v>4</v>
      </c>
      <c r="L162">
        <v>1</v>
      </c>
      <c r="M162" t="s">
        <v>390</v>
      </c>
      <c r="P162" t="s">
        <v>396</v>
      </c>
    </row>
    <row r="163" spans="1:16" hidden="1" x14ac:dyDescent="0.25">
      <c r="A163" t="s">
        <v>149</v>
      </c>
      <c r="C163" t="s">
        <v>164</v>
      </c>
      <c r="D163">
        <v>27</v>
      </c>
      <c r="E163">
        <v>60</v>
      </c>
      <c r="F163" t="s">
        <v>217</v>
      </c>
      <c r="G163" t="s">
        <v>392</v>
      </c>
      <c r="H163">
        <v>6.35</v>
      </c>
      <c r="I163">
        <v>20</v>
      </c>
      <c r="J163">
        <v>3</v>
      </c>
      <c r="L163">
        <v>2</v>
      </c>
      <c r="M163" t="s">
        <v>393</v>
      </c>
    </row>
    <row r="164" spans="1:16" hidden="1" x14ac:dyDescent="0.25">
      <c r="A164" t="s">
        <v>149</v>
      </c>
      <c r="B164" t="s">
        <v>396</v>
      </c>
      <c r="C164" t="s">
        <v>136</v>
      </c>
      <c r="D164">
        <v>36</v>
      </c>
      <c r="E164">
        <v>61</v>
      </c>
      <c r="F164" t="s">
        <v>122</v>
      </c>
      <c r="G164" t="s">
        <v>394</v>
      </c>
      <c r="H164">
        <v>9.6837499999999999</v>
      </c>
      <c r="I164">
        <v>25</v>
      </c>
      <c r="J164">
        <v>2</v>
      </c>
      <c r="K164">
        <v>4</v>
      </c>
      <c r="L164">
        <v>2</v>
      </c>
      <c r="M164" t="s">
        <v>395</v>
      </c>
    </row>
    <row r="165" spans="1:16" hidden="1" x14ac:dyDescent="0.25">
      <c r="A165" t="s">
        <v>149</v>
      </c>
      <c r="C165" t="s">
        <v>153</v>
      </c>
      <c r="D165">
        <v>28</v>
      </c>
      <c r="E165">
        <v>52</v>
      </c>
      <c r="F165" t="s">
        <v>122</v>
      </c>
      <c r="G165" t="s">
        <v>397</v>
      </c>
      <c r="H165">
        <v>3.3019999999999996</v>
      </c>
      <c r="I165">
        <v>21</v>
      </c>
      <c r="J165">
        <v>5</v>
      </c>
      <c r="K165" t="s">
        <v>158</v>
      </c>
      <c r="L165">
        <v>2</v>
      </c>
      <c r="M165" t="s">
        <v>139</v>
      </c>
      <c r="P165" t="s">
        <v>401</v>
      </c>
    </row>
    <row r="166" spans="1:16" hidden="1" x14ac:dyDescent="0.25">
      <c r="A166" t="s">
        <v>149</v>
      </c>
      <c r="C166" t="s">
        <v>224</v>
      </c>
      <c r="D166">
        <v>41</v>
      </c>
      <c r="E166">
        <v>72</v>
      </c>
      <c r="F166" t="s">
        <v>122</v>
      </c>
      <c r="G166" t="s">
        <v>398</v>
      </c>
      <c r="H166">
        <v>3.81</v>
      </c>
      <c r="I166">
        <v>21</v>
      </c>
      <c r="J166">
        <v>6</v>
      </c>
      <c r="K166">
        <v>5</v>
      </c>
      <c r="L166">
        <v>2</v>
      </c>
      <c r="M166" t="s">
        <v>399</v>
      </c>
    </row>
    <row r="167" spans="1:16" hidden="1" x14ac:dyDescent="0.25">
      <c r="A167" t="s">
        <v>149</v>
      </c>
      <c r="B167" t="s">
        <v>401</v>
      </c>
      <c r="C167" t="s">
        <v>136</v>
      </c>
      <c r="D167">
        <v>26</v>
      </c>
      <c r="E167">
        <v>54</v>
      </c>
      <c r="F167" t="s">
        <v>217</v>
      </c>
      <c r="G167" t="s">
        <v>400</v>
      </c>
      <c r="H167">
        <v>4.2862499999999999</v>
      </c>
      <c r="I167">
        <v>21</v>
      </c>
      <c r="J167">
        <v>4</v>
      </c>
      <c r="L167">
        <v>1</v>
      </c>
    </row>
    <row r="168" spans="1:16" hidden="1" x14ac:dyDescent="0.25">
      <c r="A168" t="s">
        <v>149</v>
      </c>
      <c r="C168" t="s">
        <v>136</v>
      </c>
      <c r="D168">
        <v>31</v>
      </c>
      <c r="E168">
        <v>54</v>
      </c>
      <c r="F168" t="s">
        <v>217</v>
      </c>
      <c r="G168" t="s">
        <v>400</v>
      </c>
      <c r="H168">
        <v>4.2862499999999999</v>
      </c>
      <c r="I168">
        <v>21</v>
      </c>
      <c r="J168">
        <v>4</v>
      </c>
      <c r="L168">
        <v>2</v>
      </c>
    </row>
    <row r="169" spans="1:16" hidden="1" x14ac:dyDescent="0.25">
      <c r="A169" t="s">
        <v>149</v>
      </c>
      <c r="C169" t="s">
        <v>136</v>
      </c>
      <c r="D169">
        <v>30</v>
      </c>
      <c r="E169">
        <v>49</v>
      </c>
      <c r="F169" t="s">
        <v>122</v>
      </c>
      <c r="G169" t="s">
        <v>402</v>
      </c>
      <c r="H169">
        <v>5.1858333333333331</v>
      </c>
      <c r="I169">
        <v>21</v>
      </c>
      <c r="J169">
        <v>3</v>
      </c>
      <c r="K169">
        <v>4</v>
      </c>
      <c r="L169">
        <v>2</v>
      </c>
      <c r="M169" t="s">
        <v>403</v>
      </c>
    </row>
    <row r="170" spans="1:16" hidden="1" x14ac:dyDescent="0.25">
      <c r="A170" t="s">
        <v>149</v>
      </c>
      <c r="C170" t="s">
        <v>136</v>
      </c>
      <c r="D170">
        <v>32</v>
      </c>
      <c r="E170">
        <v>49</v>
      </c>
      <c r="F170" t="s">
        <v>122</v>
      </c>
      <c r="G170" t="s">
        <v>404</v>
      </c>
      <c r="H170">
        <v>5.1858333333333331</v>
      </c>
      <c r="I170">
        <v>10.5</v>
      </c>
      <c r="J170">
        <v>3</v>
      </c>
      <c r="K170">
        <v>2</v>
      </c>
      <c r="L170">
        <v>2</v>
      </c>
      <c r="M170" t="s">
        <v>137</v>
      </c>
      <c r="P170" t="s">
        <v>406</v>
      </c>
    </row>
    <row r="171" spans="1:16" hidden="1" x14ac:dyDescent="0.25">
      <c r="A171" t="s">
        <v>149</v>
      </c>
      <c r="C171" t="s">
        <v>136</v>
      </c>
      <c r="D171">
        <v>37</v>
      </c>
      <c r="E171">
        <v>60</v>
      </c>
      <c r="F171" t="s">
        <v>122</v>
      </c>
      <c r="G171" t="s">
        <v>140</v>
      </c>
      <c r="H171">
        <v>6.35</v>
      </c>
      <c r="I171">
        <v>11</v>
      </c>
      <c r="J171">
        <v>3</v>
      </c>
      <c r="K171">
        <v>4</v>
      </c>
      <c r="L171">
        <v>2</v>
      </c>
      <c r="M171" t="s">
        <v>141</v>
      </c>
    </row>
    <row r="172" spans="1:16" hidden="1" x14ac:dyDescent="0.25">
      <c r="A172" t="s">
        <v>149</v>
      </c>
      <c r="B172" t="s">
        <v>406</v>
      </c>
      <c r="C172" t="s">
        <v>136</v>
      </c>
      <c r="D172">
        <v>44</v>
      </c>
      <c r="E172">
        <v>46</v>
      </c>
      <c r="F172" t="s">
        <v>122</v>
      </c>
      <c r="G172" t="s">
        <v>796</v>
      </c>
      <c r="H172">
        <v>7.3024999999999993</v>
      </c>
      <c r="I172">
        <v>21.5</v>
      </c>
      <c r="J172">
        <v>2</v>
      </c>
      <c r="K172">
        <v>2</v>
      </c>
      <c r="L172">
        <v>2</v>
      </c>
      <c r="M172" t="s">
        <v>405</v>
      </c>
    </row>
    <row r="173" spans="1:16" hidden="1" x14ac:dyDescent="0.25">
      <c r="A173" t="s">
        <v>149</v>
      </c>
      <c r="C173" t="s">
        <v>136</v>
      </c>
      <c r="D173">
        <v>29</v>
      </c>
      <c r="E173">
        <v>52</v>
      </c>
      <c r="F173" t="s">
        <v>217</v>
      </c>
      <c r="G173" t="s">
        <v>407</v>
      </c>
      <c r="H173">
        <v>8.254999999999999</v>
      </c>
      <c r="I173">
        <v>21</v>
      </c>
      <c r="J173">
        <v>2</v>
      </c>
      <c r="L173">
        <v>2</v>
      </c>
      <c r="M173" t="s">
        <v>139</v>
      </c>
    </row>
    <row r="174" spans="1:16" hidden="1" x14ac:dyDescent="0.25">
      <c r="A174" t="s">
        <v>149</v>
      </c>
      <c r="C174" t="s">
        <v>136</v>
      </c>
      <c r="D174">
        <v>33</v>
      </c>
      <c r="E174">
        <v>52</v>
      </c>
      <c r="F174" t="s">
        <v>217</v>
      </c>
      <c r="G174" t="s">
        <v>407</v>
      </c>
      <c r="H174">
        <v>8.254999999999999</v>
      </c>
      <c r="I174">
        <v>21</v>
      </c>
      <c r="J174">
        <v>2</v>
      </c>
      <c r="L174">
        <v>2</v>
      </c>
      <c r="M174" t="s">
        <v>139</v>
      </c>
    </row>
    <row r="175" spans="1:16" hidden="1" x14ac:dyDescent="0.25">
      <c r="A175" t="s">
        <v>149</v>
      </c>
      <c r="C175" t="s">
        <v>157</v>
      </c>
      <c r="D175">
        <v>34</v>
      </c>
      <c r="E175">
        <v>65</v>
      </c>
      <c r="F175" t="s">
        <v>122</v>
      </c>
      <c r="G175" t="s">
        <v>408</v>
      </c>
      <c r="H175">
        <v>10.31875</v>
      </c>
      <c r="I175">
        <v>21</v>
      </c>
      <c r="J175">
        <v>2</v>
      </c>
      <c r="K175" t="s">
        <v>409</v>
      </c>
      <c r="L175">
        <v>2</v>
      </c>
      <c r="M175" t="s">
        <v>410</v>
      </c>
    </row>
    <row r="176" spans="1:16" hidden="1" x14ac:dyDescent="0.25">
      <c r="A176" t="s">
        <v>149</v>
      </c>
      <c r="C176" t="s">
        <v>153</v>
      </c>
      <c r="D176">
        <v>35</v>
      </c>
      <c r="E176">
        <v>51</v>
      </c>
      <c r="F176" t="s">
        <v>122</v>
      </c>
      <c r="G176" t="s">
        <v>411</v>
      </c>
      <c r="H176">
        <v>4.0481249999999998</v>
      </c>
      <c r="I176">
        <v>11</v>
      </c>
      <c r="J176">
        <v>4</v>
      </c>
      <c r="K176">
        <v>4</v>
      </c>
      <c r="L176">
        <v>2</v>
      </c>
      <c r="M176" t="s">
        <v>141</v>
      </c>
    </row>
    <row r="177" spans="1:16" hidden="1" x14ac:dyDescent="0.25">
      <c r="A177" t="s">
        <v>149</v>
      </c>
      <c r="C177" t="s">
        <v>136</v>
      </c>
      <c r="D177">
        <v>38</v>
      </c>
      <c r="E177">
        <v>60</v>
      </c>
      <c r="F177" t="s">
        <v>122</v>
      </c>
      <c r="G177" t="s">
        <v>412</v>
      </c>
      <c r="H177">
        <v>6.35</v>
      </c>
      <c r="I177">
        <v>22</v>
      </c>
      <c r="J177">
        <v>3</v>
      </c>
      <c r="K177">
        <v>1</v>
      </c>
      <c r="L177">
        <v>2</v>
      </c>
      <c r="M177" t="s">
        <v>413</v>
      </c>
    </row>
    <row r="178" spans="1:16" hidden="1" x14ac:dyDescent="0.25">
      <c r="A178" t="s">
        <v>149</v>
      </c>
      <c r="C178" t="s">
        <v>153</v>
      </c>
      <c r="D178">
        <v>39</v>
      </c>
      <c r="E178">
        <v>48</v>
      </c>
      <c r="F178" t="s">
        <v>122</v>
      </c>
      <c r="G178" t="s">
        <v>414</v>
      </c>
      <c r="H178">
        <v>15.239999999999998</v>
      </c>
      <c r="I178">
        <v>21</v>
      </c>
      <c r="J178">
        <v>1</v>
      </c>
      <c r="K178">
        <v>4</v>
      </c>
      <c r="L178">
        <v>2</v>
      </c>
      <c r="M178" t="s">
        <v>413</v>
      </c>
    </row>
    <row r="179" spans="1:16" hidden="1" x14ac:dyDescent="0.25">
      <c r="A179" t="s">
        <v>149</v>
      </c>
      <c r="C179" t="s">
        <v>136</v>
      </c>
      <c r="D179">
        <v>55</v>
      </c>
      <c r="E179">
        <v>48</v>
      </c>
      <c r="F179" t="s">
        <v>122</v>
      </c>
      <c r="G179" t="s">
        <v>414</v>
      </c>
      <c r="H179">
        <v>15.239999999999998</v>
      </c>
      <c r="I179">
        <v>21</v>
      </c>
      <c r="J179">
        <v>1</v>
      </c>
      <c r="K179">
        <v>4</v>
      </c>
      <c r="L179">
        <v>2</v>
      </c>
      <c r="M179" t="s">
        <v>415</v>
      </c>
    </row>
    <row r="180" spans="1:16" hidden="1" x14ac:dyDescent="0.25">
      <c r="A180" t="s">
        <v>149</v>
      </c>
      <c r="C180" t="s">
        <v>136</v>
      </c>
      <c r="D180">
        <v>40</v>
      </c>
      <c r="E180">
        <v>61</v>
      </c>
      <c r="F180" t="s">
        <v>122</v>
      </c>
      <c r="G180" t="s">
        <v>416</v>
      </c>
      <c r="H180">
        <v>19.3675</v>
      </c>
      <c r="I180">
        <v>15.5</v>
      </c>
      <c r="J180">
        <v>1</v>
      </c>
      <c r="K180">
        <v>4</v>
      </c>
      <c r="L180">
        <v>1</v>
      </c>
      <c r="M180" t="s">
        <v>417</v>
      </c>
      <c r="P180" t="s">
        <v>420</v>
      </c>
    </row>
    <row r="181" spans="1:16" hidden="1" x14ac:dyDescent="0.25">
      <c r="A181" t="s">
        <v>149</v>
      </c>
      <c r="P181" t="s">
        <v>423</v>
      </c>
    </row>
    <row r="182" spans="1:16" hidden="1" x14ac:dyDescent="0.25">
      <c r="A182" t="s">
        <v>149</v>
      </c>
      <c r="B182" t="s">
        <v>420</v>
      </c>
      <c r="C182" t="s">
        <v>136</v>
      </c>
      <c r="D182">
        <v>11</v>
      </c>
      <c r="E182">
        <v>47</v>
      </c>
      <c r="F182" t="s">
        <v>126</v>
      </c>
      <c r="G182" t="s">
        <v>418</v>
      </c>
      <c r="H182">
        <v>4.9741666666666671</v>
      </c>
      <c r="I182">
        <v>4.5</v>
      </c>
      <c r="J182">
        <v>3</v>
      </c>
      <c r="K182">
        <v>5</v>
      </c>
      <c r="L182">
        <v>1</v>
      </c>
      <c r="M182" t="s">
        <v>419</v>
      </c>
      <c r="P182" t="s">
        <v>426</v>
      </c>
    </row>
    <row r="183" spans="1:16" hidden="1" x14ac:dyDescent="0.25">
      <c r="A183" t="s">
        <v>149</v>
      </c>
      <c r="B183" t="s">
        <v>423</v>
      </c>
      <c r="C183" t="s">
        <v>136</v>
      </c>
      <c r="D183">
        <v>11</v>
      </c>
      <c r="E183">
        <v>47</v>
      </c>
      <c r="F183" t="s">
        <v>126</v>
      </c>
      <c r="G183" t="s">
        <v>421</v>
      </c>
      <c r="H183">
        <v>4.9741666666666671</v>
      </c>
      <c r="I183">
        <v>8</v>
      </c>
      <c r="J183">
        <v>3</v>
      </c>
      <c r="K183">
        <v>5</v>
      </c>
      <c r="L183">
        <v>1</v>
      </c>
      <c r="M183" t="s">
        <v>422</v>
      </c>
      <c r="P183" t="s">
        <v>429</v>
      </c>
    </row>
    <row r="184" spans="1:16" hidden="1" x14ac:dyDescent="0.25">
      <c r="A184" t="s">
        <v>149</v>
      </c>
      <c r="B184" t="s">
        <v>426</v>
      </c>
      <c r="C184" t="s">
        <v>136</v>
      </c>
      <c r="D184">
        <v>14</v>
      </c>
      <c r="E184">
        <v>63</v>
      </c>
      <c r="F184" t="s">
        <v>126</v>
      </c>
      <c r="G184" t="s">
        <v>424</v>
      </c>
      <c r="H184">
        <v>6.6674999999999995</v>
      </c>
      <c r="I184">
        <v>9</v>
      </c>
      <c r="J184">
        <v>3</v>
      </c>
      <c r="K184">
        <v>5</v>
      </c>
      <c r="L184">
        <v>1</v>
      </c>
      <c r="M184" t="s">
        <v>425</v>
      </c>
      <c r="P184" t="s">
        <v>432</v>
      </c>
    </row>
    <row r="185" spans="1:16" hidden="1" x14ac:dyDescent="0.25">
      <c r="A185" t="s">
        <v>149</v>
      </c>
      <c r="B185" t="s">
        <v>429</v>
      </c>
      <c r="C185" t="s">
        <v>136</v>
      </c>
      <c r="D185">
        <v>5</v>
      </c>
      <c r="E185">
        <v>51</v>
      </c>
      <c r="F185" t="s">
        <v>126</v>
      </c>
      <c r="G185" t="s">
        <v>427</v>
      </c>
      <c r="H185">
        <v>8.0962499999999995</v>
      </c>
      <c r="I185">
        <v>11</v>
      </c>
      <c r="J185">
        <v>2</v>
      </c>
      <c r="K185">
        <v>4</v>
      </c>
      <c r="L185">
        <v>2</v>
      </c>
      <c r="M185" t="s">
        <v>428</v>
      </c>
      <c r="P185" t="s">
        <v>434</v>
      </c>
    </row>
    <row r="186" spans="1:16" hidden="1" x14ac:dyDescent="0.25">
      <c r="A186" t="s">
        <v>149</v>
      </c>
      <c r="B186" t="s">
        <v>432</v>
      </c>
      <c r="C186" t="s">
        <v>136</v>
      </c>
      <c r="D186">
        <v>12</v>
      </c>
      <c r="E186">
        <v>47</v>
      </c>
      <c r="F186" t="s">
        <v>126</v>
      </c>
      <c r="G186" t="s">
        <v>430</v>
      </c>
      <c r="H186">
        <v>1.4922499999999999</v>
      </c>
      <c r="I186">
        <v>9.5</v>
      </c>
      <c r="J186">
        <v>10</v>
      </c>
      <c r="K186">
        <v>5</v>
      </c>
      <c r="L186">
        <v>1</v>
      </c>
      <c r="M186" t="s">
        <v>431</v>
      </c>
      <c r="P186" t="s">
        <v>436</v>
      </c>
    </row>
    <row r="187" spans="1:16" hidden="1" x14ac:dyDescent="0.25">
      <c r="A187" t="s">
        <v>149</v>
      </c>
      <c r="B187" t="s">
        <v>434</v>
      </c>
      <c r="C187" t="s">
        <v>136</v>
      </c>
      <c r="D187">
        <v>10</v>
      </c>
      <c r="E187">
        <v>59</v>
      </c>
      <c r="F187" t="s">
        <v>126</v>
      </c>
      <c r="G187" t="s">
        <v>433</v>
      </c>
      <c r="H187">
        <v>9.3662499999999991</v>
      </c>
      <c r="I187">
        <v>6.5</v>
      </c>
      <c r="J187">
        <v>2</v>
      </c>
      <c r="K187">
        <v>4</v>
      </c>
      <c r="L187">
        <v>1</v>
      </c>
      <c r="M187" t="s">
        <v>428</v>
      </c>
      <c r="P187" t="s">
        <v>439</v>
      </c>
    </row>
    <row r="188" spans="1:16" hidden="1" x14ac:dyDescent="0.25">
      <c r="A188" t="s">
        <v>149</v>
      </c>
      <c r="B188" t="s">
        <v>436</v>
      </c>
      <c r="C188" t="s">
        <v>136</v>
      </c>
      <c r="D188">
        <v>6</v>
      </c>
      <c r="E188">
        <v>63</v>
      </c>
      <c r="F188" t="s">
        <v>126</v>
      </c>
      <c r="G188" t="s">
        <v>435</v>
      </c>
      <c r="H188">
        <v>10.001249999999999</v>
      </c>
      <c r="I188">
        <v>6.5</v>
      </c>
      <c r="J188">
        <v>2</v>
      </c>
      <c r="K188">
        <v>5</v>
      </c>
      <c r="L188">
        <v>1</v>
      </c>
      <c r="M188" t="s">
        <v>422</v>
      </c>
      <c r="P188" t="s">
        <v>441</v>
      </c>
    </row>
    <row r="189" spans="1:16" hidden="1" x14ac:dyDescent="0.25">
      <c r="A189" t="s">
        <v>149</v>
      </c>
      <c r="B189" t="s">
        <v>439</v>
      </c>
      <c r="C189" t="s">
        <v>136</v>
      </c>
      <c r="D189">
        <v>10</v>
      </c>
      <c r="E189">
        <v>59</v>
      </c>
      <c r="F189" t="s">
        <v>126</v>
      </c>
      <c r="G189" t="s">
        <v>437</v>
      </c>
      <c r="H189">
        <v>18.732499999999998</v>
      </c>
      <c r="I189">
        <v>5.5</v>
      </c>
      <c r="J189">
        <v>1</v>
      </c>
      <c r="K189">
        <v>4</v>
      </c>
      <c r="L189">
        <v>1</v>
      </c>
      <c r="M189" t="s">
        <v>438</v>
      </c>
    </row>
    <row r="190" spans="1:16" hidden="1" x14ac:dyDescent="0.25">
      <c r="A190" t="s">
        <v>149</v>
      </c>
      <c r="B190" t="s">
        <v>441</v>
      </c>
      <c r="C190" t="s">
        <v>136</v>
      </c>
      <c r="D190">
        <v>3</v>
      </c>
      <c r="E190">
        <v>63</v>
      </c>
      <c r="F190" t="s">
        <v>126</v>
      </c>
      <c r="G190" t="s">
        <v>440</v>
      </c>
      <c r="H190">
        <v>6.6674999999999995</v>
      </c>
      <c r="I190">
        <v>10.5</v>
      </c>
      <c r="J190">
        <v>3</v>
      </c>
      <c r="K190">
        <v>5</v>
      </c>
      <c r="L190">
        <v>1</v>
      </c>
      <c r="M190" t="s">
        <v>428</v>
      </c>
    </row>
    <row r="191" spans="1:16" hidden="1" x14ac:dyDescent="0.25">
      <c r="A191" t="s">
        <v>149</v>
      </c>
    </row>
    <row r="192" spans="1:16" hidden="1" x14ac:dyDescent="0.25">
      <c r="A192" t="s">
        <v>149</v>
      </c>
      <c r="C192" t="s">
        <v>153</v>
      </c>
      <c r="D192">
        <v>45</v>
      </c>
      <c r="E192">
        <v>50</v>
      </c>
      <c r="F192" t="s">
        <v>324</v>
      </c>
      <c r="G192" t="s">
        <v>442</v>
      </c>
      <c r="H192">
        <v>4</v>
      </c>
      <c r="I192">
        <v>22</v>
      </c>
      <c r="J192">
        <v>4</v>
      </c>
      <c r="K192">
        <v>5</v>
      </c>
      <c r="L192">
        <v>2</v>
      </c>
      <c r="M192" t="s">
        <v>230</v>
      </c>
    </row>
    <row r="193" spans="1:16" hidden="1" x14ac:dyDescent="0.25">
      <c r="A193" t="s">
        <v>149</v>
      </c>
      <c r="C193" t="s">
        <v>153</v>
      </c>
      <c r="D193">
        <v>46</v>
      </c>
      <c r="E193">
        <v>66</v>
      </c>
      <c r="F193" t="s">
        <v>324</v>
      </c>
      <c r="G193" t="s">
        <v>443</v>
      </c>
      <c r="H193">
        <v>7</v>
      </c>
      <c r="I193">
        <v>22</v>
      </c>
      <c r="J193">
        <v>3</v>
      </c>
      <c r="K193">
        <v>3</v>
      </c>
      <c r="L193">
        <v>2</v>
      </c>
      <c r="M193" t="s">
        <v>230</v>
      </c>
    </row>
    <row r="194" spans="1:16" hidden="1" x14ac:dyDescent="0.25">
      <c r="A194" t="s">
        <v>149</v>
      </c>
      <c r="C194" t="s">
        <v>153</v>
      </c>
      <c r="D194">
        <v>47</v>
      </c>
      <c r="E194">
        <v>47</v>
      </c>
      <c r="F194" t="s">
        <v>324</v>
      </c>
      <c r="G194" t="s">
        <v>444</v>
      </c>
      <c r="H194">
        <v>3</v>
      </c>
      <c r="I194">
        <v>16</v>
      </c>
      <c r="J194">
        <v>6</v>
      </c>
      <c r="K194">
        <v>0</v>
      </c>
      <c r="L194">
        <v>2</v>
      </c>
      <c r="M194" t="s">
        <v>230</v>
      </c>
    </row>
    <row r="195" spans="1:16" hidden="1" x14ac:dyDescent="0.25">
      <c r="A195" t="s">
        <v>149</v>
      </c>
      <c r="C195" t="s">
        <v>153</v>
      </c>
      <c r="D195">
        <v>53</v>
      </c>
      <c r="E195">
        <v>47</v>
      </c>
      <c r="F195" t="s">
        <v>324</v>
      </c>
      <c r="G195" t="s">
        <v>445</v>
      </c>
      <c r="H195">
        <v>3</v>
      </c>
      <c r="I195">
        <v>20</v>
      </c>
      <c r="J195">
        <v>7</v>
      </c>
      <c r="K195">
        <v>0</v>
      </c>
      <c r="L195">
        <v>2</v>
      </c>
      <c r="M195" t="s">
        <v>230</v>
      </c>
    </row>
    <row r="196" spans="1:16" hidden="1" x14ac:dyDescent="0.25">
      <c r="A196" t="s">
        <v>149</v>
      </c>
      <c r="P196" t="s">
        <v>396</v>
      </c>
    </row>
    <row r="197" spans="1:16" hidden="1" x14ac:dyDescent="0.25">
      <c r="A197" t="s">
        <v>149</v>
      </c>
      <c r="P197" t="s">
        <v>449</v>
      </c>
    </row>
    <row r="198" spans="1:16" hidden="1" x14ac:dyDescent="0.25">
      <c r="A198" t="s">
        <v>149</v>
      </c>
      <c r="B198" t="s">
        <v>396</v>
      </c>
      <c r="C198" t="s">
        <v>378</v>
      </c>
      <c r="D198">
        <v>48</v>
      </c>
      <c r="E198">
        <v>49</v>
      </c>
      <c r="F198" t="s">
        <v>396</v>
      </c>
      <c r="G198" t="s">
        <v>446</v>
      </c>
      <c r="H198">
        <v>5.1858333333333331</v>
      </c>
      <c r="I198">
        <v>21</v>
      </c>
      <c r="J198">
        <v>3</v>
      </c>
      <c r="L198">
        <v>2</v>
      </c>
      <c r="M198" t="s">
        <v>447</v>
      </c>
    </row>
    <row r="199" spans="1:16" hidden="1" x14ac:dyDescent="0.25">
      <c r="A199" t="s">
        <v>149</v>
      </c>
      <c r="B199" t="s">
        <v>449</v>
      </c>
      <c r="C199" t="s">
        <v>172</v>
      </c>
      <c r="D199">
        <v>51</v>
      </c>
      <c r="E199">
        <v>54</v>
      </c>
      <c r="F199" t="s">
        <v>396</v>
      </c>
      <c r="G199">
        <v>22</v>
      </c>
      <c r="I199">
        <v>22</v>
      </c>
      <c r="J199">
        <v>4</v>
      </c>
      <c r="L199">
        <v>1</v>
      </c>
      <c r="M199" t="s">
        <v>448</v>
      </c>
    </row>
    <row r="200" spans="1:16" hidden="1" x14ac:dyDescent="0.25">
      <c r="A200" t="s">
        <v>149</v>
      </c>
      <c r="D200">
        <v>52</v>
      </c>
      <c r="E200">
        <v>59</v>
      </c>
      <c r="F200" t="s">
        <v>450</v>
      </c>
      <c r="G200" t="s">
        <v>451</v>
      </c>
      <c r="J200" t="s">
        <v>409</v>
      </c>
      <c r="K200" t="s">
        <v>409</v>
      </c>
      <c r="L200" t="s">
        <v>409</v>
      </c>
    </row>
    <row r="201" spans="1:16" hidden="1" x14ac:dyDescent="0.25">
      <c r="A201" t="s">
        <v>149</v>
      </c>
      <c r="C201" t="s">
        <v>157</v>
      </c>
      <c r="D201">
        <v>50</v>
      </c>
      <c r="E201">
        <v>65</v>
      </c>
      <c r="F201" t="s">
        <v>396</v>
      </c>
      <c r="G201" t="s">
        <v>408</v>
      </c>
      <c r="M201" t="s">
        <v>410</v>
      </c>
      <c r="P201" t="s">
        <v>452</v>
      </c>
    </row>
    <row r="202" spans="1:16" hidden="1" x14ac:dyDescent="0.25">
      <c r="A202" t="s">
        <v>231</v>
      </c>
      <c r="B202" t="s">
        <v>842</v>
      </c>
      <c r="C202" t="s">
        <v>136</v>
      </c>
      <c r="D202">
        <v>1</v>
      </c>
      <c r="E202">
        <v>43</v>
      </c>
      <c r="F202" t="s">
        <v>135</v>
      </c>
      <c r="G202">
        <v>0.97</v>
      </c>
      <c r="H202">
        <v>0.97</v>
      </c>
      <c r="I202">
        <v>7.5</v>
      </c>
      <c r="J202">
        <v>14</v>
      </c>
      <c r="K202">
        <v>4</v>
      </c>
      <c r="L202" t="s">
        <v>158</v>
      </c>
    </row>
    <row r="203" spans="1:16" hidden="1" x14ac:dyDescent="0.25">
      <c r="A203" t="s">
        <v>231</v>
      </c>
      <c r="B203" t="s">
        <v>843</v>
      </c>
      <c r="D203">
        <v>3</v>
      </c>
      <c r="E203">
        <v>51</v>
      </c>
      <c r="F203" t="s">
        <v>135</v>
      </c>
      <c r="G203">
        <v>2</v>
      </c>
      <c r="H203">
        <v>2</v>
      </c>
      <c r="I203">
        <v>6.6</v>
      </c>
      <c r="J203">
        <v>8</v>
      </c>
      <c r="K203">
        <v>5</v>
      </c>
      <c r="L203">
        <v>1</v>
      </c>
    </row>
    <row r="204" spans="1:16" hidden="1" x14ac:dyDescent="0.25">
      <c r="A204" t="s">
        <v>231</v>
      </c>
      <c r="B204" t="s">
        <v>844</v>
      </c>
      <c r="C204" t="s">
        <v>136</v>
      </c>
      <c r="D204">
        <v>4</v>
      </c>
      <c r="E204">
        <v>43</v>
      </c>
      <c r="F204" t="s">
        <v>135</v>
      </c>
      <c r="G204">
        <v>3.4</v>
      </c>
      <c r="H204">
        <v>3.4</v>
      </c>
      <c r="I204">
        <v>9.5</v>
      </c>
      <c r="J204">
        <v>4.0110147058823529</v>
      </c>
      <c r="K204">
        <v>4</v>
      </c>
      <c r="L204" t="s">
        <v>158</v>
      </c>
    </row>
    <row r="205" spans="1:16" hidden="1" x14ac:dyDescent="0.25">
      <c r="A205" t="s">
        <v>231</v>
      </c>
      <c r="C205" t="s">
        <v>136</v>
      </c>
      <c r="D205">
        <v>5</v>
      </c>
      <c r="E205">
        <v>57</v>
      </c>
      <c r="F205" t="s">
        <v>135</v>
      </c>
      <c r="G205">
        <v>4.5</v>
      </c>
      <c r="H205">
        <v>4.5</v>
      </c>
      <c r="I205">
        <v>16</v>
      </c>
      <c r="J205">
        <v>4.0172333333333334</v>
      </c>
      <c r="K205">
        <v>5</v>
      </c>
      <c r="L205" t="s">
        <v>158</v>
      </c>
      <c r="N205" t="s">
        <v>453</v>
      </c>
    </row>
    <row r="206" spans="1:16" hidden="1" x14ac:dyDescent="0.25">
      <c r="A206" t="s">
        <v>231</v>
      </c>
      <c r="C206" t="s">
        <v>136</v>
      </c>
      <c r="D206">
        <v>6</v>
      </c>
      <c r="E206">
        <v>47</v>
      </c>
      <c r="F206" t="s">
        <v>135</v>
      </c>
      <c r="G206">
        <v>5</v>
      </c>
      <c r="H206">
        <v>5</v>
      </c>
      <c r="I206">
        <v>16</v>
      </c>
      <c r="J206">
        <v>2.9812099999999999</v>
      </c>
      <c r="K206">
        <v>5</v>
      </c>
      <c r="L206" t="s">
        <v>158</v>
      </c>
      <c r="N206" t="s">
        <v>453</v>
      </c>
    </row>
    <row r="207" spans="1:16" hidden="1" x14ac:dyDescent="0.25">
      <c r="A207" t="s">
        <v>231</v>
      </c>
      <c r="C207" t="s">
        <v>153</v>
      </c>
      <c r="D207">
        <v>7</v>
      </c>
      <c r="E207">
        <v>47</v>
      </c>
      <c r="F207" t="s">
        <v>135</v>
      </c>
      <c r="G207">
        <v>5</v>
      </c>
      <c r="H207">
        <v>5</v>
      </c>
      <c r="I207">
        <v>16</v>
      </c>
      <c r="J207">
        <v>2.9812099999999999</v>
      </c>
      <c r="K207">
        <v>5</v>
      </c>
      <c r="L207" t="s">
        <v>158</v>
      </c>
    </row>
    <row r="208" spans="1:16" hidden="1" x14ac:dyDescent="0.25">
      <c r="A208" t="s">
        <v>231</v>
      </c>
      <c r="C208" t="s">
        <v>136</v>
      </c>
      <c r="D208">
        <v>8</v>
      </c>
      <c r="E208">
        <v>57</v>
      </c>
      <c r="F208" t="s">
        <v>135</v>
      </c>
      <c r="G208">
        <v>6</v>
      </c>
      <c r="H208">
        <v>6</v>
      </c>
      <c r="I208">
        <v>16</v>
      </c>
      <c r="J208">
        <v>3.0129250000000001</v>
      </c>
      <c r="K208">
        <v>5</v>
      </c>
      <c r="L208" t="s">
        <v>158</v>
      </c>
    </row>
    <row r="209" spans="1:14" hidden="1" x14ac:dyDescent="0.25">
      <c r="A209" t="s">
        <v>231</v>
      </c>
      <c r="C209" t="s">
        <v>136</v>
      </c>
      <c r="D209">
        <v>9</v>
      </c>
      <c r="E209">
        <v>57</v>
      </c>
      <c r="F209" t="s">
        <v>135</v>
      </c>
      <c r="G209">
        <v>6</v>
      </c>
      <c r="H209">
        <v>6</v>
      </c>
      <c r="I209">
        <v>16</v>
      </c>
      <c r="J209">
        <v>3.0129250000000001</v>
      </c>
      <c r="K209">
        <v>5</v>
      </c>
      <c r="L209" t="s">
        <v>158</v>
      </c>
      <c r="N209" t="s">
        <v>454</v>
      </c>
    </row>
    <row r="210" spans="1:14" hidden="1" x14ac:dyDescent="0.25">
      <c r="A210" t="s">
        <v>231</v>
      </c>
      <c r="B210" t="s">
        <v>845</v>
      </c>
      <c r="C210" t="s">
        <v>136</v>
      </c>
      <c r="D210">
        <v>10</v>
      </c>
      <c r="E210">
        <v>43</v>
      </c>
      <c r="F210" t="s">
        <v>135</v>
      </c>
      <c r="G210">
        <v>6.8</v>
      </c>
      <c r="H210">
        <v>6.8</v>
      </c>
      <c r="I210">
        <v>8.5</v>
      </c>
      <c r="J210">
        <v>2.0055073529411764</v>
      </c>
      <c r="K210">
        <v>4</v>
      </c>
      <c r="L210" t="s">
        <v>158</v>
      </c>
      <c r="M210" t="s">
        <v>455</v>
      </c>
    </row>
    <row r="211" spans="1:14" hidden="1" x14ac:dyDescent="0.25">
      <c r="A211" t="s">
        <v>231</v>
      </c>
      <c r="C211" t="s">
        <v>136</v>
      </c>
      <c r="D211">
        <v>11</v>
      </c>
      <c r="E211">
        <v>47</v>
      </c>
      <c r="F211" t="s">
        <v>135</v>
      </c>
      <c r="G211">
        <v>7.5</v>
      </c>
      <c r="H211">
        <v>7.5</v>
      </c>
      <c r="I211">
        <v>16</v>
      </c>
      <c r="J211">
        <v>1.9874733333333332</v>
      </c>
      <c r="K211">
        <v>5</v>
      </c>
      <c r="L211" t="s">
        <v>158</v>
      </c>
      <c r="N211" t="s">
        <v>453</v>
      </c>
    </row>
    <row r="212" spans="1:14" hidden="1" x14ac:dyDescent="0.25">
      <c r="A212" t="s">
        <v>231</v>
      </c>
      <c r="C212" t="s">
        <v>157</v>
      </c>
      <c r="D212">
        <v>12</v>
      </c>
      <c r="E212">
        <v>47</v>
      </c>
      <c r="F212" t="s">
        <v>135</v>
      </c>
      <c r="G212">
        <v>7.5</v>
      </c>
      <c r="H212">
        <v>7.5</v>
      </c>
      <c r="I212">
        <v>15.8</v>
      </c>
      <c r="J212">
        <v>1.9874733333333332</v>
      </c>
      <c r="K212">
        <v>5</v>
      </c>
      <c r="L212" t="s">
        <v>158</v>
      </c>
      <c r="M212" t="s">
        <v>456</v>
      </c>
    </row>
    <row r="213" spans="1:14" hidden="1" x14ac:dyDescent="0.25">
      <c r="A213" t="s">
        <v>231</v>
      </c>
      <c r="B213" t="s">
        <v>846</v>
      </c>
      <c r="C213" t="s">
        <v>136</v>
      </c>
      <c r="D213">
        <v>13</v>
      </c>
      <c r="E213">
        <v>63</v>
      </c>
      <c r="F213" t="s">
        <v>135</v>
      </c>
      <c r="G213">
        <v>10</v>
      </c>
      <c r="H213">
        <v>10</v>
      </c>
      <c r="I213">
        <v>8.3000000000000007</v>
      </c>
      <c r="J213">
        <v>1.9980449999999998</v>
      </c>
      <c r="K213">
        <v>5</v>
      </c>
      <c r="L213" t="s">
        <v>158</v>
      </c>
    </row>
    <row r="214" spans="1:14" hidden="1" x14ac:dyDescent="0.25">
      <c r="A214" t="s">
        <v>231</v>
      </c>
      <c r="B214" t="s">
        <v>847</v>
      </c>
      <c r="C214" t="s">
        <v>157</v>
      </c>
      <c r="D214">
        <v>14</v>
      </c>
      <c r="E214">
        <v>43</v>
      </c>
      <c r="F214" t="s">
        <v>135</v>
      </c>
      <c r="G214">
        <v>13.5</v>
      </c>
      <c r="H214">
        <v>13.5</v>
      </c>
      <c r="I214">
        <v>6.5</v>
      </c>
      <c r="J214">
        <v>1.0101814814814816</v>
      </c>
      <c r="K214">
        <v>4</v>
      </c>
      <c r="L214" t="s">
        <v>158</v>
      </c>
    </row>
    <row r="215" spans="1:14" hidden="1" x14ac:dyDescent="0.25">
      <c r="A215" t="s">
        <v>231</v>
      </c>
      <c r="B215" t="s">
        <v>848</v>
      </c>
      <c r="C215" t="s">
        <v>136</v>
      </c>
      <c r="D215">
        <v>113</v>
      </c>
      <c r="E215">
        <v>43</v>
      </c>
      <c r="F215" t="s">
        <v>135</v>
      </c>
      <c r="G215">
        <v>13.6</v>
      </c>
      <c r="H215">
        <v>13.6</v>
      </c>
      <c r="I215">
        <v>8.8000000000000007</v>
      </c>
      <c r="J215">
        <v>1.0027536764705882</v>
      </c>
      <c r="K215">
        <v>4</v>
      </c>
      <c r="L215" t="s">
        <v>457</v>
      </c>
    </row>
    <row r="216" spans="1:14" hidden="1" x14ac:dyDescent="0.25">
      <c r="A216" t="s">
        <v>231</v>
      </c>
      <c r="B216" t="s">
        <v>849</v>
      </c>
      <c r="C216" t="s">
        <v>136</v>
      </c>
      <c r="D216">
        <v>15</v>
      </c>
      <c r="E216">
        <v>47</v>
      </c>
      <c r="F216" t="s">
        <v>135</v>
      </c>
      <c r="G216">
        <v>14.9</v>
      </c>
      <c r="H216">
        <v>14.9</v>
      </c>
      <c r="I216">
        <v>5.3</v>
      </c>
      <c r="J216">
        <v>1</v>
      </c>
      <c r="K216">
        <v>5</v>
      </c>
      <c r="L216" t="s">
        <v>158</v>
      </c>
    </row>
    <row r="217" spans="1:14" hidden="1" x14ac:dyDescent="0.25">
      <c r="A217" t="s">
        <v>231</v>
      </c>
      <c r="B217" t="s">
        <v>850</v>
      </c>
      <c r="C217" t="s">
        <v>136</v>
      </c>
      <c r="D217">
        <v>16</v>
      </c>
      <c r="E217">
        <v>63</v>
      </c>
      <c r="F217" t="s">
        <v>135</v>
      </c>
      <c r="G217">
        <v>20</v>
      </c>
      <c r="H217">
        <v>20</v>
      </c>
      <c r="I217">
        <v>9.5</v>
      </c>
      <c r="J217">
        <v>1</v>
      </c>
      <c r="K217">
        <v>5</v>
      </c>
      <c r="L217" t="s">
        <v>158</v>
      </c>
      <c r="M217" t="s">
        <v>458</v>
      </c>
    </row>
    <row r="218" spans="1:14" hidden="1" x14ac:dyDescent="0.25">
      <c r="A218" t="s">
        <v>231</v>
      </c>
    </row>
    <row r="219" spans="1:14" hidden="1" x14ac:dyDescent="0.25">
      <c r="A219" t="s">
        <v>231</v>
      </c>
      <c r="B219" t="s">
        <v>851</v>
      </c>
      <c r="C219" t="s">
        <v>168</v>
      </c>
      <c r="D219">
        <v>26</v>
      </c>
      <c r="E219">
        <v>57</v>
      </c>
      <c r="F219" t="s">
        <v>177</v>
      </c>
      <c r="G219">
        <v>1.2</v>
      </c>
      <c r="H219">
        <v>1.5</v>
      </c>
      <c r="I219">
        <v>3.5</v>
      </c>
      <c r="J219">
        <v>15.064624999999999</v>
      </c>
      <c r="K219">
        <v>5</v>
      </c>
      <c r="L219">
        <v>2</v>
      </c>
    </row>
    <row r="220" spans="1:14" hidden="1" x14ac:dyDescent="0.25">
      <c r="A220" t="s">
        <v>231</v>
      </c>
      <c r="B220" t="s">
        <v>852</v>
      </c>
      <c r="C220" t="s">
        <v>157</v>
      </c>
      <c r="D220">
        <v>17</v>
      </c>
      <c r="E220">
        <v>43</v>
      </c>
      <c r="F220" t="s">
        <v>177</v>
      </c>
      <c r="G220">
        <v>2</v>
      </c>
      <c r="H220">
        <v>2.2999999999999998</v>
      </c>
      <c r="I220">
        <v>2.5</v>
      </c>
      <c r="J220">
        <v>6</v>
      </c>
      <c r="K220">
        <v>4</v>
      </c>
      <c r="L220">
        <v>1</v>
      </c>
    </row>
    <row r="221" spans="1:14" hidden="1" x14ac:dyDescent="0.25">
      <c r="A221" t="s">
        <v>231</v>
      </c>
      <c r="C221" t="s">
        <v>157</v>
      </c>
      <c r="D221">
        <v>18</v>
      </c>
      <c r="E221">
        <v>43</v>
      </c>
      <c r="F221" t="s">
        <v>177</v>
      </c>
      <c r="G221">
        <v>2.5</v>
      </c>
      <c r="H221">
        <v>2.8</v>
      </c>
      <c r="I221">
        <v>3</v>
      </c>
      <c r="J221">
        <v>5.4549800000000008</v>
      </c>
      <c r="K221">
        <v>4</v>
      </c>
      <c r="L221">
        <v>1</v>
      </c>
      <c r="M221" t="s">
        <v>266</v>
      </c>
    </row>
    <row r="222" spans="1:14" hidden="1" x14ac:dyDescent="0.25">
      <c r="A222" t="s">
        <v>231</v>
      </c>
      <c r="B222" t="s">
        <v>853</v>
      </c>
      <c r="C222" t="s">
        <v>168</v>
      </c>
      <c r="D222">
        <v>17</v>
      </c>
      <c r="E222">
        <v>43</v>
      </c>
      <c r="F222" t="s">
        <v>177</v>
      </c>
      <c r="G222">
        <v>3.1</v>
      </c>
      <c r="H222">
        <v>3.4</v>
      </c>
      <c r="I222">
        <v>3.5</v>
      </c>
      <c r="J222">
        <v>4.3991774193548387</v>
      </c>
      <c r="K222">
        <v>4</v>
      </c>
      <c r="L222">
        <v>1</v>
      </c>
    </row>
    <row r="223" spans="1:14" hidden="1" x14ac:dyDescent="0.25">
      <c r="A223" t="s">
        <v>231</v>
      </c>
      <c r="B223" t="s">
        <v>854</v>
      </c>
      <c r="C223" t="s">
        <v>168</v>
      </c>
      <c r="D223">
        <v>58</v>
      </c>
      <c r="E223">
        <v>43</v>
      </c>
      <c r="F223" t="s">
        <v>177</v>
      </c>
      <c r="G223">
        <v>3.1</v>
      </c>
      <c r="H223">
        <v>3.4</v>
      </c>
      <c r="I223">
        <v>3.5</v>
      </c>
      <c r="J223">
        <v>4.3991774193548387</v>
      </c>
      <c r="K223">
        <v>4</v>
      </c>
      <c r="L223">
        <v>1</v>
      </c>
    </row>
    <row r="224" spans="1:14" hidden="1" x14ac:dyDescent="0.25">
      <c r="A224" t="s">
        <v>231</v>
      </c>
      <c r="B224" t="s">
        <v>855</v>
      </c>
      <c r="C224" t="s">
        <v>168</v>
      </c>
      <c r="D224">
        <v>20</v>
      </c>
      <c r="E224">
        <v>51</v>
      </c>
      <c r="F224" t="s">
        <v>177</v>
      </c>
      <c r="G224">
        <v>3.7</v>
      </c>
      <c r="H224">
        <v>4</v>
      </c>
      <c r="I224">
        <v>4.2</v>
      </c>
      <c r="J224">
        <v>4.3715270270270272</v>
      </c>
      <c r="K224">
        <v>5</v>
      </c>
      <c r="L224">
        <v>1</v>
      </c>
      <c r="M224" t="s">
        <v>459</v>
      </c>
    </row>
    <row r="225" spans="1:13" hidden="1" x14ac:dyDescent="0.25">
      <c r="A225" t="s">
        <v>231</v>
      </c>
      <c r="B225" t="s">
        <v>856</v>
      </c>
      <c r="C225" t="s">
        <v>168</v>
      </c>
      <c r="D225">
        <v>21</v>
      </c>
      <c r="E225">
        <v>43</v>
      </c>
      <c r="F225" t="s">
        <v>177</v>
      </c>
      <c r="G225">
        <v>4.3</v>
      </c>
      <c r="H225">
        <v>4.5999999999999996</v>
      </c>
      <c r="I225">
        <v>4.8</v>
      </c>
      <c r="J225">
        <v>3.1715000000000004</v>
      </c>
      <c r="K225">
        <v>4</v>
      </c>
      <c r="L225">
        <v>1</v>
      </c>
      <c r="M225" t="s">
        <v>460</v>
      </c>
    </row>
    <row r="226" spans="1:13" hidden="1" x14ac:dyDescent="0.25">
      <c r="A226" t="s">
        <v>231</v>
      </c>
      <c r="B226" t="s">
        <v>857</v>
      </c>
      <c r="C226" t="s">
        <v>153</v>
      </c>
      <c r="D226">
        <v>1</v>
      </c>
      <c r="E226">
        <v>43</v>
      </c>
      <c r="F226" t="s">
        <v>177</v>
      </c>
      <c r="G226">
        <v>4.3</v>
      </c>
      <c r="H226">
        <v>4.5999999999999996</v>
      </c>
      <c r="I226">
        <v>5</v>
      </c>
      <c r="J226">
        <v>3.1715000000000004</v>
      </c>
      <c r="M226" t="s">
        <v>461</v>
      </c>
    </row>
    <row r="227" spans="1:13" hidden="1" x14ac:dyDescent="0.25">
      <c r="A227" t="s">
        <v>231</v>
      </c>
      <c r="B227" t="s">
        <v>858</v>
      </c>
      <c r="C227" t="s">
        <v>168</v>
      </c>
      <c r="D227">
        <v>23</v>
      </c>
      <c r="E227">
        <v>47</v>
      </c>
      <c r="F227" t="s">
        <v>177</v>
      </c>
      <c r="G227">
        <v>4.8</v>
      </c>
      <c r="H227">
        <v>5.0999999999999996</v>
      </c>
      <c r="I227">
        <v>5.5</v>
      </c>
      <c r="J227">
        <v>3.1054270833333333</v>
      </c>
      <c r="K227">
        <v>5</v>
      </c>
      <c r="L227">
        <v>1</v>
      </c>
    </row>
    <row r="228" spans="1:13" hidden="1" x14ac:dyDescent="0.25">
      <c r="A228" t="s">
        <v>231</v>
      </c>
      <c r="C228" t="s">
        <v>168</v>
      </c>
      <c r="D228">
        <v>24</v>
      </c>
      <c r="E228">
        <v>63</v>
      </c>
      <c r="F228" t="s">
        <v>177</v>
      </c>
      <c r="G228">
        <v>6.45</v>
      </c>
      <c r="H228">
        <v>6.75</v>
      </c>
      <c r="I228">
        <v>14</v>
      </c>
      <c r="J228">
        <v>3.0977441860465116</v>
      </c>
      <c r="K228">
        <v>5</v>
      </c>
      <c r="L228">
        <v>2</v>
      </c>
      <c r="M228" t="s">
        <v>462</v>
      </c>
    </row>
    <row r="229" spans="1:13" hidden="1" x14ac:dyDescent="0.25">
      <c r="A229" t="s">
        <v>231</v>
      </c>
      <c r="C229" t="s">
        <v>153</v>
      </c>
      <c r="D229">
        <v>25</v>
      </c>
      <c r="E229">
        <v>51</v>
      </c>
      <c r="F229" t="s">
        <v>177</v>
      </c>
      <c r="G229">
        <v>7.8</v>
      </c>
      <c r="H229">
        <v>8.1</v>
      </c>
      <c r="I229">
        <v>17</v>
      </c>
      <c r="J229">
        <v>2.0736730769230767</v>
      </c>
      <c r="K229">
        <v>5</v>
      </c>
      <c r="L229">
        <v>2</v>
      </c>
      <c r="M229" t="s">
        <v>463</v>
      </c>
    </row>
    <row r="230" spans="1:13" hidden="1" x14ac:dyDescent="0.25">
      <c r="A230" t="s">
        <v>231</v>
      </c>
      <c r="B230" t="s">
        <v>859</v>
      </c>
      <c r="C230" t="s">
        <v>168</v>
      </c>
      <c r="D230">
        <v>3</v>
      </c>
      <c r="E230">
        <v>51</v>
      </c>
      <c r="F230" t="s">
        <v>177</v>
      </c>
      <c r="G230">
        <v>7.8</v>
      </c>
      <c r="H230">
        <v>8.1</v>
      </c>
      <c r="I230">
        <v>17</v>
      </c>
      <c r="J230">
        <v>2.0736730769230767</v>
      </c>
      <c r="K230">
        <v>5</v>
      </c>
      <c r="L230">
        <v>1</v>
      </c>
    </row>
    <row r="231" spans="1:13" hidden="1" x14ac:dyDescent="0.25">
      <c r="A231" t="s">
        <v>231</v>
      </c>
      <c r="C231" t="s">
        <v>168</v>
      </c>
      <c r="D231">
        <v>125</v>
      </c>
      <c r="E231">
        <v>51</v>
      </c>
      <c r="F231" t="s">
        <v>177</v>
      </c>
      <c r="G231">
        <v>7.8</v>
      </c>
      <c r="H231">
        <v>8.1</v>
      </c>
      <c r="I231">
        <v>17</v>
      </c>
      <c r="J231">
        <v>2.0736730769230767</v>
      </c>
      <c r="K231">
        <v>5</v>
      </c>
      <c r="L231">
        <v>1</v>
      </c>
      <c r="M231" t="s">
        <v>464</v>
      </c>
    </row>
    <row r="232" spans="1:13" hidden="1" x14ac:dyDescent="0.25">
      <c r="A232" t="s">
        <v>231</v>
      </c>
      <c r="B232" t="s">
        <v>860</v>
      </c>
      <c r="C232" t="s">
        <v>168</v>
      </c>
      <c r="D232">
        <v>27</v>
      </c>
      <c r="E232">
        <v>60</v>
      </c>
      <c r="F232" t="s">
        <v>177</v>
      </c>
      <c r="G232">
        <v>9.1999999999999993</v>
      </c>
      <c r="H232">
        <v>9.5</v>
      </c>
      <c r="I232">
        <v>9.8000000000000007</v>
      </c>
      <c r="J232">
        <v>2.0683695652173912</v>
      </c>
      <c r="K232">
        <v>4</v>
      </c>
      <c r="L232">
        <v>1</v>
      </c>
      <c r="M232" t="s">
        <v>458</v>
      </c>
    </row>
    <row r="233" spans="1:13" hidden="1" x14ac:dyDescent="0.25">
      <c r="A233" t="s">
        <v>231</v>
      </c>
      <c r="B233" t="s">
        <v>861</v>
      </c>
      <c r="C233" t="s">
        <v>168</v>
      </c>
      <c r="D233">
        <v>28</v>
      </c>
      <c r="E233">
        <v>63</v>
      </c>
      <c r="F233" t="s">
        <v>177</v>
      </c>
      <c r="G233">
        <v>9.6999999999999993</v>
      </c>
      <c r="H233">
        <v>10</v>
      </c>
      <c r="I233">
        <v>10.5</v>
      </c>
      <c r="J233">
        <v>2.0598402061855667</v>
      </c>
      <c r="K233">
        <v>5</v>
      </c>
      <c r="L233">
        <v>1</v>
      </c>
      <c r="M233" t="s">
        <v>465</v>
      </c>
    </row>
    <row r="234" spans="1:13" hidden="1" x14ac:dyDescent="0.25">
      <c r="A234" t="s">
        <v>231</v>
      </c>
      <c r="C234" t="s">
        <v>157</v>
      </c>
      <c r="D234">
        <v>29</v>
      </c>
      <c r="E234">
        <v>43</v>
      </c>
      <c r="F234" t="s">
        <v>177</v>
      </c>
      <c r="G234">
        <v>13.3</v>
      </c>
      <c r="H234">
        <v>13.600000000000001</v>
      </c>
      <c r="I234">
        <v>14</v>
      </c>
      <c r="J234">
        <v>1.025372180451128</v>
      </c>
      <c r="K234">
        <v>4</v>
      </c>
      <c r="L234">
        <v>1</v>
      </c>
      <c r="M234" t="s">
        <v>466</v>
      </c>
    </row>
    <row r="235" spans="1:13" hidden="1" x14ac:dyDescent="0.25">
      <c r="A235" t="s">
        <v>231</v>
      </c>
      <c r="B235" t="s">
        <v>862</v>
      </c>
      <c r="C235" t="s">
        <v>121</v>
      </c>
      <c r="D235">
        <v>30</v>
      </c>
      <c r="E235">
        <v>43</v>
      </c>
      <c r="F235" t="s">
        <v>177</v>
      </c>
      <c r="G235">
        <v>12.5</v>
      </c>
      <c r="H235">
        <v>13.6</v>
      </c>
      <c r="I235">
        <v>13</v>
      </c>
      <c r="J235">
        <v>1.0909960000000001</v>
      </c>
      <c r="K235">
        <v>4</v>
      </c>
      <c r="L235">
        <v>1</v>
      </c>
      <c r="M235" t="s">
        <v>465</v>
      </c>
    </row>
    <row r="236" spans="1:13" hidden="1" x14ac:dyDescent="0.25">
      <c r="A236" t="s">
        <v>231</v>
      </c>
    </row>
    <row r="237" spans="1:13" hidden="1" x14ac:dyDescent="0.25">
      <c r="A237" t="s">
        <v>231</v>
      </c>
      <c r="B237" t="s">
        <v>863</v>
      </c>
      <c r="C237" t="s">
        <v>168</v>
      </c>
      <c r="D237">
        <v>4</v>
      </c>
      <c r="E237">
        <v>43</v>
      </c>
      <c r="F237" t="s">
        <v>192</v>
      </c>
      <c r="G237" t="s">
        <v>467</v>
      </c>
      <c r="H237">
        <v>2.7274900000000004</v>
      </c>
      <c r="I237">
        <v>5.5</v>
      </c>
      <c r="J237">
        <v>5</v>
      </c>
      <c r="K237">
        <v>4</v>
      </c>
      <c r="L237">
        <v>3</v>
      </c>
      <c r="M237" t="s">
        <v>468</v>
      </c>
    </row>
    <row r="238" spans="1:13" hidden="1" x14ac:dyDescent="0.25">
      <c r="A238" t="s">
        <v>231</v>
      </c>
      <c r="B238" t="s">
        <v>864</v>
      </c>
      <c r="C238" t="s">
        <v>168</v>
      </c>
      <c r="D238">
        <v>32</v>
      </c>
      <c r="E238">
        <v>47</v>
      </c>
      <c r="F238" t="s">
        <v>192</v>
      </c>
      <c r="G238" t="s">
        <v>469</v>
      </c>
      <c r="H238">
        <v>2.4843416666666664</v>
      </c>
      <c r="I238">
        <v>7.5</v>
      </c>
      <c r="J238">
        <v>6</v>
      </c>
      <c r="K238">
        <v>5</v>
      </c>
      <c r="L238">
        <v>2</v>
      </c>
      <c r="M238" t="s">
        <v>470</v>
      </c>
    </row>
    <row r="239" spans="1:13" hidden="1" x14ac:dyDescent="0.25">
      <c r="A239" t="s">
        <v>231</v>
      </c>
      <c r="B239" t="s">
        <v>865</v>
      </c>
      <c r="C239" t="s">
        <v>471</v>
      </c>
      <c r="D239">
        <v>33</v>
      </c>
      <c r="E239">
        <v>43</v>
      </c>
      <c r="F239" t="s">
        <v>192</v>
      </c>
      <c r="G239" t="s">
        <v>472</v>
      </c>
      <c r="H239">
        <v>4.5458166666666671</v>
      </c>
      <c r="I239">
        <v>3.5</v>
      </c>
      <c r="J239">
        <v>3</v>
      </c>
      <c r="K239">
        <v>4</v>
      </c>
      <c r="L239">
        <v>1</v>
      </c>
    </row>
    <row r="240" spans="1:13" hidden="1" x14ac:dyDescent="0.25">
      <c r="A240" t="s">
        <v>231</v>
      </c>
      <c r="B240" t="s">
        <v>866</v>
      </c>
      <c r="C240" t="s">
        <v>168</v>
      </c>
      <c r="D240">
        <v>34</v>
      </c>
      <c r="E240">
        <v>47</v>
      </c>
      <c r="F240" t="s">
        <v>192</v>
      </c>
      <c r="G240" t="s">
        <v>473</v>
      </c>
      <c r="H240">
        <v>4.9686833333333329</v>
      </c>
      <c r="I240">
        <v>3.5</v>
      </c>
      <c r="J240">
        <v>3</v>
      </c>
      <c r="K240">
        <v>5</v>
      </c>
      <c r="L240">
        <v>1</v>
      </c>
      <c r="M240" t="s">
        <v>474</v>
      </c>
    </row>
    <row r="241" spans="1:14" hidden="1" x14ac:dyDescent="0.25">
      <c r="A241" t="s">
        <v>231</v>
      </c>
      <c r="B241" t="s">
        <v>867</v>
      </c>
      <c r="C241" t="s">
        <v>121</v>
      </c>
      <c r="D241">
        <v>35</v>
      </c>
      <c r="E241">
        <v>43</v>
      </c>
      <c r="F241" t="s">
        <v>192</v>
      </c>
      <c r="G241" t="s">
        <v>475</v>
      </c>
      <c r="H241">
        <v>6.8187250000000006</v>
      </c>
      <c r="I241">
        <v>3.5</v>
      </c>
      <c r="J241">
        <v>2</v>
      </c>
      <c r="K241">
        <v>4</v>
      </c>
      <c r="L241">
        <v>1</v>
      </c>
    </row>
    <row r="242" spans="1:14" hidden="1" x14ac:dyDescent="0.25">
      <c r="A242" t="s">
        <v>231</v>
      </c>
      <c r="B242" t="s">
        <v>868</v>
      </c>
      <c r="C242" t="s">
        <v>121</v>
      </c>
      <c r="D242">
        <v>36</v>
      </c>
      <c r="E242">
        <v>47</v>
      </c>
      <c r="F242" t="s">
        <v>192</v>
      </c>
      <c r="G242" t="s">
        <v>476</v>
      </c>
      <c r="H242">
        <v>7.4530249999999993</v>
      </c>
      <c r="I242">
        <v>5.5</v>
      </c>
      <c r="J242">
        <v>2</v>
      </c>
      <c r="K242">
        <v>5</v>
      </c>
      <c r="L242">
        <v>1</v>
      </c>
      <c r="M242" t="s">
        <v>477</v>
      </c>
    </row>
    <row r="243" spans="1:14" hidden="1" x14ac:dyDescent="0.25">
      <c r="A243" t="s">
        <v>231</v>
      </c>
      <c r="B243" t="s">
        <v>869</v>
      </c>
      <c r="C243" t="s">
        <v>168</v>
      </c>
      <c r="D243">
        <v>37</v>
      </c>
      <c r="E243">
        <v>63</v>
      </c>
      <c r="F243" t="s">
        <v>192</v>
      </c>
      <c r="G243" t="s">
        <v>478</v>
      </c>
      <c r="H243">
        <v>4.9951124999999994</v>
      </c>
      <c r="I243">
        <v>8</v>
      </c>
      <c r="J243">
        <v>4</v>
      </c>
      <c r="K243">
        <v>5</v>
      </c>
      <c r="L243">
        <v>1</v>
      </c>
      <c r="M243" t="s">
        <v>208</v>
      </c>
    </row>
    <row r="244" spans="1:14" hidden="1" x14ac:dyDescent="0.25">
      <c r="A244" t="s">
        <v>231</v>
      </c>
      <c r="B244" t="s">
        <v>870</v>
      </c>
      <c r="C244" t="s">
        <v>471</v>
      </c>
      <c r="D244">
        <v>35</v>
      </c>
      <c r="E244">
        <v>43</v>
      </c>
      <c r="F244" t="s">
        <v>192</v>
      </c>
      <c r="G244" t="s">
        <v>479</v>
      </c>
      <c r="H244">
        <v>6.8187250000000006</v>
      </c>
      <c r="I244">
        <v>10</v>
      </c>
      <c r="J244">
        <v>2</v>
      </c>
      <c r="K244">
        <v>4</v>
      </c>
      <c r="L244">
        <v>1</v>
      </c>
      <c r="M244" t="s">
        <v>480</v>
      </c>
    </row>
    <row r="245" spans="1:14" hidden="1" x14ac:dyDescent="0.25">
      <c r="A245" t="s">
        <v>231</v>
      </c>
      <c r="B245" t="s">
        <v>870</v>
      </c>
      <c r="C245" t="s">
        <v>471</v>
      </c>
      <c r="D245">
        <v>122</v>
      </c>
      <c r="E245">
        <v>43</v>
      </c>
      <c r="F245" t="s">
        <v>192</v>
      </c>
      <c r="G245" t="s">
        <v>479</v>
      </c>
      <c r="H245">
        <v>6.8187250000000006</v>
      </c>
      <c r="I245">
        <v>10</v>
      </c>
      <c r="J245">
        <v>2</v>
      </c>
      <c r="K245">
        <v>4</v>
      </c>
      <c r="L245">
        <v>1</v>
      </c>
      <c r="M245" t="s">
        <v>481</v>
      </c>
    </row>
    <row r="246" spans="1:14" hidden="1" x14ac:dyDescent="0.25">
      <c r="A246" t="s">
        <v>231</v>
      </c>
      <c r="C246" t="s">
        <v>471</v>
      </c>
      <c r="D246">
        <v>40</v>
      </c>
      <c r="E246">
        <v>57</v>
      </c>
      <c r="F246" t="s">
        <v>192</v>
      </c>
      <c r="G246" t="s">
        <v>482</v>
      </c>
      <c r="H246">
        <v>9.0387749999999993</v>
      </c>
      <c r="I246">
        <v>13</v>
      </c>
      <c r="J246">
        <v>2</v>
      </c>
      <c r="K246">
        <v>5</v>
      </c>
      <c r="L246">
        <v>1</v>
      </c>
      <c r="M246" t="s">
        <v>483</v>
      </c>
    </row>
    <row r="247" spans="1:14" hidden="1" x14ac:dyDescent="0.25">
      <c r="A247" t="s">
        <v>231</v>
      </c>
      <c r="C247" t="s">
        <v>168</v>
      </c>
      <c r="D247">
        <v>41</v>
      </c>
      <c r="E247">
        <v>60</v>
      </c>
      <c r="F247" t="s">
        <v>192</v>
      </c>
      <c r="G247" t="s">
        <v>484</v>
      </c>
      <c r="H247">
        <v>9.5145</v>
      </c>
      <c r="I247">
        <v>14.5</v>
      </c>
      <c r="J247">
        <v>2</v>
      </c>
      <c r="K247">
        <v>4</v>
      </c>
      <c r="L247">
        <v>1</v>
      </c>
      <c r="M247" t="s">
        <v>485</v>
      </c>
    </row>
    <row r="248" spans="1:14" hidden="1" x14ac:dyDescent="0.25">
      <c r="A248" t="s">
        <v>231</v>
      </c>
    </row>
    <row r="249" spans="1:14" ht="16.5" hidden="1" customHeight="1" x14ac:dyDescent="0.25">
      <c r="A249" t="s">
        <v>231</v>
      </c>
      <c r="B249" t="s">
        <v>871</v>
      </c>
      <c r="C249" t="s">
        <v>168</v>
      </c>
      <c r="D249">
        <v>72</v>
      </c>
      <c r="E249">
        <v>78</v>
      </c>
      <c r="F249" t="s">
        <v>122</v>
      </c>
      <c r="G249" t="s">
        <v>486</v>
      </c>
      <c r="H249">
        <v>24.7377</v>
      </c>
      <c r="I249">
        <v>3.8</v>
      </c>
      <c r="J249">
        <v>1</v>
      </c>
      <c r="K249">
        <v>5</v>
      </c>
      <c r="L249">
        <v>2</v>
      </c>
      <c r="M249" t="s">
        <v>487</v>
      </c>
    </row>
    <row r="250" spans="1:14" hidden="1" x14ac:dyDescent="0.25">
      <c r="A250" t="s">
        <v>231</v>
      </c>
      <c r="B250" t="s">
        <v>872</v>
      </c>
      <c r="C250" t="s">
        <v>168</v>
      </c>
      <c r="D250">
        <v>42</v>
      </c>
      <c r="E250">
        <v>47</v>
      </c>
      <c r="F250" t="s">
        <v>122</v>
      </c>
      <c r="G250" t="s">
        <v>488</v>
      </c>
      <c r="H250">
        <v>1.8632562499999998</v>
      </c>
      <c r="I250">
        <v>10.5</v>
      </c>
      <c r="J250">
        <v>8</v>
      </c>
      <c r="K250">
        <v>5</v>
      </c>
      <c r="L250">
        <v>3</v>
      </c>
      <c r="M250" t="s">
        <v>489</v>
      </c>
    </row>
    <row r="251" spans="1:14" hidden="1" x14ac:dyDescent="0.25">
      <c r="A251" t="s">
        <v>231</v>
      </c>
      <c r="B251" t="s">
        <v>873</v>
      </c>
      <c r="C251" t="s">
        <v>164</v>
      </c>
      <c r="D251">
        <v>43</v>
      </c>
      <c r="E251">
        <v>68</v>
      </c>
      <c r="F251" t="s">
        <v>122</v>
      </c>
      <c r="G251" t="s">
        <v>490</v>
      </c>
      <c r="H251">
        <v>3.0808857142857144</v>
      </c>
      <c r="I251">
        <v>8.5</v>
      </c>
      <c r="J251">
        <v>7</v>
      </c>
      <c r="K251">
        <v>5</v>
      </c>
      <c r="L251">
        <v>2</v>
      </c>
      <c r="M251" t="s">
        <v>491</v>
      </c>
    </row>
    <row r="252" spans="1:14" hidden="1" x14ac:dyDescent="0.25">
      <c r="A252" t="s">
        <v>231</v>
      </c>
      <c r="C252" t="s">
        <v>168</v>
      </c>
      <c r="D252">
        <v>44</v>
      </c>
      <c r="E252">
        <v>68</v>
      </c>
      <c r="F252" t="s">
        <v>122</v>
      </c>
      <c r="G252" t="s">
        <v>235</v>
      </c>
      <c r="H252">
        <v>4.3132400000000004</v>
      </c>
      <c r="I252">
        <v>13.5</v>
      </c>
      <c r="J252">
        <v>5</v>
      </c>
      <c r="K252">
        <v>5</v>
      </c>
      <c r="L252">
        <v>3</v>
      </c>
      <c r="M252" t="s">
        <v>492</v>
      </c>
      <c r="N252" t="s">
        <v>493</v>
      </c>
    </row>
    <row r="253" spans="1:14" hidden="1" x14ac:dyDescent="0.25">
      <c r="A253" t="s">
        <v>231</v>
      </c>
      <c r="B253" t="s">
        <v>874</v>
      </c>
      <c r="C253" t="s">
        <v>168</v>
      </c>
      <c r="D253">
        <v>28</v>
      </c>
      <c r="E253">
        <v>63</v>
      </c>
      <c r="F253" t="s">
        <v>122</v>
      </c>
      <c r="G253" t="s">
        <v>494</v>
      </c>
      <c r="H253">
        <v>2.2200499999999996</v>
      </c>
      <c r="I253">
        <v>4.5</v>
      </c>
      <c r="J253">
        <v>9</v>
      </c>
      <c r="K253">
        <v>5</v>
      </c>
      <c r="L253">
        <v>1</v>
      </c>
    </row>
    <row r="254" spans="1:14" hidden="1" x14ac:dyDescent="0.25">
      <c r="A254" t="s">
        <v>231</v>
      </c>
      <c r="B254" t="s">
        <v>875</v>
      </c>
      <c r="C254" t="s">
        <v>168</v>
      </c>
      <c r="D254">
        <v>46</v>
      </c>
      <c r="E254">
        <v>43</v>
      </c>
      <c r="F254" t="s">
        <v>122</v>
      </c>
      <c r="G254" t="s">
        <v>495</v>
      </c>
      <c r="H254">
        <v>2.2729083333333335</v>
      </c>
      <c r="I254">
        <v>5.5</v>
      </c>
      <c r="J254">
        <v>6</v>
      </c>
      <c r="K254">
        <v>4</v>
      </c>
      <c r="L254">
        <v>1</v>
      </c>
      <c r="M254" t="s">
        <v>240</v>
      </c>
    </row>
    <row r="255" spans="1:14" hidden="1" x14ac:dyDescent="0.25">
      <c r="A255" t="s">
        <v>231</v>
      </c>
      <c r="B255" t="s">
        <v>876</v>
      </c>
      <c r="C255" t="s">
        <v>471</v>
      </c>
      <c r="D255">
        <v>33</v>
      </c>
      <c r="E255">
        <v>43</v>
      </c>
      <c r="F255" t="s">
        <v>122</v>
      </c>
      <c r="G255" t="s">
        <v>496</v>
      </c>
      <c r="H255">
        <v>2.7274900000000004</v>
      </c>
      <c r="I255">
        <v>10.5</v>
      </c>
      <c r="J255">
        <v>5</v>
      </c>
      <c r="K255">
        <v>4</v>
      </c>
      <c r="L255">
        <v>2</v>
      </c>
      <c r="M255" t="s">
        <v>359</v>
      </c>
      <c r="N255" t="s">
        <v>497</v>
      </c>
    </row>
    <row r="256" spans="1:14" hidden="1" x14ac:dyDescent="0.25">
      <c r="A256" t="s">
        <v>231</v>
      </c>
      <c r="B256" t="s">
        <v>877</v>
      </c>
      <c r="C256" t="s">
        <v>164</v>
      </c>
      <c r="D256">
        <v>43</v>
      </c>
      <c r="E256">
        <v>68</v>
      </c>
      <c r="F256" t="s">
        <v>122</v>
      </c>
      <c r="G256" t="s">
        <v>498</v>
      </c>
      <c r="H256">
        <v>3.5943666666666667</v>
      </c>
      <c r="I256">
        <v>5.5</v>
      </c>
      <c r="J256">
        <v>6</v>
      </c>
      <c r="K256">
        <v>5</v>
      </c>
      <c r="L256">
        <v>1</v>
      </c>
      <c r="M256" t="s">
        <v>491</v>
      </c>
    </row>
    <row r="257" spans="1:14" hidden="1" x14ac:dyDescent="0.25">
      <c r="A257" t="s">
        <v>231</v>
      </c>
      <c r="B257" t="s">
        <v>878</v>
      </c>
      <c r="C257" t="s">
        <v>168</v>
      </c>
      <c r="D257">
        <v>49</v>
      </c>
      <c r="E257">
        <v>60</v>
      </c>
      <c r="F257" t="s">
        <v>122</v>
      </c>
      <c r="G257" t="s">
        <v>246</v>
      </c>
      <c r="H257">
        <v>6.343</v>
      </c>
      <c r="I257">
        <v>9</v>
      </c>
      <c r="J257">
        <v>3</v>
      </c>
      <c r="K257">
        <v>4</v>
      </c>
      <c r="L257">
        <v>2</v>
      </c>
      <c r="M257" t="s">
        <v>499</v>
      </c>
    </row>
    <row r="258" spans="1:14" hidden="1" x14ac:dyDescent="0.25">
      <c r="A258" t="s">
        <v>231</v>
      </c>
      <c r="C258" t="s">
        <v>168</v>
      </c>
      <c r="D258">
        <v>50</v>
      </c>
      <c r="E258">
        <v>60</v>
      </c>
      <c r="F258" t="s">
        <v>122</v>
      </c>
      <c r="G258" t="s">
        <v>500</v>
      </c>
      <c r="H258">
        <v>6.343</v>
      </c>
      <c r="I258">
        <v>10.5</v>
      </c>
      <c r="J258">
        <v>3</v>
      </c>
      <c r="K258">
        <v>4</v>
      </c>
      <c r="L258">
        <v>3</v>
      </c>
      <c r="M258" t="s">
        <v>501</v>
      </c>
      <c r="N258" t="s">
        <v>148</v>
      </c>
    </row>
    <row r="259" spans="1:14" hidden="1" x14ac:dyDescent="0.25">
      <c r="A259" t="s">
        <v>231</v>
      </c>
      <c r="C259" t="s">
        <v>168</v>
      </c>
      <c r="D259">
        <v>51</v>
      </c>
      <c r="E259">
        <v>68</v>
      </c>
      <c r="F259" t="s">
        <v>122</v>
      </c>
      <c r="G259" t="s">
        <v>246</v>
      </c>
      <c r="H259">
        <v>4.3132400000000004</v>
      </c>
      <c r="I259">
        <v>13</v>
      </c>
      <c r="J259">
        <v>5</v>
      </c>
      <c r="K259">
        <v>5</v>
      </c>
      <c r="L259">
        <v>2</v>
      </c>
      <c r="M259" t="s">
        <v>502</v>
      </c>
      <c r="N259" t="s">
        <v>148</v>
      </c>
    </row>
    <row r="260" spans="1:14" hidden="1" x14ac:dyDescent="0.25">
      <c r="A260" t="s">
        <v>231</v>
      </c>
      <c r="C260" t="s">
        <v>168</v>
      </c>
      <c r="D260">
        <v>53</v>
      </c>
      <c r="E260">
        <v>47</v>
      </c>
      <c r="F260" t="s">
        <v>122</v>
      </c>
      <c r="G260" t="s">
        <v>503</v>
      </c>
      <c r="H260">
        <v>4.9686833333333329</v>
      </c>
      <c r="I260">
        <v>15</v>
      </c>
      <c r="J260">
        <v>3</v>
      </c>
      <c r="K260">
        <v>5</v>
      </c>
      <c r="L260">
        <v>2</v>
      </c>
      <c r="N260" t="s">
        <v>148</v>
      </c>
    </row>
    <row r="261" spans="1:14" hidden="1" x14ac:dyDescent="0.25">
      <c r="A261" t="s">
        <v>231</v>
      </c>
      <c r="B261" t="s">
        <v>879</v>
      </c>
      <c r="C261" t="s">
        <v>378</v>
      </c>
      <c r="D261">
        <v>54</v>
      </c>
      <c r="E261">
        <v>47</v>
      </c>
      <c r="F261" t="s">
        <v>122</v>
      </c>
      <c r="G261" t="s">
        <v>503</v>
      </c>
      <c r="H261">
        <v>4.9686833333333329</v>
      </c>
      <c r="I261">
        <v>11</v>
      </c>
      <c r="J261">
        <v>3</v>
      </c>
      <c r="K261">
        <v>5</v>
      </c>
      <c r="L261">
        <v>2</v>
      </c>
      <c r="M261" t="s">
        <v>504</v>
      </c>
      <c r="N261" t="s">
        <v>148</v>
      </c>
    </row>
    <row r="262" spans="1:14" hidden="1" x14ac:dyDescent="0.25">
      <c r="A262" t="s">
        <v>231</v>
      </c>
      <c r="C262" t="s">
        <v>136</v>
      </c>
      <c r="D262">
        <v>129</v>
      </c>
      <c r="E262">
        <v>54</v>
      </c>
      <c r="F262" t="s">
        <v>217</v>
      </c>
      <c r="G262" t="s">
        <v>505</v>
      </c>
      <c r="H262">
        <v>4.2815250000000002</v>
      </c>
      <c r="I262">
        <v>15</v>
      </c>
      <c r="J262">
        <v>4</v>
      </c>
      <c r="K262">
        <v>0</v>
      </c>
      <c r="L262">
        <v>2</v>
      </c>
      <c r="M262" t="s">
        <v>506</v>
      </c>
    </row>
    <row r="263" spans="1:14" hidden="1" x14ac:dyDescent="0.25">
      <c r="A263" t="s">
        <v>231</v>
      </c>
      <c r="C263" t="s">
        <v>168</v>
      </c>
      <c r="D263">
        <v>55</v>
      </c>
      <c r="E263">
        <v>47</v>
      </c>
      <c r="F263" t="s">
        <v>122</v>
      </c>
      <c r="G263" t="s">
        <v>507</v>
      </c>
      <c r="H263">
        <v>7.4530249999999993</v>
      </c>
      <c r="I263">
        <v>11</v>
      </c>
      <c r="J263">
        <v>2</v>
      </c>
      <c r="K263">
        <v>5</v>
      </c>
      <c r="L263">
        <v>2</v>
      </c>
      <c r="M263" t="s">
        <v>152</v>
      </c>
    </row>
    <row r="264" spans="1:14" hidden="1" x14ac:dyDescent="0.25">
      <c r="A264" t="s">
        <v>231</v>
      </c>
      <c r="C264" t="s">
        <v>378</v>
      </c>
      <c r="D264">
        <v>76</v>
      </c>
      <c r="E264">
        <v>43</v>
      </c>
      <c r="F264" t="s">
        <v>122</v>
      </c>
      <c r="G264" t="s">
        <v>508</v>
      </c>
      <c r="H264">
        <v>3.4093625000000003</v>
      </c>
      <c r="I264">
        <v>8.5</v>
      </c>
      <c r="J264">
        <v>4</v>
      </c>
      <c r="K264">
        <v>4</v>
      </c>
      <c r="L264">
        <v>1</v>
      </c>
      <c r="M264" t="s">
        <v>499</v>
      </c>
    </row>
    <row r="265" spans="1:14" hidden="1" x14ac:dyDescent="0.25">
      <c r="A265" t="s">
        <v>231</v>
      </c>
      <c r="C265" t="s">
        <v>168</v>
      </c>
      <c r="D265">
        <v>56</v>
      </c>
      <c r="E265">
        <v>43</v>
      </c>
      <c r="F265" t="s">
        <v>122</v>
      </c>
      <c r="G265" t="s">
        <v>509</v>
      </c>
      <c r="H265">
        <v>2.7274900000000004</v>
      </c>
      <c r="I265">
        <v>9.5</v>
      </c>
      <c r="J265">
        <v>5</v>
      </c>
      <c r="K265">
        <v>4</v>
      </c>
      <c r="L265">
        <v>1</v>
      </c>
      <c r="M265" t="s">
        <v>510</v>
      </c>
    </row>
    <row r="266" spans="1:14" hidden="1" x14ac:dyDescent="0.25">
      <c r="A266" t="s">
        <v>231</v>
      </c>
      <c r="C266" t="s">
        <v>471</v>
      </c>
      <c r="D266">
        <v>57</v>
      </c>
      <c r="E266">
        <v>60</v>
      </c>
      <c r="F266" t="s">
        <v>122</v>
      </c>
      <c r="G266" t="s">
        <v>511</v>
      </c>
      <c r="H266">
        <v>3.8058000000000001</v>
      </c>
      <c r="I266">
        <v>10</v>
      </c>
      <c r="J266">
        <v>5</v>
      </c>
      <c r="K266">
        <v>4</v>
      </c>
      <c r="L266">
        <v>1</v>
      </c>
      <c r="M266" t="s">
        <v>510</v>
      </c>
      <c r="N266" t="s">
        <v>512</v>
      </c>
    </row>
    <row r="267" spans="1:14" hidden="1" x14ac:dyDescent="0.25">
      <c r="A267" t="s">
        <v>231</v>
      </c>
      <c r="B267" t="s">
        <v>880</v>
      </c>
      <c r="C267" t="s">
        <v>471</v>
      </c>
      <c r="D267">
        <v>75</v>
      </c>
      <c r="E267">
        <v>60</v>
      </c>
      <c r="F267" t="s">
        <v>122</v>
      </c>
      <c r="G267" t="s">
        <v>513</v>
      </c>
      <c r="H267">
        <v>9.5145</v>
      </c>
      <c r="I267">
        <v>3.5</v>
      </c>
      <c r="J267">
        <v>2</v>
      </c>
      <c r="K267">
        <v>4</v>
      </c>
      <c r="L267">
        <v>1</v>
      </c>
    </row>
    <row r="268" spans="1:14" hidden="1" x14ac:dyDescent="0.25">
      <c r="A268" t="s">
        <v>231</v>
      </c>
      <c r="C268" t="s">
        <v>514</v>
      </c>
      <c r="D268">
        <v>77</v>
      </c>
      <c r="E268">
        <v>51</v>
      </c>
      <c r="F268" t="s">
        <v>122</v>
      </c>
      <c r="G268" t="s">
        <v>515</v>
      </c>
      <c r="H268">
        <v>5.3915500000000005</v>
      </c>
      <c r="I268">
        <v>11</v>
      </c>
      <c r="J268">
        <v>3</v>
      </c>
      <c r="K268">
        <v>5</v>
      </c>
      <c r="L268">
        <v>1</v>
      </c>
      <c r="M268" t="s">
        <v>499</v>
      </c>
    </row>
    <row r="269" spans="1:14" hidden="1" x14ac:dyDescent="0.25">
      <c r="A269" t="s">
        <v>231</v>
      </c>
      <c r="B269" t="s">
        <v>881</v>
      </c>
      <c r="C269" t="s">
        <v>168</v>
      </c>
      <c r="D269">
        <v>22</v>
      </c>
      <c r="E269">
        <v>60</v>
      </c>
      <c r="F269" t="s">
        <v>122</v>
      </c>
      <c r="G269" t="s">
        <v>516</v>
      </c>
      <c r="H269">
        <v>6.343</v>
      </c>
      <c r="I269">
        <v>11</v>
      </c>
      <c r="J269">
        <v>3</v>
      </c>
      <c r="K269">
        <v>4</v>
      </c>
      <c r="L269">
        <v>1</v>
      </c>
      <c r="M269" t="s">
        <v>499</v>
      </c>
    </row>
    <row r="270" spans="1:14" hidden="1" x14ac:dyDescent="0.25">
      <c r="A270" t="s">
        <v>231</v>
      </c>
      <c r="C270" t="s">
        <v>471</v>
      </c>
      <c r="D270">
        <v>59</v>
      </c>
      <c r="E270">
        <v>47</v>
      </c>
      <c r="F270" t="s">
        <v>122</v>
      </c>
      <c r="G270" t="s">
        <v>517</v>
      </c>
      <c r="H270">
        <v>7.4530249999999993</v>
      </c>
      <c r="I270">
        <v>15</v>
      </c>
      <c r="J270">
        <v>2</v>
      </c>
      <c r="K270">
        <v>5</v>
      </c>
      <c r="L270">
        <v>2</v>
      </c>
      <c r="M270" t="s">
        <v>518</v>
      </c>
    </row>
    <row r="271" spans="1:14" hidden="1" x14ac:dyDescent="0.25">
      <c r="A271" t="s">
        <v>231</v>
      </c>
      <c r="C271" t="s">
        <v>471</v>
      </c>
      <c r="D271">
        <v>61</v>
      </c>
      <c r="E271">
        <v>47</v>
      </c>
      <c r="F271" t="s">
        <v>122</v>
      </c>
      <c r="G271" t="s">
        <v>519</v>
      </c>
      <c r="H271">
        <v>3.7265124999999997</v>
      </c>
      <c r="I271">
        <v>11.5</v>
      </c>
      <c r="J271">
        <v>4</v>
      </c>
      <c r="K271">
        <v>5</v>
      </c>
      <c r="L271">
        <v>1</v>
      </c>
      <c r="M271" t="s">
        <v>520</v>
      </c>
    </row>
    <row r="272" spans="1:14" hidden="1" x14ac:dyDescent="0.25">
      <c r="A272" t="s">
        <v>231</v>
      </c>
      <c r="C272" t="s">
        <v>168</v>
      </c>
      <c r="D272">
        <v>124</v>
      </c>
      <c r="E272">
        <v>43</v>
      </c>
      <c r="F272" t="s">
        <v>122</v>
      </c>
      <c r="G272" t="s">
        <v>521</v>
      </c>
      <c r="H272">
        <v>2.2729083333333335</v>
      </c>
      <c r="I272">
        <v>12</v>
      </c>
      <c r="J272">
        <v>6</v>
      </c>
      <c r="K272">
        <v>4</v>
      </c>
      <c r="L272">
        <v>1</v>
      </c>
      <c r="M272" t="s">
        <v>180</v>
      </c>
    </row>
    <row r="273" spans="1:13" hidden="1" x14ac:dyDescent="0.25">
      <c r="A273" t="s">
        <v>231</v>
      </c>
      <c r="C273" t="s">
        <v>471</v>
      </c>
      <c r="D273">
        <v>62</v>
      </c>
      <c r="E273">
        <v>78</v>
      </c>
      <c r="F273" t="s">
        <v>122</v>
      </c>
      <c r="G273" t="s">
        <v>522</v>
      </c>
      <c r="H273">
        <v>12.36885</v>
      </c>
      <c r="I273">
        <v>13</v>
      </c>
      <c r="J273">
        <v>2</v>
      </c>
      <c r="K273">
        <v>5</v>
      </c>
      <c r="L273">
        <v>2</v>
      </c>
      <c r="M273" t="s">
        <v>523</v>
      </c>
    </row>
    <row r="274" spans="1:13" hidden="1" x14ac:dyDescent="0.25">
      <c r="A274" t="s">
        <v>231</v>
      </c>
      <c r="B274" t="s">
        <v>882</v>
      </c>
      <c r="C274" t="s">
        <v>157</v>
      </c>
      <c r="D274">
        <v>31</v>
      </c>
      <c r="E274">
        <v>39</v>
      </c>
      <c r="F274" t="s">
        <v>122</v>
      </c>
      <c r="G274" t="s">
        <v>522</v>
      </c>
      <c r="H274">
        <v>12.36885</v>
      </c>
      <c r="I274">
        <v>13</v>
      </c>
      <c r="J274">
        <v>1</v>
      </c>
      <c r="K274">
        <v>5</v>
      </c>
      <c r="L274">
        <v>2</v>
      </c>
      <c r="M274" t="s">
        <v>523</v>
      </c>
    </row>
    <row r="275" spans="1:13" hidden="1" x14ac:dyDescent="0.25">
      <c r="A275" t="s">
        <v>231</v>
      </c>
      <c r="C275" t="s">
        <v>471</v>
      </c>
      <c r="D275">
        <v>65</v>
      </c>
      <c r="E275">
        <v>47</v>
      </c>
      <c r="F275" t="s">
        <v>122</v>
      </c>
      <c r="G275" t="s">
        <v>524</v>
      </c>
      <c r="H275">
        <v>14.906049999999999</v>
      </c>
      <c r="I275">
        <v>12.5</v>
      </c>
      <c r="J275">
        <v>1</v>
      </c>
      <c r="K275">
        <v>5</v>
      </c>
      <c r="L275">
        <v>1</v>
      </c>
      <c r="M275" t="s">
        <v>304</v>
      </c>
    </row>
    <row r="276" spans="1:13" hidden="1" x14ac:dyDescent="0.25">
      <c r="A276" t="s">
        <v>231</v>
      </c>
      <c r="C276" t="s">
        <v>514</v>
      </c>
      <c r="D276">
        <v>78</v>
      </c>
      <c r="E276">
        <v>47</v>
      </c>
      <c r="F276" t="s">
        <v>122</v>
      </c>
      <c r="G276" t="s">
        <v>525</v>
      </c>
      <c r="H276">
        <v>7.4530249999999993</v>
      </c>
      <c r="I276">
        <v>13.5</v>
      </c>
      <c r="J276">
        <v>2</v>
      </c>
      <c r="K276">
        <v>5</v>
      </c>
      <c r="L276">
        <v>1</v>
      </c>
      <c r="M276" t="s">
        <v>499</v>
      </c>
    </row>
    <row r="277" spans="1:13" hidden="1" x14ac:dyDescent="0.25">
      <c r="A277" t="s">
        <v>231</v>
      </c>
      <c r="B277" t="s">
        <v>883</v>
      </c>
      <c r="C277" t="s">
        <v>471</v>
      </c>
      <c r="D277">
        <v>14</v>
      </c>
      <c r="E277">
        <v>43</v>
      </c>
      <c r="F277" t="s">
        <v>122</v>
      </c>
      <c r="G277" t="s">
        <v>526</v>
      </c>
      <c r="H277">
        <v>13.637450000000001</v>
      </c>
      <c r="I277">
        <v>8.5</v>
      </c>
      <c r="J277">
        <v>1</v>
      </c>
      <c r="K277">
        <v>4</v>
      </c>
      <c r="L277">
        <v>1</v>
      </c>
      <c r="M277" t="s">
        <v>491</v>
      </c>
    </row>
    <row r="278" spans="1:13" hidden="1" x14ac:dyDescent="0.25">
      <c r="A278" t="s">
        <v>231</v>
      </c>
      <c r="C278" t="s">
        <v>471</v>
      </c>
      <c r="D278">
        <v>60</v>
      </c>
      <c r="E278">
        <v>43</v>
      </c>
      <c r="F278" t="s">
        <v>122</v>
      </c>
      <c r="G278" t="s">
        <v>527</v>
      </c>
      <c r="H278">
        <v>13.637450000000001</v>
      </c>
      <c r="I278">
        <v>11</v>
      </c>
      <c r="J278">
        <v>1</v>
      </c>
      <c r="K278">
        <v>4</v>
      </c>
      <c r="L278">
        <v>1</v>
      </c>
      <c r="M278" t="s">
        <v>528</v>
      </c>
    </row>
    <row r="279" spans="1:13" hidden="1" x14ac:dyDescent="0.25">
      <c r="A279" t="s">
        <v>231</v>
      </c>
      <c r="C279" t="s">
        <v>471</v>
      </c>
      <c r="D279">
        <v>2</v>
      </c>
      <c r="E279">
        <v>43</v>
      </c>
      <c r="F279" t="s">
        <v>122</v>
      </c>
      <c r="G279" t="s">
        <v>527</v>
      </c>
      <c r="H279">
        <v>13.637450000000001</v>
      </c>
      <c r="I279">
        <v>11</v>
      </c>
      <c r="J279">
        <v>1</v>
      </c>
      <c r="K279">
        <v>4</v>
      </c>
      <c r="L279">
        <v>1</v>
      </c>
      <c r="M279" t="s">
        <v>528</v>
      </c>
    </row>
    <row r="280" spans="1:13" hidden="1" x14ac:dyDescent="0.25">
      <c r="A280" t="s">
        <v>231</v>
      </c>
      <c r="C280" t="s">
        <v>471</v>
      </c>
      <c r="D280">
        <v>64</v>
      </c>
      <c r="E280">
        <v>47</v>
      </c>
      <c r="F280" t="s">
        <v>122</v>
      </c>
      <c r="G280" t="s">
        <v>529</v>
      </c>
      <c r="H280">
        <v>14.906049999999999</v>
      </c>
      <c r="I280">
        <v>15.5</v>
      </c>
      <c r="J280">
        <v>1</v>
      </c>
      <c r="K280">
        <v>5</v>
      </c>
      <c r="L280">
        <v>2</v>
      </c>
      <c r="M280" t="s">
        <v>523</v>
      </c>
    </row>
    <row r="281" spans="1:13" hidden="1" x14ac:dyDescent="0.25">
      <c r="A281" t="s">
        <v>231</v>
      </c>
      <c r="C281" t="s">
        <v>164</v>
      </c>
      <c r="D281">
        <v>67</v>
      </c>
      <c r="E281">
        <v>51</v>
      </c>
      <c r="F281" t="s">
        <v>122</v>
      </c>
      <c r="G281" t="s">
        <v>530</v>
      </c>
      <c r="H281">
        <v>16.17465</v>
      </c>
      <c r="I281">
        <v>11</v>
      </c>
      <c r="J281">
        <v>1</v>
      </c>
      <c r="K281">
        <v>5</v>
      </c>
      <c r="L281">
        <v>1</v>
      </c>
      <c r="M281" t="s">
        <v>531</v>
      </c>
    </row>
    <row r="282" spans="1:13" hidden="1" x14ac:dyDescent="0.25">
      <c r="A282" t="s">
        <v>231</v>
      </c>
      <c r="C282" t="s">
        <v>136</v>
      </c>
      <c r="D282">
        <v>112</v>
      </c>
      <c r="E282">
        <v>57</v>
      </c>
      <c r="F282" t="s">
        <v>122</v>
      </c>
      <c r="G282" t="s">
        <v>532</v>
      </c>
      <c r="H282">
        <v>18.077549999999999</v>
      </c>
      <c r="I282">
        <v>11</v>
      </c>
      <c r="J282">
        <v>1</v>
      </c>
      <c r="K282">
        <v>4</v>
      </c>
      <c r="L282">
        <v>1</v>
      </c>
      <c r="M282" t="s">
        <v>528</v>
      </c>
    </row>
    <row r="283" spans="1:13" hidden="1" x14ac:dyDescent="0.25">
      <c r="A283" t="s">
        <v>231</v>
      </c>
      <c r="C283" t="s">
        <v>168</v>
      </c>
      <c r="D283">
        <v>66</v>
      </c>
      <c r="E283">
        <v>47</v>
      </c>
      <c r="F283" t="s">
        <v>122</v>
      </c>
      <c r="G283" t="s">
        <v>533</v>
      </c>
      <c r="H283">
        <v>7.4530249999999993</v>
      </c>
      <c r="I283">
        <v>15.7</v>
      </c>
      <c r="J283">
        <v>2</v>
      </c>
      <c r="K283">
        <v>5</v>
      </c>
      <c r="L283">
        <v>1</v>
      </c>
      <c r="M283" t="s">
        <v>534</v>
      </c>
    </row>
    <row r="284" spans="1:13" hidden="1" x14ac:dyDescent="0.25">
      <c r="A284" t="s">
        <v>231</v>
      </c>
      <c r="B284" t="s">
        <v>884</v>
      </c>
      <c r="C284" t="s">
        <v>168</v>
      </c>
      <c r="D284">
        <v>68</v>
      </c>
      <c r="E284">
        <v>63</v>
      </c>
      <c r="F284" t="s">
        <v>122</v>
      </c>
      <c r="G284" t="s">
        <v>535</v>
      </c>
      <c r="H284">
        <v>19.980449999999998</v>
      </c>
      <c r="I284">
        <v>13.5</v>
      </c>
      <c r="J284">
        <v>1</v>
      </c>
      <c r="K284">
        <v>5</v>
      </c>
      <c r="L284">
        <v>3</v>
      </c>
      <c r="M284" t="s">
        <v>536</v>
      </c>
    </row>
    <row r="285" spans="1:13" hidden="1" x14ac:dyDescent="0.25">
      <c r="A285" t="s">
        <v>231</v>
      </c>
      <c r="B285" t="s">
        <v>885</v>
      </c>
      <c r="C285" t="s">
        <v>168</v>
      </c>
      <c r="D285">
        <v>69</v>
      </c>
      <c r="E285">
        <v>63</v>
      </c>
      <c r="F285" t="s">
        <v>122</v>
      </c>
      <c r="G285" t="s">
        <v>537</v>
      </c>
      <c r="H285">
        <v>19.980449999999998</v>
      </c>
      <c r="I285">
        <v>7.5</v>
      </c>
      <c r="J285">
        <v>1</v>
      </c>
      <c r="K285">
        <v>5</v>
      </c>
      <c r="L285">
        <v>1</v>
      </c>
      <c r="M285" t="s">
        <v>538</v>
      </c>
    </row>
    <row r="286" spans="1:13" hidden="1" x14ac:dyDescent="0.25">
      <c r="A286" t="s">
        <v>231</v>
      </c>
      <c r="B286" t="s">
        <v>886</v>
      </c>
      <c r="C286" t="s">
        <v>168</v>
      </c>
      <c r="D286">
        <v>69</v>
      </c>
      <c r="E286">
        <v>63</v>
      </c>
      <c r="F286" t="s">
        <v>122</v>
      </c>
      <c r="G286" t="s">
        <v>539</v>
      </c>
      <c r="H286">
        <v>19.980449999999998</v>
      </c>
      <c r="I286">
        <v>8.5</v>
      </c>
      <c r="J286">
        <v>1</v>
      </c>
      <c r="K286">
        <v>5</v>
      </c>
      <c r="L286">
        <v>1</v>
      </c>
      <c r="M286" t="s">
        <v>538</v>
      </c>
    </row>
    <row r="287" spans="1:13" hidden="1" x14ac:dyDescent="0.25">
      <c r="A287" t="s">
        <v>231</v>
      </c>
      <c r="C287" t="s">
        <v>168</v>
      </c>
      <c r="D287">
        <v>71</v>
      </c>
      <c r="E287">
        <v>63</v>
      </c>
      <c r="F287" t="s">
        <v>122</v>
      </c>
      <c r="G287" t="s">
        <v>540</v>
      </c>
      <c r="H287">
        <v>19.980449999999998</v>
      </c>
      <c r="I287">
        <v>10.5</v>
      </c>
      <c r="J287">
        <v>1</v>
      </c>
      <c r="K287">
        <v>5</v>
      </c>
      <c r="L287">
        <v>1</v>
      </c>
      <c r="M287" t="s">
        <v>528</v>
      </c>
    </row>
    <row r="288" spans="1:13" hidden="1" x14ac:dyDescent="0.25">
      <c r="A288" t="s">
        <v>231</v>
      </c>
      <c r="C288" t="s">
        <v>541</v>
      </c>
      <c r="D288">
        <v>111</v>
      </c>
      <c r="E288">
        <v>68</v>
      </c>
      <c r="F288" t="s">
        <v>122</v>
      </c>
      <c r="G288" t="s">
        <v>542</v>
      </c>
      <c r="H288">
        <v>21.566200000000002</v>
      </c>
      <c r="I288">
        <v>15.5</v>
      </c>
      <c r="J288">
        <v>1</v>
      </c>
      <c r="K288">
        <v>5</v>
      </c>
      <c r="L288">
        <v>1</v>
      </c>
      <c r="M288" t="s">
        <v>543</v>
      </c>
    </row>
    <row r="289" spans="1:13" hidden="1" x14ac:dyDescent="0.25">
      <c r="A289" t="s">
        <v>231</v>
      </c>
      <c r="C289" t="s">
        <v>136</v>
      </c>
      <c r="D289">
        <v>127</v>
      </c>
      <c r="E289">
        <v>68</v>
      </c>
      <c r="F289" t="s">
        <v>217</v>
      </c>
      <c r="G289" t="s">
        <v>542</v>
      </c>
      <c r="H289">
        <v>21.566200000000002</v>
      </c>
      <c r="I289">
        <v>15.5</v>
      </c>
      <c r="J289">
        <v>1</v>
      </c>
      <c r="K289">
        <v>5</v>
      </c>
      <c r="L289">
        <v>1</v>
      </c>
      <c r="M289" t="s">
        <v>543</v>
      </c>
    </row>
    <row r="290" spans="1:13" hidden="1" x14ac:dyDescent="0.25">
      <c r="A290" t="s">
        <v>231</v>
      </c>
      <c r="C290" t="s">
        <v>168</v>
      </c>
      <c r="D290">
        <v>73</v>
      </c>
      <c r="E290">
        <v>98</v>
      </c>
      <c r="F290" t="s">
        <v>122</v>
      </c>
      <c r="G290" t="s">
        <v>544</v>
      </c>
      <c r="H290">
        <v>31.0807</v>
      </c>
      <c r="I290">
        <v>11</v>
      </c>
      <c r="J290">
        <v>1</v>
      </c>
      <c r="K290">
        <v>5</v>
      </c>
      <c r="L290">
        <v>1</v>
      </c>
      <c r="M290" t="s">
        <v>545</v>
      </c>
    </row>
    <row r="291" spans="1:13" hidden="1" x14ac:dyDescent="0.25">
      <c r="A291" t="s">
        <v>231</v>
      </c>
      <c r="B291" t="s">
        <v>480</v>
      </c>
      <c r="C291" t="s">
        <v>121</v>
      </c>
      <c r="D291">
        <v>74</v>
      </c>
      <c r="E291">
        <v>98</v>
      </c>
      <c r="F291" t="s">
        <v>122</v>
      </c>
      <c r="G291" t="s">
        <v>544</v>
      </c>
      <c r="H291">
        <v>31.0807</v>
      </c>
      <c r="I291">
        <v>11</v>
      </c>
      <c r="J291">
        <v>1</v>
      </c>
      <c r="K291">
        <v>5</v>
      </c>
      <c r="L291">
        <v>1</v>
      </c>
      <c r="M291" t="s">
        <v>546</v>
      </c>
    </row>
    <row r="292" spans="1:13" hidden="1" x14ac:dyDescent="0.25">
      <c r="A292" t="s">
        <v>231</v>
      </c>
    </row>
    <row r="293" spans="1:13" hidden="1" x14ac:dyDescent="0.25">
      <c r="A293" t="s">
        <v>231</v>
      </c>
      <c r="B293" t="s">
        <v>887</v>
      </c>
      <c r="C293" t="s">
        <v>168</v>
      </c>
      <c r="D293">
        <v>79</v>
      </c>
      <c r="E293">
        <v>43</v>
      </c>
      <c r="F293" t="s">
        <v>126</v>
      </c>
      <c r="G293" t="s">
        <v>547</v>
      </c>
      <c r="H293">
        <v>2.7274900000000004</v>
      </c>
      <c r="I293">
        <v>2</v>
      </c>
      <c r="J293">
        <v>5</v>
      </c>
      <c r="K293">
        <v>4</v>
      </c>
      <c r="L293">
        <v>1</v>
      </c>
    </row>
    <row r="294" spans="1:13" hidden="1" x14ac:dyDescent="0.25">
      <c r="A294" t="s">
        <v>231</v>
      </c>
      <c r="B294" t="s">
        <v>888</v>
      </c>
      <c r="C294" t="s">
        <v>168</v>
      </c>
      <c r="D294">
        <v>79</v>
      </c>
      <c r="E294">
        <v>43</v>
      </c>
      <c r="F294" t="s">
        <v>126</v>
      </c>
      <c r="G294" t="s">
        <v>548</v>
      </c>
      <c r="H294">
        <v>3.1</v>
      </c>
      <c r="I294">
        <v>7</v>
      </c>
      <c r="J294">
        <v>5</v>
      </c>
      <c r="K294">
        <v>4</v>
      </c>
      <c r="L294">
        <v>2</v>
      </c>
      <c r="M294" t="s">
        <v>549</v>
      </c>
    </row>
    <row r="295" spans="1:13" hidden="1" x14ac:dyDescent="0.25">
      <c r="A295" t="s">
        <v>231</v>
      </c>
      <c r="B295" t="s">
        <v>889</v>
      </c>
      <c r="C295" t="s">
        <v>168</v>
      </c>
      <c r="D295">
        <v>84</v>
      </c>
      <c r="E295">
        <v>43</v>
      </c>
      <c r="F295" t="s">
        <v>126</v>
      </c>
      <c r="G295" t="s">
        <v>550</v>
      </c>
      <c r="H295">
        <v>3.4093625000000003</v>
      </c>
      <c r="I295">
        <v>2.5</v>
      </c>
      <c r="J295">
        <v>4</v>
      </c>
      <c r="K295">
        <v>4</v>
      </c>
      <c r="L295">
        <v>1</v>
      </c>
      <c r="M295" t="s">
        <v>551</v>
      </c>
    </row>
    <row r="296" spans="1:13" hidden="1" x14ac:dyDescent="0.25">
      <c r="A296" t="s">
        <v>231</v>
      </c>
      <c r="B296" t="s">
        <v>890</v>
      </c>
      <c r="C296" t="s">
        <v>168</v>
      </c>
      <c r="D296">
        <v>81</v>
      </c>
      <c r="E296">
        <v>57</v>
      </c>
      <c r="F296" t="s">
        <v>126</v>
      </c>
      <c r="G296" t="s">
        <v>552</v>
      </c>
      <c r="H296">
        <v>3.6155099999999996</v>
      </c>
      <c r="I296">
        <v>3</v>
      </c>
      <c r="J296">
        <v>5</v>
      </c>
      <c r="K296">
        <v>5</v>
      </c>
      <c r="L296">
        <v>1</v>
      </c>
      <c r="M296" t="s">
        <v>553</v>
      </c>
    </row>
    <row r="297" spans="1:13" hidden="1" x14ac:dyDescent="0.25">
      <c r="A297" t="s">
        <v>231</v>
      </c>
      <c r="B297" t="s">
        <v>891</v>
      </c>
      <c r="C297" t="s">
        <v>168</v>
      </c>
      <c r="D297">
        <v>79</v>
      </c>
      <c r="E297">
        <v>43</v>
      </c>
      <c r="F297" t="s">
        <v>126</v>
      </c>
      <c r="G297" t="s">
        <v>554</v>
      </c>
      <c r="H297">
        <v>4.3</v>
      </c>
      <c r="I297">
        <v>2.5</v>
      </c>
      <c r="J297">
        <v>3</v>
      </c>
      <c r="K297">
        <v>4</v>
      </c>
      <c r="L297">
        <v>2</v>
      </c>
      <c r="M297" t="s">
        <v>510</v>
      </c>
    </row>
    <row r="298" spans="1:13" hidden="1" x14ac:dyDescent="0.25">
      <c r="A298" t="s">
        <v>231</v>
      </c>
      <c r="B298" t="s">
        <v>892</v>
      </c>
      <c r="C298" t="s">
        <v>168</v>
      </c>
      <c r="D298">
        <v>42</v>
      </c>
      <c r="E298">
        <v>47</v>
      </c>
      <c r="F298" t="s">
        <v>126</v>
      </c>
      <c r="G298" t="s">
        <v>555</v>
      </c>
      <c r="H298">
        <v>1.2421708333333332</v>
      </c>
      <c r="I298">
        <v>4.5</v>
      </c>
      <c r="J298">
        <v>12</v>
      </c>
      <c r="K298">
        <v>5</v>
      </c>
      <c r="L298">
        <v>1</v>
      </c>
      <c r="M298" t="s">
        <v>556</v>
      </c>
    </row>
    <row r="299" spans="1:13" hidden="1" x14ac:dyDescent="0.25">
      <c r="A299" t="s">
        <v>231</v>
      </c>
      <c r="B299" t="s">
        <v>893</v>
      </c>
      <c r="C299" t="s">
        <v>168</v>
      </c>
      <c r="D299">
        <v>79</v>
      </c>
      <c r="E299">
        <v>43</v>
      </c>
      <c r="F299" t="s">
        <v>126</v>
      </c>
      <c r="G299" t="s">
        <v>557</v>
      </c>
      <c r="H299">
        <v>4.5458166666666671</v>
      </c>
      <c r="I299">
        <v>2.5</v>
      </c>
      <c r="J299">
        <v>3</v>
      </c>
      <c r="K299">
        <v>4</v>
      </c>
      <c r="L299">
        <v>1</v>
      </c>
      <c r="M299" t="s">
        <v>558</v>
      </c>
    </row>
    <row r="300" spans="1:13" hidden="1" x14ac:dyDescent="0.25">
      <c r="A300" t="s">
        <v>231</v>
      </c>
      <c r="B300" t="s">
        <v>894</v>
      </c>
      <c r="C300" t="s">
        <v>168</v>
      </c>
      <c r="D300">
        <v>19</v>
      </c>
      <c r="E300">
        <v>60</v>
      </c>
      <c r="F300" t="s">
        <v>126</v>
      </c>
      <c r="G300" t="s">
        <v>559</v>
      </c>
      <c r="H300">
        <v>4.75725</v>
      </c>
      <c r="I300">
        <v>3.5</v>
      </c>
      <c r="J300">
        <v>4</v>
      </c>
      <c r="K300">
        <v>4</v>
      </c>
      <c r="L300">
        <v>1</v>
      </c>
      <c r="M300" t="s">
        <v>551</v>
      </c>
    </row>
    <row r="301" spans="1:13" hidden="1" x14ac:dyDescent="0.25">
      <c r="A301" t="s">
        <v>231</v>
      </c>
      <c r="B301" t="s">
        <v>895</v>
      </c>
      <c r="C301" t="s">
        <v>168</v>
      </c>
      <c r="D301">
        <v>21</v>
      </c>
      <c r="E301">
        <v>43</v>
      </c>
      <c r="F301" t="s">
        <v>126</v>
      </c>
      <c r="G301" t="s">
        <v>560</v>
      </c>
      <c r="H301">
        <v>2.7274900000000004</v>
      </c>
      <c r="I301">
        <v>10</v>
      </c>
      <c r="J301">
        <v>5</v>
      </c>
      <c r="K301">
        <v>4</v>
      </c>
      <c r="L301">
        <v>2</v>
      </c>
      <c r="M301" t="s">
        <v>468</v>
      </c>
    </row>
    <row r="302" spans="1:13" hidden="1" x14ac:dyDescent="0.25">
      <c r="A302" t="s">
        <v>231</v>
      </c>
      <c r="B302" t="s">
        <v>896</v>
      </c>
      <c r="C302" t="s">
        <v>168</v>
      </c>
      <c r="D302">
        <v>32</v>
      </c>
      <c r="E302">
        <v>47</v>
      </c>
      <c r="F302" t="s">
        <v>126</v>
      </c>
      <c r="G302" t="s">
        <v>561</v>
      </c>
      <c r="H302">
        <v>4.9686833333333329</v>
      </c>
      <c r="I302">
        <v>6</v>
      </c>
      <c r="J302">
        <v>3</v>
      </c>
      <c r="K302">
        <v>5</v>
      </c>
      <c r="L302">
        <v>1</v>
      </c>
      <c r="M302" t="s">
        <v>562</v>
      </c>
    </row>
    <row r="303" spans="1:13" hidden="1" x14ac:dyDescent="0.25">
      <c r="A303" t="s">
        <v>231</v>
      </c>
      <c r="B303" t="s">
        <v>897</v>
      </c>
      <c r="C303" t="s">
        <v>168</v>
      </c>
      <c r="D303">
        <v>22</v>
      </c>
      <c r="E303">
        <v>60</v>
      </c>
      <c r="F303" t="s">
        <v>126</v>
      </c>
      <c r="G303" t="s">
        <v>563</v>
      </c>
      <c r="H303">
        <v>5.8</v>
      </c>
      <c r="I303">
        <v>4</v>
      </c>
      <c r="J303">
        <v>3</v>
      </c>
      <c r="K303">
        <v>4</v>
      </c>
      <c r="L303">
        <v>1</v>
      </c>
      <c r="M303" t="s">
        <v>499</v>
      </c>
    </row>
    <row r="304" spans="1:13" hidden="1" x14ac:dyDescent="0.25">
      <c r="A304" t="s">
        <v>231</v>
      </c>
      <c r="B304" t="s">
        <v>898</v>
      </c>
      <c r="C304" t="s">
        <v>168</v>
      </c>
      <c r="D304">
        <v>83</v>
      </c>
      <c r="E304">
        <v>57</v>
      </c>
      <c r="F304" t="s">
        <v>126</v>
      </c>
      <c r="G304" t="s">
        <v>564</v>
      </c>
      <c r="H304">
        <v>6.0258500000000002</v>
      </c>
      <c r="I304">
        <v>3.5</v>
      </c>
      <c r="J304">
        <v>3</v>
      </c>
      <c r="K304">
        <v>5</v>
      </c>
      <c r="L304">
        <v>1</v>
      </c>
      <c r="M304" t="s">
        <v>565</v>
      </c>
    </row>
    <row r="305" spans="1:13" hidden="1" x14ac:dyDescent="0.25">
      <c r="A305" t="s">
        <v>231</v>
      </c>
      <c r="B305" t="s">
        <v>899</v>
      </c>
      <c r="C305" t="s">
        <v>168</v>
      </c>
      <c r="D305">
        <v>49</v>
      </c>
      <c r="E305">
        <v>60</v>
      </c>
      <c r="F305" t="s">
        <v>126</v>
      </c>
      <c r="G305" t="s">
        <v>246</v>
      </c>
      <c r="H305">
        <v>6.343</v>
      </c>
      <c r="I305">
        <v>4.5</v>
      </c>
      <c r="J305">
        <v>3</v>
      </c>
      <c r="K305">
        <v>4</v>
      </c>
      <c r="L305">
        <v>1</v>
      </c>
      <c r="M305" t="s">
        <v>566</v>
      </c>
    </row>
    <row r="306" spans="1:13" hidden="1" x14ac:dyDescent="0.25">
      <c r="A306" t="s">
        <v>231</v>
      </c>
      <c r="B306" t="s">
        <v>900</v>
      </c>
      <c r="C306" t="s">
        <v>168</v>
      </c>
      <c r="D306">
        <v>27</v>
      </c>
      <c r="E306">
        <v>60</v>
      </c>
      <c r="F306" t="s">
        <v>126</v>
      </c>
      <c r="G306" t="s">
        <v>567</v>
      </c>
      <c r="H306">
        <v>6.3</v>
      </c>
      <c r="I306">
        <v>5</v>
      </c>
      <c r="J306">
        <v>3</v>
      </c>
      <c r="K306">
        <v>4</v>
      </c>
      <c r="L306">
        <v>1</v>
      </c>
      <c r="M306" t="s">
        <v>458</v>
      </c>
    </row>
    <row r="307" spans="1:13" hidden="1" x14ac:dyDescent="0.25">
      <c r="A307" t="s">
        <v>231</v>
      </c>
      <c r="C307" t="s">
        <v>168</v>
      </c>
      <c r="D307">
        <v>109</v>
      </c>
      <c r="E307">
        <v>60</v>
      </c>
      <c r="F307" t="s">
        <v>126</v>
      </c>
      <c r="G307" t="s">
        <v>568</v>
      </c>
      <c r="H307">
        <v>6.343</v>
      </c>
      <c r="I307">
        <v>16</v>
      </c>
      <c r="J307">
        <v>3</v>
      </c>
      <c r="K307">
        <v>4</v>
      </c>
      <c r="L307">
        <v>3</v>
      </c>
      <c r="M307" t="s">
        <v>569</v>
      </c>
    </row>
    <row r="308" spans="1:13" hidden="1" x14ac:dyDescent="0.25">
      <c r="A308" t="s">
        <v>231</v>
      </c>
      <c r="B308" t="s">
        <v>901</v>
      </c>
      <c r="C308" t="s">
        <v>168</v>
      </c>
      <c r="D308">
        <v>37</v>
      </c>
      <c r="E308">
        <v>63</v>
      </c>
      <c r="F308" t="s">
        <v>126</v>
      </c>
      <c r="G308" t="s">
        <v>570</v>
      </c>
      <c r="H308">
        <v>4.9951124999999994</v>
      </c>
      <c r="I308">
        <v>6.5</v>
      </c>
      <c r="J308">
        <v>4</v>
      </c>
      <c r="K308">
        <v>5</v>
      </c>
      <c r="L308">
        <v>1</v>
      </c>
    </row>
    <row r="309" spans="1:13" hidden="1" x14ac:dyDescent="0.25">
      <c r="A309" t="s">
        <v>231</v>
      </c>
      <c r="B309" t="s">
        <v>902</v>
      </c>
      <c r="C309" t="s">
        <v>168</v>
      </c>
      <c r="D309">
        <v>10</v>
      </c>
      <c r="E309">
        <v>43</v>
      </c>
      <c r="F309" t="s">
        <v>126</v>
      </c>
      <c r="G309" t="s">
        <v>571</v>
      </c>
      <c r="H309">
        <v>4.5458166666666671</v>
      </c>
      <c r="I309">
        <v>7</v>
      </c>
      <c r="J309">
        <v>3</v>
      </c>
      <c r="K309">
        <v>4</v>
      </c>
      <c r="L309">
        <v>1</v>
      </c>
      <c r="M309" t="s">
        <v>455</v>
      </c>
    </row>
    <row r="310" spans="1:13" hidden="1" x14ac:dyDescent="0.25">
      <c r="A310" t="s">
        <v>231</v>
      </c>
      <c r="B310" t="s">
        <v>903</v>
      </c>
      <c r="C310" t="s">
        <v>471</v>
      </c>
      <c r="D310">
        <v>17</v>
      </c>
      <c r="E310">
        <v>43</v>
      </c>
      <c r="F310" t="s">
        <v>126</v>
      </c>
      <c r="G310" t="s">
        <v>572</v>
      </c>
      <c r="H310">
        <v>6.8187250000000006</v>
      </c>
      <c r="I310">
        <v>5.5</v>
      </c>
      <c r="J310">
        <v>2</v>
      </c>
      <c r="K310">
        <v>4</v>
      </c>
      <c r="L310">
        <v>1</v>
      </c>
      <c r="M310" t="s">
        <v>573</v>
      </c>
    </row>
    <row r="311" spans="1:13" hidden="1" x14ac:dyDescent="0.25">
      <c r="A311" t="s">
        <v>231</v>
      </c>
      <c r="B311" t="s">
        <v>904</v>
      </c>
      <c r="C311" t="s">
        <v>168</v>
      </c>
      <c r="D311">
        <v>46</v>
      </c>
      <c r="E311">
        <v>43</v>
      </c>
      <c r="F311" t="s">
        <v>126</v>
      </c>
      <c r="G311" t="s">
        <v>574</v>
      </c>
      <c r="H311">
        <v>6.8187250000000006</v>
      </c>
      <c r="I311">
        <v>8</v>
      </c>
      <c r="J311">
        <v>2</v>
      </c>
      <c r="K311">
        <v>4</v>
      </c>
      <c r="L311">
        <v>1</v>
      </c>
      <c r="M311" t="s">
        <v>575</v>
      </c>
    </row>
    <row r="312" spans="1:13" hidden="1" x14ac:dyDescent="0.25">
      <c r="A312" t="s">
        <v>231</v>
      </c>
      <c r="B312" t="s">
        <v>905</v>
      </c>
      <c r="C312" t="s">
        <v>168</v>
      </c>
      <c r="D312">
        <v>38</v>
      </c>
      <c r="E312">
        <v>57</v>
      </c>
      <c r="F312" t="s">
        <v>126</v>
      </c>
      <c r="G312" t="s">
        <v>576</v>
      </c>
      <c r="H312">
        <v>9.1999999999999993</v>
      </c>
      <c r="I312">
        <v>6.5</v>
      </c>
      <c r="J312">
        <v>2</v>
      </c>
      <c r="K312">
        <v>5</v>
      </c>
      <c r="L312">
        <v>1</v>
      </c>
      <c r="M312" t="s">
        <v>577</v>
      </c>
    </row>
    <row r="313" spans="1:13" hidden="1" x14ac:dyDescent="0.25">
      <c r="A313" t="s">
        <v>231</v>
      </c>
      <c r="B313" t="s">
        <v>906</v>
      </c>
      <c r="C313" t="s">
        <v>168</v>
      </c>
      <c r="D313">
        <v>38</v>
      </c>
      <c r="E313">
        <v>57</v>
      </c>
      <c r="F313" t="s">
        <v>126</v>
      </c>
      <c r="G313" t="s">
        <v>576</v>
      </c>
      <c r="H313">
        <v>9.1999999999999993</v>
      </c>
      <c r="I313">
        <v>6.5</v>
      </c>
      <c r="J313">
        <v>2</v>
      </c>
      <c r="K313">
        <v>5</v>
      </c>
      <c r="L313">
        <v>1</v>
      </c>
      <c r="M313" t="s">
        <v>428</v>
      </c>
    </row>
    <row r="314" spans="1:13" hidden="1" x14ac:dyDescent="0.25">
      <c r="A314" t="s">
        <v>231</v>
      </c>
      <c r="C314" t="s">
        <v>164</v>
      </c>
      <c r="D314">
        <v>39</v>
      </c>
      <c r="E314">
        <v>56</v>
      </c>
      <c r="F314" t="s">
        <v>126</v>
      </c>
      <c r="G314" t="s">
        <v>578</v>
      </c>
      <c r="H314">
        <v>1.6</v>
      </c>
      <c r="I314">
        <v>9.5</v>
      </c>
      <c r="J314">
        <v>12</v>
      </c>
      <c r="K314" t="s">
        <v>158</v>
      </c>
      <c r="L314">
        <v>1</v>
      </c>
      <c r="M314" t="s">
        <v>579</v>
      </c>
    </row>
    <row r="315" spans="1:13" hidden="1" x14ac:dyDescent="0.25">
      <c r="A315" t="s">
        <v>231</v>
      </c>
      <c r="C315" t="s">
        <v>378</v>
      </c>
      <c r="D315">
        <v>45</v>
      </c>
      <c r="E315">
        <v>47</v>
      </c>
      <c r="F315" t="s">
        <v>126</v>
      </c>
      <c r="G315" t="s">
        <v>580</v>
      </c>
      <c r="H315">
        <v>7.4530249999999993</v>
      </c>
      <c r="I315">
        <v>9.5</v>
      </c>
      <c r="J315">
        <v>2</v>
      </c>
      <c r="K315">
        <v>5</v>
      </c>
      <c r="L315">
        <v>1</v>
      </c>
      <c r="M315" t="s">
        <v>581</v>
      </c>
    </row>
    <row r="316" spans="1:13" hidden="1" x14ac:dyDescent="0.25">
      <c r="A316" t="s">
        <v>231</v>
      </c>
      <c r="C316" t="s">
        <v>168</v>
      </c>
      <c r="D316">
        <v>47</v>
      </c>
      <c r="E316">
        <v>60</v>
      </c>
      <c r="F316" t="s">
        <v>126</v>
      </c>
      <c r="G316" t="s">
        <v>582</v>
      </c>
      <c r="H316">
        <v>9.5145</v>
      </c>
      <c r="I316">
        <v>8</v>
      </c>
      <c r="J316">
        <v>2</v>
      </c>
      <c r="K316">
        <v>4</v>
      </c>
      <c r="L316">
        <v>2</v>
      </c>
      <c r="M316" t="s">
        <v>583</v>
      </c>
    </row>
    <row r="317" spans="1:13" hidden="1" x14ac:dyDescent="0.25">
      <c r="A317" t="s">
        <v>231</v>
      </c>
      <c r="C317" t="s">
        <v>168</v>
      </c>
      <c r="D317">
        <v>48</v>
      </c>
      <c r="E317">
        <v>60</v>
      </c>
      <c r="F317" t="s">
        <v>126</v>
      </c>
      <c r="G317" t="s">
        <v>584</v>
      </c>
      <c r="H317">
        <v>9.5145</v>
      </c>
      <c r="I317">
        <v>10</v>
      </c>
      <c r="J317">
        <v>2</v>
      </c>
      <c r="K317">
        <v>4</v>
      </c>
      <c r="L317">
        <v>1</v>
      </c>
      <c r="M317" t="s">
        <v>585</v>
      </c>
    </row>
    <row r="318" spans="1:13" hidden="1" x14ac:dyDescent="0.25">
      <c r="A318" t="s">
        <v>231</v>
      </c>
      <c r="B318" t="s">
        <v>907</v>
      </c>
      <c r="C318" t="s">
        <v>168</v>
      </c>
      <c r="D318">
        <v>83</v>
      </c>
      <c r="E318">
        <v>57</v>
      </c>
      <c r="F318" t="s">
        <v>126</v>
      </c>
      <c r="G318" t="s">
        <v>586</v>
      </c>
      <c r="H318">
        <v>6.0258500000000002</v>
      </c>
      <c r="I318">
        <v>10</v>
      </c>
      <c r="J318">
        <v>3</v>
      </c>
      <c r="K318">
        <v>5</v>
      </c>
      <c r="L318">
        <v>1</v>
      </c>
      <c r="M318" t="s">
        <v>587</v>
      </c>
    </row>
    <row r="319" spans="1:13" hidden="1" x14ac:dyDescent="0.25">
      <c r="A319" t="s">
        <v>231</v>
      </c>
      <c r="C319" t="s">
        <v>378</v>
      </c>
      <c r="D319">
        <v>70</v>
      </c>
      <c r="E319">
        <v>51</v>
      </c>
      <c r="F319" t="s">
        <v>126</v>
      </c>
      <c r="G319" t="s">
        <v>588</v>
      </c>
      <c r="H319">
        <v>8.0873249999999999</v>
      </c>
      <c r="I319">
        <v>10</v>
      </c>
      <c r="J319">
        <v>2</v>
      </c>
      <c r="K319">
        <v>5</v>
      </c>
      <c r="L319">
        <v>1</v>
      </c>
      <c r="M319" t="s">
        <v>589</v>
      </c>
    </row>
    <row r="320" spans="1:13" hidden="1" x14ac:dyDescent="0.25">
      <c r="A320" t="s">
        <v>231</v>
      </c>
      <c r="C320" t="s">
        <v>121</v>
      </c>
      <c r="D320">
        <v>80</v>
      </c>
      <c r="E320">
        <v>51</v>
      </c>
      <c r="F320" t="s">
        <v>126</v>
      </c>
      <c r="G320" t="s">
        <v>588</v>
      </c>
      <c r="H320">
        <v>8.0873249999999999</v>
      </c>
      <c r="I320">
        <v>10</v>
      </c>
      <c r="J320">
        <v>2</v>
      </c>
      <c r="K320">
        <v>5</v>
      </c>
      <c r="L320">
        <v>1</v>
      </c>
      <c r="M320" t="s">
        <v>589</v>
      </c>
    </row>
    <row r="321" spans="1:13" hidden="1" x14ac:dyDescent="0.25">
      <c r="A321" t="s">
        <v>231</v>
      </c>
      <c r="C321" t="s">
        <v>471</v>
      </c>
      <c r="D321">
        <v>63</v>
      </c>
      <c r="E321">
        <v>63</v>
      </c>
      <c r="F321" t="s">
        <v>126</v>
      </c>
      <c r="G321" t="s">
        <v>590</v>
      </c>
      <c r="H321">
        <v>9.9902249999999988</v>
      </c>
      <c r="I321">
        <v>8</v>
      </c>
      <c r="J321">
        <v>2</v>
      </c>
      <c r="K321">
        <v>5</v>
      </c>
      <c r="L321">
        <v>2</v>
      </c>
      <c r="M321" t="s">
        <v>523</v>
      </c>
    </row>
    <row r="322" spans="1:13" hidden="1" x14ac:dyDescent="0.25">
      <c r="A322" t="s">
        <v>231</v>
      </c>
      <c r="C322" t="s">
        <v>168</v>
      </c>
      <c r="D322">
        <v>82</v>
      </c>
      <c r="E322">
        <v>63</v>
      </c>
      <c r="F322" t="s">
        <v>126</v>
      </c>
      <c r="G322" t="s">
        <v>591</v>
      </c>
      <c r="H322">
        <v>6.6601499999999998</v>
      </c>
      <c r="I322">
        <v>10.5</v>
      </c>
      <c r="J322">
        <v>3</v>
      </c>
      <c r="K322">
        <v>5</v>
      </c>
      <c r="L322">
        <v>1</v>
      </c>
      <c r="M322" t="s">
        <v>340</v>
      </c>
    </row>
    <row r="323" spans="1:13" hidden="1" x14ac:dyDescent="0.25">
      <c r="A323" t="s">
        <v>231</v>
      </c>
      <c r="C323" t="s">
        <v>471</v>
      </c>
      <c r="D323">
        <v>85</v>
      </c>
      <c r="E323">
        <v>43</v>
      </c>
      <c r="F323" t="s">
        <v>126</v>
      </c>
      <c r="G323" t="s">
        <v>592</v>
      </c>
      <c r="H323">
        <v>6.8187250000000006</v>
      </c>
      <c r="I323">
        <v>11</v>
      </c>
      <c r="J323">
        <v>2</v>
      </c>
      <c r="K323">
        <v>4</v>
      </c>
      <c r="L323">
        <v>1</v>
      </c>
      <c r="M323" t="s">
        <v>499</v>
      </c>
    </row>
    <row r="324" spans="1:13" hidden="1" x14ac:dyDescent="0.25">
      <c r="A324" t="s">
        <v>231</v>
      </c>
      <c r="B324" t="s">
        <v>908</v>
      </c>
      <c r="C324" t="s">
        <v>168</v>
      </c>
      <c r="D324">
        <v>20</v>
      </c>
      <c r="E324">
        <v>51</v>
      </c>
      <c r="F324" t="s">
        <v>126</v>
      </c>
      <c r="G324" t="s">
        <v>515</v>
      </c>
      <c r="H324">
        <v>5.3915500000000005</v>
      </c>
      <c r="I324">
        <v>11</v>
      </c>
      <c r="J324">
        <v>3</v>
      </c>
      <c r="K324">
        <v>5</v>
      </c>
      <c r="L324">
        <v>1</v>
      </c>
      <c r="M324" t="s">
        <v>566</v>
      </c>
    </row>
    <row r="325" spans="1:13" hidden="1" x14ac:dyDescent="0.25">
      <c r="A325" t="s">
        <v>231</v>
      </c>
      <c r="B325" t="s">
        <v>909</v>
      </c>
      <c r="C325" t="s">
        <v>168</v>
      </c>
      <c r="D325">
        <v>81</v>
      </c>
      <c r="E325">
        <v>57</v>
      </c>
      <c r="F325" t="s">
        <v>126</v>
      </c>
      <c r="G325" t="s">
        <v>593</v>
      </c>
      <c r="H325">
        <v>6.0258500000000002</v>
      </c>
      <c r="I325">
        <v>11</v>
      </c>
      <c r="J325">
        <v>3</v>
      </c>
      <c r="K325">
        <v>5</v>
      </c>
      <c r="L325">
        <v>1</v>
      </c>
      <c r="M325" t="s">
        <v>594</v>
      </c>
    </row>
    <row r="326" spans="1:13" hidden="1" x14ac:dyDescent="0.25">
      <c r="A326" t="s">
        <v>231</v>
      </c>
      <c r="C326" t="s">
        <v>168</v>
      </c>
      <c r="D326">
        <v>86</v>
      </c>
      <c r="E326">
        <v>57</v>
      </c>
      <c r="F326" t="s">
        <v>126</v>
      </c>
      <c r="G326" t="s">
        <v>593</v>
      </c>
      <c r="H326">
        <v>6</v>
      </c>
      <c r="I326">
        <v>11</v>
      </c>
      <c r="J326">
        <v>2</v>
      </c>
      <c r="K326">
        <v>5</v>
      </c>
      <c r="L326">
        <v>1</v>
      </c>
      <c r="M326" t="s">
        <v>594</v>
      </c>
    </row>
    <row r="327" spans="1:13" hidden="1" x14ac:dyDescent="0.25">
      <c r="A327" t="s">
        <v>231</v>
      </c>
      <c r="B327" t="s">
        <v>910</v>
      </c>
      <c r="C327" t="s">
        <v>168</v>
      </c>
      <c r="D327">
        <v>34</v>
      </c>
      <c r="E327">
        <v>47</v>
      </c>
      <c r="F327" t="s">
        <v>126</v>
      </c>
      <c r="G327" t="s">
        <v>595</v>
      </c>
      <c r="H327">
        <v>8.1</v>
      </c>
      <c r="I327">
        <v>11</v>
      </c>
      <c r="J327">
        <v>2</v>
      </c>
      <c r="K327">
        <v>5</v>
      </c>
      <c r="L327">
        <v>1</v>
      </c>
      <c r="M327" t="s">
        <v>575</v>
      </c>
    </row>
    <row r="328" spans="1:13" hidden="1" x14ac:dyDescent="0.25">
      <c r="A328" t="s">
        <v>231</v>
      </c>
      <c r="B328" t="s">
        <v>911</v>
      </c>
      <c r="C328" t="s">
        <v>471</v>
      </c>
      <c r="D328">
        <v>52</v>
      </c>
      <c r="E328">
        <v>68</v>
      </c>
      <c r="F328" t="s">
        <v>126</v>
      </c>
      <c r="G328" t="s">
        <v>596</v>
      </c>
      <c r="H328">
        <v>10.783100000000001</v>
      </c>
      <c r="I328">
        <v>7</v>
      </c>
      <c r="J328">
        <v>2</v>
      </c>
      <c r="K328">
        <v>5</v>
      </c>
      <c r="L328">
        <v>1</v>
      </c>
      <c r="M328" t="s">
        <v>428</v>
      </c>
    </row>
    <row r="329" spans="1:13" hidden="1" x14ac:dyDescent="0.25">
      <c r="A329" t="s">
        <v>231</v>
      </c>
      <c r="B329" t="s">
        <v>912</v>
      </c>
      <c r="C329" t="s">
        <v>471</v>
      </c>
      <c r="D329">
        <v>52</v>
      </c>
      <c r="E329">
        <v>68</v>
      </c>
      <c r="F329" t="s">
        <v>126</v>
      </c>
      <c r="G329" t="s">
        <v>597</v>
      </c>
      <c r="H329">
        <v>10.783100000000001</v>
      </c>
      <c r="I329">
        <v>7.5</v>
      </c>
      <c r="J329">
        <v>2</v>
      </c>
      <c r="K329">
        <v>5</v>
      </c>
      <c r="L329">
        <v>1</v>
      </c>
      <c r="M329" t="s">
        <v>598</v>
      </c>
    </row>
    <row r="330" spans="1:13" hidden="1" x14ac:dyDescent="0.25">
      <c r="A330" t="s">
        <v>231</v>
      </c>
      <c r="B330" t="s">
        <v>913</v>
      </c>
      <c r="C330" t="s">
        <v>168</v>
      </c>
      <c r="D330">
        <v>23</v>
      </c>
      <c r="E330">
        <v>47</v>
      </c>
      <c r="F330" t="s">
        <v>126</v>
      </c>
      <c r="G330" t="s">
        <v>517</v>
      </c>
      <c r="H330">
        <v>7.5</v>
      </c>
      <c r="I330">
        <v>11</v>
      </c>
      <c r="J330">
        <v>2</v>
      </c>
      <c r="K330">
        <v>5</v>
      </c>
      <c r="L330">
        <v>1</v>
      </c>
      <c r="M330" t="s">
        <v>599</v>
      </c>
    </row>
    <row r="331" spans="1:13" hidden="1" x14ac:dyDescent="0.25">
      <c r="A331" t="s">
        <v>231</v>
      </c>
      <c r="C331" t="s">
        <v>164</v>
      </c>
      <c r="D331">
        <v>62</v>
      </c>
      <c r="E331">
        <v>57</v>
      </c>
      <c r="F331" t="s">
        <v>126</v>
      </c>
      <c r="G331" t="s">
        <v>600</v>
      </c>
      <c r="H331">
        <v>9.1</v>
      </c>
      <c r="I331">
        <v>11</v>
      </c>
      <c r="J331">
        <v>2</v>
      </c>
      <c r="K331">
        <v>5</v>
      </c>
      <c r="L331">
        <v>1</v>
      </c>
      <c r="M331" t="s">
        <v>601</v>
      </c>
    </row>
    <row r="332" spans="1:13" hidden="1" x14ac:dyDescent="0.25">
      <c r="A332" t="s">
        <v>231</v>
      </c>
      <c r="C332" t="s">
        <v>378</v>
      </c>
      <c r="D332">
        <v>88</v>
      </c>
      <c r="E332">
        <v>60</v>
      </c>
      <c r="F332" t="s">
        <v>126</v>
      </c>
      <c r="G332" t="s">
        <v>602</v>
      </c>
      <c r="H332">
        <v>9.5145</v>
      </c>
      <c r="I332">
        <v>11</v>
      </c>
      <c r="J332">
        <v>2</v>
      </c>
      <c r="K332">
        <v>4</v>
      </c>
      <c r="L332">
        <v>1</v>
      </c>
      <c r="M332" t="s">
        <v>603</v>
      </c>
    </row>
    <row r="333" spans="1:13" hidden="1" x14ac:dyDescent="0.25">
      <c r="A333" t="s">
        <v>231</v>
      </c>
      <c r="C333" t="s">
        <v>121</v>
      </c>
      <c r="D333">
        <v>87</v>
      </c>
      <c r="E333">
        <v>51</v>
      </c>
      <c r="F333" t="s">
        <v>126</v>
      </c>
      <c r="G333" t="s">
        <v>604</v>
      </c>
      <c r="H333">
        <v>4.5</v>
      </c>
      <c r="I333">
        <v>11</v>
      </c>
      <c r="J333">
        <v>5</v>
      </c>
      <c r="K333">
        <v>5</v>
      </c>
      <c r="L333">
        <v>1</v>
      </c>
      <c r="M333" t="s">
        <v>605</v>
      </c>
    </row>
    <row r="334" spans="1:13" hidden="1" x14ac:dyDescent="0.25">
      <c r="A334" t="s">
        <v>231</v>
      </c>
      <c r="B334" t="s">
        <v>914</v>
      </c>
      <c r="C334" t="s">
        <v>168</v>
      </c>
      <c r="D334">
        <v>26</v>
      </c>
      <c r="E334">
        <v>57</v>
      </c>
      <c r="F334" t="s">
        <v>126</v>
      </c>
      <c r="G334" t="s">
        <v>606</v>
      </c>
      <c r="H334">
        <v>6.0258500000000002</v>
      </c>
      <c r="I334">
        <v>11</v>
      </c>
      <c r="J334">
        <v>3</v>
      </c>
      <c r="K334">
        <v>5</v>
      </c>
      <c r="L334">
        <v>1</v>
      </c>
      <c r="M334" t="s">
        <v>594</v>
      </c>
    </row>
    <row r="335" spans="1:13" hidden="1" x14ac:dyDescent="0.25">
      <c r="A335" t="s">
        <v>231</v>
      </c>
      <c r="C335" t="s">
        <v>168</v>
      </c>
      <c r="D335">
        <v>89</v>
      </c>
      <c r="E335">
        <v>43</v>
      </c>
      <c r="F335" t="s">
        <v>126</v>
      </c>
      <c r="G335" t="s">
        <v>607</v>
      </c>
      <c r="H335">
        <v>13.637450000000001</v>
      </c>
      <c r="I335">
        <v>6.8</v>
      </c>
      <c r="J335">
        <v>1</v>
      </c>
      <c r="K335">
        <v>4</v>
      </c>
      <c r="L335">
        <v>2</v>
      </c>
      <c r="M335" t="s">
        <v>608</v>
      </c>
    </row>
    <row r="336" spans="1:13" hidden="1" x14ac:dyDescent="0.25">
      <c r="A336" t="s">
        <v>231</v>
      </c>
      <c r="C336" t="s">
        <v>168</v>
      </c>
      <c r="D336">
        <v>110</v>
      </c>
      <c r="E336">
        <v>51</v>
      </c>
      <c r="F336" t="s">
        <v>126</v>
      </c>
      <c r="G336" t="s">
        <v>609</v>
      </c>
      <c r="H336">
        <v>8.0873249999999999</v>
      </c>
      <c r="I336">
        <v>12.5</v>
      </c>
      <c r="J336">
        <v>2</v>
      </c>
      <c r="L336">
        <v>1</v>
      </c>
      <c r="M336" t="s">
        <v>610</v>
      </c>
    </row>
    <row r="337" spans="1:13" hidden="1" x14ac:dyDescent="0.25">
      <c r="A337" t="s">
        <v>231</v>
      </c>
      <c r="C337" t="s">
        <v>168</v>
      </c>
      <c r="D337">
        <v>90</v>
      </c>
      <c r="E337">
        <v>78</v>
      </c>
      <c r="F337" t="s">
        <v>126</v>
      </c>
      <c r="G337" t="s">
        <v>611</v>
      </c>
      <c r="H337">
        <v>12.36885</v>
      </c>
      <c r="I337">
        <v>6</v>
      </c>
      <c r="J337">
        <v>2</v>
      </c>
      <c r="K337">
        <v>5</v>
      </c>
      <c r="L337">
        <v>2</v>
      </c>
      <c r="M337" t="s">
        <v>428</v>
      </c>
    </row>
    <row r="338" spans="1:13" hidden="1" x14ac:dyDescent="0.25">
      <c r="A338" t="s">
        <v>231</v>
      </c>
      <c r="C338" t="s">
        <v>168</v>
      </c>
      <c r="D338">
        <v>91</v>
      </c>
      <c r="E338">
        <v>78</v>
      </c>
      <c r="F338" t="s">
        <v>126</v>
      </c>
      <c r="G338" t="s">
        <v>612</v>
      </c>
      <c r="H338">
        <v>12.36885</v>
      </c>
      <c r="I338">
        <v>6.85</v>
      </c>
      <c r="J338">
        <v>2</v>
      </c>
      <c r="K338">
        <v>5</v>
      </c>
      <c r="L338">
        <v>2</v>
      </c>
      <c r="M338" t="s">
        <v>583</v>
      </c>
    </row>
    <row r="339" spans="1:13" hidden="1" x14ac:dyDescent="0.25">
      <c r="A339" t="s">
        <v>231</v>
      </c>
      <c r="C339" t="s">
        <v>168</v>
      </c>
      <c r="D339">
        <v>123</v>
      </c>
      <c r="E339">
        <v>39</v>
      </c>
      <c r="F339" t="s">
        <v>126</v>
      </c>
      <c r="G339" t="s">
        <v>612</v>
      </c>
      <c r="H339">
        <v>12.36885</v>
      </c>
      <c r="I339">
        <v>6.85</v>
      </c>
      <c r="J339">
        <v>1</v>
      </c>
      <c r="K339">
        <v>5</v>
      </c>
      <c r="L339">
        <v>2</v>
      </c>
      <c r="M339" t="s">
        <v>583</v>
      </c>
    </row>
    <row r="340" spans="1:13" hidden="1" x14ac:dyDescent="0.25">
      <c r="A340" t="s">
        <v>231</v>
      </c>
      <c r="B340" t="s">
        <v>915</v>
      </c>
      <c r="C340" t="s">
        <v>168</v>
      </c>
      <c r="D340">
        <v>84</v>
      </c>
      <c r="E340">
        <v>43</v>
      </c>
      <c r="F340" t="s">
        <v>126</v>
      </c>
      <c r="G340" t="s">
        <v>613</v>
      </c>
      <c r="H340">
        <v>13.637450000000001</v>
      </c>
      <c r="I340">
        <v>2.2999999999999998</v>
      </c>
      <c r="J340">
        <v>1</v>
      </c>
      <c r="K340">
        <v>4</v>
      </c>
      <c r="L340">
        <v>4</v>
      </c>
      <c r="M340" t="s">
        <v>566</v>
      </c>
    </row>
    <row r="341" spans="1:13" hidden="1" x14ac:dyDescent="0.25">
      <c r="A341" t="s">
        <v>231</v>
      </c>
      <c r="C341" t="s">
        <v>471</v>
      </c>
      <c r="D341">
        <v>92</v>
      </c>
      <c r="E341">
        <v>43</v>
      </c>
      <c r="F341" t="s">
        <v>126</v>
      </c>
      <c r="G341" t="s">
        <v>614</v>
      </c>
      <c r="H341">
        <v>5.3</v>
      </c>
      <c r="I341">
        <v>13.8</v>
      </c>
      <c r="J341">
        <v>2</v>
      </c>
      <c r="K341">
        <v>4</v>
      </c>
      <c r="L341">
        <v>1</v>
      </c>
      <c r="M341" t="s">
        <v>566</v>
      </c>
    </row>
    <row r="342" spans="1:13" hidden="1" x14ac:dyDescent="0.25">
      <c r="A342" t="s">
        <v>231</v>
      </c>
      <c r="C342" t="s">
        <v>164</v>
      </c>
      <c r="D342">
        <v>93</v>
      </c>
      <c r="E342">
        <v>43</v>
      </c>
      <c r="F342" t="s">
        <v>126</v>
      </c>
      <c r="G342" t="s">
        <v>615</v>
      </c>
      <c r="H342">
        <v>13.6</v>
      </c>
      <c r="I342">
        <v>7.5</v>
      </c>
      <c r="J342">
        <v>1</v>
      </c>
      <c r="K342">
        <v>4</v>
      </c>
      <c r="L342">
        <v>1</v>
      </c>
      <c r="M342" t="s">
        <v>601</v>
      </c>
    </row>
    <row r="343" spans="1:13" hidden="1" x14ac:dyDescent="0.25">
      <c r="A343" t="s">
        <v>231</v>
      </c>
      <c r="C343" t="s">
        <v>168</v>
      </c>
      <c r="D343">
        <v>94</v>
      </c>
      <c r="E343">
        <v>43</v>
      </c>
      <c r="F343" t="s">
        <v>126</v>
      </c>
      <c r="G343" t="s">
        <v>616</v>
      </c>
      <c r="H343">
        <v>13.637450000000001</v>
      </c>
      <c r="I343">
        <v>8.5</v>
      </c>
      <c r="J343">
        <v>1</v>
      </c>
      <c r="K343">
        <v>4</v>
      </c>
      <c r="L343">
        <v>1</v>
      </c>
      <c r="M343" t="s">
        <v>617</v>
      </c>
    </row>
    <row r="344" spans="1:13" hidden="1" x14ac:dyDescent="0.25">
      <c r="A344" t="s">
        <v>231</v>
      </c>
      <c r="C344" t="s">
        <v>378</v>
      </c>
      <c r="D344">
        <v>95</v>
      </c>
      <c r="E344">
        <v>43</v>
      </c>
      <c r="F344" t="s">
        <v>126</v>
      </c>
      <c r="G344" t="s">
        <v>618</v>
      </c>
      <c r="H344">
        <v>13.637450000000001</v>
      </c>
      <c r="I344">
        <v>9.5</v>
      </c>
      <c r="J344">
        <v>1</v>
      </c>
      <c r="K344">
        <v>4</v>
      </c>
      <c r="L344">
        <v>1</v>
      </c>
      <c r="M344" t="s">
        <v>619</v>
      </c>
    </row>
    <row r="345" spans="1:13" hidden="1" x14ac:dyDescent="0.25">
      <c r="A345" t="s">
        <v>231</v>
      </c>
      <c r="C345" t="s">
        <v>378</v>
      </c>
      <c r="D345">
        <v>96</v>
      </c>
      <c r="E345">
        <v>43</v>
      </c>
      <c r="F345" t="s">
        <v>126</v>
      </c>
      <c r="G345" t="s">
        <v>618</v>
      </c>
      <c r="H345">
        <v>13.637450000000001</v>
      </c>
      <c r="I345">
        <v>9.5</v>
      </c>
      <c r="J345">
        <v>1</v>
      </c>
      <c r="K345">
        <v>4</v>
      </c>
      <c r="L345">
        <v>1</v>
      </c>
      <c r="M345" t="s">
        <v>620</v>
      </c>
    </row>
    <row r="346" spans="1:13" hidden="1" x14ac:dyDescent="0.25">
      <c r="A346" t="s">
        <v>231</v>
      </c>
      <c r="D346">
        <v>97</v>
      </c>
      <c r="E346">
        <v>43</v>
      </c>
      <c r="F346" t="s">
        <v>126</v>
      </c>
      <c r="G346" t="s">
        <v>618</v>
      </c>
      <c r="H346">
        <v>13.637450000000001</v>
      </c>
      <c r="I346">
        <v>9.5</v>
      </c>
      <c r="J346">
        <v>1</v>
      </c>
      <c r="K346">
        <v>4</v>
      </c>
      <c r="L346">
        <v>1</v>
      </c>
      <c r="M346" t="s">
        <v>619</v>
      </c>
    </row>
    <row r="347" spans="1:13" hidden="1" x14ac:dyDescent="0.25">
      <c r="A347" t="s">
        <v>231</v>
      </c>
      <c r="C347" t="s">
        <v>471</v>
      </c>
      <c r="D347">
        <v>98</v>
      </c>
      <c r="E347">
        <v>43</v>
      </c>
      <c r="F347" t="s">
        <v>126</v>
      </c>
      <c r="G347" t="s">
        <v>621</v>
      </c>
      <c r="H347">
        <v>6.8187250000000006</v>
      </c>
      <c r="I347">
        <v>14.5</v>
      </c>
      <c r="J347">
        <v>2</v>
      </c>
      <c r="K347">
        <v>4</v>
      </c>
      <c r="L347">
        <v>1</v>
      </c>
      <c r="M347" t="s">
        <v>622</v>
      </c>
    </row>
    <row r="348" spans="1:13" hidden="1" x14ac:dyDescent="0.25">
      <c r="A348" t="s">
        <v>231</v>
      </c>
      <c r="B348" t="s">
        <v>916</v>
      </c>
      <c r="C348" t="s">
        <v>168</v>
      </c>
      <c r="D348">
        <v>15</v>
      </c>
      <c r="E348">
        <v>47</v>
      </c>
      <c r="F348" t="s">
        <v>126</v>
      </c>
      <c r="G348" t="s">
        <v>623</v>
      </c>
      <c r="H348">
        <v>14.9</v>
      </c>
      <c r="I348">
        <v>10.5</v>
      </c>
      <c r="J348">
        <v>1</v>
      </c>
      <c r="K348">
        <v>5</v>
      </c>
      <c r="L348">
        <v>1</v>
      </c>
      <c r="M348" t="s">
        <v>624</v>
      </c>
    </row>
    <row r="349" spans="1:13" hidden="1" x14ac:dyDescent="0.25">
      <c r="A349" t="s">
        <v>231</v>
      </c>
      <c r="C349" t="s">
        <v>471</v>
      </c>
      <c r="D349">
        <v>99</v>
      </c>
      <c r="E349">
        <v>47</v>
      </c>
      <c r="F349" t="s">
        <v>126</v>
      </c>
      <c r="G349" t="s">
        <v>625</v>
      </c>
      <c r="H349">
        <v>14.906049999999999</v>
      </c>
      <c r="I349">
        <v>7</v>
      </c>
      <c r="J349">
        <v>1</v>
      </c>
      <c r="K349">
        <v>5</v>
      </c>
      <c r="L349">
        <v>2</v>
      </c>
      <c r="M349" t="s">
        <v>428</v>
      </c>
    </row>
    <row r="350" spans="1:13" hidden="1" x14ac:dyDescent="0.25">
      <c r="A350" t="s">
        <v>231</v>
      </c>
      <c r="C350" t="s">
        <v>168</v>
      </c>
      <c r="D350">
        <v>100</v>
      </c>
      <c r="E350">
        <v>47</v>
      </c>
      <c r="F350" t="s">
        <v>126</v>
      </c>
      <c r="G350" t="s">
        <v>626</v>
      </c>
      <c r="H350">
        <v>14.906049999999999</v>
      </c>
      <c r="I350">
        <v>5.5</v>
      </c>
      <c r="J350">
        <v>1</v>
      </c>
      <c r="K350">
        <v>5</v>
      </c>
      <c r="L350">
        <v>2</v>
      </c>
      <c r="M350" t="s">
        <v>428</v>
      </c>
    </row>
    <row r="351" spans="1:13" hidden="1" x14ac:dyDescent="0.25">
      <c r="A351" t="s">
        <v>231</v>
      </c>
      <c r="B351" t="s">
        <v>917</v>
      </c>
      <c r="C351" t="s">
        <v>121</v>
      </c>
      <c r="D351">
        <v>36</v>
      </c>
      <c r="E351">
        <v>47</v>
      </c>
      <c r="F351" t="s">
        <v>126</v>
      </c>
      <c r="G351" t="s">
        <v>627</v>
      </c>
      <c r="H351">
        <v>14.906049999999999</v>
      </c>
      <c r="I351">
        <v>10</v>
      </c>
      <c r="J351">
        <v>1</v>
      </c>
      <c r="K351">
        <v>5</v>
      </c>
      <c r="L351">
        <v>1</v>
      </c>
      <c r="M351" t="s">
        <v>518</v>
      </c>
    </row>
    <row r="352" spans="1:13" hidden="1" x14ac:dyDescent="0.25">
      <c r="A352" t="s">
        <v>231</v>
      </c>
      <c r="C352" t="s">
        <v>168</v>
      </c>
      <c r="D352">
        <v>101</v>
      </c>
      <c r="E352">
        <v>98</v>
      </c>
      <c r="F352" t="s">
        <v>126</v>
      </c>
      <c r="G352" t="s">
        <v>628</v>
      </c>
      <c r="H352">
        <v>5.1801166666666667</v>
      </c>
      <c r="I352">
        <v>15.5</v>
      </c>
      <c r="J352">
        <v>6</v>
      </c>
      <c r="K352">
        <v>5</v>
      </c>
      <c r="L352">
        <v>1</v>
      </c>
      <c r="M352" t="s">
        <v>629</v>
      </c>
    </row>
    <row r="353" spans="1:13" hidden="1" x14ac:dyDescent="0.25">
      <c r="A353" t="s">
        <v>231</v>
      </c>
      <c r="C353" t="s">
        <v>471</v>
      </c>
      <c r="D353">
        <v>102</v>
      </c>
      <c r="E353">
        <v>57</v>
      </c>
      <c r="F353" t="s">
        <v>126</v>
      </c>
      <c r="G353" t="s">
        <v>630</v>
      </c>
      <c r="H353">
        <v>9.0387749999999993</v>
      </c>
      <c r="I353">
        <v>15.5</v>
      </c>
      <c r="J353">
        <v>2</v>
      </c>
      <c r="K353">
        <v>5</v>
      </c>
      <c r="L353">
        <v>1</v>
      </c>
      <c r="M353" t="s">
        <v>594</v>
      </c>
    </row>
    <row r="354" spans="1:13" hidden="1" x14ac:dyDescent="0.25">
      <c r="A354" t="s">
        <v>231</v>
      </c>
      <c r="C354" t="s">
        <v>471</v>
      </c>
      <c r="D354">
        <v>103</v>
      </c>
      <c r="E354">
        <v>57</v>
      </c>
      <c r="F354" t="s">
        <v>126</v>
      </c>
      <c r="G354" t="s">
        <v>630</v>
      </c>
      <c r="H354">
        <v>9.0387749999999993</v>
      </c>
      <c r="I354">
        <v>15.5</v>
      </c>
      <c r="J354">
        <v>2</v>
      </c>
      <c r="K354">
        <v>5</v>
      </c>
      <c r="L354">
        <v>1</v>
      </c>
      <c r="M354" t="s">
        <v>631</v>
      </c>
    </row>
    <row r="355" spans="1:13" hidden="1" x14ac:dyDescent="0.25">
      <c r="A355" t="s">
        <v>231</v>
      </c>
      <c r="C355" t="s">
        <v>121</v>
      </c>
      <c r="D355">
        <v>104</v>
      </c>
      <c r="E355">
        <v>51</v>
      </c>
      <c r="F355" t="s">
        <v>126</v>
      </c>
      <c r="G355" t="s">
        <v>632</v>
      </c>
      <c r="H355">
        <v>5.3915500000000005</v>
      </c>
      <c r="I355">
        <v>16.3</v>
      </c>
      <c r="J355">
        <v>3</v>
      </c>
      <c r="K355">
        <v>5</v>
      </c>
      <c r="L355">
        <v>1</v>
      </c>
      <c r="M355" t="s">
        <v>605</v>
      </c>
    </row>
    <row r="356" spans="1:13" hidden="1" x14ac:dyDescent="0.25">
      <c r="A356" t="s">
        <v>231</v>
      </c>
      <c r="C356" t="s">
        <v>168</v>
      </c>
      <c r="D356">
        <v>105</v>
      </c>
      <c r="E356">
        <v>51</v>
      </c>
      <c r="F356" t="s">
        <v>126</v>
      </c>
      <c r="G356" t="s">
        <v>633</v>
      </c>
      <c r="H356">
        <v>16.17465</v>
      </c>
      <c r="I356">
        <v>7.5</v>
      </c>
      <c r="J356">
        <v>1</v>
      </c>
      <c r="K356">
        <v>5</v>
      </c>
      <c r="L356">
        <v>2</v>
      </c>
      <c r="M356" t="s">
        <v>428</v>
      </c>
    </row>
    <row r="357" spans="1:13" hidden="1" x14ac:dyDescent="0.25">
      <c r="A357" t="s">
        <v>231</v>
      </c>
      <c r="C357" t="s">
        <v>168</v>
      </c>
      <c r="D357">
        <v>106</v>
      </c>
      <c r="E357">
        <v>51</v>
      </c>
      <c r="F357" t="s">
        <v>126</v>
      </c>
      <c r="G357" t="s">
        <v>634</v>
      </c>
      <c r="H357">
        <v>16.17465</v>
      </c>
      <c r="I357">
        <v>11.5</v>
      </c>
      <c r="J357">
        <v>1</v>
      </c>
      <c r="K357">
        <v>5</v>
      </c>
      <c r="L357">
        <v>1</v>
      </c>
      <c r="M357" t="s">
        <v>617</v>
      </c>
    </row>
    <row r="358" spans="1:13" hidden="1" x14ac:dyDescent="0.25">
      <c r="A358" t="s">
        <v>231</v>
      </c>
      <c r="C358" t="s">
        <v>168</v>
      </c>
      <c r="D358">
        <v>107</v>
      </c>
      <c r="E358">
        <v>57</v>
      </c>
      <c r="F358" t="s">
        <v>126</v>
      </c>
      <c r="G358" t="s">
        <v>635</v>
      </c>
      <c r="H358">
        <v>18.077549999999999</v>
      </c>
      <c r="I358">
        <v>15</v>
      </c>
      <c r="J358">
        <v>1</v>
      </c>
      <c r="K358">
        <v>4</v>
      </c>
      <c r="L358">
        <v>1</v>
      </c>
      <c r="M358" t="s">
        <v>636</v>
      </c>
    </row>
    <row r="359" spans="1:13" hidden="1" x14ac:dyDescent="0.25">
      <c r="A359" t="s">
        <v>231</v>
      </c>
      <c r="B359" t="s">
        <v>918</v>
      </c>
      <c r="C359" t="s">
        <v>168</v>
      </c>
      <c r="D359">
        <v>19</v>
      </c>
      <c r="E359">
        <v>60</v>
      </c>
      <c r="F359" t="s">
        <v>126</v>
      </c>
      <c r="G359" t="s">
        <v>637</v>
      </c>
      <c r="H359">
        <v>19.029</v>
      </c>
      <c r="I359">
        <v>5</v>
      </c>
      <c r="J359">
        <v>1</v>
      </c>
      <c r="K359">
        <v>4</v>
      </c>
      <c r="L359">
        <v>2</v>
      </c>
      <c r="M359" t="s">
        <v>566</v>
      </c>
    </row>
    <row r="360" spans="1:13" hidden="1" x14ac:dyDescent="0.25">
      <c r="A360" t="s">
        <v>231</v>
      </c>
      <c r="B360" t="s">
        <v>919</v>
      </c>
      <c r="D360">
        <v>16</v>
      </c>
      <c r="E360">
        <v>63</v>
      </c>
      <c r="F360" t="s">
        <v>126</v>
      </c>
      <c r="G360" t="s">
        <v>638</v>
      </c>
      <c r="H360">
        <v>19.980449999999998</v>
      </c>
      <c r="I360">
        <v>5.5</v>
      </c>
      <c r="J360">
        <v>1</v>
      </c>
      <c r="K360">
        <v>5</v>
      </c>
      <c r="L360">
        <v>1</v>
      </c>
      <c r="M360" t="s">
        <v>639</v>
      </c>
    </row>
    <row r="361" spans="1:13" hidden="1" x14ac:dyDescent="0.25">
      <c r="A361" t="s">
        <v>231</v>
      </c>
      <c r="C361" t="s">
        <v>168</v>
      </c>
      <c r="D361">
        <v>108</v>
      </c>
      <c r="E361">
        <v>63</v>
      </c>
      <c r="F361" t="s">
        <v>126</v>
      </c>
      <c r="G361" t="s">
        <v>640</v>
      </c>
      <c r="H361">
        <v>19.980449999999998</v>
      </c>
      <c r="I361">
        <v>11.5</v>
      </c>
      <c r="J361">
        <v>1</v>
      </c>
      <c r="K361">
        <v>5</v>
      </c>
      <c r="L361">
        <v>2</v>
      </c>
      <c r="M361" t="s">
        <v>608</v>
      </c>
    </row>
    <row r="362" spans="1:13" hidden="1" x14ac:dyDescent="0.25">
      <c r="A362" t="s">
        <v>231</v>
      </c>
      <c r="B362" t="s">
        <v>920</v>
      </c>
      <c r="D362">
        <v>13</v>
      </c>
      <c r="E362">
        <v>63</v>
      </c>
      <c r="F362" t="s">
        <v>126</v>
      </c>
      <c r="G362" t="s">
        <v>641</v>
      </c>
      <c r="H362">
        <v>19.980449999999998</v>
      </c>
      <c r="I362">
        <v>6</v>
      </c>
      <c r="J362">
        <v>1</v>
      </c>
      <c r="K362">
        <v>5</v>
      </c>
      <c r="L362">
        <v>1</v>
      </c>
      <c r="M362" t="s">
        <v>642</v>
      </c>
    </row>
    <row r="363" spans="1:13" hidden="1" x14ac:dyDescent="0.25">
      <c r="A363" t="s">
        <v>231</v>
      </c>
      <c r="B363" t="s">
        <v>921</v>
      </c>
      <c r="C363" t="s">
        <v>168</v>
      </c>
      <c r="D363">
        <v>72</v>
      </c>
      <c r="E363">
        <v>78</v>
      </c>
      <c r="F363" t="s">
        <v>126</v>
      </c>
      <c r="G363" t="s">
        <v>643</v>
      </c>
      <c r="H363">
        <v>24.7377</v>
      </c>
      <c r="I363">
        <v>6</v>
      </c>
      <c r="J363">
        <v>1</v>
      </c>
      <c r="K363">
        <v>5</v>
      </c>
      <c r="L363">
        <v>2</v>
      </c>
      <c r="M363" t="s">
        <v>644</v>
      </c>
    </row>
    <row r="364" spans="1:13" hidden="1" x14ac:dyDescent="0.25">
      <c r="A364" t="s">
        <v>231</v>
      </c>
    </row>
    <row r="365" spans="1:13" hidden="1" x14ac:dyDescent="0.25">
      <c r="A365" t="s">
        <v>231</v>
      </c>
      <c r="B365" t="s">
        <v>922</v>
      </c>
      <c r="C365" t="s">
        <v>168</v>
      </c>
      <c r="D365">
        <v>113</v>
      </c>
      <c r="E365">
        <v>43</v>
      </c>
      <c r="F365" t="s">
        <v>302</v>
      </c>
      <c r="G365" t="s">
        <v>645</v>
      </c>
      <c r="M365" t="s">
        <v>646</v>
      </c>
    </row>
    <row r="366" spans="1:13" hidden="1" x14ac:dyDescent="0.25">
      <c r="A366" t="s">
        <v>231</v>
      </c>
      <c r="B366" t="s">
        <v>923</v>
      </c>
      <c r="C366" t="s">
        <v>168</v>
      </c>
      <c r="D366">
        <v>58</v>
      </c>
      <c r="E366">
        <v>43</v>
      </c>
      <c r="F366" t="s">
        <v>302</v>
      </c>
      <c r="G366" t="s">
        <v>496</v>
      </c>
      <c r="M366" t="s">
        <v>647</v>
      </c>
    </row>
    <row r="367" spans="1:13" hidden="1" x14ac:dyDescent="0.25">
      <c r="A367" t="s">
        <v>231</v>
      </c>
      <c r="B367" t="s">
        <v>924</v>
      </c>
      <c r="C367" t="s">
        <v>136</v>
      </c>
      <c r="D367">
        <v>114</v>
      </c>
      <c r="E367">
        <v>47</v>
      </c>
      <c r="F367" t="s">
        <v>302</v>
      </c>
      <c r="G367" t="s">
        <v>648</v>
      </c>
      <c r="M367" t="s">
        <v>152</v>
      </c>
    </row>
    <row r="368" spans="1:13" hidden="1" x14ac:dyDescent="0.25">
      <c r="A368" t="s">
        <v>231</v>
      </c>
      <c r="C368" t="s">
        <v>168</v>
      </c>
      <c r="D368">
        <v>115</v>
      </c>
      <c r="E368">
        <v>43</v>
      </c>
      <c r="F368" t="s">
        <v>449</v>
      </c>
      <c r="G368" t="s">
        <v>509</v>
      </c>
      <c r="M368" t="s">
        <v>449</v>
      </c>
    </row>
    <row r="369" spans="1:13" hidden="1" x14ac:dyDescent="0.25">
      <c r="A369" t="s">
        <v>231</v>
      </c>
      <c r="D369">
        <v>121</v>
      </c>
      <c r="E369">
        <v>60</v>
      </c>
      <c r="F369" t="s">
        <v>302</v>
      </c>
      <c r="G369" t="s">
        <v>649</v>
      </c>
    </row>
    <row r="370" spans="1:13" hidden="1" x14ac:dyDescent="0.25">
      <c r="A370" t="s">
        <v>231</v>
      </c>
      <c r="C370" t="s">
        <v>471</v>
      </c>
      <c r="D370">
        <v>116</v>
      </c>
      <c r="E370">
        <v>60</v>
      </c>
      <c r="F370" t="s">
        <v>449</v>
      </c>
      <c r="G370" t="s">
        <v>649</v>
      </c>
      <c r="M370" t="s">
        <v>449</v>
      </c>
    </row>
    <row r="371" spans="1:13" hidden="1" x14ac:dyDescent="0.25">
      <c r="A371" t="s">
        <v>231</v>
      </c>
      <c r="C371" t="s">
        <v>172</v>
      </c>
      <c r="D371">
        <v>118</v>
      </c>
      <c r="E371">
        <v>92</v>
      </c>
      <c r="F371" t="s">
        <v>302</v>
      </c>
      <c r="G371" t="s">
        <v>650</v>
      </c>
      <c r="H371">
        <v>29.2</v>
      </c>
      <c r="I371">
        <v>12.5</v>
      </c>
      <c r="J371">
        <v>1</v>
      </c>
      <c r="K371">
        <v>1</v>
      </c>
      <c r="L371">
        <v>5</v>
      </c>
      <c r="M371" t="s">
        <v>651</v>
      </c>
    </row>
    <row r="372" spans="1:13" hidden="1" x14ac:dyDescent="0.25">
      <c r="A372" t="s">
        <v>231</v>
      </c>
      <c r="C372" t="s">
        <v>172</v>
      </c>
      <c r="D372">
        <v>120</v>
      </c>
      <c r="E372">
        <v>92</v>
      </c>
      <c r="F372" t="s">
        <v>247</v>
      </c>
      <c r="G372" t="s">
        <v>650</v>
      </c>
      <c r="H372">
        <v>29.2</v>
      </c>
      <c r="I372">
        <v>12.5</v>
      </c>
      <c r="J372">
        <v>1</v>
      </c>
      <c r="K372">
        <v>1</v>
      </c>
      <c r="L372">
        <v>5</v>
      </c>
      <c r="M372" t="s">
        <v>651</v>
      </c>
    </row>
    <row r="373" spans="1:13" hidden="1" x14ac:dyDescent="0.25">
      <c r="A373" t="s">
        <v>231</v>
      </c>
      <c r="B373" t="s">
        <v>247</v>
      </c>
      <c r="C373" t="s">
        <v>168</v>
      </c>
      <c r="D373">
        <v>117</v>
      </c>
      <c r="E373">
        <v>63</v>
      </c>
      <c r="F373" t="s">
        <v>302</v>
      </c>
      <c r="G373" t="s">
        <v>652</v>
      </c>
      <c r="M373" t="s">
        <v>653</v>
      </c>
    </row>
    <row r="374" spans="1:13" hidden="1" x14ac:dyDescent="0.25">
      <c r="A374" t="s">
        <v>231</v>
      </c>
      <c r="C374" t="s">
        <v>654</v>
      </c>
      <c r="D374">
        <v>119</v>
      </c>
      <c r="E374">
        <v>98</v>
      </c>
      <c r="F374" t="s">
        <v>449</v>
      </c>
      <c r="M374" t="s">
        <v>449</v>
      </c>
    </row>
    <row r="375" spans="1:13" hidden="1" x14ac:dyDescent="0.25">
      <c r="A375" t="s">
        <v>231</v>
      </c>
      <c r="D375">
        <v>126</v>
      </c>
      <c r="F375" t="s">
        <v>655</v>
      </c>
      <c r="G375">
        <v>10</v>
      </c>
      <c r="M375" t="s">
        <v>656</v>
      </c>
    </row>
    <row r="376" spans="1:13" hidden="1" x14ac:dyDescent="0.25">
      <c r="A376" t="s">
        <v>231</v>
      </c>
      <c r="D376">
        <v>128</v>
      </c>
      <c r="E376">
        <v>64</v>
      </c>
      <c r="F376" t="s">
        <v>655</v>
      </c>
      <c r="M376" t="s">
        <v>656</v>
      </c>
    </row>
    <row r="377" spans="1:13" hidden="1" x14ac:dyDescent="0.25">
      <c r="A377" t="s">
        <v>657</v>
      </c>
      <c r="C377" t="s">
        <v>172</v>
      </c>
      <c r="D377">
        <v>14</v>
      </c>
      <c r="E377">
        <v>57</v>
      </c>
      <c r="F377" t="s">
        <v>135</v>
      </c>
      <c r="G377">
        <v>6</v>
      </c>
      <c r="H377">
        <v>6.0258500000000002</v>
      </c>
      <c r="I377">
        <v>25</v>
      </c>
      <c r="J377">
        <v>3</v>
      </c>
      <c r="K377">
        <v>6</v>
      </c>
      <c r="L377">
        <v>1</v>
      </c>
      <c r="M377" t="s">
        <v>658</v>
      </c>
    </row>
    <row r="378" spans="1:13" hidden="1" x14ac:dyDescent="0.25">
      <c r="A378" t="s">
        <v>657</v>
      </c>
      <c r="B378" t="s">
        <v>601</v>
      </c>
      <c r="C378" t="s">
        <v>172</v>
      </c>
      <c r="D378">
        <v>41</v>
      </c>
      <c r="E378">
        <v>47</v>
      </c>
      <c r="F378" t="s">
        <v>135</v>
      </c>
      <c r="G378">
        <v>7.5</v>
      </c>
      <c r="H378">
        <v>7.4530249999999993</v>
      </c>
      <c r="I378">
        <v>10.5</v>
      </c>
      <c r="J378">
        <v>2</v>
      </c>
      <c r="K378">
        <v>6</v>
      </c>
      <c r="L378">
        <v>1</v>
      </c>
      <c r="M378" t="s">
        <v>659</v>
      </c>
    </row>
    <row r="379" spans="1:13" hidden="1" x14ac:dyDescent="0.25">
      <c r="A379" t="s">
        <v>657</v>
      </c>
      <c r="B379" t="s">
        <v>925</v>
      </c>
      <c r="C379" t="s">
        <v>153</v>
      </c>
      <c r="D379">
        <v>15</v>
      </c>
      <c r="E379">
        <v>57</v>
      </c>
      <c r="F379" t="s">
        <v>135</v>
      </c>
      <c r="G379">
        <v>9.048</v>
      </c>
      <c r="H379">
        <v>9.0387749999999993</v>
      </c>
      <c r="I379">
        <v>60</v>
      </c>
      <c r="J379">
        <v>2</v>
      </c>
      <c r="K379">
        <v>6</v>
      </c>
      <c r="L379">
        <v>1</v>
      </c>
    </row>
    <row r="380" spans="1:13" hidden="1" x14ac:dyDescent="0.25">
      <c r="A380" t="s">
        <v>657</v>
      </c>
      <c r="B380" t="s">
        <v>926</v>
      </c>
      <c r="C380" t="s">
        <v>136</v>
      </c>
      <c r="D380">
        <v>31</v>
      </c>
      <c r="E380">
        <v>63</v>
      </c>
      <c r="F380" t="s">
        <v>135</v>
      </c>
      <c r="G380">
        <v>10</v>
      </c>
      <c r="H380">
        <v>9.9902249999999988</v>
      </c>
      <c r="I380">
        <v>10</v>
      </c>
      <c r="J380">
        <v>2</v>
      </c>
      <c r="L380">
        <v>1</v>
      </c>
      <c r="M380" t="s">
        <v>660</v>
      </c>
    </row>
    <row r="381" spans="1:13" hidden="1" x14ac:dyDescent="0.25">
      <c r="A381" t="s">
        <v>657</v>
      </c>
      <c r="C381" t="s">
        <v>172</v>
      </c>
      <c r="D381">
        <v>18</v>
      </c>
      <c r="E381">
        <v>98</v>
      </c>
      <c r="F381" t="s">
        <v>135</v>
      </c>
      <c r="G381">
        <v>31</v>
      </c>
      <c r="H381">
        <v>31.0807</v>
      </c>
      <c r="I381">
        <v>25</v>
      </c>
      <c r="J381">
        <v>1</v>
      </c>
      <c r="K381">
        <v>6</v>
      </c>
      <c r="L381">
        <v>1</v>
      </c>
      <c r="M381" t="s">
        <v>661</v>
      </c>
    </row>
    <row r="382" spans="1:13" hidden="1" x14ac:dyDescent="0.25">
      <c r="A382" t="s">
        <v>657</v>
      </c>
    </row>
    <row r="383" spans="1:13" hidden="1" x14ac:dyDescent="0.25">
      <c r="A383" t="s">
        <v>657</v>
      </c>
      <c r="B383" t="s">
        <v>927</v>
      </c>
      <c r="C383" t="s">
        <v>136</v>
      </c>
      <c r="D383">
        <v>26</v>
      </c>
      <c r="E383">
        <v>47</v>
      </c>
      <c r="F383" t="s">
        <v>177</v>
      </c>
      <c r="G383">
        <v>3</v>
      </c>
      <c r="H383">
        <v>3.7265124999999997</v>
      </c>
      <c r="I383">
        <v>3.5</v>
      </c>
      <c r="J383">
        <v>4</v>
      </c>
      <c r="K383">
        <v>6</v>
      </c>
      <c r="L383">
        <v>1</v>
      </c>
      <c r="M383" t="s">
        <v>662</v>
      </c>
    </row>
    <row r="384" spans="1:13" hidden="1" x14ac:dyDescent="0.25">
      <c r="A384" t="s">
        <v>657</v>
      </c>
      <c r="B384" t="s">
        <v>928</v>
      </c>
      <c r="C384" t="s">
        <v>136</v>
      </c>
      <c r="D384">
        <v>42</v>
      </c>
      <c r="E384">
        <v>47</v>
      </c>
      <c r="F384" t="s">
        <v>177</v>
      </c>
      <c r="G384">
        <v>3.4</v>
      </c>
      <c r="H384">
        <v>3.7265124999999997</v>
      </c>
      <c r="I384">
        <v>4.5</v>
      </c>
      <c r="J384">
        <v>4</v>
      </c>
      <c r="K384">
        <v>6</v>
      </c>
      <c r="L384">
        <v>1</v>
      </c>
    </row>
    <row r="385" spans="1:13" hidden="1" x14ac:dyDescent="0.25">
      <c r="A385" t="s">
        <v>657</v>
      </c>
      <c r="C385" t="s">
        <v>172</v>
      </c>
      <c r="D385">
        <v>19</v>
      </c>
      <c r="E385">
        <v>63</v>
      </c>
      <c r="F385" t="s">
        <v>177</v>
      </c>
      <c r="G385">
        <v>4.8</v>
      </c>
      <c r="H385">
        <v>4.9951124999999994</v>
      </c>
      <c r="I385">
        <v>21</v>
      </c>
      <c r="J385">
        <v>4</v>
      </c>
      <c r="K385">
        <v>6</v>
      </c>
      <c r="L385">
        <v>4</v>
      </c>
      <c r="M385" t="s">
        <v>663</v>
      </c>
    </row>
    <row r="386" spans="1:13" hidden="1" x14ac:dyDescent="0.25">
      <c r="A386" t="s">
        <v>657</v>
      </c>
      <c r="B386" t="s">
        <v>929</v>
      </c>
      <c r="C386" t="s">
        <v>172</v>
      </c>
      <c r="D386">
        <v>16</v>
      </c>
      <c r="E386">
        <v>57</v>
      </c>
      <c r="F386" t="s">
        <v>177</v>
      </c>
      <c r="G386">
        <v>8.8000000000000007</v>
      </c>
      <c r="H386">
        <v>9.0387749999999993</v>
      </c>
      <c r="I386">
        <v>9.5</v>
      </c>
      <c r="J386">
        <v>2</v>
      </c>
      <c r="K386">
        <v>6</v>
      </c>
      <c r="L386">
        <v>1</v>
      </c>
      <c r="M386" t="s">
        <v>664</v>
      </c>
    </row>
    <row r="387" spans="1:13" hidden="1" x14ac:dyDescent="0.25">
      <c r="A387" t="s">
        <v>657</v>
      </c>
    </row>
    <row r="388" spans="1:13" hidden="1" x14ac:dyDescent="0.25">
      <c r="A388" t="s">
        <v>657</v>
      </c>
      <c r="B388" t="s">
        <v>930</v>
      </c>
      <c r="C388" t="s">
        <v>153</v>
      </c>
      <c r="D388">
        <v>32</v>
      </c>
      <c r="E388">
        <v>63</v>
      </c>
      <c r="F388" t="s">
        <v>192</v>
      </c>
      <c r="G388" t="s">
        <v>665</v>
      </c>
      <c r="H388">
        <v>9.9902249999999988</v>
      </c>
      <c r="I388">
        <v>7.5</v>
      </c>
      <c r="J388">
        <v>2</v>
      </c>
      <c r="K388">
        <v>6</v>
      </c>
      <c r="L388">
        <v>2</v>
      </c>
    </row>
    <row r="389" spans="1:13" hidden="1" x14ac:dyDescent="0.25">
      <c r="A389" t="s">
        <v>657</v>
      </c>
      <c r="B389" t="s">
        <v>931</v>
      </c>
      <c r="C389" t="s">
        <v>153</v>
      </c>
      <c r="D389">
        <v>4</v>
      </c>
      <c r="E389">
        <v>47</v>
      </c>
      <c r="F389" t="s">
        <v>192</v>
      </c>
      <c r="G389" t="s">
        <v>666</v>
      </c>
      <c r="H389">
        <v>7.4530249999999993</v>
      </c>
      <c r="I389">
        <v>11</v>
      </c>
      <c r="J389">
        <v>2</v>
      </c>
      <c r="K389">
        <v>6</v>
      </c>
      <c r="L389">
        <v>1</v>
      </c>
      <c r="M389" t="s">
        <v>192</v>
      </c>
    </row>
    <row r="390" spans="1:13" hidden="1" x14ac:dyDescent="0.25">
      <c r="A390" t="s">
        <v>657</v>
      </c>
      <c r="B390" t="s">
        <v>932</v>
      </c>
      <c r="C390" t="s">
        <v>136</v>
      </c>
      <c r="D390">
        <v>31</v>
      </c>
      <c r="E390">
        <v>63</v>
      </c>
      <c r="F390" t="s">
        <v>192</v>
      </c>
      <c r="G390" t="s">
        <v>667</v>
      </c>
      <c r="H390">
        <v>6.6601499999999998</v>
      </c>
      <c r="I390">
        <v>125</v>
      </c>
      <c r="J390">
        <v>3</v>
      </c>
      <c r="K390">
        <v>6</v>
      </c>
      <c r="L390">
        <v>1</v>
      </c>
      <c r="M390" t="s">
        <v>668</v>
      </c>
    </row>
    <row r="391" spans="1:13" hidden="1" x14ac:dyDescent="0.25">
      <c r="A391" t="s">
        <v>657</v>
      </c>
    </row>
    <row r="392" spans="1:13" hidden="1" x14ac:dyDescent="0.25">
      <c r="A392" t="s">
        <v>657</v>
      </c>
      <c r="C392" t="s">
        <v>136</v>
      </c>
      <c r="D392">
        <v>23</v>
      </c>
      <c r="E392">
        <v>69</v>
      </c>
      <c r="F392" t="s">
        <v>217</v>
      </c>
      <c r="G392" t="s">
        <v>669</v>
      </c>
      <c r="H392">
        <v>7.2944499999999994</v>
      </c>
      <c r="I392">
        <v>21</v>
      </c>
      <c r="J392">
        <v>3</v>
      </c>
      <c r="K392">
        <v>6</v>
      </c>
      <c r="L392">
        <v>4</v>
      </c>
      <c r="M392" t="s">
        <v>417</v>
      </c>
    </row>
    <row r="393" spans="1:13" hidden="1" x14ac:dyDescent="0.25">
      <c r="A393" t="s">
        <v>657</v>
      </c>
      <c r="C393" t="s">
        <v>172</v>
      </c>
      <c r="D393">
        <v>11</v>
      </c>
      <c r="E393">
        <v>54</v>
      </c>
      <c r="F393" t="s">
        <v>217</v>
      </c>
      <c r="G393" t="s">
        <v>670</v>
      </c>
      <c r="H393">
        <v>4.2815250000000002</v>
      </c>
      <c r="I393">
        <v>25</v>
      </c>
      <c r="J393">
        <v>4</v>
      </c>
      <c r="K393">
        <v>2</v>
      </c>
      <c r="L393">
        <v>4</v>
      </c>
      <c r="M393" t="s">
        <v>671</v>
      </c>
    </row>
    <row r="394" spans="1:13" hidden="1" x14ac:dyDescent="0.25">
      <c r="A394" t="s">
        <v>657</v>
      </c>
      <c r="C394" t="s">
        <v>172</v>
      </c>
      <c r="D394">
        <v>5</v>
      </c>
      <c r="E394">
        <v>50</v>
      </c>
      <c r="F394" t="s">
        <v>217</v>
      </c>
      <c r="G394" t="s">
        <v>672</v>
      </c>
      <c r="H394">
        <v>5.2858333333333327</v>
      </c>
      <c r="I394">
        <v>25</v>
      </c>
      <c r="J394">
        <v>3</v>
      </c>
      <c r="K394">
        <v>2</v>
      </c>
      <c r="L394">
        <v>4</v>
      </c>
      <c r="M394" t="s">
        <v>673</v>
      </c>
    </row>
    <row r="395" spans="1:13" hidden="1" x14ac:dyDescent="0.25">
      <c r="A395" t="s">
        <v>657</v>
      </c>
      <c r="C395" t="s">
        <v>172</v>
      </c>
      <c r="D395">
        <v>7</v>
      </c>
      <c r="E395">
        <v>50</v>
      </c>
      <c r="F395" t="s">
        <v>217</v>
      </c>
      <c r="G395" t="s">
        <v>672</v>
      </c>
      <c r="H395">
        <v>5.2858333333333327</v>
      </c>
      <c r="I395">
        <v>25</v>
      </c>
      <c r="J395">
        <v>3</v>
      </c>
      <c r="K395">
        <v>2</v>
      </c>
      <c r="L395">
        <v>4</v>
      </c>
      <c r="M395" t="s">
        <v>236</v>
      </c>
    </row>
    <row r="396" spans="1:13" hidden="1" x14ac:dyDescent="0.25">
      <c r="A396" t="s">
        <v>657</v>
      </c>
      <c r="C396" t="s">
        <v>121</v>
      </c>
      <c r="D396">
        <v>8</v>
      </c>
      <c r="E396">
        <v>50</v>
      </c>
      <c r="F396" t="s">
        <v>217</v>
      </c>
      <c r="G396" t="s">
        <v>672</v>
      </c>
      <c r="H396">
        <v>5.2858333333333327</v>
      </c>
      <c r="I396">
        <v>25</v>
      </c>
      <c r="J396">
        <v>3</v>
      </c>
      <c r="K396">
        <v>2</v>
      </c>
      <c r="L396">
        <v>4</v>
      </c>
      <c r="M396" t="s">
        <v>236</v>
      </c>
    </row>
    <row r="397" spans="1:13" hidden="1" x14ac:dyDescent="0.25">
      <c r="A397" t="s">
        <v>657</v>
      </c>
      <c r="C397" t="s">
        <v>121</v>
      </c>
      <c r="D397">
        <v>29</v>
      </c>
      <c r="E397">
        <v>78</v>
      </c>
      <c r="F397" t="s">
        <v>122</v>
      </c>
      <c r="G397" t="s">
        <v>674</v>
      </c>
      <c r="H397">
        <v>12.36885</v>
      </c>
      <c r="I397">
        <v>25</v>
      </c>
      <c r="J397">
        <v>2</v>
      </c>
      <c r="K397">
        <v>6</v>
      </c>
      <c r="L397">
        <v>4</v>
      </c>
      <c r="M397" t="s">
        <v>123</v>
      </c>
    </row>
    <row r="398" spans="1:13" hidden="1" x14ac:dyDescent="0.25">
      <c r="A398" t="s">
        <v>657</v>
      </c>
      <c r="C398" t="s">
        <v>121</v>
      </c>
      <c r="D398">
        <v>30</v>
      </c>
      <c r="E398">
        <v>71</v>
      </c>
      <c r="F398" t="s">
        <v>122</v>
      </c>
      <c r="G398" t="s">
        <v>675</v>
      </c>
      <c r="H398">
        <v>11.258825</v>
      </c>
      <c r="I398">
        <v>25</v>
      </c>
      <c r="J398">
        <v>2</v>
      </c>
      <c r="K398">
        <v>6</v>
      </c>
      <c r="L398">
        <v>4</v>
      </c>
      <c r="M398" t="s">
        <v>230</v>
      </c>
    </row>
    <row r="399" spans="1:13" hidden="1" x14ac:dyDescent="0.25">
      <c r="A399" t="s">
        <v>657</v>
      </c>
      <c r="B399" t="s">
        <v>933</v>
      </c>
      <c r="C399" t="s">
        <v>136</v>
      </c>
      <c r="D399">
        <v>1</v>
      </c>
      <c r="E399">
        <v>47</v>
      </c>
      <c r="F399" t="s">
        <v>217</v>
      </c>
      <c r="G399" t="s">
        <v>676</v>
      </c>
      <c r="H399">
        <v>7.4530249999999993</v>
      </c>
      <c r="I399">
        <v>8</v>
      </c>
      <c r="J399">
        <v>2</v>
      </c>
      <c r="K399">
        <v>6</v>
      </c>
      <c r="L399">
        <v>1</v>
      </c>
      <c r="M399" t="s">
        <v>677</v>
      </c>
    </row>
    <row r="400" spans="1:13" hidden="1" x14ac:dyDescent="0.25">
      <c r="A400" t="s">
        <v>657</v>
      </c>
      <c r="C400" t="s">
        <v>172</v>
      </c>
      <c r="D400">
        <v>10</v>
      </c>
      <c r="E400">
        <v>54</v>
      </c>
      <c r="F400" t="s">
        <v>217</v>
      </c>
      <c r="G400" t="s">
        <v>678</v>
      </c>
      <c r="H400">
        <v>4.2815250000000002</v>
      </c>
      <c r="I400">
        <v>25</v>
      </c>
      <c r="J400">
        <v>4</v>
      </c>
      <c r="K400">
        <v>6</v>
      </c>
      <c r="L400">
        <v>3</v>
      </c>
      <c r="M400" t="s">
        <v>679</v>
      </c>
    </row>
    <row r="401" spans="1:13" hidden="1" x14ac:dyDescent="0.25">
      <c r="A401" t="s">
        <v>657</v>
      </c>
      <c r="C401" t="s">
        <v>153</v>
      </c>
      <c r="D401">
        <v>15</v>
      </c>
      <c r="E401">
        <v>57</v>
      </c>
      <c r="F401" t="s">
        <v>217</v>
      </c>
      <c r="G401" t="s">
        <v>680</v>
      </c>
      <c r="H401">
        <v>4.5193874999999997</v>
      </c>
      <c r="I401">
        <v>180</v>
      </c>
      <c r="J401">
        <v>4</v>
      </c>
      <c r="K401">
        <v>6</v>
      </c>
      <c r="L401">
        <v>2</v>
      </c>
      <c r="M401" t="s">
        <v>681</v>
      </c>
    </row>
    <row r="402" spans="1:13" hidden="1" x14ac:dyDescent="0.25">
      <c r="A402" t="s">
        <v>657</v>
      </c>
      <c r="C402" t="s">
        <v>136</v>
      </c>
      <c r="D402">
        <v>45</v>
      </c>
      <c r="E402">
        <v>78</v>
      </c>
      <c r="F402" t="s">
        <v>217</v>
      </c>
      <c r="G402" t="s">
        <v>682</v>
      </c>
      <c r="H402">
        <v>8.2459000000000007</v>
      </c>
      <c r="I402">
        <v>25</v>
      </c>
      <c r="J402">
        <v>3</v>
      </c>
      <c r="K402">
        <v>6</v>
      </c>
      <c r="L402">
        <v>3</v>
      </c>
      <c r="M402" t="s">
        <v>683</v>
      </c>
    </row>
    <row r="403" spans="1:13" hidden="1" x14ac:dyDescent="0.25">
      <c r="A403" t="s">
        <v>657</v>
      </c>
      <c r="B403" t="s">
        <v>691</v>
      </c>
      <c r="C403" t="s">
        <v>136</v>
      </c>
      <c r="D403">
        <v>44</v>
      </c>
      <c r="E403">
        <v>51</v>
      </c>
      <c r="F403" t="s">
        <v>217</v>
      </c>
      <c r="G403" t="s">
        <v>509</v>
      </c>
      <c r="H403">
        <v>2.6957750000000003</v>
      </c>
      <c r="I403">
        <v>10</v>
      </c>
      <c r="J403">
        <v>6</v>
      </c>
      <c r="K403">
        <v>6</v>
      </c>
      <c r="L403">
        <v>1</v>
      </c>
      <c r="M403" t="s">
        <v>684</v>
      </c>
    </row>
    <row r="404" spans="1:13" hidden="1" x14ac:dyDescent="0.25">
      <c r="A404" t="s">
        <v>657</v>
      </c>
      <c r="C404" t="s">
        <v>153</v>
      </c>
      <c r="D404">
        <v>32</v>
      </c>
      <c r="E404">
        <v>63</v>
      </c>
      <c r="F404" t="s">
        <v>217</v>
      </c>
      <c r="G404" t="s">
        <v>665</v>
      </c>
      <c r="H404">
        <v>9.9902249999999988</v>
      </c>
      <c r="I404">
        <v>7.5</v>
      </c>
      <c r="J404">
        <v>2</v>
      </c>
      <c r="K404">
        <v>6</v>
      </c>
      <c r="L404">
        <v>1</v>
      </c>
      <c r="M404" t="s">
        <v>685</v>
      </c>
    </row>
    <row r="405" spans="1:13" hidden="1" x14ac:dyDescent="0.25">
      <c r="A405" t="s">
        <v>657</v>
      </c>
      <c r="C405" t="s">
        <v>136</v>
      </c>
      <c r="D405">
        <v>38</v>
      </c>
      <c r="E405">
        <v>63</v>
      </c>
      <c r="F405" t="s">
        <v>122</v>
      </c>
      <c r="G405" t="s">
        <v>686</v>
      </c>
      <c r="H405">
        <v>3.3300749999999999</v>
      </c>
      <c r="I405">
        <v>10.5</v>
      </c>
      <c r="J405">
        <v>6</v>
      </c>
      <c r="K405">
        <v>6</v>
      </c>
      <c r="L405">
        <v>1</v>
      </c>
      <c r="M405" t="s">
        <v>684</v>
      </c>
    </row>
    <row r="406" spans="1:13" hidden="1" x14ac:dyDescent="0.25">
      <c r="A406" t="s">
        <v>657</v>
      </c>
      <c r="B406" t="s">
        <v>717</v>
      </c>
      <c r="C406" t="s">
        <v>136</v>
      </c>
      <c r="D406">
        <v>50</v>
      </c>
      <c r="E406">
        <v>51</v>
      </c>
      <c r="F406" t="s">
        <v>122</v>
      </c>
      <c r="G406" t="s">
        <v>687</v>
      </c>
      <c r="H406">
        <v>8.0873249999999999</v>
      </c>
      <c r="I406">
        <v>10.5</v>
      </c>
      <c r="J406">
        <v>2</v>
      </c>
      <c r="K406">
        <v>6</v>
      </c>
      <c r="L406">
        <v>1</v>
      </c>
      <c r="M406" t="s">
        <v>688</v>
      </c>
    </row>
    <row r="407" spans="1:13" hidden="1" x14ac:dyDescent="0.25">
      <c r="A407" t="s">
        <v>657</v>
      </c>
      <c r="B407" t="s">
        <v>934</v>
      </c>
      <c r="C407" t="s">
        <v>136</v>
      </c>
      <c r="D407">
        <v>38</v>
      </c>
      <c r="E407">
        <v>63</v>
      </c>
      <c r="F407" t="s">
        <v>122</v>
      </c>
      <c r="G407" t="s">
        <v>689</v>
      </c>
      <c r="H407">
        <v>3.3300749999999999</v>
      </c>
      <c r="I407">
        <v>11</v>
      </c>
      <c r="J407">
        <v>6</v>
      </c>
      <c r="K407">
        <v>6</v>
      </c>
      <c r="L407">
        <v>1</v>
      </c>
      <c r="M407" t="s">
        <v>690</v>
      </c>
    </row>
    <row r="408" spans="1:13" hidden="1" x14ac:dyDescent="0.25">
      <c r="A408" t="s">
        <v>657</v>
      </c>
      <c r="C408" t="s">
        <v>136</v>
      </c>
      <c r="D408">
        <v>44</v>
      </c>
      <c r="E408">
        <v>51</v>
      </c>
      <c r="F408" t="s">
        <v>122</v>
      </c>
      <c r="G408" t="s">
        <v>691</v>
      </c>
      <c r="H408">
        <v>4.0436624999999999</v>
      </c>
      <c r="I408">
        <v>11.2</v>
      </c>
      <c r="J408">
        <v>4</v>
      </c>
      <c r="K408">
        <v>6</v>
      </c>
      <c r="L408">
        <v>1</v>
      </c>
      <c r="M408" t="s">
        <v>684</v>
      </c>
    </row>
    <row r="409" spans="1:13" hidden="1" x14ac:dyDescent="0.25">
      <c r="A409" t="s">
        <v>657</v>
      </c>
      <c r="B409" t="s">
        <v>935</v>
      </c>
      <c r="C409" t="s">
        <v>136</v>
      </c>
      <c r="D409">
        <v>39</v>
      </c>
      <c r="E409">
        <v>63</v>
      </c>
      <c r="F409" t="s">
        <v>122</v>
      </c>
      <c r="G409" t="s">
        <v>692</v>
      </c>
      <c r="H409">
        <v>19.980449999999998</v>
      </c>
      <c r="I409">
        <v>11</v>
      </c>
      <c r="J409">
        <v>1</v>
      </c>
      <c r="K409">
        <v>6</v>
      </c>
      <c r="L409">
        <v>1</v>
      </c>
      <c r="M409" t="s">
        <v>693</v>
      </c>
    </row>
    <row r="410" spans="1:13" hidden="1" x14ac:dyDescent="0.25">
      <c r="A410" t="s">
        <v>657</v>
      </c>
      <c r="B410" t="s">
        <v>936</v>
      </c>
      <c r="C410" t="s">
        <v>136</v>
      </c>
      <c r="D410">
        <v>20</v>
      </c>
      <c r="E410">
        <v>63</v>
      </c>
      <c r="F410" t="s">
        <v>217</v>
      </c>
      <c r="G410" t="s">
        <v>694</v>
      </c>
      <c r="H410">
        <v>9.9902249999999988</v>
      </c>
      <c r="I410">
        <v>12</v>
      </c>
      <c r="J410">
        <v>2</v>
      </c>
      <c r="K410">
        <v>6</v>
      </c>
      <c r="L410">
        <v>1</v>
      </c>
      <c r="M410" t="s">
        <v>695</v>
      </c>
    </row>
    <row r="411" spans="1:13" hidden="1" x14ac:dyDescent="0.25">
      <c r="A411" t="s">
        <v>657</v>
      </c>
      <c r="B411" t="s">
        <v>697</v>
      </c>
      <c r="C411" t="s">
        <v>172</v>
      </c>
      <c r="D411">
        <v>24</v>
      </c>
      <c r="E411">
        <v>78</v>
      </c>
      <c r="F411" t="s">
        <v>217</v>
      </c>
      <c r="G411" t="s">
        <v>696</v>
      </c>
      <c r="H411">
        <v>12.36885</v>
      </c>
      <c r="I411">
        <v>11</v>
      </c>
      <c r="J411">
        <v>2</v>
      </c>
      <c r="K411">
        <v>6</v>
      </c>
      <c r="L411">
        <v>4</v>
      </c>
      <c r="M411" t="s">
        <v>697</v>
      </c>
    </row>
    <row r="412" spans="1:13" hidden="1" x14ac:dyDescent="0.25">
      <c r="A412" t="s">
        <v>657</v>
      </c>
      <c r="C412" t="s">
        <v>136</v>
      </c>
      <c r="D412">
        <v>48</v>
      </c>
      <c r="E412">
        <v>78</v>
      </c>
      <c r="F412" t="s">
        <v>217</v>
      </c>
      <c r="G412" t="s">
        <v>937</v>
      </c>
      <c r="H412">
        <v>12.36885</v>
      </c>
      <c r="I412">
        <v>21</v>
      </c>
      <c r="J412">
        <v>2</v>
      </c>
      <c r="K412">
        <v>6</v>
      </c>
      <c r="L412">
        <v>2</v>
      </c>
      <c r="M412" t="s">
        <v>938</v>
      </c>
    </row>
    <row r="413" spans="1:13" hidden="1" x14ac:dyDescent="0.25">
      <c r="A413" t="s">
        <v>657</v>
      </c>
      <c r="B413" t="s">
        <v>939</v>
      </c>
      <c r="C413" t="s">
        <v>153</v>
      </c>
      <c r="D413">
        <v>4</v>
      </c>
      <c r="E413">
        <v>47</v>
      </c>
      <c r="F413" t="s">
        <v>217</v>
      </c>
      <c r="G413" t="s">
        <v>698</v>
      </c>
      <c r="H413">
        <v>14.906049999999999</v>
      </c>
      <c r="I413">
        <v>11</v>
      </c>
      <c r="J413">
        <v>1</v>
      </c>
      <c r="K413">
        <v>6</v>
      </c>
      <c r="L413">
        <v>1</v>
      </c>
      <c r="M413" t="s">
        <v>699</v>
      </c>
    </row>
    <row r="414" spans="1:13" hidden="1" x14ac:dyDescent="0.25">
      <c r="A414" t="s">
        <v>657</v>
      </c>
      <c r="B414" t="s">
        <v>734</v>
      </c>
      <c r="C414" t="s">
        <v>136</v>
      </c>
      <c r="D414">
        <v>47</v>
      </c>
      <c r="E414">
        <v>57</v>
      </c>
      <c r="F414" t="s">
        <v>122</v>
      </c>
      <c r="G414" t="s">
        <v>700</v>
      </c>
      <c r="H414">
        <v>18.077549999999999</v>
      </c>
      <c r="I414">
        <v>8.5</v>
      </c>
      <c r="J414">
        <v>1</v>
      </c>
      <c r="K414">
        <v>6</v>
      </c>
      <c r="L414">
        <v>1</v>
      </c>
      <c r="M414" t="s">
        <v>701</v>
      </c>
    </row>
    <row r="415" spans="1:13" hidden="1" x14ac:dyDescent="0.25">
      <c r="A415" t="s">
        <v>657</v>
      </c>
      <c r="C415" t="s">
        <v>136</v>
      </c>
      <c r="D415">
        <v>13</v>
      </c>
      <c r="E415">
        <v>57</v>
      </c>
      <c r="F415" t="s">
        <v>217</v>
      </c>
      <c r="G415" t="s">
        <v>702</v>
      </c>
      <c r="H415">
        <v>18.077549999999999</v>
      </c>
      <c r="I415">
        <v>24</v>
      </c>
      <c r="J415">
        <v>1</v>
      </c>
      <c r="K415">
        <v>6</v>
      </c>
      <c r="L415">
        <v>3</v>
      </c>
      <c r="M415" t="s">
        <v>703</v>
      </c>
    </row>
    <row r="416" spans="1:13" hidden="1" x14ac:dyDescent="0.25">
      <c r="A416" t="s">
        <v>657</v>
      </c>
      <c r="C416" t="s">
        <v>136</v>
      </c>
      <c r="D416">
        <v>33</v>
      </c>
      <c r="E416">
        <v>57</v>
      </c>
      <c r="F416" t="s">
        <v>217</v>
      </c>
      <c r="G416" t="s">
        <v>702</v>
      </c>
      <c r="H416">
        <v>18.077549999999999</v>
      </c>
      <c r="I416">
        <v>24</v>
      </c>
      <c r="J416">
        <v>1</v>
      </c>
      <c r="K416">
        <v>6</v>
      </c>
      <c r="L416">
        <v>3</v>
      </c>
      <c r="M416" t="s">
        <v>703</v>
      </c>
    </row>
    <row r="417" spans="1:13" hidden="1" x14ac:dyDescent="0.25">
      <c r="A417" t="s">
        <v>657</v>
      </c>
      <c r="C417" t="s">
        <v>172</v>
      </c>
      <c r="D417">
        <v>3</v>
      </c>
      <c r="E417">
        <v>47</v>
      </c>
      <c r="F417" t="s">
        <v>217</v>
      </c>
      <c r="G417" t="s">
        <v>704</v>
      </c>
      <c r="H417">
        <v>4.9686833333333329</v>
      </c>
      <c r="I417">
        <v>23.5</v>
      </c>
      <c r="J417">
        <v>3</v>
      </c>
      <c r="K417">
        <v>6</v>
      </c>
      <c r="L417">
        <v>1</v>
      </c>
      <c r="M417" t="s">
        <v>705</v>
      </c>
    </row>
    <row r="418" spans="1:13" hidden="1" x14ac:dyDescent="0.25">
      <c r="A418" t="s">
        <v>657</v>
      </c>
      <c r="B418" t="s">
        <v>940</v>
      </c>
      <c r="C418" t="s">
        <v>136</v>
      </c>
      <c r="D418">
        <v>49</v>
      </c>
      <c r="E418">
        <v>63</v>
      </c>
      <c r="F418" t="s">
        <v>217</v>
      </c>
      <c r="G418" t="s">
        <v>706</v>
      </c>
      <c r="H418">
        <v>19.980449999999998</v>
      </c>
      <c r="I418">
        <v>23.5</v>
      </c>
      <c r="J418">
        <v>1</v>
      </c>
      <c r="K418">
        <v>6</v>
      </c>
      <c r="L418">
        <v>1</v>
      </c>
      <c r="M418" t="s">
        <v>941</v>
      </c>
    </row>
    <row r="419" spans="1:13" hidden="1" x14ac:dyDescent="0.25">
      <c r="A419" t="s">
        <v>657</v>
      </c>
      <c r="B419" t="s">
        <v>717</v>
      </c>
      <c r="C419" t="s">
        <v>136</v>
      </c>
      <c r="D419">
        <v>46</v>
      </c>
      <c r="E419">
        <v>63</v>
      </c>
      <c r="F419" t="s">
        <v>122</v>
      </c>
      <c r="G419" t="s">
        <v>707</v>
      </c>
      <c r="H419">
        <v>6.6601499999999998</v>
      </c>
      <c r="I419">
        <v>10.5</v>
      </c>
      <c r="J419">
        <v>3</v>
      </c>
      <c r="K419">
        <v>6</v>
      </c>
      <c r="L419">
        <v>2</v>
      </c>
      <c r="M419" t="s">
        <v>708</v>
      </c>
    </row>
    <row r="420" spans="1:13" hidden="1" x14ac:dyDescent="0.25">
      <c r="A420" t="s">
        <v>657</v>
      </c>
    </row>
    <row r="421" spans="1:13" hidden="1" x14ac:dyDescent="0.25">
      <c r="A421" t="s">
        <v>657</v>
      </c>
      <c r="B421" t="s">
        <v>942</v>
      </c>
      <c r="C421" t="s">
        <v>172</v>
      </c>
      <c r="D421">
        <v>12</v>
      </c>
      <c r="E421">
        <v>54</v>
      </c>
      <c r="F421" t="s">
        <v>709</v>
      </c>
      <c r="G421">
        <v>4</v>
      </c>
      <c r="H421">
        <v>4.2815250000000002</v>
      </c>
      <c r="I421">
        <v>9</v>
      </c>
      <c r="J421">
        <v>4</v>
      </c>
      <c r="K421">
        <v>6</v>
      </c>
      <c r="L421">
        <v>1</v>
      </c>
      <c r="M421" t="s">
        <v>710</v>
      </c>
    </row>
    <row r="422" spans="1:13" hidden="1" x14ac:dyDescent="0.25">
      <c r="A422" t="s">
        <v>657</v>
      </c>
      <c r="B422" t="s">
        <v>933</v>
      </c>
      <c r="C422" t="s">
        <v>136</v>
      </c>
      <c r="D422">
        <v>1</v>
      </c>
      <c r="E422">
        <v>47</v>
      </c>
      <c r="F422" t="s">
        <v>709</v>
      </c>
      <c r="G422">
        <v>4.76</v>
      </c>
      <c r="H422">
        <v>4.9686833333333329</v>
      </c>
      <c r="I422">
        <v>5.5</v>
      </c>
      <c r="J422">
        <v>3</v>
      </c>
      <c r="K422">
        <v>6</v>
      </c>
      <c r="L422">
        <v>1</v>
      </c>
      <c r="M422" t="s">
        <v>711</v>
      </c>
    </row>
    <row r="423" spans="1:13" hidden="1" x14ac:dyDescent="0.25">
      <c r="A423" t="s">
        <v>657</v>
      </c>
      <c r="C423" t="s">
        <v>136</v>
      </c>
      <c r="D423">
        <v>34</v>
      </c>
      <c r="E423">
        <v>47</v>
      </c>
      <c r="F423" t="s">
        <v>709</v>
      </c>
      <c r="G423">
        <v>4.76</v>
      </c>
      <c r="H423">
        <v>4.9686833333333329</v>
      </c>
      <c r="I423">
        <v>5.5</v>
      </c>
      <c r="J423">
        <v>3</v>
      </c>
      <c r="K423">
        <v>6</v>
      </c>
      <c r="L423">
        <v>4</v>
      </c>
      <c r="M423" t="s">
        <v>230</v>
      </c>
    </row>
    <row r="424" spans="1:13" hidden="1" x14ac:dyDescent="0.25">
      <c r="A424" t="s">
        <v>657</v>
      </c>
      <c r="B424" t="s">
        <v>943</v>
      </c>
      <c r="C424" t="s">
        <v>136</v>
      </c>
      <c r="D424">
        <v>26</v>
      </c>
      <c r="E424">
        <v>47</v>
      </c>
      <c r="F424" t="s">
        <v>709</v>
      </c>
      <c r="G424" t="s">
        <v>712</v>
      </c>
      <c r="H424">
        <v>4.9686833333333329</v>
      </c>
      <c r="I424">
        <v>12</v>
      </c>
      <c r="J424">
        <v>3</v>
      </c>
      <c r="K424">
        <v>6</v>
      </c>
      <c r="L424">
        <v>1</v>
      </c>
      <c r="M424" t="s">
        <v>662</v>
      </c>
    </row>
    <row r="425" spans="1:13" hidden="1" x14ac:dyDescent="0.25">
      <c r="A425" t="s">
        <v>657</v>
      </c>
      <c r="B425" t="s">
        <v>933</v>
      </c>
      <c r="C425" t="s">
        <v>136</v>
      </c>
      <c r="D425">
        <v>1</v>
      </c>
      <c r="E425">
        <v>47</v>
      </c>
      <c r="F425" t="s">
        <v>709</v>
      </c>
      <c r="G425" t="s">
        <v>713</v>
      </c>
      <c r="H425">
        <v>4.9686833333333329</v>
      </c>
      <c r="I425">
        <v>5.5</v>
      </c>
      <c r="J425">
        <v>3</v>
      </c>
      <c r="K425">
        <v>6</v>
      </c>
      <c r="L425">
        <v>1</v>
      </c>
      <c r="M425" t="s">
        <v>677</v>
      </c>
    </row>
    <row r="426" spans="1:13" hidden="1" x14ac:dyDescent="0.25">
      <c r="A426" t="s">
        <v>657</v>
      </c>
      <c r="B426" t="s">
        <v>939</v>
      </c>
      <c r="C426" t="s">
        <v>153</v>
      </c>
      <c r="D426">
        <v>4</v>
      </c>
      <c r="E426">
        <v>47</v>
      </c>
      <c r="F426" t="s">
        <v>709</v>
      </c>
      <c r="G426" t="s">
        <v>714</v>
      </c>
      <c r="H426">
        <v>3.7265124999999997</v>
      </c>
      <c r="I426">
        <v>11</v>
      </c>
      <c r="J426">
        <v>4</v>
      </c>
      <c r="K426">
        <v>6</v>
      </c>
      <c r="L426">
        <v>2</v>
      </c>
      <c r="M426" t="s">
        <v>715</v>
      </c>
    </row>
    <row r="427" spans="1:13" hidden="1" x14ac:dyDescent="0.25">
      <c r="A427" t="s">
        <v>657</v>
      </c>
      <c r="B427" t="s">
        <v>944</v>
      </c>
      <c r="C427" t="s">
        <v>172</v>
      </c>
      <c r="D427">
        <v>50</v>
      </c>
      <c r="E427">
        <v>51</v>
      </c>
      <c r="F427" t="s">
        <v>709</v>
      </c>
      <c r="G427" t="s">
        <v>716</v>
      </c>
      <c r="H427">
        <v>16.17465</v>
      </c>
      <c r="I427">
        <v>13</v>
      </c>
      <c r="J427">
        <v>1</v>
      </c>
      <c r="K427">
        <v>6</v>
      </c>
      <c r="L427">
        <v>2</v>
      </c>
      <c r="M427" t="s">
        <v>717</v>
      </c>
    </row>
    <row r="428" spans="1:13" hidden="1" x14ac:dyDescent="0.25">
      <c r="A428" t="s">
        <v>657</v>
      </c>
      <c r="C428" t="s">
        <v>136</v>
      </c>
      <c r="D428">
        <v>9</v>
      </c>
      <c r="E428">
        <v>54</v>
      </c>
      <c r="F428" t="s">
        <v>709</v>
      </c>
      <c r="G428" t="s">
        <v>718</v>
      </c>
      <c r="H428">
        <v>5.7086999999999994</v>
      </c>
      <c r="I428">
        <v>25</v>
      </c>
      <c r="J428">
        <v>3</v>
      </c>
      <c r="K428">
        <v>6</v>
      </c>
      <c r="L428">
        <v>5</v>
      </c>
      <c r="M428" t="s">
        <v>223</v>
      </c>
    </row>
    <row r="429" spans="1:13" hidden="1" x14ac:dyDescent="0.25">
      <c r="A429" t="s">
        <v>657</v>
      </c>
      <c r="B429" t="s">
        <v>945</v>
      </c>
      <c r="C429" t="s">
        <v>172</v>
      </c>
      <c r="D429">
        <v>12</v>
      </c>
      <c r="E429">
        <v>54</v>
      </c>
      <c r="F429" t="s">
        <v>126</v>
      </c>
      <c r="G429" t="s">
        <v>719</v>
      </c>
      <c r="H429">
        <v>4.2815250000000002</v>
      </c>
      <c r="I429">
        <v>6.5</v>
      </c>
      <c r="J429">
        <v>4</v>
      </c>
      <c r="K429">
        <v>6</v>
      </c>
      <c r="L429">
        <v>1</v>
      </c>
      <c r="M429" t="s">
        <v>720</v>
      </c>
    </row>
    <row r="430" spans="1:13" hidden="1" x14ac:dyDescent="0.25">
      <c r="A430" t="s">
        <v>657</v>
      </c>
      <c r="B430" t="s">
        <v>946</v>
      </c>
      <c r="C430" t="s">
        <v>136</v>
      </c>
      <c r="D430">
        <v>27</v>
      </c>
      <c r="E430">
        <v>57</v>
      </c>
      <c r="F430" t="s">
        <v>709</v>
      </c>
      <c r="G430" t="s">
        <v>721</v>
      </c>
      <c r="H430">
        <v>6.0258500000000002</v>
      </c>
      <c r="I430">
        <v>6.5</v>
      </c>
      <c r="J430">
        <v>3</v>
      </c>
      <c r="K430">
        <v>6</v>
      </c>
      <c r="L430">
        <v>1</v>
      </c>
      <c r="M430" t="s">
        <v>722</v>
      </c>
    </row>
    <row r="431" spans="1:13" hidden="1" x14ac:dyDescent="0.25">
      <c r="A431" t="s">
        <v>657</v>
      </c>
      <c r="B431" t="s">
        <v>933</v>
      </c>
      <c r="C431" t="s">
        <v>136</v>
      </c>
      <c r="D431">
        <v>1</v>
      </c>
      <c r="E431">
        <v>47</v>
      </c>
      <c r="F431" t="s">
        <v>126</v>
      </c>
      <c r="G431" t="s">
        <v>723</v>
      </c>
      <c r="H431">
        <v>7.4530249999999993</v>
      </c>
      <c r="I431">
        <v>7</v>
      </c>
      <c r="J431">
        <v>2</v>
      </c>
      <c r="K431">
        <v>6</v>
      </c>
      <c r="L431">
        <v>1</v>
      </c>
      <c r="M431" t="s">
        <v>677</v>
      </c>
    </row>
    <row r="432" spans="1:13" hidden="1" x14ac:dyDescent="0.25">
      <c r="A432" t="s">
        <v>657</v>
      </c>
      <c r="B432" t="s">
        <v>946</v>
      </c>
      <c r="C432" t="s">
        <v>136</v>
      </c>
      <c r="D432">
        <v>27</v>
      </c>
      <c r="E432">
        <v>57</v>
      </c>
      <c r="F432" t="s">
        <v>709</v>
      </c>
      <c r="G432" t="s">
        <v>724</v>
      </c>
      <c r="H432">
        <v>6.0258500000000002</v>
      </c>
      <c r="I432">
        <v>7.5</v>
      </c>
      <c r="J432">
        <v>3</v>
      </c>
      <c r="K432">
        <v>6</v>
      </c>
      <c r="L432">
        <v>1</v>
      </c>
      <c r="M432" t="s">
        <v>725</v>
      </c>
    </row>
    <row r="433" spans="1:13" hidden="1" x14ac:dyDescent="0.25">
      <c r="A433" t="s">
        <v>657</v>
      </c>
      <c r="B433" t="s">
        <v>732</v>
      </c>
      <c r="C433" t="s">
        <v>136</v>
      </c>
      <c r="D433">
        <v>43</v>
      </c>
      <c r="E433">
        <v>47</v>
      </c>
      <c r="F433" t="s">
        <v>709</v>
      </c>
      <c r="G433" t="s">
        <v>726</v>
      </c>
      <c r="H433">
        <v>7.4530249999999993</v>
      </c>
      <c r="I433">
        <v>6.5</v>
      </c>
      <c r="J433">
        <v>2</v>
      </c>
      <c r="K433">
        <v>6</v>
      </c>
      <c r="L433">
        <v>1</v>
      </c>
      <c r="M433" t="s">
        <v>727</v>
      </c>
    </row>
    <row r="434" spans="1:13" hidden="1" x14ac:dyDescent="0.25">
      <c r="A434" t="s">
        <v>657</v>
      </c>
      <c r="C434" t="s">
        <v>172</v>
      </c>
      <c r="D434">
        <v>16</v>
      </c>
      <c r="E434">
        <v>57</v>
      </c>
      <c r="F434" t="s">
        <v>709</v>
      </c>
      <c r="G434" t="s">
        <v>728</v>
      </c>
      <c r="H434">
        <v>6.0258500000000002</v>
      </c>
      <c r="I434">
        <v>8.5</v>
      </c>
      <c r="J434">
        <v>3</v>
      </c>
      <c r="K434">
        <v>6</v>
      </c>
      <c r="L434">
        <v>1</v>
      </c>
      <c r="M434" t="s">
        <v>499</v>
      </c>
    </row>
    <row r="435" spans="1:13" hidden="1" x14ac:dyDescent="0.25">
      <c r="A435" t="s">
        <v>657</v>
      </c>
      <c r="B435" t="s">
        <v>947</v>
      </c>
      <c r="C435" t="s">
        <v>172</v>
      </c>
      <c r="D435">
        <v>12</v>
      </c>
      <c r="E435">
        <v>54</v>
      </c>
      <c r="F435" t="s">
        <v>709</v>
      </c>
      <c r="G435" t="s">
        <v>729</v>
      </c>
      <c r="H435">
        <v>8.5630500000000005</v>
      </c>
      <c r="I435">
        <v>6.5</v>
      </c>
      <c r="J435">
        <v>2</v>
      </c>
      <c r="K435">
        <v>6</v>
      </c>
      <c r="L435">
        <v>1</v>
      </c>
      <c r="M435" t="s">
        <v>730</v>
      </c>
    </row>
    <row r="436" spans="1:13" hidden="1" x14ac:dyDescent="0.25">
      <c r="A436" t="s">
        <v>657</v>
      </c>
      <c r="B436" t="s">
        <v>727</v>
      </c>
      <c r="C436" t="s">
        <v>136</v>
      </c>
      <c r="D436">
        <v>43</v>
      </c>
      <c r="E436">
        <v>47</v>
      </c>
      <c r="F436" t="s">
        <v>709</v>
      </c>
      <c r="G436" t="s">
        <v>731</v>
      </c>
      <c r="H436">
        <v>4.9686833333333329</v>
      </c>
      <c r="I436">
        <v>18</v>
      </c>
      <c r="J436">
        <v>3</v>
      </c>
      <c r="K436">
        <v>6</v>
      </c>
      <c r="L436">
        <v>2</v>
      </c>
      <c r="M436" t="s">
        <v>732</v>
      </c>
    </row>
    <row r="437" spans="1:13" hidden="1" x14ac:dyDescent="0.25">
      <c r="A437" t="s">
        <v>657</v>
      </c>
      <c r="B437" t="s">
        <v>948</v>
      </c>
      <c r="C437" t="s">
        <v>136</v>
      </c>
      <c r="D437">
        <v>47</v>
      </c>
      <c r="E437">
        <v>57</v>
      </c>
      <c r="F437" t="s">
        <v>126</v>
      </c>
      <c r="G437" t="s">
        <v>733</v>
      </c>
      <c r="H437">
        <v>9.0387749999999993</v>
      </c>
      <c r="I437">
        <v>14</v>
      </c>
      <c r="J437">
        <v>2</v>
      </c>
      <c r="K437">
        <v>6</v>
      </c>
      <c r="L437">
        <v>2</v>
      </c>
      <c r="M437" t="s">
        <v>734</v>
      </c>
    </row>
    <row r="438" spans="1:13" hidden="1" x14ac:dyDescent="0.25">
      <c r="A438" t="s">
        <v>657</v>
      </c>
      <c r="B438" t="s">
        <v>949</v>
      </c>
      <c r="C438" t="s">
        <v>136</v>
      </c>
      <c r="D438">
        <v>42</v>
      </c>
      <c r="E438">
        <v>47</v>
      </c>
      <c r="F438" t="s">
        <v>709</v>
      </c>
      <c r="G438" t="s">
        <v>735</v>
      </c>
      <c r="H438">
        <v>14.906049999999999</v>
      </c>
      <c r="I438">
        <v>9.5</v>
      </c>
      <c r="J438">
        <v>1</v>
      </c>
      <c r="K438">
        <v>6</v>
      </c>
      <c r="L438">
        <v>1</v>
      </c>
      <c r="M438" t="s">
        <v>624</v>
      </c>
    </row>
    <row r="439" spans="1:13" hidden="1" x14ac:dyDescent="0.25">
      <c r="A439" t="s">
        <v>657</v>
      </c>
      <c r="B439" t="s">
        <v>950</v>
      </c>
      <c r="C439" t="s">
        <v>136</v>
      </c>
      <c r="D439">
        <v>20</v>
      </c>
      <c r="E439">
        <v>63</v>
      </c>
      <c r="F439" t="s">
        <v>709</v>
      </c>
      <c r="G439" t="s">
        <v>736</v>
      </c>
      <c r="H439">
        <v>9.9902249999999988</v>
      </c>
      <c r="I439">
        <v>6.5</v>
      </c>
      <c r="J439">
        <v>2</v>
      </c>
      <c r="K439">
        <v>6</v>
      </c>
      <c r="L439">
        <v>1</v>
      </c>
      <c r="M439" t="s">
        <v>737</v>
      </c>
    </row>
    <row r="440" spans="1:13" hidden="1" x14ac:dyDescent="0.25">
      <c r="A440" t="s">
        <v>657</v>
      </c>
      <c r="B440" t="s">
        <v>951</v>
      </c>
      <c r="C440" t="s">
        <v>136</v>
      </c>
      <c r="D440">
        <v>21</v>
      </c>
      <c r="E440">
        <v>63</v>
      </c>
      <c r="F440" t="s">
        <v>709</v>
      </c>
      <c r="G440" t="s">
        <v>738</v>
      </c>
      <c r="H440">
        <v>9.9902249999999988</v>
      </c>
      <c r="I440">
        <v>7</v>
      </c>
      <c r="J440">
        <v>2</v>
      </c>
      <c r="K440">
        <v>6</v>
      </c>
      <c r="L440">
        <v>1</v>
      </c>
      <c r="M440" t="s">
        <v>739</v>
      </c>
    </row>
    <row r="441" spans="1:13" hidden="1" x14ac:dyDescent="0.25">
      <c r="A441" t="s">
        <v>657</v>
      </c>
      <c r="B441" t="s">
        <v>741</v>
      </c>
      <c r="C441" t="s">
        <v>172</v>
      </c>
      <c r="D441">
        <v>17</v>
      </c>
      <c r="E441">
        <v>57</v>
      </c>
      <c r="F441" t="s">
        <v>709</v>
      </c>
      <c r="G441" t="s">
        <v>740</v>
      </c>
      <c r="H441">
        <v>9.0387749999999993</v>
      </c>
      <c r="I441">
        <v>10.5</v>
      </c>
      <c r="J441">
        <v>2</v>
      </c>
      <c r="K441">
        <v>6</v>
      </c>
      <c r="L441">
        <v>1</v>
      </c>
      <c r="M441" t="s">
        <v>741</v>
      </c>
    </row>
    <row r="442" spans="1:13" hidden="1" x14ac:dyDescent="0.25">
      <c r="A442" t="s">
        <v>657</v>
      </c>
    </row>
    <row r="443" spans="1:13" hidden="1" x14ac:dyDescent="0.25">
      <c r="A443" t="s">
        <v>657</v>
      </c>
      <c r="C443" t="s">
        <v>136</v>
      </c>
      <c r="D443">
        <v>28</v>
      </c>
      <c r="E443">
        <v>63</v>
      </c>
      <c r="F443" t="s">
        <v>709</v>
      </c>
      <c r="G443" t="s">
        <v>591</v>
      </c>
      <c r="H443">
        <v>6.6601499999999998</v>
      </c>
      <c r="I443">
        <v>10.5</v>
      </c>
      <c r="J443">
        <v>3</v>
      </c>
      <c r="K443">
        <v>6</v>
      </c>
      <c r="L443">
        <v>1</v>
      </c>
      <c r="M443" t="s">
        <v>742</v>
      </c>
    </row>
    <row r="444" spans="1:13" hidden="1" x14ac:dyDescent="0.25">
      <c r="A444" t="s">
        <v>657</v>
      </c>
      <c r="B444" t="s">
        <v>952</v>
      </c>
      <c r="C444" t="s">
        <v>136</v>
      </c>
      <c r="D444">
        <v>2</v>
      </c>
      <c r="E444">
        <v>47</v>
      </c>
      <c r="F444" t="s">
        <v>709</v>
      </c>
      <c r="G444" t="s">
        <v>743</v>
      </c>
      <c r="H444">
        <v>7.4530249999999993</v>
      </c>
      <c r="I444">
        <v>10.5</v>
      </c>
      <c r="J444">
        <v>2</v>
      </c>
      <c r="L444">
        <v>1</v>
      </c>
      <c r="M444" t="s">
        <v>744</v>
      </c>
    </row>
    <row r="445" spans="1:13" hidden="1" x14ac:dyDescent="0.25">
      <c r="A445" t="s">
        <v>657</v>
      </c>
      <c r="C445" t="s">
        <v>136</v>
      </c>
      <c r="D445">
        <v>37</v>
      </c>
      <c r="E445">
        <v>57</v>
      </c>
      <c r="F445" t="s">
        <v>126</v>
      </c>
      <c r="G445" t="s">
        <v>745</v>
      </c>
      <c r="H445">
        <v>9.0387749999999993</v>
      </c>
      <c r="I445">
        <v>11</v>
      </c>
      <c r="J445">
        <v>2</v>
      </c>
      <c r="K445">
        <v>6</v>
      </c>
      <c r="L445">
        <v>1</v>
      </c>
      <c r="M445" t="s">
        <v>746</v>
      </c>
    </row>
    <row r="446" spans="1:13" hidden="1" x14ac:dyDescent="0.25">
      <c r="A446" t="s">
        <v>657</v>
      </c>
      <c r="B446" t="s">
        <v>946</v>
      </c>
      <c r="C446" t="s">
        <v>136</v>
      </c>
      <c r="D446">
        <v>27</v>
      </c>
      <c r="E446">
        <v>57</v>
      </c>
      <c r="F446" t="s">
        <v>709</v>
      </c>
      <c r="G446" t="s">
        <v>747</v>
      </c>
      <c r="H446">
        <v>9.0387749999999993</v>
      </c>
      <c r="I446">
        <v>11</v>
      </c>
      <c r="J446">
        <v>2</v>
      </c>
      <c r="K446">
        <v>6</v>
      </c>
      <c r="L446">
        <v>1</v>
      </c>
      <c r="M446" t="s">
        <v>748</v>
      </c>
    </row>
    <row r="447" spans="1:13" hidden="1" x14ac:dyDescent="0.25">
      <c r="A447" t="s">
        <v>657</v>
      </c>
      <c r="C447" t="s">
        <v>172</v>
      </c>
      <c r="D447">
        <v>22</v>
      </c>
      <c r="E447">
        <v>63</v>
      </c>
      <c r="F447" t="s">
        <v>126</v>
      </c>
      <c r="G447" t="s">
        <v>749</v>
      </c>
      <c r="H447">
        <v>9.9902249999999988</v>
      </c>
      <c r="I447">
        <v>11</v>
      </c>
      <c r="J447">
        <v>2</v>
      </c>
      <c r="L447">
        <v>1</v>
      </c>
      <c r="M447" t="s">
        <v>750</v>
      </c>
    </row>
    <row r="448" spans="1:13" hidden="1" x14ac:dyDescent="0.25">
      <c r="A448" t="s">
        <v>657</v>
      </c>
      <c r="B448" t="s">
        <v>927</v>
      </c>
      <c r="C448" t="s">
        <v>136</v>
      </c>
      <c r="D448">
        <v>26</v>
      </c>
      <c r="E448">
        <v>47</v>
      </c>
      <c r="F448" t="s">
        <v>126</v>
      </c>
      <c r="G448" t="s">
        <v>751</v>
      </c>
      <c r="H448">
        <v>4.9686833333333329</v>
      </c>
      <c r="I448">
        <v>12</v>
      </c>
      <c r="J448">
        <v>3</v>
      </c>
      <c r="K448">
        <v>6</v>
      </c>
      <c r="L448">
        <v>1</v>
      </c>
      <c r="M448" t="s">
        <v>662</v>
      </c>
    </row>
    <row r="449" spans="1:13" hidden="1" x14ac:dyDescent="0.25">
      <c r="A449" t="s">
        <v>657</v>
      </c>
      <c r="B449" t="s">
        <v>953</v>
      </c>
      <c r="C449" t="s">
        <v>136</v>
      </c>
      <c r="D449">
        <v>21</v>
      </c>
      <c r="E449">
        <v>63</v>
      </c>
      <c r="F449" t="s">
        <v>709</v>
      </c>
      <c r="G449" t="s">
        <v>752</v>
      </c>
      <c r="H449">
        <v>9.9902249999999988</v>
      </c>
      <c r="I449">
        <v>11.5</v>
      </c>
      <c r="J449">
        <v>2</v>
      </c>
      <c r="K449">
        <v>6</v>
      </c>
      <c r="L449">
        <v>1</v>
      </c>
      <c r="M449" t="s">
        <v>753</v>
      </c>
    </row>
    <row r="450" spans="1:13" hidden="1" x14ac:dyDescent="0.25">
      <c r="A450" t="s">
        <v>657</v>
      </c>
      <c r="C450" t="s">
        <v>172</v>
      </c>
      <c r="D450">
        <v>22</v>
      </c>
      <c r="E450">
        <v>63</v>
      </c>
      <c r="F450" t="s">
        <v>709</v>
      </c>
      <c r="G450" t="s">
        <v>754</v>
      </c>
      <c r="H450">
        <v>6.6601499999999998</v>
      </c>
      <c r="I450">
        <v>14</v>
      </c>
      <c r="J450">
        <v>3</v>
      </c>
      <c r="L450">
        <v>1</v>
      </c>
      <c r="M450" t="s">
        <v>755</v>
      </c>
    </row>
    <row r="451" spans="1:13" hidden="1" x14ac:dyDescent="0.25">
      <c r="A451" t="s">
        <v>657</v>
      </c>
      <c r="B451" t="s">
        <v>528</v>
      </c>
      <c r="C451" t="s">
        <v>136</v>
      </c>
      <c r="D451">
        <v>39</v>
      </c>
      <c r="E451">
        <v>63</v>
      </c>
      <c r="F451" t="s">
        <v>709</v>
      </c>
      <c r="G451" t="s">
        <v>756</v>
      </c>
      <c r="H451">
        <v>9.9902249999999988</v>
      </c>
      <c r="I451">
        <v>14</v>
      </c>
      <c r="J451">
        <v>2</v>
      </c>
      <c r="K451">
        <v>6</v>
      </c>
      <c r="L451">
        <v>1</v>
      </c>
      <c r="M451" t="s">
        <v>757</v>
      </c>
    </row>
    <row r="452" spans="1:13" hidden="1" x14ac:dyDescent="0.25">
      <c r="A452" t="s">
        <v>657</v>
      </c>
      <c r="C452" t="s">
        <v>136</v>
      </c>
      <c r="D452">
        <v>37</v>
      </c>
      <c r="E452">
        <v>57</v>
      </c>
      <c r="F452" t="s">
        <v>126</v>
      </c>
      <c r="G452" t="s">
        <v>758</v>
      </c>
      <c r="H452">
        <v>9.0387749999999993</v>
      </c>
      <c r="I452">
        <v>14.5</v>
      </c>
      <c r="J452">
        <v>2</v>
      </c>
      <c r="K452">
        <v>6</v>
      </c>
      <c r="L452">
        <v>1</v>
      </c>
      <c r="M452" t="s">
        <v>565</v>
      </c>
    </row>
    <row r="453" spans="1:13" hidden="1" x14ac:dyDescent="0.25">
      <c r="A453" t="s">
        <v>657</v>
      </c>
      <c r="B453" t="s">
        <v>954</v>
      </c>
      <c r="C453" t="s">
        <v>136</v>
      </c>
      <c r="D453">
        <v>26</v>
      </c>
      <c r="E453">
        <v>47</v>
      </c>
      <c r="F453" t="s">
        <v>709</v>
      </c>
      <c r="G453" t="s">
        <v>759</v>
      </c>
      <c r="H453">
        <v>14.906049999999999</v>
      </c>
      <c r="I453">
        <v>8.5</v>
      </c>
      <c r="J453">
        <v>1</v>
      </c>
      <c r="K453">
        <v>6</v>
      </c>
      <c r="L453">
        <v>1</v>
      </c>
      <c r="M453" t="s">
        <v>662</v>
      </c>
    </row>
    <row r="454" spans="1:13" hidden="1" x14ac:dyDescent="0.25">
      <c r="A454" t="s">
        <v>657</v>
      </c>
      <c r="B454" t="s">
        <v>955</v>
      </c>
      <c r="C454" t="s">
        <v>136</v>
      </c>
      <c r="D454">
        <v>42</v>
      </c>
      <c r="E454">
        <v>47</v>
      </c>
      <c r="F454" t="s">
        <v>709</v>
      </c>
      <c r="G454" t="s">
        <v>760</v>
      </c>
      <c r="H454">
        <v>14.906049999999999</v>
      </c>
      <c r="I454">
        <v>11</v>
      </c>
      <c r="J454">
        <v>1</v>
      </c>
      <c r="K454">
        <v>6</v>
      </c>
      <c r="L454">
        <v>1</v>
      </c>
      <c r="M454" t="s">
        <v>761</v>
      </c>
    </row>
    <row r="455" spans="1:13" hidden="1" x14ac:dyDescent="0.25">
      <c r="A455" t="s">
        <v>657</v>
      </c>
      <c r="B455" t="s">
        <v>956</v>
      </c>
      <c r="C455" t="s">
        <v>136</v>
      </c>
      <c r="D455">
        <v>2</v>
      </c>
      <c r="E455">
        <v>47</v>
      </c>
      <c r="F455" t="s">
        <v>709</v>
      </c>
      <c r="G455" t="s">
        <v>762</v>
      </c>
      <c r="H455">
        <v>14.906049999999999</v>
      </c>
      <c r="I455">
        <v>13</v>
      </c>
      <c r="J455">
        <v>1</v>
      </c>
      <c r="L455">
        <v>1</v>
      </c>
      <c r="M455" t="s">
        <v>744</v>
      </c>
    </row>
    <row r="456" spans="1:13" hidden="1" x14ac:dyDescent="0.25">
      <c r="A456" t="s">
        <v>657</v>
      </c>
      <c r="B456" t="s">
        <v>957</v>
      </c>
      <c r="C456" t="s">
        <v>172</v>
      </c>
      <c r="D456">
        <v>41</v>
      </c>
      <c r="E456">
        <v>47</v>
      </c>
      <c r="F456" t="s">
        <v>709</v>
      </c>
      <c r="G456" t="s">
        <v>763</v>
      </c>
      <c r="H456">
        <v>14.906049999999999</v>
      </c>
      <c r="I456">
        <v>13.5</v>
      </c>
      <c r="J456">
        <v>1</v>
      </c>
      <c r="K456">
        <v>6</v>
      </c>
      <c r="L456">
        <v>1</v>
      </c>
      <c r="M456" t="s">
        <v>764</v>
      </c>
    </row>
    <row r="457" spans="1:13" hidden="1" x14ac:dyDescent="0.25">
      <c r="A457" t="s">
        <v>657</v>
      </c>
      <c r="B457" t="s">
        <v>766</v>
      </c>
      <c r="C457" t="s">
        <v>172</v>
      </c>
      <c r="D457">
        <v>17</v>
      </c>
      <c r="E457">
        <v>57</v>
      </c>
      <c r="F457" t="s">
        <v>709</v>
      </c>
      <c r="G457" t="s">
        <v>765</v>
      </c>
      <c r="H457">
        <v>18.077549999999999</v>
      </c>
      <c r="I457">
        <v>14.5</v>
      </c>
      <c r="J457">
        <v>1</v>
      </c>
      <c r="K457">
        <v>6</v>
      </c>
      <c r="L457">
        <v>2</v>
      </c>
      <c r="M457" t="s">
        <v>766</v>
      </c>
    </row>
    <row r="458" spans="1:13" hidden="1" x14ac:dyDescent="0.25">
      <c r="A458" t="s">
        <v>657</v>
      </c>
      <c r="B458" t="s">
        <v>958</v>
      </c>
      <c r="C458" t="s">
        <v>136</v>
      </c>
      <c r="D458">
        <v>21</v>
      </c>
      <c r="E458">
        <v>63</v>
      </c>
      <c r="F458" t="s">
        <v>709</v>
      </c>
      <c r="G458" t="s">
        <v>767</v>
      </c>
      <c r="H458">
        <v>2.2200499999999996</v>
      </c>
      <c r="I458">
        <v>6.5</v>
      </c>
      <c r="J458">
        <v>9</v>
      </c>
      <c r="K458">
        <v>6</v>
      </c>
      <c r="L458">
        <v>1</v>
      </c>
      <c r="M458" t="s">
        <v>739</v>
      </c>
    </row>
    <row r="459" spans="1:13" hidden="1" x14ac:dyDescent="0.25">
      <c r="A459" t="s">
        <v>657</v>
      </c>
      <c r="B459" t="s">
        <v>959</v>
      </c>
      <c r="C459" t="s">
        <v>136</v>
      </c>
      <c r="D459">
        <v>49</v>
      </c>
      <c r="E459">
        <v>63</v>
      </c>
      <c r="F459" t="s">
        <v>709</v>
      </c>
      <c r="G459" t="s">
        <v>788</v>
      </c>
      <c r="H459">
        <v>19.980449999999998</v>
      </c>
      <c r="I459">
        <v>9.5</v>
      </c>
      <c r="J459">
        <v>1</v>
      </c>
      <c r="K459">
        <v>6</v>
      </c>
      <c r="L459">
        <v>1</v>
      </c>
      <c r="M459" t="s">
        <v>960</v>
      </c>
    </row>
    <row r="460" spans="1:13" hidden="1" x14ac:dyDescent="0.25">
      <c r="A460" t="s">
        <v>657</v>
      </c>
      <c r="C460" t="s">
        <v>136</v>
      </c>
      <c r="D460">
        <v>36</v>
      </c>
      <c r="E460">
        <v>51</v>
      </c>
      <c r="F460" t="s">
        <v>709</v>
      </c>
      <c r="G460" t="s">
        <v>768</v>
      </c>
      <c r="H460">
        <v>5.3915500000000005</v>
      </c>
      <c r="I460">
        <v>230</v>
      </c>
      <c r="J460">
        <v>3</v>
      </c>
      <c r="K460">
        <v>6</v>
      </c>
      <c r="L460">
        <v>1</v>
      </c>
      <c r="M460" t="s">
        <v>230</v>
      </c>
    </row>
    <row r="461" spans="1:13" hidden="1" x14ac:dyDescent="0.25">
      <c r="A461" t="s">
        <v>657</v>
      </c>
      <c r="B461" t="s">
        <v>961</v>
      </c>
      <c r="C461" t="s">
        <v>172</v>
      </c>
      <c r="D461">
        <v>25</v>
      </c>
      <c r="E461">
        <v>98</v>
      </c>
      <c r="F461" t="s">
        <v>709</v>
      </c>
      <c r="G461" t="s">
        <v>769</v>
      </c>
      <c r="H461">
        <v>31.0807</v>
      </c>
      <c r="I461">
        <v>11</v>
      </c>
      <c r="J461">
        <v>1</v>
      </c>
      <c r="K461">
        <v>6</v>
      </c>
      <c r="L461">
        <v>3</v>
      </c>
      <c r="M461" t="s">
        <v>770</v>
      </c>
    </row>
    <row r="462" spans="1:13" hidden="1" x14ac:dyDescent="0.25">
      <c r="A462" t="s">
        <v>657</v>
      </c>
      <c r="C462" t="s">
        <v>136</v>
      </c>
      <c r="D462">
        <v>35</v>
      </c>
      <c r="E462">
        <v>98</v>
      </c>
      <c r="F462" t="s">
        <v>709</v>
      </c>
      <c r="G462" t="s">
        <v>771</v>
      </c>
      <c r="H462">
        <v>31.0807</v>
      </c>
      <c r="I462">
        <v>12.5</v>
      </c>
      <c r="J462">
        <v>1</v>
      </c>
      <c r="K462">
        <v>6</v>
      </c>
      <c r="L462">
        <v>3</v>
      </c>
      <c r="M462" t="s">
        <v>230</v>
      </c>
    </row>
    <row r="463" spans="1:13" hidden="1" x14ac:dyDescent="0.25">
      <c r="A463" t="s">
        <v>657</v>
      </c>
      <c r="B463" t="s">
        <v>962</v>
      </c>
      <c r="C463" t="s">
        <v>172</v>
      </c>
      <c r="D463">
        <v>25</v>
      </c>
      <c r="E463">
        <v>98</v>
      </c>
      <c r="F463" t="s">
        <v>709</v>
      </c>
      <c r="G463" t="s">
        <v>772</v>
      </c>
      <c r="H463">
        <v>31.0807</v>
      </c>
      <c r="I463">
        <v>13</v>
      </c>
      <c r="J463">
        <v>1</v>
      </c>
      <c r="K463">
        <v>6</v>
      </c>
      <c r="L463">
        <v>2</v>
      </c>
      <c r="M463" t="s">
        <v>773</v>
      </c>
    </row>
    <row r="464" spans="1:13" hidden="1" x14ac:dyDescent="0.25">
      <c r="A464" t="s">
        <v>657</v>
      </c>
      <c r="B464" t="s">
        <v>963</v>
      </c>
      <c r="C464" t="s">
        <v>136</v>
      </c>
      <c r="D464">
        <v>46</v>
      </c>
      <c r="E464">
        <v>63</v>
      </c>
      <c r="F464" t="s">
        <v>709</v>
      </c>
      <c r="G464" t="s">
        <v>774</v>
      </c>
      <c r="H464">
        <v>9.9902249999999988</v>
      </c>
      <c r="I464">
        <v>13</v>
      </c>
      <c r="J464">
        <v>2</v>
      </c>
      <c r="K464">
        <v>6</v>
      </c>
      <c r="L464">
        <v>1</v>
      </c>
      <c r="M464" t="s">
        <v>717</v>
      </c>
    </row>
    <row r="465" spans="1:13" hidden="1" x14ac:dyDescent="0.25">
      <c r="A465" t="s">
        <v>657</v>
      </c>
      <c r="B465" t="s">
        <v>964</v>
      </c>
      <c r="C465" t="s">
        <v>136</v>
      </c>
      <c r="D465">
        <v>46</v>
      </c>
      <c r="E465">
        <v>63</v>
      </c>
      <c r="F465" t="s">
        <v>709</v>
      </c>
      <c r="G465" t="s">
        <v>775</v>
      </c>
      <c r="H465">
        <v>6.6601499999999998</v>
      </c>
      <c r="I465">
        <v>13</v>
      </c>
      <c r="J465">
        <v>3</v>
      </c>
      <c r="K465">
        <v>6</v>
      </c>
      <c r="L465">
        <v>1</v>
      </c>
      <c r="M465" t="s">
        <v>776</v>
      </c>
    </row>
    <row r="466" spans="1:13" hidden="1" x14ac:dyDescent="0.25">
      <c r="A466" t="s">
        <v>657</v>
      </c>
    </row>
    <row r="467" spans="1:13" hidden="1" x14ac:dyDescent="0.25">
      <c r="A467" t="s">
        <v>657</v>
      </c>
      <c r="C467" t="s">
        <v>136</v>
      </c>
      <c r="D467">
        <v>6</v>
      </c>
      <c r="E467">
        <v>50</v>
      </c>
      <c r="F467" t="s">
        <v>302</v>
      </c>
      <c r="G467" t="s">
        <v>672</v>
      </c>
      <c r="H467">
        <v>5.3</v>
      </c>
      <c r="I467">
        <v>25</v>
      </c>
      <c r="J467">
        <v>3</v>
      </c>
      <c r="K467">
        <v>2</v>
      </c>
      <c r="L467">
        <v>4</v>
      </c>
      <c r="M467" t="s">
        <v>396</v>
      </c>
    </row>
    <row r="468" spans="1:13" hidden="1" x14ac:dyDescent="0.25">
      <c r="A468" t="s">
        <v>657</v>
      </c>
      <c r="C468" t="s">
        <v>172</v>
      </c>
      <c r="D468">
        <v>40</v>
      </c>
      <c r="E468">
        <v>51</v>
      </c>
      <c r="F468" t="s">
        <v>449</v>
      </c>
      <c r="G468" t="s">
        <v>777</v>
      </c>
      <c r="H468">
        <v>2.7</v>
      </c>
      <c r="I468">
        <v>11</v>
      </c>
      <c r="J468">
        <v>6</v>
      </c>
    </row>
    <row r="469" spans="1:13" hidden="1" x14ac:dyDescent="0.25">
      <c r="A469" t="s">
        <v>657</v>
      </c>
      <c r="C469" t="s">
        <v>172</v>
      </c>
      <c r="D469">
        <v>40</v>
      </c>
      <c r="E469">
        <v>51</v>
      </c>
      <c r="F469" t="s">
        <v>449</v>
      </c>
      <c r="G469" t="s">
        <v>691</v>
      </c>
      <c r="H469">
        <v>3.9</v>
      </c>
      <c r="I469">
        <v>11</v>
      </c>
      <c r="J469">
        <v>6</v>
      </c>
    </row>
    <row r="470" spans="1:13" hidden="1" x14ac:dyDescent="0.25">
      <c r="A470" t="s">
        <v>657</v>
      </c>
      <c r="C470" t="s">
        <v>136</v>
      </c>
      <c r="D470">
        <v>40</v>
      </c>
      <c r="E470">
        <v>63</v>
      </c>
      <c r="F470" t="s">
        <v>449</v>
      </c>
      <c r="G470" t="s">
        <v>689</v>
      </c>
      <c r="H470">
        <v>3.3</v>
      </c>
      <c r="I470">
        <v>25</v>
      </c>
      <c r="J470">
        <v>6</v>
      </c>
    </row>
    <row r="471" spans="1:13" x14ac:dyDescent="0.25">
      <c r="A471" t="s">
        <v>779</v>
      </c>
      <c r="C471" t="s">
        <v>136</v>
      </c>
      <c r="D471">
        <v>41</v>
      </c>
      <c r="E471">
        <v>64</v>
      </c>
      <c r="F471" t="s">
        <v>778</v>
      </c>
    </row>
    <row r="472" spans="1:13" x14ac:dyDescent="0.25">
      <c r="A472" t="s">
        <v>779</v>
      </c>
      <c r="B472" t="s">
        <v>780</v>
      </c>
      <c r="C472" t="s">
        <v>136</v>
      </c>
      <c r="D472">
        <v>4</v>
      </c>
      <c r="E472">
        <v>69</v>
      </c>
      <c r="F472" t="s">
        <v>122</v>
      </c>
      <c r="G472" t="s">
        <v>796</v>
      </c>
      <c r="H472">
        <v>7.2944499999999994</v>
      </c>
      <c r="I472">
        <v>10.5</v>
      </c>
      <c r="J472">
        <v>3</v>
      </c>
      <c r="K472">
        <v>6</v>
      </c>
      <c r="L472">
        <v>1</v>
      </c>
      <c r="M472" t="s">
        <v>603</v>
      </c>
    </row>
    <row r="473" spans="1:13" x14ac:dyDescent="0.25">
      <c r="A473" t="s">
        <v>779</v>
      </c>
      <c r="B473" t="s">
        <v>818</v>
      </c>
      <c r="C473" t="s">
        <v>136</v>
      </c>
      <c r="D473">
        <v>4</v>
      </c>
      <c r="E473">
        <v>69</v>
      </c>
      <c r="F473" t="s">
        <v>122</v>
      </c>
      <c r="G473" t="s">
        <v>780</v>
      </c>
      <c r="H473">
        <v>10.941675</v>
      </c>
      <c r="I473">
        <v>13.5</v>
      </c>
      <c r="J473">
        <v>2</v>
      </c>
      <c r="K473">
        <v>6</v>
      </c>
      <c r="L473">
        <v>1</v>
      </c>
      <c r="M473" t="s">
        <v>603</v>
      </c>
    </row>
    <row r="474" spans="1:13" x14ac:dyDescent="0.25">
      <c r="A474" t="s">
        <v>779</v>
      </c>
      <c r="B474" t="s">
        <v>701</v>
      </c>
      <c r="C474" t="s">
        <v>136</v>
      </c>
      <c r="D474">
        <v>3</v>
      </c>
      <c r="E474">
        <v>63</v>
      </c>
      <c r="F474" t="s">
        <v>122</v>
      </c>
      <c r="G474" t="s">
        <v>781</v>
      </c>
      <c r="H474">
        <v>19.980449999999998</v>
      </c>
      <c r="I474">
        <v>10</v>
      </c>
      <c r="J474">
        <v>1</v>
      </c>
      <c r="K474">
        <v>6</v>
      </c>
      <c r="L474">
        <v>1</v>
      </c>
      <c r="M474" t="s">
        <v>701</v>
      </c>
    </row>
    <row r="475" spans="1:13" x14ac:dyDescent="0.25">
      <c r="A475" t="s">
        <v>779</v>
      </c>
      <c r="B475" t="s">
        <v>819</v>
      </c>
      <c r="C475" t="s">
        <v>136</v>
      </c>
      <c r="D475">
        <v>3</v>
      </c>
      <c r="E475">
        <v>66</v>
      </c>
      <c r="F475" t="s">
        <v>122</v>
      </c>
      <c r="G475" t="s">
        <v>782</v>
      </c>
      <c r="H475">
        <v>20.931899999999999</v>
      </c>
      <c r="I475">
        <v>15.5</v>
      </c>
      <c r="J475">
        <v>1</v>
      </c>
      <c r="K475">
        <v>6</v>
      </c>
      <c r="L475">
        <v>1</v>
      </c>
      <c r="M475" t="s">
        <v>688</v>
      </c>
    </row>
    <row r="476" spans="1:13" x14ac:dyDescent="0.25">
      <c r="A476" t="s">
        <v>779</v>
      </c>
      <c r="B476" t="s">
        <v>790</v>
      </c>
      <c r="C476" t="s">
        <v>136</v>
      </c>
      <c r="D476">
        <v>5</v>
      </c>
      <c r="E476">
        <v>78</v>
      </c>
      <c r="F476" t="s">
        <v>122</v>
      </c>
      <c r="G476" t="s">
        <v>820</v>
      </c>
      <c r="H476">
        <v>12.36885</v>
      </c>
      <c r="I476">
        <v>10.5</v>
      </c>
      <c r="J476">
        <v>2</v>
      </c>
      <c r="K476">
        <v>6</v>
      </c>
      <c r="L476">
        <v>1</v>
      </c>
      <c r="M476" t="s">
        <v>790</v>
      </c>
    </row>
    <row r="477" spans="1:13" x14ac:dyDescent="0.25">
      <c r="A477" t="s">
        <v>779</v>
      </c>
    </row>
    <row r="478" spans="1:13" x14ac:dyDescent="0.25">
      <c r="A478" t="s">
        <v>779</v>
      </c>
    </row>
    <row r="479" spans="1:13" x14ac:dyDescent="0.25">
      <c r="A479" t="s">
        <v>779</v>
      </c>
      <c r="B479" t="s">
        <v>821</v>
      </c>
      <c r="C479" t="s">
        <v>136</v>
      </c>
      <c r="D479">
        <v>7</v>
      </c>
      <c r="E479">
        <v>74</v>
      </c>
      <c r="F479" t="s">
        <v>126</v>
      </c>
      <c r="G479" t="s">
        <v>822</v>
      </c>
      <c r="H479">
        <v>5.8672750000000002</v>
      </c>
      <c r="I479">
        <v>8.5</v>
      </c>
      <c r="J479">
        <v>4</v>
      </c>
      <c r="K479">
        <v>6</v>
      </c>
      <c r="L479">
        <v>1</v>
      </c>
      <c r="M479" t="s">
        <v>823</v>
      </c>
    </row>
    <row r="480" spans="1:13" x14ac:dyDescent="0.25">
      <c r="A480" t="s">
        <v>779</v>
      </c>
      <c r="B480" t="s">
        <v>821</v>
      </c>
      <c r="C480" t="s">
        <v>136</v>
      </c>
      <c r="D480">
        <v>7</v>
      </c>
      <c r="E480">
        <v>74</v>
      </c>
      <c r="F480" t="s">
        <v>126</v>
      </c>
      <c r="G480" t="s">
        <v>824</v>
      </c>
      <c r="H480">
        <v>11.73455</v>
      </c>
      <c r="I480">
        <v>8</v>
      </c>
      <c r="J480">
        <v>2</v>
      </c>
      <c r="K480">
        <v>6</v>
      </c>
      <c r="L480">
        <v>1</v>
      </c>
      <c r="M480" t="s">
        <v>825</v>
      </c>
    </row>
    <row r="481" spans="1:13" x14ac:dyDescent="0.25">
      <c r="A481" t="s">
        <v>779</v>
      </c>
      <c r="C481" t="s">
        <v>136</v>
      </c>
      <c r="D481">
        <v>6</v>
      </c>
      <c r="E481">
        <v>78</v>
      </c>
      <c r="F481" t="s">
        <v>709</v>
      </c>
      <c r="G481" t="s">
        <v>826</v>
      </c>
      <c r="H481">
        <v>12.36885</v>
      </c>
      <c r="I481">
        <v>17.5</v>
      </c>
      <c r="J481">
        <v>2</v>
      </c>
      <c r="K481">
        <v>5</v>
      </c>
      <c r="L481">
        <v>2</v>
      </c>
      <c r="M481" t="s">
        <v>827</v>
      </c>
    </row>
    <row r="482" spans="1:13" x14ac:dyDescent="0.25">
      <c r="A482" t="s">
        <v>779</v>
      </c>
      <c r="C482" t="s">
        <v>136</v>
      </c>
      <c r="D482">
        <v>6</v>
      </c>
      <c r="E482">
        <v>78</v>
      </c>
      <c r="F482" t="s">
        <v>709</v>
      </c>
      <c r="G482" t="s">
        <v>828</v>
      </c>
      <c r="H482">
        <v>6.1844250000000001</v>
      </c>
      <c r="I482">
        <v>21</v>
      </c>
      <c r="J482">
        <v>4</v>
      </c>
      <c r="K482">
        <v>6</v>
      </c>
      <c r="L482">
        <v>2</v>
      </c>
      <c r="M482" t="s">
        <v>829</v>
      </c>
    </row>
    <row r="483" spans="1:13" x14ac:dyDescent="0.25">
      <c r="A483" t="s">
        <v>779</v>
      </c>
      <c r="B483" t="s">
        <v>830</v>
      </c>
      <c r="C483" t="s">
        <v>136</v>
      </c>
      <c r="D483">
        <v>7</v>
      </c>
      <c r="E483">
        <v>74</v>
      </c>
      <c r="F483" t="s">
        <v>126</v>
      </c>
      <c r="G483" t="s">
        <v>831</v>
      </c>
      <c r="H483">
        <v>11.73455</v>
      </c>
      <c r="I483">
        <v>7.5</v>
      </c>
      <c r="J483">
        <v>2</v>
      </c>
      <c r="K483">
        <v>6</v>
      </c>
      <c r="L483">
        <v>1</v>
      </c>
      <c r="M483" t="s">
        <v>832</v>
      </c>
    </row>
    <row r="484" spans="1:13" x14ac:dyDescent="0.25">
      <c r="A484" t="s">
        <v>779</v>
      </c>
      <c r="B484" t="s">
        <v>782</v>
      </c>
      <c r="C484" t="s">
        <v>136</v>
      </c>
      <c r="D484">
        <v>3</v>
      </c>
      <c r="E484">
        <v>66</v>
      </c>
      <c r="F484" t="s">
        <v>709</v>
      </c>
      <c r="G484" t="s">
        <v>789</v>
      </c>
      <c r="H484">
        <v>10.465949999999999</v>
      </c>
      <c r="I484">
        <v>10</v>
      </c>
      <c r="J484">
        <v>2</v>
      </c>
      <c r="K484">
        <v>6</v>
      </c>
      <c r="L484">
        <v>1</v>
      </c>
      <c r="M484" t="s">
        <v>790</v>
      </c>
    </row>
    <row r="485" spans="1:13" x14ac:dyDescent="0.25">
      <c r="A485" t="s">
        <v>779</v>
      </c>
      <c r="B485" t="s">
        <v>819</v>
      </c>
      <c r="C485" t="s">
        <v>136</v>
      </c>
      <c r="D485">
        <v>5</v>
      </c>
      <c r="E485">
        <v>78</v>
      </c>
      <c r="F485" t="s">
        <v>126</v>
      </c>
      <c r="G485" t="s">
        <v>833</v>
      </c>
      <c r="H485">
        <v>12.36885</v>
      </c>
      <c r="I485">
        <v>10.5</v>
      </c>
      <c r="J485">
        <v>2</v>
      </c>
      <c r="K485">
        <v>6</v>
      </c>
      <c r="L485">
        <v>1</v>
      </c>
      <c r="M485" t="s">
        <v>688</v>
      </c>
    </row>
    <row r="486" spans="1:13" x14ac:dyDescent="0.25">
      <c r="A486" t="s">
        <v>779</v>
      </c>
      <c r="B486" t="s">
        <v>834</v>
      </c>
      <c r="C486" t="s">
        <v>136</v>
      </c>
      <c r="D486">
        <v>2</v>
      </c>
      <c r="E486">
        <v>86</v>
      </c>
      <c r="F486" t="s">
        <v>126</v>
      </c>
      <c r="G486" t="s">
        <v>787</v>
      </c>
      <c r="H486">
        <v>9.0916333333333341</v>
      </c>
      <c r="I486">
        <v>15.5</v>
      </c>
      <c r="J486">
        <v>3</v>
      </c>
      <c r="K486">
        <v>6</v>
      </c>
      <c r="L486">
        <v>1</v>
      </c>
      <c r="M486" t="s">
        <v>610</v>
      </c>
    </row>
    <row r="487" spans="1:13" x14ac:dyDescent="0.25">
      <c r="A487" t="s">
        <v>779</v>
      </c>
      <c r="B487" t="s">
        <v>835</v>
      </c>
      <c r="C487" t="s">
        <v>136</v>
      </c>
      <c r="D487">
        <v>2</v>
      </c>
      <c r="E487">
        <v>63</v>
      </c>
      <c r="F487" t="s">
        <v>126</v>
      </c>
      <c r="G487" t="s">
        <v>788</v>
      </c>
      <c r="H487">
        <v>19.980449999999998</v>
      </c>
      <c r="I487">
        <v>11.5</v>
      </c>
      <c r="J487">
        <v>1</v>
      </c>
      <c r="K487">
        <v>6</v>
      </c>
      <c r="L487">
        <v>1</v>
      </c>
      <c r="M487" t="s">
        <v>230</v>
      </c>
    </row>
    <row r="488" spans="1:13" x14ac:dyDescent="0.25">
      <c r="A488" t="s">
        <v>779</v>
      </c>
      <c r="B488" t="s">
        <v>784</v>
      </c>
      <c r="C488" t="s">
        <v>136</v>
      </c>
      <c r="D488">
        <v>1</v>
      </c>
      <c r="E488">
        <v>96</v>
      </c>
      <c r="F488" t="s">
        <v>709</v>
      </c>
      <c r="G488" t="s">
        <v>783</v>
      </c>
      <c r="H488">
        <v>30.446400000000001</v>
      </c>
      <c r="I488">
        <v>11</v>
      </c>
      <c r="J488">
        <v>1</v>
      </c>
      <c r="K488">
        <v>6</v>
      </c>
      <c r="L488">
        <v>3</v>
      </c>
      <c r="M488" t="s">
        <v>784</v>
      </c>
    </row>
    <row r="489" spans="1:13" x14ac:dyDescent="0.25">
      <c r="A489" t="s">
        <v>779</v>
      </c>
      <c r="B489" t="s">
        <v>786</v>
      </c>
      <c r="C489" t="s">
        <v>136</v>
      </c>
      <c r="D489">
        <v>1</v>
      </c>
      <c r="E489">
        <v>96</v>
      </c>
      <c r="F489" t="s">
        <v>709</v>
      </c>
      <c r="G489" t="s">
        <v>785</v>
      </c>
      <c r="H489">
        <v>30.446400000000001</v>
      </c>
      <c r="I489">
        <v>6.5</v>
      </c>
      <c r="J489">
        <v>1</v>
      </c>
      <c r="K489">
        <v>6</v>
      </c>
      <c r="L489">
        <v>2</v>
      </c>
      <c r="M489" t="s">
        <v>786</v>
      </c>
    </row>
    <row r="490" spans="1:13" x14ac:dyDescent="0.25">
      <c r="A490" t="s">
        <v>779</v>
      </c>
    </row>
    <row r="491" spans="1:13" x14ac:dyDescent="0.25">
      <c r="A491" t="s">
        <v>779</v>
      </c>
      <c r="B491" t="s">
        <v>836</v>
      </c>
      <c r="C491" t="s">
        <v>172</v>
      </c>
      <c r="D491">
        <v>8</v>
      </c>
      <c r="E491">
        <v>74</v>
      </c>
      <c r="F491" t="s">
        <v>837</v>
      </c>
      <c r="G491" t="s">
        <v>670</v>
      </c>
      <c r="H491">
        <v>5.8672750000000002</v>
      </c>
      <c r="I491">
        <v>9</v>
      </c>
      <c r="J491">
        <v>4</v>
      </c>
      <c r="K491">
        <v>6</v>
      </c>
      <c r="L491">
        <v>1</v>
      </c>
      <c r="M491" t="s">
        <v>838</v>
      </c>
    </row>
    <row r="492" spans="1:13" x14ac:dyDescent="0.25">
      <c r="A492" t="s">
        <v>779</v>
      </c>
      <c r="B492" t="s">
        <v>839</v>
      </c>
      <c r="C492" t="s">
        <v>172</v>
      </c>
      <c r="D492">
        <v>8</v>
      </c>
      <c r="E492">
        <v>74</v>
      </c>
      <c r="F492" t="s">
        <v>837</v>
      </c>
      <c r="G492" t="s">
        <v>840</v>
      </c>
      <c r="H492">
        <v>11.73455</v>
      </c>
      <c r="I492">
        <v>8</v>
      </c>
      <c r="J492">
        <v>2</v>
      </c>
      <c r="K492">
        <v>6</v>
      </c>
      <c r="L492">
        <v>1</v>
      </c>
      <c r="M492" t="s">
        <v>841</v>
      </c>
    </row>
  </sheetData>
  <phoneticPr fontId="4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F137D3-A969-46DE-8A97-8CF27DE4E72E}">
  <dimension ref="A1:P492"/>
  <sheetViews>
    <sheetView workbookViewId="0">
      <pane xSplit="1" ySplit="1" topLeftCell="B474" activePane="bottomRight" state="frozen"/>
      <selection pane="topRight" activeCell="B1" sqref="B1"/>
      <selection pane="bottomLeft" activeCell="A2" sqref="A2"/>
      <selection pane="bottomRight" activeCell="J483" sqref="J483"/>
    </sheetView>
  </sheetViews>
  <sheetFormatPr defaultRowHeight="15" x14ac:dyDescent="0.25"/>
  <cols>
    <col min="1" max="1" width="13.85546875" bestFit="1" customWidth="1"/>
    <col min="2" max="2" width="44.7109375" bestFit="1" customWidth="1"/>
    <col min="3" max="3" width="15.42578125" bestFit="1" customWidth="1"/>
    <col min="4" max="4" width="12.28515625" bestFit="1" customWidth="1"/>
    <col min="5" max="5" width="4.28515625" bestFit="1" customWidth="1"/>
    <col min="6" max="6" width="20.7109375" bestFit="1" customWidth="1"/>
    <col min="7" max="7" width="12.85546875" bestFit="1" customWidth="1"/>
    <col min="8" max="8" width="12" bestFit="1" customWidth="1"/>
    <col min="9" max="9" width="11.85546875" bestFit="1" customWidth="1"/>
    <col min="10" max="10" width="12" bestFit="1" customWidth="1"/>
    <col min="11" max="11" width="5.85546875" bestFit="1" customWidth="1"/>
    <col min="12" max="12" width="6.7109375" bestFit="1" customWidth="1"/>
    <col min="13" max="13" width="30.140625" bestFit="1" customWidth="1"/>
    <col min="14" max="14" width="24.5703125" bestFit="1" customWidth="1"/>
    <col min="15" max="15" width="12.140625" bestFit="1" customWidth="1"/>
    <col min="16" max="16" width="31.85546875" bestFit="1" customWidth="1"/>
  </cols>
  <sheetData>
    <row r="1" spans="1:16" x14ac:dyDescent="0.25">
      <c r="A1" t="s">
        <v>147</v>
      </c>
      <c r="B1" t="s">
        <v>160</v>
      </c>
      <c r="C1" t="s">
        <v>113</v>
      </c>
      <c r="D1" t="s">
        <v>161</v>
      </c>
      <c r="E1" t="s">
        <v>38</v>
      </c>
      <c r="F1" t="s">
        <v>114</v>
      </c>
      <c r="G1" t="s">
        <v>45</v>
      </c>
      <c r="H1" t="s">
        <v>115</v>
      </c>
      <c r="I1" t="s">
        <v>116</v>
      </c>
      <c r="J1" t="s">
        <v>117</v>
      </c>
      <c r="K1" t="s">
        <v>118</v>
      </c>
      <c r="L1" t="s">
        <v>119</v>
      </c>
      <c r="M1" t="s">
        <v>162</v>
      </c>
      <c r="N1" t="s">
        <v>120</v>
      </c>
      <c r="O1" t="s">
        <v>791</v>
      </c>
      <c r="P1" t="s">
        <v>792</v>
      </c>
    </row>
    <row r="2" spans="1:16" x14ac:dyDescent="0.25">
      <c r="A2" t="s">
        <v>159</v>
      </c>
      <c r="B2" t="s">
        <v>160</v>
      </c>
      <c r="C2" t="s">
        <v>113</v>
      </c>
      <c r="D2" t="s">
        <v>161</v>
      </c>
      <c r="E2" t="s">
        <v>38</v>
      </c>
      <c r="F2" t="s">
        <v>114</v>
      </c>
      <c r="G2" t="s">
        <v>45</v>
      </c>
      <c r="H2" t="s">
        <v>115</v>
      </c>
      <c r="I2" t="s">
        <v>116</v>
      </c>
      <c r="J2" t="s">
        <v>117</v>
      </c>
      <c r="K2" t="s">
        <v>118</v>
      </c>
      <c r="L2" t="s">
        <v>119</v>
      </c>
      <c r="M2" t="s">
        <v>162</v>
      </c>
      <c r="N2" t="s">
        <v>120</v>
      </c>
    </row>
    <row r="3" spans="1:16" x14ac:dyDescent="0.25">
      <c r="A3" t="s">
        <v>159</v>
      </c>
      <c r="B3" t="s">
        <v>163</v>
      </c>
      <c r="C3" t="s">
        <v>164</v>
      </c>
      <c r="D3">
        <v>17</v>
      </c>
      <c r="E3">
        <v>43</v>
      </c>
      <c r="F3" t="s">
        <v>135</v>
      </c>
      <c r="G3">
        <v>0.9</v>
      </c>
      <c r="H3">
        <v>0.9</v>
      </c>
      <c r="I3">
        <v>3.3</v>
      </c>
      <c r="J3">
        <v>15.009388888888891</v>
      </c>
      <c r="K3">
        <v>3</v>
      </c>
      <c r="L3" t="s">
        <v>165</v>
      </c>
    </row>
    <row r="4" spans="1:16" x14ac:dyDescent="0.25">
      <c r="A4" t="s">
        <v>159</v>
      </c>
      <c r="B4" t="s">
        <v>166</v>
      </c>
      <c r="C4" t="s">
        <v>136</v>
      </c>
      <c r="D4">
        <v>1</v>
      </c>
      <c r="E4">
        <v>40</v>
      </c>
      <c r="F4" t="s">
        <v>135</v>
      </c>
      <c r="G4">
        <v>1.25</v>
      </c>
      <c r="H4">
        <v>1.25</v>
      </c>
      <c r="I4">
        <v>11</v>
      </c>
      <c r="J4">
        <v>10</v>
      </c>
      <c r="K4">
        <v>3</v>
      </c>
      <c r="L4" t="s">
        <v>165</v>
      </c>
      <c r="M4" t="s">
        <v>167</v>
      </c>
    </row>
    <row r="5" spans="1:16" x14ac:dyDescent="0.25">
      <c r="A5" t="s">
        <v>159</v>
      </c>
      <c r="C5" t="s">
        <v>168</v>
      </c>
      <c r="D5">
        <v>2</v>
      </c>
      <c r="E5">
        <v>42</v>
      </c>
      <c r="F5" t="s">
        <v>135</v>
      </c>
      <c r="G5">
        <v>1.7</v>
      </c>
      <c r="H5">
        <v>1.7</v>
      </c>
      <c r="I5">
        <v>8</v>
      </c>
      <c r="J5">
        <v>8</v>
      </c>
      <c r="K5">
        <v>3</v>
      </c>
      <c r="L5" t="s">
        <v>165</v>
      </c>
      <c r="M5" t="s">
        <v>169</v>
      </c>
    </row>
    <row r="6" spans="1:16" x14ac:dyDescent="0.25">
      <c r="A6" t="s">
        <v>159</v>
      </c>
      <c r="C6" t="s">
        <v>121</v>
      </c>
      <c r="D6">
        <v>3</v>
      </c>
      <c r="E6">
        <v>57</v>
      </c>
      <c r="F6" t="s">
        <v>135</v>
      </c>
      <c r="G6">
        <v>3</v>
      </c>
      <c r="H6">
        <v>3</v>
      </c>
      <c r="I6">
        <v>11</v>
      </c>
      <c r="J6">
        <v>6</v>
      </c>
      <c r="K6">
        <v>3</v>
      </c>
      <c r="L6" t="s">
        <v>165</v>
      </c>
      <c r="M6" t="s">
        <v>170</v>
      </c>
    </row>
    <row r="7" spans="1:16" x14ac:dyDescent="0.25">
      <c r="A7" t="s">
        <v>159</v>
      </c>
      <c r="C7" t="s">
        <v>168</v>
      </c>
      <c r="D7">
        <v>4</v>
      </c>
      <c r="E7">
        <v>57</v>
      </c>
      <c r="F7" t="s">
        <v>135</v>
      </c>
      <c r="G7">
        <v>3</v>
      </c>
      <c r="H7">
        <v>3</v>
      </c>
      <c r="I7">
        <v>10.5</v>
      </c>
      <c r="J7">
        <v>6</v>
      </c>
      <c r="K7">
        <v>3</v>
      </c>
      <c r="L7" t="s">
        <v>165</v>
      </c>
      <c r="M7" t="s">
        <v>170</v>
      </c>
    </row>
    <row r="8" spans="1:16" x14ac:dyDescent="0.25">
      <c r="A8" t="s">
        <v>159</v>
      </c>
      <c r="C8" t="s">
        <v>168</v>
      </c>
      <c r="D8">
        <v>5</v>
      </c>
      <c r="E8">
        <v>52</v>
      </c>
      <c r="F8" t="s">
        <v>135</v>
      </c>
      <c r="G8">
        <v>4</v>
      </c>
      <c r="H8">
        <v>4</v>
      </c>
      <c r="I8">
        <v>11</v>
      </c>
      <c r="J8">
        <v>4</v>
      </c>
      <c r="K8">
        <v>3</v>
      </c>
      <c r="L8" t="s">
        <v>165</v>
      </c>
    </row>
    <row r="9" spans="1:16" x14ac:dyDescent="0.25">
      <c r="A9" t="s">
        <v>159</v>
      </c>
      <c r="C9" t="s">
        <v>168</v>
      </c>
      <c r="D9">
        <v>6</v>
      </c>
      <c r="E9">
        <v>42</v>
      </c>
      <c r="F9" t="s">
        <v>135</v>
      </c>
      <c r="G9">
        <v>4.4000000000000004</v>
      </c>
      <c r="H9">
        <v>4.4000000000000004</v>
      </c>
      <c r="I9">
        <v>11</v>
      </c>
      <c r="J9">
        <v>3</v>
      </c>
      <c r="K9">
        <v>3</v>
      </c>
      <c r="L9" t="s">
        <v>165</v>
      </c>
    </row>
    <row r="10" spans="1:16" x14ac:dyDescent="0.25">
      <c r="A10" t="s">
        <v>159</v>
      </c>
      <c r="C10" t="s">
        <v>168</v>
      </c>
      <c r="D10">
        <v>7</v>
      </c>
      <c r="E10">
        <v>48</v>
      </c>
      <c r="F10" t="s">
        <v>135</v>
      </c>
      <c r="G10">
        <v>5</v>
      </c>
      <c r="H10">
        <v>5</v>
      </c>
      <c r="I10">
        <v>11</v>
      </c>
      <c r="J10">
        <v>3</v>
      </c>
      <c r="K10">
        <v>3</v>
      </c>
      <c r="L10" t="s">
        <v>165</v>
      </c>
      <c r="N10" t="s">
        <v>171</v>
      </c>
    </row>
    <row r="11" spans="1:16" x14ac:dyDescent="0.25">
      <c r="A11" t="s">
        <v>159</v>
      </c>
      <c r="C11" t="s">
        <v>172</v>
      </c>
      <c r="D11">
        <v>16</v>
      </c>
      <c r="E11">
        <v>48</v>
      </c>
      <c r="F11" t="s">
        <v>135</v>
      </c>
      <c r="G11">
        <v>5</v>
      </c>
      <c r="H11">
        <v>5</v>
      </c>
      <c r="I11">
        <v>13</v>
      </c>
      <c r="J11">
        <v>3.0158399999999999</v>
      </c>
      <c r="K11">
        <v>3</v>
      </c>
      <c r="L11" t="s">
        <v>165</v>
      </c>
    </row>
    <row r="12" spans="1:16" x14ac:dyDescent="0.25">
      <c r="A12" t="s">
        <v>159</v>
      </c>
      <c r="C12" t="s">
        <v>168</v>
      </c>
      <c r="D12">
        <v>8</v>
      </c>
      <c r="E12">
        <v>57</v>
      </c>
      <c r="F12" t="s">
        <v>135</v>
      </c>
      <c r="G12">
        <v>6</v>
      </c>
      <c r="H12">
        <v>6</v>
      </c>
      <c r="I12">
        <v>11</v>
      </c>
      <c r="J12">
        <v>3</v>
      </c>
      <c r="K12">
        <v>3</v>
      </c>
      <c r="L12" t="s">
        <v>165</v>
      </c>
    </row>
    <row r="13" spans="1:16" x14ac:dyDescent="0.25">
      <c r="A13" t="s">
        <v>159</v>
      </c>
      <c r="C13" t="s">
        <v>168</v>
      </c>
      <c r="D13">
        <v>9</v>
      </c>
      <c r="E13">
        <v>57</v>
      </c>
      <c r="F13" t="s">
        <v>135</v>
      </c>
      <c r="G13">
        <v>6</v>
      </c>
      <c r="H13">
        <v>6</v>
      </c>
      <c r="I13">
        <v>11</v>
      </c>
      <c r="J13">
        <v>3</v>
      </c>
      <c r="K13">
        <v>3</v>
      </c>
      <c r="L13" t="s">
        <v>165</v>
      </c>
      <c r="N13" t="s">
        <v>173</v>
      </c>
    </row>
    <row r="14" spans="1:16" x14ac:dyDescent="0.25">
      <c r="A14" t="s">
        <v>159</v>
      </c>
      <c r="C14" t="s">
        <v>168</v>
      </c>
      <c r="D14">
        <v>10</v>
      </c>
      <c r="E14">
        <v>70</v>
      </c>
      <c r="F14" t="s">
        <v>135</v>
      </c>
      <c r="G14">
        <v>7.4</v>
      </c>
      <c r="H14">
        <v>7.4</v>
      </c>
      <c r="I14">
        <v>10.5</v>
      </c>
      <c r="J14">
        <v>3</v>
      </c>
      <c r="K14">
        <v>3</v>
      </c>
      <c r="L14" t="s">
        <v>165</v>
      </c>
      <c r="N14" t="s">
        <v>171</v>
      </c>
    </row>
    <row r="15" spans="1:16" x14ac:dyDescent="0.25">
      <c r="A15" t="s">
        <v>159</v>
      </c>
      <c r="C15" t="s">
        <v>168</v>
      </c>
      <c r="D15">
        <v>15</v>
      </c>
      <c r="E15">
        <v>70</v>
      </c>
      <c r="F15" t="s">
        <v>135</v>
      </c>
      <c r="G15">
        <v>7.4</v>
      </c>
      <c r="H15">
        <v>7.4</v>
      </c>
      <c r="I15">
        <v>12</v>
      </c>
      <c r="J15">
        <v>2.9716891891891892</v>
      </c>
      <c r="K15">
        <v>3</v>
      </c>
      <c r="L15" t="s">
        <v>165</v>
      </c>
    </row>
    <row r="16" spans="1:16" x14ac:dyDescent="0.25">
      <c r="A16" t="s">
        <v>159</v>
      </c>
      <c r="C16" t="s">
        <v>168</v>
      </c>
      <c r="D16">
        <v>11</v>
      </c>
      <c r="E16">
        <v>52</v>
      </c>
      <c r="F16" t="s">
        <v>135</v>
      </c>
      <c r="G16">
        <v>8</v>
      </c>
      <c r="H16">
        <v>8</v>
      </c>
      <c r="I16">
        <v>11</v>
      </c>
      <c r="J16">
        <v>2</v>
      </c>
      <c r="K16">
        <v>3</v>
      </c>
      <c r="L16" t="s">
        <v>165</v>
      </c>
    </row>
    <row r="17" spans="1:13" x14ac:dyDescent="0.25">
      <c r="A17" t="s">
        <v>159</v>
      </c>
      <c r="C17" t="s">
        <v>168</v>
      </c>
      <c r="D17">
        <v>12</v>
      </c>
      <c r="E17">
        <v>67</v>
      </c>
      <c r="F17" t="s">
        <v>135</v>
      </c>
      <c r="G17">
        <v>10.5</v>
      </c>
      <c r="H17">
        <v>10.5</v>
      </c>
      <c r="I17">
        <v>11</v>
      </c>
      <c r="J17">
        <v>2</v>
      </c>
      <c r="K17">
        <v>3</v>
      </c>
      <c r="L17" t="s">
        <v>165</v>
      </c>
      <c r="M17" t="s">
        <v>174</v>
      </c>
    </row>
    <row r="18" spans="1:13" x14ac:dyDescent="0.25">
      <c r="A18" t="s">
        <v>159</v>
      </c>
      <c r="C18" t="s">
        <v>168</v>
      </c>
      <c r="D18">
        <v>13</v>
      </c>
      <c r="E18">
        <v>48</v>
      </c>
      <c r="F18" t="s">
        <v>135</v>
      </c>
      <c r="G18">
        <v>15</v>
      </c>
      <c r="H18">
        <v>15</v>
      </c>
      <c r="I18">
        <v>11</v>
      </c>
      <c r="J18">
        <v>1</v>
      </c>
      <c r="K18">
        <v>3</v>
      </c>
      <c r="L18" t="s">
        <v>165</v>
      </c>
      <c r="M18" t="s">
        <v>175</v>
      </c>
    </row>
    <row r="19" spans="1:13" x14ac:dyDescent="0.25">
      <c r="A19" t="s">
        <v>159</v>
      </c>
      <c r="C19" t="s">
        <v>168</v>
      </c>
      <c r="D19">
        <v>14</v>
      </c>
      <c r="E19">
        <v>64</v>
      </c>
      <c r="F19" t="s">
        <v>135</v>
      </c>
      <c r="G19">
        <v>20.100000000000001</v>
      </c>
      <c r="H19">
        <v>20.100000000000001</v>
      </c>
      <c r="I19">
        <v>11</v>
      </c>
      <c r="J19">
        <v>1</v>
      </c>
      <c r="K19">
        <v>3</v>
      </c>
      <c r="L19" t="s">
        <v>165</v>
      </c>
      <c r="M19" t="s">
        <v>176</v>
      </c>
    </row>
    <row r="20" spans="1:13" x14ac:dyDescent="0.25">
      <c r="A20" t="s">
        <v>159</v>
      </c>
    </row>
    <row r="21" spans="1:13" x14ac:dyDescent="0.25">
      <c r="A21" t="s">
        <v>159</v>
      </c>
      <c r="C21" t="s">
        <v>136</v>
      </c>
      <c r="D21">
        <v>18</v>
      </c>
      <c r="E21">
        <v>40</v>
      </c>
      <c r="F21" t="s">
        <v>177</v>
      </c>
      <c r="G21" t="s">
        <v>178</v>
      </c>
      <c r="H21">
        <v>1.2</v>
      </c>
      <c r="I21">
        <v>5</v>
      </c>
      <c r="J21">
        <v>11</v>
      </c>
      <c r="K21">
        <v>3</v>
      </c>
      <c r="L21">
        <v>5</v>
      </c>
    </row>
    <row r="22" spans="1:13" x14ac:dyDescent="0.25">
      <c r="A22" t="s">
        <v>159</v>
      </c>
      <c r="C22" t="s">
        <v>136</v>
      </c>
      <c r="D22">
        <v>25</v>
      </c>
      <c r="E22">
        <v>43</v>
      </c>
      <c r="F22" t="s">
        <v>177</v>
      </c>
      <c r="G22" t="s">
        <v>179</v>
      </c>
      <c r="H22">
        <v>2.2999999999999998</v>
      </c>
      <c r="I22">
        <v>10</v>
      </c>
      <c r="J22">
        <v>6</v>
      </c>
      <c r="K22">
        <v>3</v>
      </c>
      <c r="L22">
        <v>4</v>
      </c>
      <c r="M22" t="s">
        <v>180</v>
      </c>
    </row>
    <row r="23" spans="1:13" x14ac:dyDescent="0.25">
      <c r="A23" t="s">
        <v>159</v>
      </c>
      <c r="B23" t="s">
        <v>181</v>
      </c>
      <c r="C23" t="s">
        <v>121</v>
      </c>
      <c r="D23">
        <v>19</v>
      </c>
      <c r="E23">
        <v>57</v>
      </c>
      <c r="F23" t="s">
        <v>177</v>
      </c>
      <c r="G23" t="s">
        <v>182</v>
      </c>
      <c r="H23">
        <v>3.5</v>
      </c>
      <c r="I23">
        <v>4</v>
      </c>
      <c r="J23">
        <v>5</v>
      </c>
      <c r="K23">
        <v>3</v>
      </c>
      <c r="L23">
        <v>1</v>
      </c>
    </row>
    <row r="24" spans="1:13" x14ac:dyDescent="0.25">
      <c r="A24" t="s">
        <v>159</v>
      </c>
      <c r="C24" t="s">
        <v>136</v>
      </c>
      <c r="D24">
        <v>20</v>
      </c>
      <c r="E24">
        <v>42</v>
      </c>
      <c r="F24" t="s">
        <v>177</v>
      </c>
      <c r="G24" t="s">
        <v>183</v>
      </c>
      <c r="H24">
        <v>4.5</v>
      </c>
      <c r="I24">
        <v>4.7</v>
      </c>
      <c r="J24">
        <v>3</v>
      </c>
      <c r="K24">
        <v>3</v>
      </c>
      <c r="L24">
        <v>1</v>
      </c>
      <c r="M24" t="s">
        <v>184</v>
      </c>
    </row>
    <row r="25" spans="1:13" x14ac:dyDescent="0.25">
      <c r="A25" t="s">
        <v>159</v>
      </c>
      <c r="C25" t="s">
        <v>136</v>
      </c>
      <c r="D25">
        <v>21</v>
      </c>
      <c r="E25">
        <v>45</v>
      </c>
      <c r="F25" t="s">
        <v>177</v>
      </c>
      <c r="G25" t="s">
        <v>185</v>
      </c>
      <c r="H25">
        <v>4.8</v>
      </c>
      <c r="I25">
        <v>5</v>
      </c>
      <c r="J25">
        <v>3</v>
      </c>
      <c r="K25">
        <v>3</v>
      </c>
      <c r="L25">
        <v>1</v>
      </c>
      <c r="M25" t="s">
        <v>184</v>
      </c>
    </row>
    <row r="26" spans="1:13" x14ac:dyDescent="0.25">
      <c r="A26" t="s">
        <v>159</v>
      </c>
      <c r="C26" t="s">
        <v>136</v>
      </c>
      <c r="D26">
        <v>22</v>
      </c>
      <c r="E26">
        <v>50</v>
      </c>
      <c r="F26" t="s">
        <v>177</v>
      </c>
      <c r="G26" t="s">
        <v>186</v>
      </c>
      <c r="H26">
        <v>5.3</v>
      </c>
      <c r="I26">
        <v>5.5</v>
      </c>
      <c r="J26">
        <v>3</v>
      </c>
      <c r="K26">
        <v>3</v>
      </c>
      <c r="L26">
        <v>1</v>
      </c>
      <c r="M26" t="s">
        <v>187</v>
      </c>
    </row>
    <row r="27" spans="1:13" x14ac:dyDescent="0.25">
      <c r="A27" t="s">
        <v>159</v>
      </c>
      <c r="C27" t="s">
        <v>136</v>
      </c>
      <c r="D27">
        <v>23</v>
      </c>
      <c r="E27">
        <v>40</v>
      </c>
      <c r="F27" t="s">
        <v>177</v>
      </c>
      <c r="G27" t="s">
        <v>188</v>
      </c>
      <c r="H27">
        <v>6.3</v>
      </c>
      <c r="I27">
        <v>6.5</v>
      </c>
      <c r="J27">
        <v>3</v>
      </c>
      <c r="K27">
        <v>3</v>
      </c>
      <c r="L27">
        <v>1</v>
      </c>
      <c r="M27" t="s">
        <v>189</v>
      </c>
    </row>
    <row r="28" spans="1:13" x14ac:dyDescent="0.25">
      <c r="A28" t="s">
        <v>159</v>
      </c>
      <c r="C28" t="s">
        <v>136</v>
      </c>
      <c r="D28">
        <v>24</v>
      </c>
      <c r="E28">
        <v>57</v>
      </c>
      <c r="F28" t="s">
        <v>177</v>
      </c>
      <c r="G28" t="s">
        <v>190</v>
      </c>
      <c r="H28">
        <v>9.3000000000000007</v>
      </c>
      <c r="I28">
        <v>9.5</v>
      </c>
      <c r="J28">
        <v>11</v>
      </c>
      <c r="K28">
        <v>3</v>
      </c>
      <c r="L28">
        <v>1</v>
      </c>
      <c r="M28" t="s">
        <v>184</v>
      </c>
    </row>
    <row r="29" spans="1:13" x14ac:dyDescent="0.25">
      <c r="A29" t="s">
        <v>159</v>
      </c>
    </row>
    <row r="30" spans="1:13" x14ac:dyDescent="0.25">
      <c r="A30" t="s">
        <v>159</v>
      </c>
      <c r="B30" t="s">
        <v>191</v>
      </c>
      <c r="C30" t="s">
        <v>136</v>
      </c>
      <c r="D30">
        <v>26</v>
      </c>
      <c r="E30">
        <v>42</v>
      </c>
      <c r="F30" t="s">
        <v>192</v>
      </c>
      <c r="G30" t="s">
        <v>193</v>
      </c>
      <c r="H30">
        <v>2.6388600000000002</v>
      </c>
      <c r="I30">
        <v>3.5</v>
      </c>
      <c r="J30">
        <v>5</v>
      </c>
      <c r="K30">
        <v>3</v>
      </c>
      <c r="L30">
        <v>2</v>
      </c>
      <c r="M30" t="s">
        <v>194</v>
      </c>
    </row>
    <row r="31" spans="1:13" x14ac:dyDescent="0.25">
      <c r="A31" t="s">
        <v>159</v>
      </c>
      <c r="B31" t="s">
        <v>195</v>
      </c>
      <c r="C31" t="s">
        <v>168</v>
      </c>
      <c r="D31">
        <v>29</v>
      </c>
      <c r="E31">
        <v>57</v>
      </c>
      <c r="F31" t="s">
        <v>192</v>
      </c>
      <c r="G31" t="s">
        <v>196</v>
      </c>
      <c r="H31">
        <v>2.9844250000000003</v>
      </c>
      <c r="I31">
        <v>5</v>
      </c>
      <c r="J31">
        <v>6</v>
      </c>
      <c r="K31">
        <v>3</v>
      </c>
      <c r="L31">
        <v>1</v>
      </c>
      <c r="M31" t="s">
        <v>197</v>
      </c>
    </row>
    <row r="32" spans="1:13" x14ac:dyDescent="0.25">
      <c r="A32" t="s">
        <v>159</v>
      </c>
      <c r="B32" t="s">
        <v>198</v>
      </c>
      <c r="C32" t="s">
        <v>168</v>
      </c>
      <c r="D32">
        <v>26</v>
      </c>
      <c r="E32">
        <v>42</v>
      </c>
      <c r="F32" t="s">
        <v>192</v>
      </c>
      <c r="G32" t="s">
        <v>199</v>
      </c>
      <c r="H32">
        <v>3.2985750000000005</v>
      </c>
      <c r="I32">
        <v>2.5</v>
      </c>
      <c r="J32">
        <v>4</v>
      </c>
      <c r="K32">
        <v>3</v>
      </c>
      <c r="L32">
        <v>1</v>
      </c>
    </row>
    <row r="33" spans="1:13" x14ac:dyDescent="0.25">
      <c r="A33" t="s">
        <v>159</v>
      </c>
      <c r="B33" t="s">
        <v>200</v>
      </c>
      <c r="C33" t="s">
        <v>168</v>
      </c>
      <c r="D33">
        <v>26</v>
      </c>
      <c r="E33">
        <v>42</v>
      </c>
      <c r="F33" t="s">
        <v>192</v>
      </c>
      <c r="G33" t="s">
        <v>201</v>
      </c>
      <c r="H33">
        <v>4.3981000000000003</v>
      </c>
      <c r="I33">
        <v>2.7</v>
      </c>
      <c r="J33">
        <v>3</v>
      </c>
      <c r="K33">
        <v>3</v>
      </c>
      <c r="L33">
        <v>1</v>
      </c>
    </row>
    <row r="34" spans="1:13" x14ac:dyDescent="0.25">
      <c r="A34" t="s">
        <v>159</v>
      </c>
      <c r="B34" t="s">
        <v>202</v>
      </c>
      <c r="C34" t="s">
        <v>168</v>
      </c>
      <c r="D34">
        <v>27</v>
      </c>
      <c r="E34">
        <v>56</v>
      </c>
      <c r="F34" t="s">
        <v>192</v>
      </c>
      <c r="G34" t="s">
        <v>203</v>
      </c>
      <c r="H34">
        <v>4.3981000000000003</v>
      </c>
      <c r="I34">
        <v>3</v>
      </c>
      <c r="J34">
        <v>4</v>
      </c>
      <c r="K34">
        <v>3</v>
      </c>
      <c r="L34">
        <v>1</v>
      </c>
    </row>
    <row r="35" spans="1:13" x14ac:dyDescent="0.25">
      <c r="A35" t="s">
        <v>159</v>
      </c>
      <c r="B35" t="s">
        <v>204</v>
      </c>
      <c r="C35" t="s">
        <v>168</v>
      </c>
      <c r="D35">
        <v>28</v>
      </c>
      <c r="E35">
        <v>57</v>
      </c>
      <c r="F35" t="s">
        <v>192</v>
      </c>
      <c r="G35" t="s">
        <v>205</v>
      </c>
      <c r="H35">
        <v>4.4766375000000007</v>
      </c>
      <c r="I35">
        <v>4</v>
      </c>
      <c r="J35">
        <v>4</v>
      </c>
      <c r="K35">
        <v>3</v>
      </c>
      <c r="L35">
        <v>1</v>
      </c>
      <c r="M35" t="s">
        <v>206</v>
      </c>
    </row>
    <row r="36" spans="1:13" x14ac:dyDescent="0.25">
      <c r="A36" t="s">
        <v>159</v>
      </c>
      <c r="C36" t="s">
        <v>168</v>
      </c>
      <c r="D36">
        <v>30</v>
      </c>
      <c r="E36">
        <v>48</v>
      </c>
      <c r="F36" t="s">
        <v>192</v>
      </c>
      <c r="G36" t="s">
        <v>207</v>
      </c>
      <c r="H36">
        <v>5.0264000000000006</v>
      </c>
      <c r="I36">
        <v>7.5</v>
      </c>
      <c r="J36">
        <v>3</v>
      </c>
      <c r="K36">
        <v>3</v>
      </c>
      <c r="L36">
        <v>1</v>
      </c>
      <c r="M36" t="s">
        <v>208</v>
      </c>
    </row>
    <row r="37" spans="1:13" x14ac:dyDescent="0.25">
      <c r="A37" t="s">
        <v>159</v>
      </c>
      <c r="B37" t="s">
        <v>209</v>
      </c>
      <c r="C37" t="s">
        <v>168</v>
      </c>
      <c r="D37">
        <v>28</v>
      </c>
      <c r="E37">
        <v>57</v>
      </c>
      <c r="F37" t="s">
        <v>192</v>
      </c>
      <c r="G37" t="s">
        <v>210</v>
      </c>
      <c r="H37">
        <v>5.9688500000000007</v>
      </c>
      <c r="I37">
        <v>4.5</v>
      </c>
      <c r="J37">
        <v>3</v>
      </c>
      <c r="K37">
        <v>3</v>
      </c>
      <c r="L37">
        <v>1</v>
      </c>
      <c r="M37" t="s">
        <v>211</v>
      </c>
    </row>
    <row r="38" spans="1:13" x14ac:dyDescent="0.25">
      <c r="A38" t="s">
        <v>159</v>
      </c>
      <c r="B38" t="s">
        <v>212</v>
      </c>
      <c r="C38" t="s">
        <v>168</v>
      </c>
      <c r="D38">
        <v>31</v>
      </c>
      <c r="E38">
        <v>42</v>
      </c>
      <c r="F38" t="s">
        <v>192</v>
      </c>
      <c r="G38" t="s">
        <v>213</v>
      </c>
      <c r="H38">
        <v>6.597150000000001</v>
      </c>
      <c r="I38">
        <v>4</v>
      </c>
      <c r="J38">
        <v>2</v>
      </c>
      <c r="K38">
        <v>3</v>
      </c>
      <c r="L38">
        <v>1</v>
      </c>
      <c r="M38" t="s">
        <v>214</v>
      </c>
    </row>
    <row r="39" spans="1:13" x14ac:dyDescent="0.25">
      <c r="A39" t="s">
        <v>159</v>
      </c>
      <c r="C39" t="s">
        <v>168</v>
      </c>
      <c r="D39">
        <v>32</v>
      </c>
      <c r="E39">
        <v>42</v>
      </c>
      <c r="F39" t="s">
        <v>192</v>
      </c>
      <c r="G39" t="s">
        <v>215</v>
      </c>
      <c r="H39">
        <v>6.597150000000001</v>
      </c>
      <c r="I39">
        <v>10</v>
      </c>
      <c r="J39">
        <v>2</v>
      </c>
      <c r="K39">
        <v>3</v>
      </c>
      <c r="L39">
        <v>1</v>
      </c>
      <c r="M39" t="s">
        <v>216</v>
      </c>
    </row>
    <row r="40" spans="1:13" x14ac:dyDescent="0.25">
      <c r="A40" t="s">
        <v>159</v>
      </c>
    </row>
    <row r="41" spans="1:13" x14ac:dyDescent="0.25">
      <c r="A41" t="s">
        <v>159</v>
      </c>
      <c r="C41" t="s">
        <v>153</v>
      </c>
      <c r="D41">
        <v>81</v>
      </c>
      <c r="E41">
        <v>49</v>
      </c>
      <c r="F41" t="s">
        <v>217</v>
      </c>
      <c r="G41" t="s">
        <v>218</v>
      </c>
      <c r="H41">
        <v>1.7103722222222224</v>
      </c>
      <c r="I41">
        <v>7.5</v>
      </c>
      <c r="J41">
        <v>9</v>
      </c>
      <c r="K41">
        <v>2</v>
      </c>
      <c r="L41">
        <v>3</v>
      </c>
      <c r="M41" t="s">
        <v>219</v>
      </c>
    </row>
    <row r="42" spans="1:13" x14ac:dyDescent="0.25">
      <c r="A42" t="s">
        <v>159</v>
      </c>
      <c r="C42" t="s">
        <v>168</v>
      </c>
      <c r="D42">
        <v>39</v>
      </c>
      <c r="E42">
        <v>43</v>
      </c>
      <c r="F42" t="s">
        <v>122</v>
      </c>
      <c r="G42" t="s">
        <v>220</v>
      </c>
      <c r="H42">
        <v>2.7016900000000001</v>
      </c>
      <c r="I42">
        <v>10.5</v>
      </c>
      <c r="J42">
        <v>5</v>
      </c>
      <c r="K42">
        <v>3</v>
      </c>
      <c r="L42">
        <v>1</v>
      </c>
      <c r="M42" t="s">
        <v>221</v>
      </c>
    </row>
    <row r="43" spans="1:13" x14ac:dyDescent="0.25">
      <c r="A43" t="s">
        <v>159</v>
      </c>
      <c r="C43" t="s">
        <v>136</v>
      </c>
      <c r="D43">
        <v>84</v>
      </c>
      <c r="E43">
        <v>44</v>
      </c>
      <c r="F43" t="s">
        <v>217</v>
      </c>
      <c r="G43" t="s">
        <v>222</v>
      </c>
      <c r="H43">
        <v>2.3037666666666667</v>
      </c>
      <c r="I43">
        <v>10</v>
      </c>
      <c r="J43">
        <v>6</v>
      </c>
      <c r="K43">
        <v>0</v>
      </c>
      <c r="L43">
        <v>3</v>
      </c>
      <c r="M43" t="s">
        <v>223</v>
      </c>
    </row>
    <row r="44" spans="1:13" x14ac:dyDescent="0.25">
      <c r="A44" t="s">
        <v>159</v>
      </c>
      <c r="C44" t="s">
        <v>224</v>
      </c>
      <c r="D44">
        <v>55</v>
      </c>
      <c r="E44">
        <v>45</v>
      </c>
      <c r="F44" t="s">
        <v>122</v>
      </c>
      <c r="G44" t="s">
        <v>225</v>
      </c>
      <c r="H44">
        <v>2.82735</v>
      </c>
      <c r="I44">
        <v>10.5</v>
      </c>
      <c r="J44">
        <v>5</v>
      </c>
      <c r="K44">
        <v>3</v>
      </c>
      <c r="L44">
        <v>3</v>
      </c>
      <c r="M44" t="s">
        <v>226</v>
      </c>
    </row>
    <row r="45" spans="1:13" x14ac:dyDescent="0.25">
      <c r="A45" t="s">
        <v>159</v>
      </c>
      <c r="C45" t="s">
        <v>224</v>
      </c>
      <c r="D45">
        <v>82</v>
      </c>
      <c r="E45">
        <v>45</v>
      </c>
      <c r="F45" t="s">
        <v>217</v>
      </c>
      <c r="G45" t="s">
        <v>225</v>
      </c>
      <c r="H45">
        <v>2.82735</v>
      </c>
      <c r="I45">
        <v>10.5</v>
      </c>
      <c r="J45">
        <v>5</v>
      </c>
      <c r="K45">
        <v>3</v>
      </c>
      <c r="L45">
        <v>3</v>
      </c>
      <c r="M45" t="s">
        <v>226</v>
      </c>
    </row>
    <row r="46" spans="1:13" x14ac:dyDescent="0.25">
      <c r="A46" t="s">
        <v>159</v>
      </c>
      <c r="C46" t="s">
        <v>168</v>
      </c>
      <c r="D46">
        <v>35</v>
      </c>
      <c r="E46">
        <v>40</v>
      </c>
      <c r="F46" t="s">
        <v>122</v>
      </c>
      <c r="G46" t="s">
        <v>227</v>
      </c>
      <c r="H46">
        <v>2.0943333333333336</v>
      </c>
      <c r="I46">
        <v>10.5</v>
      </c>
      <c r="J46">
        <v>6</v>
      </c>
      <c r="K46">
        <v>3</v>
      </c>
      <c r="L46">
        <v>3</v>
      </c>
      <c r="M46" t="s">
        <v>141</v>
      </c>
    </row>
    <row r="47" spans="1:13" x14ac:dyDescent="0.25">
      <c r="A47" t="s">
        <v>159</v>
      </c>
      <c r="C47" t="s">
        <v>168</v>
      </c>
      <c r="D47">
        <v>36</v>
      </c>
      <c r="E47">
        <v>40</v>
      </c>
      <c r="F47" t="s">
        <v>122</v>
      </c>
      <c r="G47" t="s">
        <v>227</v>
      </c>
      <c r="H47">
        <v>2.0943333333333336</v>
      </c>
      <c r="I47">
        <v>10.5</v>
      </c>
      <c r="J47">
        <v>6</v>
      </c>
      <c r="K47">
        <v>3</v>
      </c>
      <c r="L47">
        <v>3</v>
      </c>
      <c r="M47" t="s">
        <v>141</v>
      </c>
    </row>
    <row r="48" spans="1:13" x14ac:dyDescent="0.25">
      <c r="A48" t="s">
        <v>159</v>
      </c>
      <c r="C48" t="s">
        <v>153</v>
      </c>
      <c r="D48">
        <v>36</v>
      </c>
      <c r="E48">
        <v>40</v>
      </c>
      <c r="F48" t="s">
        <v>122</v>
      </c>
      <c r="G48" t="s">
        <v>227</v>
      </c>
      <c r="H48">
        <v>2.0943333333333336</v>
      </c>
      <c r="I48">
        <v>10.5</v>
      </c>
      <c r="J48">
        <v>6</v>
      </c>
      <c r="K48">
        <v>3</v>
      </c>
      <c r="L48">
        <v>3</v>
      </c>
    </row>
    <row r="49" spans="1:13" x14ac:dyDescent="0.25">
      <c r="A49" t="s">
        <v>159</v>
      </c>
      <c r="C49" t="s">
        <v>153</v>
      </c>
      <c r="D49">
        <v>75</v>
      </c>
      <c r="E49">
        <v>47</v>
      </c>
      <c r="F49" t="s">
        <v>122</v>
      </c>
      <c r="G49" t="s">
        <v>228</v>
      </c>
      <c r="H49">
        <v>1.4765050000000002</v>
      </c>
      <c r="I49">
        <v>10.5</v>
      </c>
      <c r="J49">
        <v>10</v>
      </c>
      <c r="K49">
        <v>0</v>
      </c>
      <c r="L49">
        <v>1</v>
      </c>
    </row>
    <row r="50" spans="1:13" x14ac:dyDescent="0.25">
      <c r="A50" t="s">
        <v>159</v>
      </c>
      <c r="C50" t="s">
        <v>153</v>
      </c>
      <c r="D50">
        <v>76</v>
      </c>
      <c r="E50">
        <v>48</v>
      </c>
      <c r="F50" t="s">
        <v>122</v>
      </c>
      <c r="G50" t="s">
        <v>229</v>
      </c>
      <c r="H50">
        <v>2.5132000000000003</v>
      </c>
      <c r="I50">
        <v>10.5</v>
      </c>
      <c r="J50">
        <v>6</v>
      </c>
      <c r="K50">
        <v>3</v>
      </c>
      <c r="L50">
        <v>3</v>
      </c>
      <c r="M50" t="s">
        <v>230</v>
      </c>
    </row>
    <row r="51" spans="1:13" x14ac:dyDescent="0.25">
      <c r="A51" t="s">
        <v>159</v>
      </c>
      <c r="B51" t="s">
        <v>231</v>
      </c>
      <c r="C51" t="s">
        <v>168</v>
      </c>
      <c r="D51">
        <v>37</v>
      </c>
      <c r="E51">
        <v>54</v>
      </c>
      <c r="F51" t="s">
        <v>122</v>
      </c>
      <c r="G51" t="s">
        <v>232</v>
      </c>
      <c r="H51">
        <v>4.2410250000000005</v>
      </c>
      <c r="I51">
        <v>10.5</v>
      </c>
      <c r="J51">
        <v>4</v>
      </c>
      <c r="K51" t="s">
        <v>165</v>
      </c>
      <c r="L51">
        <v>5</v>
      </c>
      <c r="M51" t="s">
        <v>233</v>
      </c>
    </row>
    <row r="52" spans="1:13" x14ac:dyDescent="0.25">
      <c r="A52" t="s">
        <v>159</v>
      </c>
      <c r="B52" t="s">
        <v>234</v>
      </c>
      <c r="C52" t="s">
        <v>168</v>
      </c>
      <c r="D52">
        <v>38</v>
      </c>
      <c r="E52">
        <v>41</v>
      </c>
      <c r="F52" t="s">
        <v>122</v>
      </c>
      <c r="G52" t="s">
        <v>235</v>
      </c>
      <c r="H52">
        <v>4.2933833333333329</v>
      </c>
      <c r="I52">
        <v>4.5</v>
      </c>
      <c r="J52">
        <v>3</v>
      </c>
      <c r="K52">
        <v>3</v>
      </c>
      <c r="L52">
        <v>1</v>
      </c>
      <c r="M52" t="s">
        <v>123</v>
      </c>
    </row>
    <row r="53" spans="1:13" x14ac:dyDescent="0.25">
      <c r="A53" t="s">
        <v>159</v>
      </c>
      <c r="C53" t="s">
        <v>136</v>
      </c>
      <c r="D53">
        <v>73</v>
      </c>
      <c r="E53">
        <v>41</v>
      </c>
      <c r="F53" t="s">
        <v>217</v>
      </c>
      <c r="G53" t="s">
        <v>235</v>
      </c>
      <c r="H53">
        <v>4.2933833333333329</v>
      </c>
      <c r="I53">
        <v>900</v>
      </c>
      <c r="J53">
        <v>3</v>
      </c>
      <c r="K53">
        <v>3</v>
      </c>
      <c r="L53">
        <v>2</v>
      </c>
      <c r="M53" t="s">
        <v>236</v>
      </c>
    </row>
    <row r="54" spans="1:13" x14ac:dyDescent="0.25">
      <c r="A54" t="s">
        <v>159</v>
      </c>
      <c r="C54" t="s">
        <v>168</v>
      </c>
      <c r="D54">
        <v>41</v>
      </c>
      <c r="E54">
        <v>42</v>
      </c>
      <c r="F54" t="s">
        <v>122</v>
      </c>
      <c r="G54" t="s">
        <v>237</v>
      </c>
      <c r="H54">
        <v>3.2985750000000005</v>
      </c>
      <c r="I54">
        <v>10.5</v>
      </c>
      <c r="J54">
        <v>4</v>
      </c>
      <c r="K54">
        <v>3</v>
      </c>
      <c r="L54">
        <v>2</v>
      </c>
      <c r="M54" t="s">
        <v>238</v>
      </c>
    </row>
    <row r="55" spans="1:13" x14ac:dyDescent="0.25">
      <c r="A55" t="s">
        <v>159</v>
      </c>
      <c r="C55" t="s">
        <v>168</v>
      </c>
      <c r="D55">
        <v>42</v>
      </c>
      <c r="E55">
        <v>53</v>
      </c>
      <c r="F55" t="s">
        <v>122</v>
      </c>
      <c r="G55" t="s">
        <v>239</v>
      </c>
      <c r="H55">
        <v>5.5499833333333335</v>
      </c>
      <c r="I55">
        <v>10.5</v>
      </c>
      <c r="J55">
        <v>3</v>
      </c>
      <c r="K55">
        <v>3</v>
      </c>
      <c r="L55">
        <v>3</v>
      </c>
      <c r="M55" t="s">
        <v>240</v>
      </c>
    </row>
    <row r="56" spans="1:13" x14ac:dyDescent="0.25">
      <c r="A56" t="s">
        <v>159</v>
      </c>
      <c r="C56" t="s">
        <v>153</v>
      </c>
      <c r="D56">
        <v>34</v>
      </c>
      <c r="E56">
        <v>45</v>
      </c>
      <c r="F56" t="s">
        <v>122</v>
      </c>
      <c r="G56" t="s">
        <v>241</v>
      </c>
      <c r="H56">
        <v>1.7670937500000001</v>
      </c>
      <c r="I56">
        <v>6.5</v>
      </c>
      <c r="J56">
        <v>8</v>
      </c>
      <c r="K56">
        <v>3</v>
      </c>
      <c r="L56">
        <v>1</v>
      </c>
      <c r="M56" t="s">
        <v>242</v>
      </c>
    </row>
    <row r="57" spans="1:13" x14ac:dyDescent="0.25">
      <c r="A57" t="s">
        <v>159</v>
      </c>
      <c r="B57" t="s">
        <v>243</v>
      </c>
      <c r="C57" t="s">
        <v>168</v>
      </c>
      <c r="D57">
        <v>31</v>
      </c>
      <c r="E57">
        <v>42</v>
      </c>
      <c r="F57" t="s">
        <v>122</v>
      </c>
      <c r="G57" t="s">
        <v>244</v>
      </c>
      <c r="H57">
        <v>3.2985750000000005</v>
      </c>
      <c r="I57">
        <v>6.5</v>
      </c>
      <c r="J57">
        <v>4</v>
      </c>
      <c r="K57">
        <v>3</v>
      </c>
      <c r="L57">
        <v>1</v>
      </c>
      <c r="M57" t="s">
        <v>123</v>
      </c>
    </row>
    <row r="58" spans="1:13" x14ac:dyDescent="0.25">
      <c r="A58" t="s">
        <v>159</v>
      </c>
      <c r="C58" t="s">
        <v>168</v>
      </c>
      <c r="D58">
        <v>43</v>
      </c>
      <c r="E58">
        <v>40</v>
      </c>
      <c r="F58" t="s">
        <v>122</v>
      </c>
      <c r="G58" t="s">
        <v>142</v>
      </c>
      <c r="H58">
        <v>6.2830000000000004</v>
      </c>
      <c r="I58">
        <v>10.5</v>
      </c>
      <c r="J58">
        <v>2</v>
      </c>
      <c r="K58">
        <v>3</v>
      </c>
      <c r="L58">
        <v>3</v>
      </c>
      <c r="M58" t="s">
        <v>143</v>
      </c>
    </row>
    <row r="59" spans="1:13" x14ac:dyDescent="0.25">
      <c r="A59" t="s">
        <v>159</v>
      </c>
      <c r="B59" t="s">
        <v>245</v>
      </c>
      <c r="C59" t="s">
        <v>168</v>
      </c>
      <c r="D59">
        <v>38</v>
      </c>
      <c r="E59">
        <v>41</v>
      </c>
      <c r="F59" t="s">
        <v>122</v>
      </c>
      <c r="G59" t="s">
        <v>246</v>
      </c>
      <c r="H59">
        <v>4.2933833333333329</v>
      </c>
      <c r="I59">
        <v>6.5</v>
      </c>
      <c r="J59">
        <v>3</v>
      </c>
      <c r="K59">
        <v>3</v>
      </c>
      <c r="L59">
        <v>1</v>
      </c>
      <c r="M59" t="s">
        <v>123</v>
      </c>
    </row>
    <row r="60" spans="1:13" x14ac:dyDescent="0.25">
      <c r="A60" t="s">
        <v>159</v>
      </c>
      <c r="B60" t="s">
        <v>247</v>
      </c>
      <c r="C60" t="s">
        <v>153</v>
      </c>
      <c r="D60">
        <v>17</v>
      </c>
      <c r="E60">
        <v>43</v>
      </c>
      <c r="F60" t="s">
        <v>122</v>
      </c>
      <c r="G60" t="s">
        <v>248</v>
      </c>
      <c r="H60">
        <v>0.90056333333333338</v>
      </c>
      <c r="I60">
        <v>7</v>
      </c>
      <c r="J60">
        <v>15</v>
      </c>
      <c r="K60">
        <v>3</v>
      </c>
      <c r="L60">
        <v>1</v>
      </c>
      <c r="M60" t="s">
        <v>249</v>
      </c>
    </row>
    <row r="61" spans="1:13" x14ac:dyDescent="0.25">
      <c r="A61" t="s">
        <v>159</v>
      </c>
      <c r="B61" t="s">
        <v>231</v>
      </c>
      <c r="C61" t="s">
        <v>168</v>
      </c>
      <c r="D61">
        <v>44</v>
      </c>
      <c r="E61">
        <v>49</v>
      </c>
      <c r="F61" t="s">
        <v>122</v>
      </c>
      <c r="G61" t="s">
        <v>250</v>
      </c>
      <c r="H61">
        <v>3.8483375000000004</v>
      </c>
      <c r="I61">
        <v>7</v>
      </c>
      <c r="J61">
        <v>4</v>
      </c>
      <c r="K61">
        <v>2</v>
      </c>
      <c r="L61">
        <v>1</v>
      </c>
    </row>
    <row r="62" spans="1:13" x14ac:dyDescent="0.25">
      <c r="A62" t="s">
        <v>159</v>
      </c>
      <c r="B62" t="s">
        <v>251</v>
      </c>
      <c r="C62" t="s">
        <v>168</v>
      </c>
      <c r="D62">
        <v>45</v>
      </c>
      <c r="E62">
        <v>48</v>
      </c>
      <c r="F62" t="s">
        <v>122</v>
      </c>
      <c r="G62" t="s">
        <v>252</v>
      </c>
      <c r="H62">
        <v>5.0264000000000006</v>
      </c>
      <c r="I62">
        <v>7.3</v>
      </c>
      <c r="J62">
        <v>3</v>
      </c>
      <c r="K62">
        <v>3</v>
      </c>
      <c r="L62">
        <v>1</v>
      </c>
      <c r="M62" t="s">
        <v>253</v>
      </c>
    </row>
    <row r="63" spans="1:13" x14ac:dyDescent="0.25">
      <c r="A63" t="s">
        <v>159</v>
      </c>
      <c r="C63" t="s">
        <v>153</v>
      </c>
      <c r="D63">
        <v>54</v>
      </c>
      <c r="E63">
        <v>45</v>
      </c>
      <c r="F63" t="s">
        <v>122</v>
      </c>
      <c r="G63" t="s">
        <v>254</v>
      </c>
      <c r="H63">
        <v>1.7670937500000001</v>
      </c>
      <c r="I63">
        <v>6.7</v>
      </c>
      <c r="J63">
        <v>8</v>
      </c>
      <c r="K63">
        <v>3</v>
      </c>
      <c r="L63">
        <v>1</v>
      </c>
      <c r="M63" t="s">
        <v>223</v>
      </c>
    </row>
    <row r="64" spans="1:13" x14ac:dyDescent="0.25">
      <c r="A64" t="s">
        <v>159</v>
      </c>
      <c r="C64" t="s">
        <v>168</v>
      </c>
      <c r="D64">
        <v>33</v>
      </c>
      <c r="E64">
        <v>42</v>
      </c>
      <c r="F64" t="s">
        <v>122</v>
      </c>
      <c r="G64" t="s">
        <v>255</v>
      </c>
      <c r="H64">
        <v>1.6492875000000002</v>
      </c>
      <c r="I64">
        <v>7.5</v>
      </c>
      <c r="J64">
        <v>8</v>
      </c>
      <c r="K64">
        <v>3</v>
      </c>
      <c r="L64">
        <v>1</v>
      </c>
      <c r="M64" t="s">
        <v>256</v>
      </c>
    </row>
    <row r="65" spans="1:13" x14ac:dyDescent="0.25">
      <c r="A65" t="s">
        <v>159</v>
      </c>
      <c r="C65" t="s">
        <v>121</v>
      </c>
      <c r="D65">
        <v>51</v>
      </c>
      <c r="E65">
        <v>48</v>
      </c>
      <c r="F65" t="s">
        <v>122</v>
      </c>
      <c r="G65" t="s">
        <v>257</v>
      </c>
      <c r="H65">
        <v>3.7698</v>
      </c>
      <c r="I65">
        <v>7.5</v>
      </c>
      <c r="J65">
        <v>4</v>
      </c>
      <c r="K65">
        <v>3</v>
      </c>
      <c r="L65">
        <v>1</v>
      </c>
      <c r="M65" t="s">
        <v>258</v>
      </c>
    </row>
    <row r="66" spans="1:13" x14ac:dyDescent="0.25">
      <c r="A66" t="s">
        <v>159</v>
      </c>
      <c r="C66" t="s">
        <v>168</v>
      </c>
      <c r="D66">
        <v>52</v>
      </c>
      <c r="E66">
        <v>49</v>
      </c>
      <c r="F66" t="s">
        <v>122</v>
      </c>
      <c r="G66" t="s">
        <v>259</v>
      </c>
      <c r="H66">
        <v>1.3993954545454546</v>
      </c>
      <c r="I66">
        <v>7.7</v>
      </c>
      <c r="J66">
        <v>11</v>
      </c>
      <c r="K66">
        <v>2</v>
      </c>
      <c r="L66">
        <v>1</v>
      </c>
      <c r="M66" t="s">
        <v>249</v>
      </c>
    </row>
    <row r="67" spans="1:13" x14ac:dyDescent="0.25">
      <c r="A67" t="s">
        <v>159</v>
      </c>
      <c r="B67" t="s">
        <v>260</v>
      </c>
      <c r="C67" t="s">
        <v>168</v>
      </c>
      <c r="D67">
        <v>93</v>
      </c>
      <c r="E67">
        <v>52</v>
      </c>
      <c r="F67" t="s">
        <v>122</v>
      </c>
      <c r="G67" t="s">
        <v>261</v>
      </c>
      <c r="H67">
        <v>5.5</v>
      </c>
      <c r="I67">
        <v>7.8</v>
      </c>
      <c r="J67">
        <v>3</v>
      </c>
      <c r="K67">
        <v>3</v>
      </c>
      <c r="L67">
        <v>1</v>
      </c>
    </row>
    <row r="68" spans="1:13" x14ac:dyDescent="0.25">
      <c r="A68" t="s">
        <v>159</v>
      </c>
      <c r="C68" t="s">
        <v>153</v>
      </c>
      <c r="D68">
        <v>70</v>
      </c>
      <c r="E68">
        <v>48</v>
      </c>
      <c r="F68" t="s">
        <v>122</v>
      </c>
      <c r="G68" t="s">
        <v>262</v>
      </c>
      <c r="H68">
        <v>3.7698</v>
      </c>
      <c r="I68">
        <v>8</v>
      </c>
      <c r="J68">
        <v>4</v>
      </c>
      <c r="K68">
        <v>3</v>
      </c>
      <c r="L68">
        <v>1</v>
      </c>
      <c r="M68" t="s">
        <v>180</v>
      </c>
    </row>
    <row r="69" spans="1:13" x14ac:dyDescent="0.25">
      <c r="A69" t="s">
        <v>159</v>
      </c>
      <c r="B69" t="s">
        <v>251</v>
      </c>
      <c r="C69" t="s">
        <v>168</v>
      </c>
      <c r="D69">
        <v>46</v>
      </c>
      <c r="E69">
        <v>50</v>
      </c>
      <c r="F69" t="s">
        <v>122</v>
      </c>
      <c r="G69" t="s">
        <v>263</v>
      </c>
      <c r="H69">
        <v>7.8537500000000007</v>
      </c>
      <c r="I69">
        <v>8.5</v>
      </c>
      <c r="J69">
        <v>2</v>
      </c>
      <c r="K69">
        <v>3</v>
      </c>
      <c r="L69">
        <v>1</v>
      </c>
      <c r="M69" t="s">
        <v>152</v>
      </c>
    </row>
    <row r="70" spans="1:13" x14ac:dyDescent="0.25">
      <c r="A70" t="s">
        <v>159</v>
      </c>
      <c r="C70" t="s">
        <v>168</v>
      </c>
      <c r="D70">
        <v>71</v>
      </c>
      <c r="E70">
        <v>43</v>
      </c>
      <c r="F70" t="s">
        <v>122</v>
      </c>
      <c r="G70" t="s">
        <v>264</v>
      </c>
      <c r="H70">
        <v>2.2514083333333335</v>
      </c>
      <c r="I70">
        <v>9</v>
      </c>
      <c r="J70">
        <v>6</v>
      </c>
      <c r="K70">
        <v>3</v>
      </c>
      <c r="L70">
        <v>1</v>
      </c>
      <c r="M70" t="s">
        <v>180</v>
      </c>
    </row>
    <row r="71" spans="1:13" x14ac:dyDescent="0.25">
      <c r="A71" t="s">
        <v>159</v>
      </c>
      <c r="C71" t="s">
        <v>168</v>
      </c>
      <c r="D71">
        <v>47</v>
      </c>
      <c r="E71">
        <v>43</v>
      </c>
      <c r="F71" t="s">
        <v>122</v>
      </c>
      <c r="G71" t="s">
        <v>265</v>
      </c>
      <c r="H71">
        <v>4.5028166666666669</v>
      </c>
      <c r="I71">
        <v>9</v>
      </c>
      <c r="J71">
        <v>3</v>
      </c>
      <c r="K71">
        <v>3</v>
      </c>
      <c r="L71">
        <v>1</v>
      </c>
      <c r="M71" t="s">
        <v>266</v>
      </c>
    </row>
    <row r="72" spans="1:13" x14ac:dyDescent="0.25">
      <c r="A72" t="s">
        <v>159</v>
      </c>
      <c r="C72" t="s">
        <v>168</v>
      </c>
      <c r="D72">
        <v>92</v>
      </c>
      <c r="E72">
        <v>56</v>
      </c>
      <c r="F72" t="s">
        <v>122</v>
      </c>
      <c r="G72" t="s">
        <v>267</v>
      </c>
      <c r="H72">
        <v>5.8641333333333332</v>
      </c>
      <c r="I72">
        <v>9</v>
      </c>
      <c r="J72">
        <v>3</v>
      </c>
      <c r="K72">
        <v>3</v>
      </c>
      <c r="L72">
        <v>1</v>
      </c>
      <c r="M72" t="s">
        <v>256</v>
      </c>
    </row>
    <row r="73" spans="1:13" x14ac:dyDescent="0.25">
      <c r="A73" t="s">
        <v>159</v>
      </c>
      <c r="C73" t="s">
        <v>121</v>
      </c>
      <c r="D73">
        <v>72</v>
      </c>
      <c r="E73">
        <v>56</v>
      </c>
      <c r="F73" t="s">
        <v>122</v>
      </c>
      <c r="G73" t="s">
        <v>268</v>
      </c>
      <c r="H73">
        <v>5.8641333333333332</v>
      </c>
      <c r="I73">
        <v>9</v>
      </c>
      <c r="J73">
        <v>3</v>
      </c>
      <c r="K73">
        <v>3</v>
      </c>
      <c r="L73">
        <v>1</v>
      </c>
      <c r="M73" t="s">
        <v>180</v>
      </c>
    </row>
    <row r="74" spans="1:13" x14ac:dyDescent="0.25">
      <c r="A74" t="s">
        <v>159</v>
      </c>
      <c r="C74" t="s">
        <v>153</v>
      </c>
      <c r="D74">
        <v>74</v>
      </c>
      <c r="E74">
        <v>47</v>
      </c>
      <c r="F74" t="s">
        <v>122</v>
      </c>
      <c r="G74" t="s">
        <v>269</v>
      </c>
      <c r="H74">
        <v>1.4765050000000002</v>
      </c>
      <c r="I74">
        <v>9.5</v>
      </c>
      <c r="J74">
        <v>10</v>
      </c>
      <c r="K74">
        <v>0</v>
      </c>
      <c r="L74">
        <v>1</v>
      </c>
      <c r="M74" t="s">
        <v>270</v>
      </c>
    </row>
    <row r="75" spans="1:13" x14ac:dyDescent="0.25">
      <c r="A75" t="s">
        <v>159</v>
      </c>
      <c r="C75" t="s">
        <v>153</v>
      </c>
      <c r="D75">
        <v>68</v>
      </c>
      <c r="E75">
        <v>43</v>
      </c>
      <c r="F75" t="s">
        <v>122</v>
      </c>
      <c r="G75" t="s">
        <v>271</v>
      </c>
      <c r="H75">
        <v>2.2514083333333335</v>
      </c>
      <c r="I75">
        <v>9.5</v>
      </c>
      <c r="J75">
        <v>6</v>
      </c>
      <c r="K75">
        <v>3</v>
      </c>
      <c r="L75">
        <v>1</v>
      </c>
      <c r="M75" t="s">
        <v>180</v>
      </c>
    </row>
    <row r="76" spans="1:13" x14ac:dyDescent="0.25">
      <c r="A76" t="s">
        <v>159</v>
      </c>
      <c r="C76" t="s">
        <v>172</v>
      </c>
      <c r="D76">
        <v>53</v>
      </c>
      <c r="E76">
        <v>46</v>
      </c>
      <c r="F76" t="s">
        <v>122</v>
      </c>
      <c r="G76" t="s">
        <v>272</v>
      </c>
      <c r="H76">
        <v>4.8169666666666675</v>
      </c>
      <c r="I76">
        <v>10.5</v>
      </c>
      <c r="J76">
        <v>3</v>
      </c>
      <c r="K76" t="s">
        <v>165</v>
      </c>
      <c r="L76">
        <v>1</v>
      </c>
      <c r="M76" t="s">
        <v>273</v>
      </c>
    </row>
    <row r="77" spans="1:13" x14ac:dyDescent="0.25">
      <c r="A77" t="s">
        <v>159</v>
      </c>
      <c r="B77" t="s">
        <v>274</v>
      </c>
      <c r="C77" t="s">
        <v>157</v>
      </c>
      <c r="D77">
        <v>48</v>
      </c>
      <c r="E77">
        <v>50</v>
      </c>
      <c r="F77" t="s">
        <v>122</v>
      </c>
      <c r="G77" t="s">
        <v>275</v>
      </c>
      <c r="H77">
        <v>5.2358333333333338</v>
      </c>
      <c r="I77">
        <v>10.5</v>
      </c>
      <c r="J77">
        <v>3</v>
      </c>
      <c r="K77">
        <v>3</v>
      </c>
      <c r="L77">
        <v>1</v>
      </c>
      <c r="M77" t="s">
        <v>276</v>
      </c>
    </row>
    <row r="78" spans="1:13" x14ac:dyDescent="0.25">
      <c r="A78" t="s">
        <v>159</v>
      </c>
      <c r="C78" t="s">
        <v>157</v>
      </c>
      <c r="D78">
        <v>49</v>
      </c>
      <c r="E78">
        <v>55</v>
      </c>
      <c r="F78" t="s">
        <v>122</v>
      </c>
      <c r="G78" t="s">
        <v>277</v>
      </c>
      <c r="H78">
        <v>5.7594166666666666</v>
      </c>
      <c r="I78">
        <v>10.5</v>
      </c>
      <c r="J78">
        <v>3</v>
      </c>
      <c r="K78" t="s">
        <v>165</v>
      </c>
      <c r="L78">
        <v>1</v>
      </c>
      <c r="M78" t="s">
        <v>143</v>
      </c>
    </row>
    <row r="79" spans="1:13" x14ac:dyDescent="0.25">
      <c r="A79" t="s">
        <v>159</v>
      </c>
      <c r="C79" t="s">
        <v>168</v>
      </c>
      <c r="D79">
        <v>50</v>
      </c>
      <c r="E79">
        <v>66</v>
      </c>
      <c r="F79" t="s">
        <v>122</v>
      </c>
      <c r="G79" t="s">
        <v>278</v>
      </c>
      <c r="H79">
        <v>10.366949999999999</v>
      </c>
      <c r="I79">
        <v>6</v>
      </c>
      <c r="J79">
        <v>2</v>
      </c>
      <c r="K79">
        <v>3</v>
      </c>
      <c r="L79">
        <v>1</v>
      </c>
      <c r="M79" t="s">
        <v>279</v>
      </c>
    </row>
    <row r="80" spans="1:13" x14ac:dyDescent="0.25">
      <c r="A80" t="s">
        <v>159</v>
      </c>
      <c r="B80" t="s">
        <v>280</v>
      </c>
      <c r="C80" t="s">
        <v>168</v>
      </c>
      <c r="D80">
        <v>56</v>
      </c>
      <c r="E80">
        <v>40</v>
      </c>
      <c r="F80" t="s">
        <v>122</v>
      </c>
      <c r="G80" t="s">
        <v>140</v>
      </c>
      <c r="H80">
        <v>6.2830000000000004</v>
      </c>
      <c r="I80">
        <v>10.5</v>
      </c>
      <c r="J80">
        <v>2</v>
      </c>
      <c r="K80">
        <v>3</v>
      </c>
      <c r="L80">
        <v>1</v>
      </c>
      <c r="M80" t="s">
        <v>281</v>
      </c>
    </row>
    <row r="81" spans="1:13" x14ac:dyDescent="0.25">
      <c r="A81" t="s">
        <v>159</v>
      </c>
      <c r="C81" t="s">
        <v>172</v>
      </c>
      <c r="D81">
        <v>94</v>
      </c>
      <c r="E81">
        <v>50</v>
      </c>
      <c r="F81" t="s">
        <v>122</v>
      </c>
      <c r="G81" t="s">
        <v>282</v>
      </c>
      <c r="H81">
        <v>7.8537500000000007</v>
      </c>
      <c r="I81">
        <v>11</v>
      </c>
      <c r="J81">
        <v>2</v>
      </c>
      <c r="K81">
        <v>2</v>
      </c>
      <c r="L81">
        <v>1</v>
      </c>
      <c r="M81" t="s">
        <v>283</v>
      </c>
    </row>
    <row r="82" spans="1:13" x14ac:dyDescent="0.25">
      <c r="A82" t="s">
        <v>159</v>
      </c>
      <c r="C82" t="s">
        <v>168</v>
      </c>
      <c r="D82">
        <v>57</v>
      </c>
      <c r="E82">
        <v>52</v>
      </c>
      <c r="F82" t="s">
        <v>122</v>
      </c>
      <c r="G82" t="s">
        <v>138</v>
      </c>
      <c r="H82">
        <v>8.1678999999999995</v>
      </c>
      <c r="I82">
        <v>10.5</v>
      </c>
      <c r="J82">
        <v>2</v>
      </c>
      <c r="K82">
        <v>3</v>
      </c>
      <c r="L82">
        <v>1</v>
      </c>
      <c r="M82" t="s">
        <v>139</v>
      </c>
    </row>
    <row r="83" spans="1:13" x14ac:dyDescent="0.25">
      <c r="A83" t="s">
        <v>159</v>
      </c>
      <c r="C83" t="s">
        <v>168</v>
      </c>
      <c r="D83">
        <v>58</v>
      </c>
      <c r="E83">
        <v>70</v>
      </c>
      <c r="F83" t="s">
        <v>122</v>
      </c>
      <c r="G83" t="s">
        <v>284</v>
      </c>
      <c r="H83">
        <v>7.3301666666666661</v>
      </c>
      <c r="I83">
        <v>11</v>
      </c>
      <c r="J83">
        <v>3</v>
      </c>
      <c r="K83">
        <v>3</v>
      </c>
      <c r="L83">
        <v>1</v>
      </c>
      <c r="M83" t="s">
        <v>285</v>
      </c>
    </row>
    <row r="84" spans="1:13" x14ac:dyDescent="0.25">
      <c r="A84" t="s">
        <v>159</v>
      </c>
      <c r="C84" t="s">
        <v>153</v>
      </c>
      <c r="D84">
        <v>69</v>
      </c>
      <c r="E84">
        <v>43</v>
      </c>
      <c r="F84" t="s">
        <v>122</v>
      </c>
      <c r="G84" t="s">
        <v>286</v>
      </c>
      <c r="H84">
        <v>2.2514083333333335</v>
      </c>
      <c r="I84">
        <v>11</v>
      </c>
      <c r="J84">
        <v>6</v>
      </c>
      <c r="K84">
        <v>3</v>
      </c>
      <c r="L84">
        <v>1</v>
      </c>
      <c r="M84" t="s">
        <v>180</v>
      </c>
    </row>
    <row r="85" spans="1:13" x14ac:dyDescent="0.25">
      <c r="A85" t="s">
        <v>159</v>
      </c>
      <c r="C85" t="s">
        <v>172</v>
      </c>
      <c r="D85">
        <v>77</v>
      </c>
      <c r="E85">
        <v>72</v>
      </c>
      <c r="F85" t="s">
        <v>122</v>
      </c>
      <c r="G85" t="s">
        <v>287</v>
      </c>
      <c r="H85">
        <v>11.3094</v>
      </c>
      <c r="I85">
        <v>9.5</v>
      </c>
      <c r="J85">
        <v>2</v>
      </c>
      <c r="K85">
        <v>0</v>
      </c>
      <c r="L85">
        <v>1</v>
      </c>
      <c r="M85" t="s">
        <v>288</v>
      </c>
    </row>
    <row r="86" spans="1:13" x14ac:dyDescent="0.25">
      <c r="A86" t="s">
        <v>159</v>
      </c>
      <c r="C86" t="s">
        <v>168</v>
      </c>
      <c r="D86">
        <v>59</v>
      </c>
      <c r="E86">
        <v>75</v>
      </c>
      <c r="F86" t="s">
        <v>122</v>
      </c>
      <c r="G86" t="s">
        <v>289</v>
      </c>
      <c r="H86">
        <v>11.780625000000001</v>
      </c>
      <c r="I86">
        <v>10.5</v>
      </c>
      <c r="J86">
        <v>2</v>
      </c>
      <c r="K86">
        <v>3</v>
      </c>
      <c r="L86">
        <v>1</v>
      </c>
      <c r="M86" t="s">
        <v>290</v>
      </c>
    </row>
    <row r="87" spans="1:13" x14ac:dyDescent="0.25">
      <c r="A87" t="s">
        <v>159</v>
      </c>
      <c r="D87">
        <v>83</v>
      </c>
      <c r="E87">
        <v>42</v>
      </c>
      <c r="F87" t="s">
        <v>217</v>
      </c>
      <c r="G87" t="s">
        <v>291</v>
      </c>
      <c r="H87">
        <v>13.194300000000002</v>
      </c>
      <c r="I87">
        <v>5.5</v>
      </c>
      <c r="J87">
        <v>1</v>
      </c>
      <c r="K87">
        <v>3</v>
      </c>
      <c r="L87">
        <v>1</v>
      </c>
    </row>
    <row r="88" spans="1:13" x14ac:dyDescent="0.25">
      <c r="A88" t="s">
        <v>159</v>
      </c>
      <c r="C88" t="s">
        <v>168</v>
      </c>
      <c r="D88">
        <v>60</v>
      </c>
      <c r="E88">
        <v>41</v>
      </c>
      <c r="F88" t="s">
        <v>122</v>
      </c>
      <c r="G88" t="s">
        <v>292</v>
      </c>
      <c r="H88">
        <v>12.88015</v>
      </c>
      <c r="I88">
        <v>8.5</v>
      </c>
      <c r="J88">
        <v>1</v>
      </c>
      <c r="K88">
        <v>3</v>
      </c>
      <c r="L88">
        <v>1</v>
      </c>
      <c r="M88" t="s">
        <v>293</v>
      </c>
    </row>
    <row r="89" spans="1:13" x14ac:dyDescent="0.25">
      <c r="A89" t="s">
        <v>159</v>
      </c>
      <c r="C89" t="s">
        <v>168</v>
      </c>
      <c r="D89">
        <v>61</v>
      </c>
      <c r="E89">
        <v>42</v>
      </c>
      <c r="F89" t="s">
        <v>122</v>
      </c>
      <c r="G89" t="s">
        <v>294</v>
      </c>
      <c r="H89">
        <v>13.194300000000002</v>
      </c>
      <c r="I89">
        <v>7.5</v>
      </c>
      <c r="J89">
        <v>1</v>
      </c>
      <c r="K89">
        <v>3</v>
      </c>
      <c r="L89">
        <v>1</v>
      </c>
      <c r="M89" t="s">
        <v>295</v>
      </c>
    </row>
    <row r="90" spans="1:13" x14ac:dyDescent="0.25">
      <c r="A90" t="s">
        <v>159</v>
      </c>
      <c r="C90" t="s">
        <v>168</v>
      </c>
      <c r="D90">
        <v>62</v>
      </c>
      <c r="E90">
        <v>49</v>
      </c>
      <c r="F90" t="s">
        <v>122</v>
      </c>
      <c r="G90" t="s">
        <v>296</v>
      </c>
      <c r="H90">
        <v>15.393350000000002</v>
      </c>
      <c r="I90">
        <v>10</v>
      </c>
      <c r="J90">
        <v>1</v>
      </c>
      <c r="K90">
        <v>2</v>
      </c>
      <c r="L90">
        <v>3</v>
      </c>
      <c r="M90" t="s">
        <v>297</v>
      </c>
    </row>
    <row r="91" spans="1:13" x14ac:dyDescent="0.25">
      <c r="A91" t="s">
        <v>159</v>
      </c>
      <c r="C91" t="s">
        <v>168</v>
      </c>
      <c r="D91">
        <v>63</v>
      </c>
      <c r="E91">
        <v>52</v>
      </c>
      <c r="F91" t="s">
        <v>122</v>
      </c>
      <c r="G91" t="s">
        <v>298</v>
      </c>
      <c r="H91">
        <v>16.335799999999999</v>
      </c>
      <c r="I91">
        <v>7.5</v>
      </c>
      <c r="J91">
        <v>1</v>
      </c>
      <c r="K91">
        <v>3</v>
      </c>
      <c r="L91">
        <v>1</v>
      </c>
      <c r="M91" t="s">
        <v>299</v>
      </c>
    </row>
    <row r="92" spans="1:13" x14ac:dyDescent="0.25">
      <c r="A92" t="s">
        <v>159</v>
      </c>
      <c r="C92" t="s">
        <v>168</v>
      </c>
      <c r="D92">
        <v>67</v>
      </c>
      <c r="E92">
        <v>62</v>
      </c>
      <c r="F92" t="s">
        <v>122</v>
      </c>
      <c r="G92" t="s">
        <v>300</v>
      </c>
      <c r="H92">
        <v>19.477300000000003</v>
      </c>
      <c r="I92">
        <v>10.5</v>
      </c>
      <c r="J92">
        <v>1</v>
      </c>
      <c r="K92">
        <v>3</v>
      </c>
      <c r="L92">
        <v>2</v>
      </c>
      <c r="M92" t="s">
        <v>301</v>
      </c>
    </row>
    <row r="93" spans="1:13" x14ac:dyDescent="0.25">
      <c r="A93" t="s">
        <v>159</v>
      </c>
      <c r="B93" t="s">
        <v>302</v>
      </c>
      <c r="C93" t="s">
        <v>121</v>
      </c>
      <c r="D93">
        <v>64</v>
      </c>
      <c r="E93">
        <v>64</v>
      </c>
      <c r="F93" t="s">
        <v>122</v>
      </c>
      <c r="G93" t="s">
        <v>303</v>
      </c>
      <c r="H93">
        <v>20.105600000000003</v>
      </c>
      <c r="I93">
        <v>10.5</v>
      </c>
      <c r="J93">
        <v>1</v>
      </c>
      <c r="K93">
        <v>3</v>
      </c>
      <c r="L93">
        <v>1</v>
      </c>
      <c r="M93" t="s">
        <v>304</v>
      </c>
    </row>
    <row r="94" spans="1:13" x14ac:dyDescent="0.25">
      <c r="A94" t="s">
        <v>159</v>
      </c>
      <c r="C94" t="s">
        <v>168</v>
      </c>
      <c r="D94">
        <v>66</v>
      </c>
      <c r="E94">
        <v>73</v>
      </c>
      <c r="F94" t="s">
        <v>122</v>
      </c>
      <c r="G94" t="s">
        <v>305</v>
      </c>
      <c r="H94">
        <v>22.932950000000002</v>
      </c>
      <c r="I94">
        <v>11</v>
      </c>
      <c r="J94">
        <v>1</v>
      </c>
      <c r="K94">
        <v>1</v>
      </c>
      <c r="L94">
        <v>1</v>
      </c>
      <c r="M94" t="s">
        <v>301</v>
      </c>
    </row>
    <row r="95" spans="1:13" x14ac:dyDescent="0.25">
      <c r="A95" t="s">
        <v>159</v>
      </c>
    </row>
    <row r="96" spans="1:13" x14ac:dyDescent="0.25">
      <c r="A96" t="s">
        <v>159</v>
      </c>
    </row>
    <row r="97" spans="1:13" x14ac:dyDescent="0.25">
      <c r="A97" t="s">
        <v>159</v>
      </c>
      <c r="B97" t="s">
        <v>306</v>
      </c>
      <c r="C97" t="s">
        <v>168</v>
      </c>
      <c r="D97">
        <v>78</v>
      </c>
      <c r="E97">
        <v>48</v>
      </c>
      <c r="F97" t="s">
        <v>126</v>
      </c>
      <c r="G97" t="s">
        <v>307</v>
      </c>
      <c r="H97">
        <v>3.7698</v>
      </c>
      <c r="I97">
        <v>5</v>
      </c>
      <c r="J97">
        <v>4</v>
      </c>
      <c r="K97">
        <v>3</v>
      </c>
      <c r="L97">
        <v>3</v>
      </c>
      <c r="M97" t="s">
        <v>308</v>
      </c>
    </row>
    <row r="98" spans="1:13" x14ac:dyDescent="0.25">
      <c r="A98" t="s">
        <v>159</v>
      </c>
      <c r="B98" t="s">
        <v>309</v>
      </c>
      <c r="C98" t="s">
        <v>168</v>
      </c>
      <c r="D98">
        <v>78</v>
      </c>
      <c r="E98">
        <v>48</v>
      </c>
      <c r="F98" t="s">
        <v>126</v>
      </c>
      <c r="G98" t="s">
        <v>310</v>
      </c>
      <c r="H98">
        <v>5.0264000000000006</v>
      </c>
      <c r="I98">
        <v>4.5</v>
      </c>
      <c r="J98">
        <v>3</v>
      </c>
      <c r="K98">
        <v>3</v>
      </c>
      <c r="L98">
        <v>1</v>
      </c>
      <c r="M98" t="s">
        <v>311</v>
      </c>
    </row>
    <row r="99" spans="1:13" x14ac:dyDescent="0.25">
      <c r="A99" t="s">
        <v>159</v>
      </c>
      <c r="C99" t="s">
        <v>168</v>
      </c>
      <c r="D99">
        <v>27</v>
      </c>
      <c r="E99">
        <v>56</v>
      </c>
      <c r="F99" t="s">
        <v>126</v>
      </c>
      <c r="G99" t="s">
        <v>312</v>
      </c>
      <c r="H99">
        <v>5.8641333333333332</v>
      </c>
      <c r="I99">
        <v>4</v>
      </c>
      <c r="J99">
        <v>3</v>
      </c>
      <c r="K99">
        <v>3</v>
      </c>
      <c r="L99">
        <v>1</v>
      </c>
      <c r="M99" t="s">
        <v>313</v>
      </c>
    </row>
    <row r="100" spans="1:13" x14ac:dyDescent="0.25">
      <c r="A100" t="s">
        <v>159</v>
      </c>
      <c r="C100" t="s">
        <v>168</v>
      </c>
      <c r="D100">
        <v>29</v>
      </c>
      <c r="E100">
        <v>57</v>
      </c>
      <c r="F100" t="s">
        <v>126</v>
      </c>
      <c r="G100" t="s">
        <v>314</v>
      </c>
      <c r="H100">
        <v>5.9688500000000007</v>
      </c>
      <c r="I100">
        <v>3.5</v>
      </c>
      <c r="J100">
        <v>3</v>
      </c>
      <c r="K100">
        <v>3</v>
      </c>
      <c r="L100">
        <v>1</v>
      </c>
      <c r="M100" t="s">
        <v>315</v>
      </c>
    </row>
    <row r="101" spans="1:13" x14ac:dyDescent="0.25">
      <c r="A101" t="s">
        <v>159</v>
      </c>
      <c r="B101" t="s">
        <v>316</v>
      </c>
      <c r="C101" t="s">
        <v>168</v>
      </c>
      <c r="D101">
        <v>1</v>
      </c>
      <c r="E101">
        <v>40</v>
      </c>
      <c r="F101" t="s">
        <v>126</v>
      </c>
      <c r="G101" t="s">
        <v>317</v>
      </c>
      <c r="H101">
        <v>3.1415000000000002</v>
      </c>
      <c r="I101">
        <v>7.5</v>
      </c>
      <c r="J101">
        <v>4</v>
      </c>
      <c r="K101">
        <v>3</v>
      </c>
      <c r="L101">
        <v>1</v>
      </c>
      <c r="M101" t="s">
        <v>318</v>
      </c>
    </row>
    <row r="102" spans="1:13" x14ac:dyDescent="0.25">
      <c r="A102" t="s">
        <v>159</v>
      </c>
      <c r="C102" t="s">
        <v>168</v>
      </c>
      <c r="D102">
        <v>79</v>
      </c>
      <c r="E102">
        <v>57</v>
      </c>
      <c r="F102" t="s">
        <v>126</v>
      </c>
      <c r="G102" t="s">
        <v>319</v>
      </c>
      <c r="H102">
        <v>8.9532750000000014</v>
      </c>
      <c r="I102">
        <v>8</v>
      </c>
      <c r="J102">
        <v>2</v>
      </c>
      <c r="K102">
        <v>3</v>
      </c>
      <c r="L102">
        <v>1</v>
      </c>
      <c r="M102" t="s">
        <v>311</v>
      </c>
    </row>
    <row r="103" spans="1:13" x14ac:dyDescent="0.25">
      <c r="A103" t="s">
        <v>159</v>
      </c>
      <c r="C103" t="s">
        <v>168</v>
      </c>
      <c r="D103">
        <v>80</v>
      </c>
      <c r="E103">
        <v>64</v>
      </c>
      <c r="F103" t="s">
        <v>126</v>
      </c>
      <c r="G103" t="s">
        <v>320</v>
      </c>
      <c r="H103">
        <v>10.052800000000001</v>
      </c>
      <c r="I103">
        <v>7</v>
      </c>
      <c r="J103">
        <v>2</v>
      </c>
      <c r="K103">
        <v>3</v>
      </c>
      <c r="L103">
        <v>1</v>
      </c>
      <c r="M103" t="s">
        <v>321</v>
      </c>
    </row>
    <row r="104" spans="1:13" x14ac:dyDescent="0.25">
      <c r="A104" t="s">
        <v>159</v>
      </c>
      <c r="C104" t="s">
        <v>121</v>
      </c>
      <c r="D104">
        <v>19</v>
      </c>
      <c r="E104">
        <v>57</v>
      </c>
      <c r="F104" t="s">
        <v>126</v>
      </c>
      <c r="G104" t="s">
        <v>322</v>
      </c>
      <c r="H104">
        <v>17.906550000000003</v>
      </c>
      <c r="I104">
        <v>4</v>
      </c>
      <c r="J104">
        <v>1</v>
      </c>
      <c r="K104">
        <v>3</v>
      </c>
      <c r="L104">
        <v>1</v>
      </c>
      <c r="M104" t="s">
        <v>323</v>
      </c>
    </row>
    <row r="105" spans="1:13" x14ac:dyDescent="0.25">
      <c r="A105" t="s">
        <v>159</v>
      </c>
    </row>
    <row r="106" spans="1:13" x14ac:dyDescent="0.25">
      <c r="A106" t="s">
        <v>159</v>
      </c>
      <c r="C106" t="s">
        <v>172</v>
      </c>
      <c r="D106">
        <v>85</v>
      </c>
      <c r="E106">
        <v>51</v>
      </c>
      <c r="F106" t="s">
        <v>324</v>
      </c>
      <c r="G106" t="s">
        <v>325</v>
      </c>
      <c r="H106">
        <v>16.2</v>
      </c>
      <c r="I106">
        <v>11</v>
      </c>
      <c r="J106">
        <v>1</v>
      </c>
      <c r="K106">
        <v>1</v>
      </c>
      <c r="L106">
        <v>2</v>
      </c>
      <c r="M106" t="s">
        <v>326</v>
      </c>
    </row>
    <row r="107" spans="1:13" x14ac:dyDescent="0.25">
      <c r="A107" t="s">
        <v>159</v>
      </c>
    </row>
    <row r="108" spans="1:13" x14ac:dyDescent="0.25">
      <c r="A108" t="s">
        <v>159</v>
      </c>
      <c r="D108">
        <v>86</v>
      </c>
      <c r="E108">
        <v>44</v>
      </c>
      <c r="F108" t="s">
        <v>302</v>
      </c>
      <c r="G108" t="s">
        <v>222</v>
      </c>
      <c r="M108" t="s">
        <v>223</v>
      </c>
    </row>
    <row r="109" spans="1:13" x14ac:dyDescent="0.25">
      <c r="A109" t="s">
        <v>159</v>
      </c>
      <c r="B109" t="s">
        <v>302</v>
      </c>
      <c r="C109" t="s">
        <v>172</v>
      </c>
      <c r="D109">
        <v>65</v>
      </c>
      <c r="E109">
        <v>46</v>
      </c>
      <c r="F109" t="s">
        <v>302</v>
      </c>
      <c r="G109" t="s">
        <v>327</v>
      </c>
      <c r="H109">
        <v>4.8</v>
      </c>
      <c r="I109">
        <v>10.5</v>
      </c>
      <c r="J109">
        <v>3</v>
      </c>
      <c r="K109">
        <v>3</v>
      </c>
      <c r="L109">
        <v>1</v>
      </c>
      <c r="M109" t="s">
        <v>273</v>
      </c>
    </row>
    <row r="110" spans="1:13" x14ac:dyDescent="0.25">
      <c r="A110" t="s">
        <v>159</v>
      </c>
      <c r="D110">
        <v>87</v>
      </c>
      <c r="E110">
        <v>50</v>
      </c>
      <c r="F110" t="s">
        <v>302</v>
      </c>
      <c r="G110" t="s">
        <v>328</v>
      </c>
      <c r="H110">
        <v>5.2</v>
      </c>
      <c r="I110">
        <v>10.5</v>
      </c>
      <c r="J110">
        <v>3</v>
      </c>
      <c r="K110">
        <v>3</v>
      </c>
      <c r="L110">
        <v>1</v>
      </c>
      <c r="M110" t="s">
        <v>329</v>
      </c>
    </row>
    <row r="111" spans="1:13" x14ac:dyDescent="0.25">
      <c r="A111" t="s">
        <v>159</v>
      </c>
      <c r="C111" t="s">
        <v>172</v>
      </c>
      <c r="D111">
        <v>95</v>
      </c>
      <c r="E111">
        <v>50</v>
      </c>
      <c r="F111" t="s">
        <v>302</v>
      </c>
      <c r="G111" t="s">
        <v>330</v>
      </c>
      <c r="H111">
        <v>7.8</v>
      </c>
      <c r="I111">
        <v>10.5</v>
      </c>
      <c r="J111">
        <v>2</v>
      </c>
      <c r="K111">
        <v>2</v>
      </c>
      <c r="L111">
        <v>1</v>
      </c>
      <c r="M111" t="s">
        <v>331</v>
      </c>
    </row>
    <row r="112" spans="1:13" x14ac:dyDescent="0.25">
      <c r="A112" t="s">
        <v>159</v>
      </c>
      <c r="D112">
        <v>88</v>
      </c>
      <c r="E112">
        <v>64</v>
      </c>
      <c r="F112" t="s">
        <v>247</v>
      </c>
      <c r="M112" t="s">
        <v>304</v>
      </c>
    </row>
    <row r="113" spans="1:16" x14ac:dyDescent="0.25">
      <c r="A113" t="s">
        <v>159</v>
      </c>
      <c r="D113">
        <v>89</v>
      </c>
      <c r="E113">
        <v>60</v>
      </c>
      <c r="F113" t="s">
        <v>332</v>
      </c>
    </row>
    <row r="114" spans="1:16" x14ac:dyDescent="0.25">
      <c r="A114" t="s">
        <v>159</v>
      </c>
      <c r="D114">
        <v>90</v>
      </c>
      <c r="E114">
        <v>38</v>
      </c>
      <c r="F114" t="s">
        <v>332</v>
      </c>
      <c r="G114">
        <v>10</v>
      </c>
    </row>
    <row r="115" spans="1:16" x14ac:dyDescent="0.25">
      <c r="A115" t="s">
        <v>159</v>
      </c>
      <c r="D115">
        <v>91</v>
      </c>
      <c r="E115">
        <v>66</v>
      </c>
      <c r="F115" t="s">
        <v>333</v>
      </c>
      <c r="M115" t="s">
        <v>334</v>
      </c>
    </row>
    <row r="116" spans="1:16" x14ac:dyDescent="0.25">
      <c r="A116" t="s">
        <v>149</v>
      </c>
      <c r="B116" t="s">
        <v>335</v>
      </c>
      <c r="C116" t="s">
        <v>136</v>
      </c>
      <c r="D116">
        <v>1</v>
      </c>
      <c r="E116">
        <v>63</v>
      </c>
      <c r="F116" t="s">
        <v>135</v>
      </c>
      <c r="G116">
        <v>4</v>
      </c>
      <c r="H116">
        <v>4</v>
      </c>
      <c r="I116">
        <v>12.5</v>
      </c>
      <c r="J116">
        <v>5</v>
      </c>
      <c r="K116">
        <v>5</v>
      </c>
      <c r="L116" t="s">
        <v>165</v>
      </c>
      <c r="P116" t="s">
        <v>160</v>
      </c>
    </row>
    <row r="117" spans="1:16" x14ac:dyDescent="0.25">
      <c r="A117" t="s">
        <v>149</v>
      </c>
      <c r="C117" t="s">
        <v>136</v>
      </c>
      <c r="D117">
        <v>2</v>
      </c>
      <c r="E117">
        <v>47</v>
      </c>
      <c r="F117" t="s">
        <v>135</v>
      </c>
      <c r="G117">
        <v>5</v>
      </c>
      <c r="H117">
        <v>5</v>
      </c>
      <c r="I117">
        <v>25</v>
      </c>
      <c r="J117">
        <v>3</v>
      </c>
      <c r="K117">
        <v>5</v>
      </c>
      <c r="L117" t="s">
        <v>165</v>
      </c>
      <c r="N117" t="s">
        <v>336</v>
      </c>
      <c r="P117" t="s">
        <v>335</v>
      </c>
    </row>
    <row r="118" spans="1:16" x14ac:dyDescent="0.25">
      <c r="A118" t="s">
        <v>149</v>
      </c>
      <c r="B118" t="s">
        <v>337</v>
      </c>
      <c r="C118" t="s">
        <v>136</v>
      </c>
      <c r="D118">
        <v>3</v>
      </c>
      <c r="E118">
        <v>63</v>
      </c>
      <c r="F118" t="s">
        <v>135</v>
      </c>
      <c r="G118">
        <v>6.6</v>
      </c>
      <c r="H118">
        <v>6.6</v>
      </c>
      <c r="I118">
        <v>13</v>
      </c>
      <c r="J118">
        <v>3</v>
      </c>
      <c r="K118">
        <v>5</v>
      </c>
      <c r="L118" t="s">
        <v>165</v>
      </c>
    </row>
    <row r="119" spans="1:16" x14ac:dyDescent="0.25">
      <c r="A119" t="s">
        <v>149</v>
      </c>
      <c r="C119" t="s">
        <v>136</v>
      </c>
      <c r="D119">
        <v>4</v>
      </c>
      <c r="E119">
        <v>47</v>
      </c>
      <c r="F119" t="s">
        <v>135</v>
      </c>
      <c r="G119">
        <v>7.5</v>
      </c>
      <c r="H119">
        <v>7.5</v>
      </c>
      <c r="I119">
        <v>25</v>
      </c>
      <c r="J119">
        <v>2</v>
      </c>
      <c r="K119">
        <v>5</v>
      </c>
      <c r="L119" t="s">
        <v>165</v>
      </c>
      <c r="N119" t="s">
        <v>336</v>
      </c>
      <c r="P119" t="s">
        <v>337</v>
      </c>
    </row>
    <row r="120" spans="1:16" x14ac:dyDescent="0.25">
      <c r="A120" t="s">
        <v>149</v>
      </c>
      <c r="B120" t="s">
        <v>338</v>
      </c>
      <c r="C120" t="s">
        <v>136</v>
      </c>
      <c r="D120">
        <v>5</v>
      </c>
      <c r="E120">
        <v>51</v>
      </c>
      <c r="F120" t="s">
        <v>135</v>
      </c>
      <c r="G120">
        <v>8.1</v>
      </c>
      <c r="H120">
        <v>8.1</v>
      </c>
      <c r="I120">
        <v>13</v>
      </c>
      <c r="J120">
        <v>2</v>
      </c>
      <c r="K120">
        <v>4</v>
      </c>
      <c r="L120" t="s">
        <v>165</v>
      </c>
    </row>
    <row r="121" spans="1:16" x14ac:dyDescent="0.25">
      <c r="A121" t="s">
        <v>149</v>
      </c>
      <c r="B121" t="s">
        <v>342</v>
      </c>
      <c r="C121" t="s">
        <v>136</v>
      </c>
      <c r="D121">
        <v>6</v>
      </c>
      <c r="E121">
        <v>63</v>
      </c>
      <c r="F121" t="s">
        <v>339</v>
      </c>
      <c r="G121">
        <v>10</v>
      </c>
      <c r="H121">
        <v>10</v>
      </c>
      <c r="I121">
        <v>17</v>
      </c>
      <c r="J121">
        <v>2</v>
      </c>
      <c r="K121">
        <v>5</v>
      </c>
      <c r="L121" t="s">
        <v>165</v>
      </c>
      <c r="M121" t="s">
        <v>340</v>
      </c>
      <c r="N121" t="s">
        <v>341</v>
      </c>
      <c r="P121" t="s">
        <v>338</v>
      </c>
    </row>
    <row r="122" spans="1:16" x14ac:dyDescent="0.25">
      <c r="A122" t="s">
        <v>149</v>
      </c>
      <c r="C122" t="s">
        <v>136</v>
      </c>
      <c r="D122">
        <v>7</v>
      </c>
      <c r="E122">
        <v>49</v>
      </c>
      <c r="F122" t="s">
        <v>135</v>
      </c>
      <c r="G122">
        <v>15.5</v>
      </c>
      <c r="H122">
        <v>15.5</v>
      </c>
      <c r="I122">
        <v>10.4</v>
      </c>
      <c r="J122">
        <v>2</v>
      </c>
      <c r="K122">
        <v>4</v>
      </c>
      <c r="L122" t="s">
        <v>165</v>
      </c>
      <c r="M122" t="s">
        <v>343</v>
      </c>
      <c r="P122" t="s">
        <v>342</v>
      </c>
    </row>
    <row r="123" spans="1:16" x14ac:dyDescent="0.25">
      <c r="A123" t="s">
        <v>149</v>
      </c>
    </row>
    <row r="124" spans="1:16" x14ac:dyDescent="0.25">
      <c r="A124" t="s">
        <v>149</v>
      </c>
      <c r="C124" t="s">
        <v>136</v>
      </c>
      <c r="D124">
        <v>8</v>
      </c>
      <c r="E124">
        <v>59</v>
      </c>
      <c r="F124" t="s">
        <v>177</v>
      </c>
      <c r="G124">
        <v>6</v>
      </c>
      <c r="H124">
        <v>6.3</v>
      </c>
      <c r="I124">
        <v>19</v>
      </c>
      <c r="J124">
        <v>3</v>
      </c>
      <c r="K124">
        <v>4</v>
      </c>
      <c r="L124">
        <v>3</v>
      </c>
      <c r="M124" t="s">
        <v>344</v>
      </c>
    </row>
    <row r="125" spans="1:16" x14ac:dyDescent="0.25">
      <c r="A125" t="s">
        <v>149</v>
      </c>
      <c r="B125" t="s">
        <v>346</v>
      </c>
      <c r="C125" t="s">
        <v>136</v>
      </c>
      <c r="D125">
        <v>9</v>
      </c>
      <c r="E125">
        <v>68</v>
      </c>
      <c r="F125" t="s">
        <v>177</v>
      </c>
      <c r="G125">
        <v>6.9</v>
      </c>
      <c r="H125">
        <v>7.2</v>
      </c>
      <c r="I125">
        <v>7.5</v>
      </c>
      <c r="J125">
        <v>3</v>
      </c>
      <c r="K125">
        <v>4</v>
      </c>
      <c r="L125">
        <v>1</v>
      </c>
      <c r="M125" t="s">
        <v>345</v>
      </c>
    </row>
    <row r="126" spans="1:16" x14ac:dyDescent="0.25">
      <c r="A126" t="s">
        <v>149</v>
      </c>
      <c r="B126" t="s">
        <v>348</v>
      </c>
      <c r="C126" t="s">
        <v>136</v>
      </c>
      <c r="D126">
        <v>9</v>
      </c>
      <c r="E126">
        <v>68</v>
      </c>
      <c r="F126" t="s">
        <v>177</v>
      </c>
      <c r="G126">
        <v>10.5</v>
      </c>
      <c r="H126">
        <v>10.8</v>
      </c>
      <c r="I126">
        <v>11</v>
      </c>
      <c r="J126">
        <v>2</v>
      </c>
      <c r="K126">
        <v>4</v>
      </c>
      <c r="L126">
        <v>1</v>
      </c>
      <c r="M126" t="s">
        <v>347</v>
      </c>
      <c r="P126" t="s">
        <v>346</v>
      </c>
    </row>
    <row r="127" spans="1:16" x14ac:dyDescent="0.25">
      <c r="A127" t="s">
        <v>149</v>
      </c>
      <c r="B127" t="s">
        <v>350</v>
      </c>
      <c r="C127" t="s">
        <v>136</v>
      </c>
      <c r="D127">
        <v>10</v>
      </c>
      <c r="E127">
        <v>59</v>
      </c>
      <c r="F127" t="s">
        <v>177</v>
      </c>
      <c r="G127">
        <v>9.1</v>
      </c>
      <c r="H127">
        <v>9.4</v>
      </c>
      <c r="I127">
        <v>9.5</v>
      </c>
      <c r="J127">
        <v>2</v>
      </c>
      <c r="K127">
        <v>4</v>
      </c>
      <c r="L127">
        <v>1</v>
      </c>
      <c r="M127" t="s">
        <v>349</v>
      </c>
      <c r="P127" t="s">
        <v>348</v>
      </c>
    </row>
    <row r="128" spans="1:16" x14ac:dyDescent="0.25">
      <c r="A128" t="s">
        <v>149</v>
      </c>
      <c r="P128" t="s">
        <v>350</v>
      </c>
    </row>
    <row r="129" spans="1:16" x14ac:dyDescent="0.25">
      <c r="A129" t="s">
        <v>149</v>
      </c>
      <c r="B129" t="s">
        <v>352</v>
      </c>
      <c r="C129" t="s">
        <v>136</v>
      </c>
      <c r="D129">
        <v>10</v>
      </c>
      <c r="E129">
        <v>59</v>
      </c>
      <c r="F129" t="s">
        <v>192</v>
      </c>
      <c r="G129" t="s">
        <v>351</v>
      </c>
      <c r="H129">
        <v>4.6831249999999995</v>
      </c>
      <c r="I129">
        <v>2.5</v>
      </c>
      <c r="J129">
        <v>4</v>
      </c>
      <c r="K129">
        <v>4</v>
      </c>
      <c r="L129">
        <v>1</v>
      </c>
    </row>
    <row r="130" spans="1:16" x14ac:dyDescent="0.25">
      <c r="A130" t="s">
        <v>149</v>
      </c>
      <c r="B130" t="s">
        <v>355</v>
      </c>
      <c r="C130" t="s">
        <v>136</v>
      </c>
      <c r="D130">
        <v>11</v>
      </c>
      <c r="E130">
        <v>47</v>
      </c>
      <c r="F130" t="s">
        <v>192</v>
      </c>
      <c r="G130" t="s">
        <v>353</v>
      </c>
      <c r="H130">
        <v>4.9741666666666671</v>
      </c>
      <c r="I130">
        <v>6.5</v>
      </c>
      <c r="J130">
        <v>3</v>
      </c>
      <c r="K130">
        <v>5</v>
      </c>
      <c r="L130">
        <v>1</v>
      </c>
      <c r="M130" t="s">
        <v>354</v>
      </c>
      <c r="P130" t="s">
        <v>352</v>
      </c>
    </row>
    <row r="131" spans="1:16" x14ac:dyDescent="0.25">
      <c r="A131" t="s">
        <v>149</v>
      </c>
      <c r="B131" t="s">
        <v>358</v>
      </c>
      <c r="C131" t="s">
        <v>136</v>
      </c>
      <c r="D131">
        <v>9</v>
      </c>
      <c r="E131">
        <v>68</v>
      </c>
      <c r="F131" t="s">
        <v>192</v>
      </c>
      <c r="G131" t="s">
        <v>356</v>
      </c>
      <c r="H131">
        <v>10.794999999999998</v>
      </c>
      <c r="I131">
        <v>6.5</v>
      </c>
      <c r="J131">
        <v>2</v>
      </c>
      <c r="K131">
        <v>4</v>
      </c>
      <c r="L131">
        <v>1</v>
      </c>
      <c r="M131" t="s">
        <v>357</v>
      </c>
      <c r="P131" t="s">
        <v>355</v>
      </c>
    </row>
    <row r="132" spans="1:16" x14ac:dyDescent="0.25">
      <c r="A132" t="s">
        <v>149</v>
      </c>
      <c r="P132" t="s">
        <v>358</v>
      </c>
    </row>
    <row r="133" spans="1:16" x14ac:dyDescent="0.25">
      <c r="A133" t="s">
        <v>149</v>
      </c>
      <c r="B133" t="s">
        <v>360</v>
      </c>
      <c r="C133" t="s">
        <v>136</v>
      </c>
      <c r="D133">
        <v>12</v>
      </c>
      <c r="E133">
        <v>47</v>
      </c>
      <c r="F133" t="s">
        <v>122</v>
      </c>
      <c r="G133" t="s">
        <v>228</v>
      </c>
      <c r="H133">
        <v>1.4922499999999999</v>
      </c>
      <c r="I133">
        <v>10.5</v>
      </c>
      <c r="J133">
        <v>10</v>
      </c>
      <c r="K133">
        <v>5</v>
      </c>
      <c r="L133">
        <v>3</v>
      </c>
      <c r="M133" t="s">
        <v>359</v>
      </c>
    </row>
    <row r="134" spans="1:16" x14ac:dyDescent="0.25">
      <c r="A134" t="s">
        <v>149</v>
      </c>
      <c r="C134" t="s">
        <v>172</v>
      </c>
      <c r="D134">
        <v>13</v>
      </c>
      <c r="E134">
        <v>53</v>
      </c>
      <c r="F134" t="s">
        <v>122</v>
      </c>
      <c r="G134" t="s">
        <v>227</v>
      </c>
      <c r="H134">
        <v>2.1034374999999996</v>
      </c>
      <c r="I134">
        <v>21</v>
      </c>
      <c r="J134">
        <v>8</v>
      </c>
      <c r="K134">
        <v>5</v>
      </c>
      <c r="L134">
        <v>6</v>
      </c>
      <c r="M134" t="s">
        <v>361</v>
      </c>
      <c r="P134" t="s">
        <v>360</v>
      </c>
    </row>
    <row r="135" spans="1:16" x14ac:dyDescent="0.25">
      <c r="A135" t="s">
        <v>149</v>
      </c>
      <c r="C135" t="s">
        <v>172</v>
      </c>
      <c r="D135">
        <v>13</v>
      </c>
      <c r="E135">
        <v>53</v>
      </c>
      <c r="F135" t="s">
        <v>122</v>
      </c>
      <c r="G135" t="s">
        <v>227</v>
      </c>
      <c r="H135">
        <v>2.1034374999999996</v>
      </c>
      <c r="I135">
        <v>21</v>
      </c>
      <c r="J135">
        <v>8</v>
      </c>
      <c r="K135">
        <v>5</v>
      </c>
      <c r="L135">
        <v>6</v>
      </c>
      <c r="M135" t="s">
        <v>361</v>
      </c>
    </row>
    <row r="136" spans="1:16" x14ac:dyDescent="0.25">
      <c r="A136" t="s">
        <v>149</v>
      </c>
      <c r="B136" t="s">
        <v>368</v>
      </c>
      <c r="C136" t="s">
        <v>136</v>
      </c>
      <c r="D136">
        <v>18</v>
      </c>
      <c r="E136">
        <v>49</v>
      </c>
      <c r="F136" t="s">
        <v>122</v>
      </c>
      <c r="G136" t="s">
        <v>813</v>
      </c>
      <c r="H136">
        <v>2.5929166666666665</v>
      </c>
      <c r="I136">
        <v>21</v>
      </c>
      <c r="J136">
        <v>6</v>
      </c>
      <c r="K136">
        <v>4</v>
      </c>
      <c r="L136">
        <v>6</v>
      </c>
      <c r="M136" t="s">
        <v>144</v>
      </c>
    </row>
    <row r="137" spans="1:16" x14ac:dyDescent="0.25">
      <c r="A137" t="s">
        <v>149</v>
      </c>
      <c r="B137" t="s">
        <v>368</v>
      </c>
      <c r="C137" t="s">
        <v>136</v>
      </c>
      <c r="D137">
        <v>18</v>
      </c>
      <c r="E137">
        <v>49</v>
      </c>
      <c r="F137" t="s">
        <v>122</v>
      </c>
      <c r="G137" t="s">
        <v>813</v>
      </c>
      <c r="H137">
        <v>2.5929166666666665</v>
      </c>
      <c r="I137">
        <v>21</v>
      </c>
      <c r="J137">
        <v>6</v>
      </c>
      <c r="K137">
        <v>4</v>
      </c>
      <c r="L137">
        <v>6</v>
      </c>
      <c r="M137" t="s">
        <v>144</v>
      </c>
      <c r="P137" t="s">
        <v>363</v>
      </c>
    </row>
    <row r="138" spans="1:16" x14ac:dyDescent="0.25">
      <c r="A138" t="s">
        <v>149</v>
      </c>
      <c r="B138" t="s">
        <v>371</v>
      </c>
      <c r="C138" t="s">
        <v>136</v>
      </c>
      <c r="D138">
        <v>1</v>
      </c>
      <c r="E138">
        <v>63</v>
      </c>
      <c r="F138" t="s">
        <v>122</v>
      </c>
      <c r="G138" t="s">
        <v>369</v>
      </c>
      <c r="H138">
        <v>4.0004999999999997</v>
      </c>
      <c r="I138">
        <v>12</v>
      </c>
      <c r="J138">
        <v>5</v>
      </c>
      <c r="K138">
        <v>5</v>
      </c>
      <c r="L138">
        <v>2</v>
      </c>
      <c r="M138" t="s">
        <v>370</v>
      </c>
      <c r="P138" t="s">
        <v>148</v>
      </c>
    </row>
    <row r="139" spans="1:16" x14ac:dyDescent="0.25">
      <c r="A139" t="s">
        <v>149</v>
      </c>
      <c r="B139" t="s">
        <v>367</v>
      </c>
      <c r="C139" t="s">
        <v>136</v>
      </c>
      <c r="D139">
        <v>16</v>
      </c>
      <c r="E139">
        <v>54</v>
      </c>
      <c r="F139" t="s">
        <v>122</v>
      </c>
      <c r="G139" t="s">
        <v>365</v>
      </c>
      <c r="H139">
        <v>4.2862499999999999</v>
      </c>
      <c r="I139">
        <v>25</v>
      </c>
      <c r="J139">
        <v>4</v>
      </c>
      <c r="K139">
        <v>3</v>
      </c>
      <c r="L139">
        <v>6</v>
      </c>
      <c r="M139" t="s">
        <v>366</v>
      </c>
      <c r="P139" t="s">
        <v>148</v>
      </c>
    </row>
    <row r="140" spans="1:16" x14ac:dyDescent="0.25">
      <c r="A140" t="s">
        <v>149</v>
      </c>
      <c r="B140" t="s">
        <v>367</v>
      </c>
      <c r="C140" t="s">
        <v>136</v>
      </c>
      <c r="D140">
        <v>16</v>
      </c>
      <c r="E140">
        <v>54</v>
      </c>
      <c r="F140" t="s">
        <v>122</v>
      </c>
      <c r="G140" t="s">
        <v>365</v>
      </c>
      <c r="H140">
        <v>4.2862499999999999</v>
      </c>
      <c r="I140">
        <v>25</v>
      </c>
      <c r="J140">
        <v>4</v>
      </c>
      <c r="K140">
        <v>3</v>
      </c>
      <c r="L140">
        <v>6</v>
      </c>
      <c r="M140" t="s">
        <v>366</v>
      </c>
      <c r="P140" t="s">
        <v>367</v>
      </c>
    </row>
    <row r="141" spans="1:16" x14ac:dyDescent="0.25">
      <c r="A141" t="s">
        <v>149</v>
      </c>
      <c r="C141" t="s">
        <v>136</v>
      </c>
      <c r="D141">
        <v>56</v>
      </c>
      <c r="E141">
        <v>60</v>
      </c>
      <c r="F141" t="s">
        <v>122</v>
      </c>
      <c r="G141" t="s">
        <v>814</v>
      </c>
      <c r="H141">
        <v>6.35</v>
      </c>
      <c r="I141">
        <v>25</v>
      </c>
      <c r="J141">
        <v>3</v>
      </c>
      <c r="K141">
        <v>5</v>
      </c>
      <c r="L141">
        <v>6</v>
      </c>
      <c r="M141" t="s">
        <v>366</v>
      </c>
      <c r="P141" t="s">
        <v>367</v>
      </c>
    </row>
    <row r="142" spans="1:16" x14ac:dyDescent="0.25">
      <c r="A142" t="s">
        <v>149</v>
      </c>
      <c r="B142" t="s">
        <v>363</v>
      </c>
      <c r="C142" t="s">
        <v>136</v>
      </c>
      <c r="D142">
        <v>14</v>
      </c>
      <c r="E142">
        <v>63</v>
      </c>
      <c r="F142" t="s">
        <v>122</v>
      </c>
      <c r="G142" t="s">
        <v>237</v>
      </c>
      <c r="H142">
        <v>3.3337499999999998</v>
      </c>
      <c r="I142">
        <v>5.5</v>
      </c>
      <c r="J142">
        <v>6</v>
      </c>
      <c r="K142">
        <v>5</v>
      </c>
      <c r="L142">
        <v>1</v>
      </c>
      <c r="M142" t="s">
        <v>362</v>
      </c>
      <c r="P142" t="s">
        <v>148</v>
      </c>
    </row>
    <row r="143" spans="1:16" x14ac:dyDescent="0.25">
      <c r="A143" t="s">
        <v>149</v>
      </c>
      <c r="B143" t="s">
        <v>148</v>
      </c>
      <c r="C143" t="s">
        <v>136</v>
      </c>
      <c r="D143">
        <v>15</v>
      </c>
      <c r="E143">
        <v>63</v>
      </c>
      <c r="F143" t="s">
        <v>122</v>
      </c>
      <c r="G143" t="s">
        <v>237</v>
      </c>
      <c r="H143">
        <v>3.3337499999999998</v>
      </c>
      <c r="I143">
        <v>21</v>
      </c>
      <c r="J143">
        <v>6</v>
      </c>
      <c r="K143">
        <v>5</v>
      </c>
      <c r="L143">
        <v>4</v>
      </c>
      <c r="M143" t="s">
        <v>364</v>
      </c>
      <c r="P143" t="s">
        <v>368</v>
      </c>
    </row>
    <row r="144" spans="1:16" x14ac:dyDescent="0.25">
      <c r="A144" t="s">
        <v>149</v>
      </c>
      <c r="B144" t="s">
        <v>148</v>
      </c>
      <c r="C144" t="s">
        <v>121</v>
      </c>
      <c r="D144">
        <v>15</v>
      </c>
      <c r="E144">
        <v>63</v>
      </c>
      <c r="F144" t="s">
        <v>122</v>
      </c>
      <c r="G144" t="s">
        <v>237</v>
      </c>
      <c r="H144">
        <v>3.3337499999999998</v>
      </c>
      <c r="I144">
        <v>21</v>
      </c>
      <c r="J144">
        <v>6</v>
      </c>
      <c r="K144">
        <v>5</v>
      </c>
      <c r="L144">
        <v>4</v>
      </c>
      <c r="P144" t="s">
        <v>368</v>
      </c>
    </row>
    <row r="145" spans="1:16" x14ac:dyDescent="0.25">
      <c r="A145" t="s">
        <v>149</v>
      </c>
      <c r="B145" t="s">
        <v>374</v>
      </c>
      <c r="C145" t="s">
        <v>136</v>
      </c>
      <c r="D145">
        <v>19</v>
      </c>
      <c r="E145">
        <v>54</v>
      </c>
      <c r="F145" t="s">
        <v>122</v>
      </c>
      <c r="G145" t="s">
        <v>372</v>
      </c>
      <c r="H145">
        <v>4.2862499999999999</v>
      </c>
      <c r="I145">
        <v>21</v>
      </c>
      <c r="J145">
        <v>4</v>
      </c>
      <c r="K145">
        <v>3</v>
      </c>
      <c r="L145">
        <v>4</v>
      </c>
      <c r="M145" t="s">
        <v>373</v>
      </c>
      <c r="P145" t="s">
        <v>371</v>
      </c>
    </row>
    <row r="146" spans="1:16" x14ac:dyDescent="0.25">
      <c r="A146" t="s">
        <v>149</v>
      </c>
      <c r="B146" t="s">
        <v>374</v>
      </c>
      <c r="C146" t="s">
        <v>136</v>
      </c>
      <c r="D146">
        <v>20</v>
      </c>
      <c r="E146">
        <v>54</v>
      </c>
      <c r="F146" t="s">
        <v>122</v>
      </c>
      <c r="G146" t="s">
        <v>372</v>
      </c>
      <c r="H146">
        <v>4.2862499999999999</v>
      </c>
      <c r="I146">
        <v>21</v>
      </c>
      <c r="J146">
        <v>4</v>
      </c>
      <c r="K146">
        <v>3</v>
      </c>
      <c r="L146">
        <v>4</v>
      </c>
      <c r="M146" t="s">
        <v>373</v>
      </c>
      <c r="P146" t="s">
        <v>374</v>
      </c>
    </row>
    <row r="147" spans="1:16" x14ac:dyDescent="0.25">
      <c r="A147" t="s">
        <v>149</v>
      </c>
      <c r="C147" t="s">
        <v>136</v>
      </c>
      <c r="D147">
        <v>43</v>
      </c>
      <c r="E147">
        <v>65</v>
      </c>
      <c r="F147" t="s">
        <v>122</v>
      </c>
      <c r="G147" t="s">
        <v>375</v>
      </c>
      <c r="H147">
        <v>10.31875</v>
      </c>
      <c r="I147">
        <v>21</v>
      </c>
      <c r="J147">
        <v>2</v>
      </c>
      <c r="K147">
        <v>4</v>
      </c>
      <c r="L147">
        <v>4</v>
      </c>
      <c r="M147" t="s">
        <v>376</v>
      </c>
      <c r="P147" t="s">
        <v>374</v>
      </c>
    </row>
    <row r="148" spans="1:16" x14ac:dyDescent="0.25">
      <c r="A148" t="s">
        <v>149</v>
      </c>
      <c r="C148" t="s">
        <v>153</v>
      </c>
      <c r="D148">
        <v>42</v>
      </c>
      <c r="E148">
        <v>51</v>
      </c>
      <c r="F148" t="s">
        <v>122</v>
      </c>
      <c r="G148" t="s">
        <v>377</v>
      </c>
      <c r="H148">
        <v>16.192499999999999</v>
      </c>
      <c r="I148">
        <v>21</v>
      </c>
      <c r="J148">
        <v>1</v>
      </c>
      <c r="K148">
        <v>4</v>
      </c>
      <c r="L148">
        <v>4</v>
      </c>
      <c r="M148" t="s">
        <v>326</v>
      </c>
    </row>
    <row r="149" spans="1:16" x14ac:dyDescent="0.25">
      <c r="A149" t="s">
        <v>149</v>
      </c>
      <c r="B149" t="s">
        <v>148</v>
      </c>
      <c r="C149" t="s">
        <v>136</v>
      </c>
      <c r="D149">
        <v>17</v>
      </c>
      <c r="E149">
        <v>63</v>
      </c>
      <c r="F149" t="s">
        <v>122</v>
      </c>
      <c r="G149" t="s">
        <v>244</v>
      </c>
      <c r="H149">
        <v>3.3337499999999998</v>
      </c>
      <c r="I149">
        <v>18.7</v>
      </c>
      <c r="J149">
        <v>6</v>
      </c>
      <c r="K149">
        <v>5</v>
      </c>
      <c r="L149">
        <v>3</v>
      </c>
      <c r="M149" t="s">
        <v>366</v>
      </c>
    </row>
    <row r="150" spans="1:16" x14ac:dyDescent="0.25">
      <c r="A150" t="s">
        <v>149</v>
      </c>
      <c r="C150" t="s">
        <v>378</v>
      </c>
      <c r="D150">
        <v>21</v>
      </c>
      <c r="E150">
        <v>63</v>
      </c>
      <c r="F150" t="s">
        <v>217</v>
      </c>
      <c r="G150" t="s">
        <v>379</v>
      </c>
      <c r="H150">
        <v>3.3337499999999998</v>
      </c>
      <c r="I150">
        <v>25</v>
      </c>
      <c r="J150">
        <v>6</v>
      </c>
      <c r="K150">
        <v>5</v>
      </c>
      <c r="L150">
        <v>4</v>
      </c>
      <c r="M150" t="s">
        <v>815</v>
      </c>
    </row>
    <row r="151" spans="1:16" x14ac:dyDescent="0.25">
      <c r="A151" t="s">
        <v>149</v>
      </c>
      <c r="C151" t="s">
        <v>136</v>
      </c>
      <c r="D151">
        <v>57</v>
      </c>
      <c r="E151">
        <v>63</v>
      </c>
      <c r="F151" t="s">
        <v>217</v>
      </c>
      <c r="G151" t="s">
        <v>379</v>
      </c>
      <c r="H151">
        <v>3.3337499999999998</v>
      </c>
      <c r="I151">
        <v>25</v>
      </c>
      <c r="J151">
        <v>6</v>
      </c>
      <c r="K151">
        <v>5</v>
      </c>
      <c r="L151">
        <v>4</v>
      </c>
      <c r="M151" t="s">
        <v>123</v>
      </c>
    </row>
    <row r="152" spans="1:16" x14ac:dyDescent="0.25">
      <c r="A152" t="s">
        <v>149</v>
      </c>
      <c r="C152" t="s">
        <v>136</v>
      </c>
      <c r="D152">
        <v>23</v>
      </c>
      <c r="E152">
        <v>60</v>
      </c>
      <c r="F152" t="s">
        <v>122</v>
      </c>
      <c r="G152" t="s">
        <v>142</v>
      </c>
      <c r="H152">
        <v>6.35</v>
      </c>
      <c r="I152">
        <v>21</v>
      </c>
      <c r="J152">
        <v>3</v>
      </c>
      <c r="K152">
        <v>1</v>
      </c>
      <c r="L152">
        <v>6</v>
      </c>
      <c r="M152" t="s">
        <v>143</v>
      </c>
    </row>
    <row r="153" spans="1:16" x14ac:dyDescent="0.25">
      <c r="A153" t="s">
        <v>149</v>
      </c>
      <c r="C153" t="s">
        <v>121</v>
      </c>
      <c r="D153">
        <v>22</v>
      </c>
      <c r="E153">
        <v>54</v>
      </c>
      <c r="F153" t="s">
        <v>122</v>
      </c>
      <c r="G153" t="s">
        <v>246</v>
      </c>
      <c r="H153">
        <v>4.2862499999999999</v>
      </c>
      <c r="I153">
        <v>25</v>
      </c>
      <c r="J153">
        <v>4</v>
      </c>
      <c r="K153">
        <v>3</v>
      </c>
      <c r="L153">
        <v>4</v>
      </c>
      <c r="M153" t="s">
        <v>366</v>
      </c>
    </row>
    <row r="154" spans="1:16" x14ac:dyDescent="0.25">
      <c r="A154" t="s">
        <v>149</v>
      </c>
      <c r="C154" t="s">
        <v>136</v>
      </c>
      <c r="D154">
        <v>22</v>
      </c>
      <c r="E154">
        <v>54</v>
      </c>
      <c r="F154" t="s">
        <v>122</v>
      </c>
      <c r="G154" t="s">
        <v>246</v>
      </c>
      <c r="H154">
        <v>4.2862499999999999</v>
      </c>
      <c r="I154">
        <v>25</v>
      </c>
      <c r="J154">
        <v>4</v>
      </c>
      <c r="K154">
        <v>3</v>
      </c>
      <c r="L154">
        <v>4</v>
      </c>
      <c r="M154" t="s">
        <v>366</v>
      </c>
    </row>
    <row r="155" spans="1:16" x14ac:dyDescent="0.25">
      <c r="A155" t="s">
        <v>149</v>
      </c>
      <c r="C155" t="s">
        <v>136</v>
      </c>
      <c r="D155">
        <v>22</v>
      </c>
      <c r="E155">
        <v>54</v>
      </c>
      <c r="F155" t="s">
        <v>122</v>
      </c>
      <c r="G155" t="s">
        <v>246</v>
      </c>
      <c r="H155">
        <v>4.2862499999999999</v>
      </c>
      <c r="I155">
        <v>25</v>
      </c>
      <c r="J155">
        <v>4</v>
      </c>
      <c r="K155">
        <v>3</v>
      </c>
      <c r="L155">
        <v>4</v>
      </c>
      <c r="M155" t="s">
        <v>366</v>
      </c>
    </row>
    <row r="156" spans="1:16" x14ac:dyDescent="0.25">
      <c r="A156" t="s">
        <v>149</v>
      </c>
      <c r="C156" t="s">
        <v>136</v>
      </c>
      <c r="D156">
        <v>24</v>
      </c>
      <c r="E156">
        <v>46</v>
      </c>
      <c r="F156" t="s">
        <v>122</v>
      </c>
      <c r="G156" t="s">
        <v>380</v>
      </c>
      <c r="H156">
        <v>7.3024999999999993</v>
      </c>
      <c r="I156">
        <v>25</v>
      </c>
      <c r="J156">
        <v>2</v>
      </c>
      <c r="K156">
        <v>2</v>
      </c>
      <c r="L156">
        <v>4</v>
      </c>
      <c r="M156" t="s">
        <v>366</v>
      </c>
      <c r="P156" t="s">
        <v>383</v>
      </c>
    </row>
    <row r="157" spans="1:16" x14ac:dyDescent="0.25">
      <c r="A157" t="s">
        <v>149</v>
      </c>
      <c r="B157" t="s">
        <v>383</v>
      </c>
      <c r="C157" t="s">
        <v>136</v>
      </c>
      <c r="D157">
        <v>6</v>
      </c>
      <c r="E157">
        <v>63</v>
      </c>
      <c r="F157" t="s">
        <v>122</v>
      </c>
      <c r="G157" t="s">
        <v>381</v>
      </c>
      <c r="H157">
        <v>10.001249999999999</v>
      </c>
      <c r="I157">
        <v>6.5</v>
      </c>
      <c r="J157">
        <v>2</v>
      </c>
      <c r="K157">
        <v>5</v>
      </c>
      <c r="L157">
        <v>1</v>
      </c>
      <c r="M157" t="s">
        <v>382</v>
      </c>
      <c r="P157" t="s">
        <v>386</v>
      </c>
    </row>
    <row r="158" spans="1:16" x14ac:dyDescent="0.25">
      <c r="A158" t="s">
        <v>149</v>
      </c>
      <c r="B158" t="s">
        <v>386</v>
      </c>
      <c r="C158" t="s">
        <v>121</v>
      </c>
      <c r="D158">
        <v>54</v>
      </c>
      <c r="E158">
        <v>74</v>
      </c>
      <c r="F158" t="s">
        <v>122</v>
      </c>
      <c r="G158" t="s">
        <v>384</v>
      </c>
      <c r="H158">
        <v>11.747499999999999</v>
      </c>
      <c r="I158">
        <v>25</v>
      </c>
      <c r="J158">
        <v>2</v>
      </c>
      <c r="K158">
        <v>2</v>
      </c>
      <c r="L158">
        <v>4</v>
      </c>
      <c r="M158" t="s">
        <v>385</v>
      </c>
      <c r="P158" t="s">
        <v>387</v>
      </c>
    </row>
    <row r="159" spans="1:16" x14ac:dyDescent="0.25">
      <c r="A159" t="s">
        <v>149</v>
      </c>
      <c r="B159" t="s">
        <v>387</v>
      </c>
      <c r="C159" t="s">
        <v>121</v>
      </c>
      <c r="D159">
        <v>54</v>
      </c>
      <c r="E159">
        <v>74</v>
      </c>
      <c r="F159" t="s">
        <v>122</v>
      </c>
      <c r="G159" t="s">
        <v>384</v>
      </c>
      <c r="H159">
        <v>11.747499999999999</v>
      </c>
      <c r="I159">
        <v>25</v>
      </c>
      <c r="J159">
        <v>2</v>
      </c>
      <c r="K159">
        <v>2</v>
      </c>
      <c r="L159">
        <v>4</v>
      </c>
      <c r="M159" t="s">
        <v>385</v>
      </c>
    </row>
    <row r="160" spans="1:16" x14ac:dyDescent="0.25">
      <c r="A160" t="s">
        <v>149</v>
      </c>
      <c r="C160" t="s">
        <v>136</v>
      </c>
      <c r="D160">
        <v>58</v>
      </c>
      <c r="E160">
        <v>53</v>
      </c>
      <c r="F160" t="s">
        <v>122</v>
      </c>
      <c r="G160" t="s">
        <v>816</v>
      </c>
      <c r="H160">
        <v>2.804583333333333</v>
      </c>
      <c r="I160">
        <v>24</v>
      </c>
      <c r="J160">
        <v>6</v>
      </c>
      <c r="K160">
        <v>6</v>
      </c>
      <c r="L160">
        <v>3</v>
      </c>
      <c r="M160" t="s">
        <v>817</v>
      </c>
      <c r="P160" t="s">
        <v>391</v>
      </c>
    </row>
    <row r="161" spans="1:16" x14ac:dyDescent="0.25">
      <c r="A161" t="s">
        <v>149</v>
      </c>
      <c r="C161" t="s">
        <v>136</v>
      </c>
      <c r="D161">
        <v>25</v>
      </c>
      <c r="E161">
        <v>74</v>
      </c>
      <c r="F161" t="s">
        <v>122</v>
      </c>
      <c r="G161" t="s">
        <v>388</v>
      </c>
      <c r="H161">
        <v>7.8316666666666661</v>
      </c>
      <c r="I161">
        <v>24</v>
      </c>
      <c r="J161">
        <v>3</v>
      </c>
      <c r="K161">
        <v>1</v>
      </c>
      <c r="L161">
        <v>3</v>
      </c>
      <c r="M161" t="s">
        <v>152</v>
      </c>
    </row>
    <row r="162" spans="1:16" x14ac:dyDescent="0.25">
      <c r="A162" t="s">
        <v>149</v>
      </c>
      <c r="B162" t="s">
        <v>391</v>
      </c>
      <c r="C162" t="s">
        <v>136</v>
      </c>
      <c r="D162">
        <v>26</v>
      </c>
      <c r="E162">
        <v>68</v>
      </c>
      <c r="F162" t="s">
        <v>122</v>
      </c>
      <c r="G162" t="s">
        <v>389</v>
      </c>
      <c r="H162">
        <v>3.5983333333333327</v>
      </c>
      <c r="I162">
        <v>10</v>
      </c>
      <c r="J162">
        <v>6</v>
      </c>
      <c r="K162">
        <v>4</v>
      </c>
      <c r="L162">
        <v>1</v>
      </c>
      <c r="M162" t="s">
        <v>390</v>
      </c>
      <c r="P162" t="s">
        <v>396</v>
      </c>
    </row>
    <row r="163" spans="1:16" x14ac:dyDescent="0.25">
      <c r="A163" t="s">
        <v>149</v>
      </c>
      <c r="C163" t="s">
        <v>164</v>
      </c>
      <c r="D163">
        <v>27</v>
      </c>
      <c r="E163">
        <v>60</v>
      </c>
      <c r="F163" t="s">
        <v>217</v>
      </c>
      <c r="G163" t="s">
        <v>392</v>
      </c>
      <c r="H163">
        <v>6.35</v>
      </c>
      <c r="I163">
        <v>20</v>
      </c>
      <c r="J163">
        <v>3</v>
      </c>
      <c r="L163">
        <v>2</v>
      </c>
      <c r="M163" t="s">
        <v>393</v>
      </c>
    </row>
    <row r="164" spans="1:16" x14ac:dyDescent="0.25">
      <c r="A164" t="s">
        <v>149</v>
      </c>
      <c r="B164" t="s">
        <v>396</v>
      </c>
      <c r="C164" t="s">
        <v>136</v>
      </c>
      <c r="D164">
        <v>36</v>
      </c>
      <c r="E164">
        <v>61</v>
      </c>
      <c r="F164" t="s">
        <v>122</v>
      </c>
      <c r="G164" t="s">
        <v>394</v>
      </c>
      <c r="H164">
        <v>9.6837499999999999</v>
      </c>
      <c r="I164">
        <v>25</v>
      </c>
      <c r="J164">
        <v>2</v>
      </c>
      <c r="K164">
        <v>4</v>
      </c>
      <c r="L164">
        <v>2</v>
      </c>
      <c r="M164" t="s">
        <v>395</v>
      </c>
    </row>
    <row r="165" spans="1:16" x14ac:dyDescent="0.25">
      <c r="A165" t="s">
        <v>149</v>
      </c>
      <c r="C165" t="s">
        <v>153</v>
      </c>
      <c r="D165">
        <v>28</v>
      </c>
      <c r="E165">
        <v>52</v>
      </c>
      <c r="F165" t="s">
        <v>122</v>
      </c>
      <c r="G165" t="s">
        <v>397</v>
      </c>
      <c r="H165">
        <v>3.3019999999999996</v>
      </c>
      <c r="I165">
        <v>21</v>
      </c>
      <c r="J165">
        <v>5</v>
      </c>
      <c r="K165" t="s">
        <v>158</v>
      </c>
      <c r="L165">
        <v>2</v>
      </c>
      <c r="M165" t="s">
        <v>139</v>
      </c>
      <c r="P165" t="s">
        <v>401</v>
      </c>
    </row>
    <row r="166" spans="1:16" x14ac:dyDescent="0.25">
      <c r="A166" t="s">
        <v>149</v>
      </c>
      <c r="C166" t="s">
        <v>224</v>
      </c>
      <c r="D166">
        <v>41</v>
      </c>
      <c r="E166">
        <v>72</v>
      </c>
      <c r="F166" t="s">
        <v>122</v>
      </c>
      <c r="G166" t="s">
        <v>398</v>
      </c>
      <c r="H166">
        <v>3.81</v>
      </c>
      <c r="I166">
        <v>21</v>
      </c>
      <c r="J166">
        <v>6</v>
      </c>
      <c r="K166">
        <v>5</v>
      </c>
      <c r="L166">
        <v>2</v>
      </c>
      <c r="M166" t="s">
        <v>399</v>
      </c>
    </row>
    <row r="167" spans="1:16" x14ac:dyDescent="0.25">
      <c r="A167" t="s">
        <v>149</v>
      </c>
      <c r="B167" t="s">
        <v>401</v>
      </c>
      <c r="C167" t="s">
        <v>136</v>
      </c>
      <c r="D167">
        <v>26</v>
      </c>
      <c r="E167">
        <v>54</v>
      </c>
      <c r="F167" t="s">
        <v>217</v>
      </c>
      <c r="G167" t="s">
        <v>400</v>
      </c>
      <c r="H167">
        <v>4.2862499999999999</v>
      </c>
      <c r="I167">
        <v>21</v>
      </c>
      <c r="J167">
        <v>4</v>
      </c>
      <c r="L167">
        <v>1</v>
      </c>
    </row>
    <row r="168" spans="1:16" x14ac:dyDescent="0.25">
      <c r="A168" t="s">
        <v>149</v>
      </c>
      <c r="C168" t="s">
        <v>136</v>
      </c>
      <c r="D168">
        <v>31</v>
      </c>
      <c r="E168">
        <v>54</v>
      </c>
      <c r="F168" t="s">
        <v>217</v>
      </c>
      <c r="G168" t="s">
        <v>400</v>
      </c>
      <c r="H168">
        <v>4.2862499999999999</v>
      </c>
      <c r="I168">
        <v>21</v>
      </c>
      <c r="J168">
        <v>4</v>
      </c>
      <c r="L168">
        <v>2</v>
      </c>
    </row>
    <row r="169" spans="1:16" x14ac:dyDescent="0.25">
      <c r="A169" t="s">
        <v>149</v>
      </c>
      <c r="C169" t="s">
        <v>136</v>
      </c>
      <c r="D169">
        <v>30</v>
      </c>
      <c r="E169">
        <v>49</v>
      </c>
      <c r="F169" t="s">
        <v>122</v>
      </c>
      <c r="G169" t="s">
        <v>402</v>
      </c>
      <c r="H169">
        <v>5.1858333333333331</v>
      </c>
      <c r="I169">
        <v>21</v>
      </c>
      <c r="J169">
        <v>3</v>
      </c>
      <c r="K169">
        <v>4</v>
      </c>
      <c r="L169">
        <v>2</v>
      </c>
      <c r="M169" t="s">
        <v>403</v>
      </c>
    </row>
    <row r="170" spans="1:16" x14ac:dyDescent="0.25">
      <c r="A170" t="s">
        <v>149</v>
      </c>
      <c r="C170" t="s">
        <v>136</v>
      </c>
      <c r="D170">
        <v>32</v>
      </c>
      <c r="E170">
        <v>49</v>
      </c>
      <c r="F170" t="s">
        <v>122</v>
      </c>
      <c r="G170" t="s">
        <v>404</v>
      </c>
      <c r="H170">
        <v>5.1858333333333331</v>
      </c>
      <c r="I170">
        <v>10.5</v>
      </c>
      <c r="J170">
        <v>3</v>
      </c>
      <c r="K170">
        <v>2</v>
      </c>
      <c r="L170">
        <v>2</v>
      </c>
      <c r="M170" t="s">
        <v>137</v>
      </c>
      <c r="P170" t="s">
        <v>406</v>
      </c>
    </row>
    <row r="171" spans="1:16" x14ac:dyDescent="0.25">
      <c r="A171" t="s">
        <v>149</v>
      </c>
      <c r="C171" t="s">
        <v>136</v>
      </c>
      <c r="D171">
        <v>37</v>
      </c>
      <c r="E171">
        <v>60</v>
      </c>
      <c r="F171" t="s">
        <v>122</v>
      </c>
      <c r="G171" t="s">
        <v>140</v>
      </c>
      <c r="H171">
        <v>6.35</v>
      </c>
      <c r="I171">
        <v>11</v>
      </c>
      <c r="J171">
        <v>3</v>
      </c>
      <c r="K171">
        <v>4</v>
      </c>
      <c r="L171">
        <v>2</v>
      </c>
      <c r="M171" t="s">
        <v>141</v>
      </c>
    </row>
    <row r="172" spans="1:16" x14ac:dyDescent="0.25">
      <c r="A172" t="s">
        <v>149</v>
      </c>
      <c r="B172" t="s">
        <v>406</v>
      </c>
      <c r="C172" t="s">
        <v>136</v>
      </c>
      <c r="D172">
        <v>44</v>
      </c>
      <c r="E172">
        <v>46</v>
      </c>
      <c r="F172" t="s">
        <v>122</v>
      </c>
      <c r="G172" t="s">
        <v>796</v>
      </c>
      <c r="H172">
        <v>7.3024999999999993</v>
      </c>
      <c r="I172">
        <v>21.5</v>
      </c>
      <c r="J172">
        <v>2</v>
      </c>
      <c r="K172">
        <v>2</v>
      </c>
      <c r="L172">
        <v>2</v>
      </c>
      <c r="M172" t="s">
        <v>405</v>
      </c>
    </row>
    <row r="173" spans="1:16" x14ac:dyDescent="0.25">
      <c r="A173" t="s">
        <v>149</v>
      </c>
      <c r="C173" t="s">
        <v>136</v>
      </c>
      <c r="D173">
        <v>29</v>
      </c>
      <c r="E173">
        <v>52</v>
      </c>
      <c r="F173" t="s">
        <v>217</v>
      </c>
      <c r="G173" t="s">
        <v>407</v>
      </c>
      <c r="H173">
        <v>8.254999999999999</v>
      </c>
      <c r="I173">
        <v>21</v>
      </c>
      <c r="J173">
        <v>2</v>
      </c>
      <c r="L173">
        <v>2</v>
      </c>
      <c r="M173" t="s">
        <v>139</v>
      </c>
    </row>
    <row r="174" spans="1:16" x14ac:dyDescent="0.25">
      <c r="A174" t="s">
        <v>149</v>
      </c>
      <c r="C174" t="s">
        <v>136</v>
      </c>
      <c r="D174">
        <v>33</v>
      </c>
      <c r="E174">
        <v>52</v>
      </c>
      <c r="F174" t="s">
        <v>217</v>
      </c>
      <c r="G174" t="s">
        <v>407</v>
      </c>
      <c r="H174">
        <v>8.254999999999999</v>
      </c>
      <c r="I174">
        <v>21</v>
      </c>
      <c r="J174">
        <v>2</v>
      </c>
      <c r="L174">
        <v>2</v>
      </c>
      <c r="M174" t="s">
        <v>139</v>
      </c>
    </row>
    <row r="175" spans="1:16" x14ac:dyDescent="0.25">
      <c r="A175" t="s">
        <v>149</v>
      </c>
      <c r="C175" t="s">
        <v>157</v>
      </c>
      <c r="D175">
        <v>34</v>
      </c>
      <c r="E175">
        <v>65</v>
      </c>
      <c r="F175" t="s">
        <v>122</v>
      </c>
      <c r="G175" t="s">
        <v>408</v>
      </c>
      <c r="H175">
        <v>10.31875</v>
      </c>
      <c r="I175">
        <v>21</v>
      </c>
      <c r="J175">
        <v>2</v>
      </c>
      <c r="K175" t="s">
        <v>409</v>
      </c>
      <c r="L175">
        <v>2</v>
      </c>
      <c r="M175" t="s">
        <v>410</v>
      </c>
    </row>
    <row r="176" spans="1:16" x14ac:dyDescent="0.25">
      <c r="A176" t="s">
        <v>149</v>
      </c>
      <c r="C176" t="s">
        <v>153</v>
      </c>
      <c r="D176">
        <v>35</v>
      </c>
      <c r="E176">
        <v>51</v>
      </c>
      <c r="F176" t="s">
        <v>122</v>
      </c>
      <c r="G176" t="s">
        <v>411</v>
      </c>
      <c r="H176">
        <v>4.0481249999999998</v>
      </c>
      <c r="I176">
        <v>11</v>
      </c>
      <c r="J176">
        <v>4</v>
      </c>
      <c r="K176">
        <v>4</v>
      </c>
      <c r="L176">
        <v>2</v>
      </c>
      <c r="M176" t="s">
        <v>141</v>
      </c>
    </row>
    <row r="177" spans="1:16" x14ac:dyDescent="0.25">
      <c r="A177" t="s">
        <v>149</v>
      </c>
      <c r="C177" t="s">
        <v>136</v>
      </c>
      <c r="D177">
        <v>38</v>
      </c>
      <c r="E177">
        <v>60</v>
      </c>
      <c r="F177" t="s">
        <v>122</v>
      </c>
      <c r="G177" t="s">
        <v>412</v>
      </c>
      <c r="H177">
        <v>6.35</v>
      </c>
      <c r="I177">
        <v>22</v>
      </c>
      <c r="J177">
        <v>3</v>
      </c>
      <c r="K177">
        <v>1</v>
      </c>
      <c r="L177">
        <v>2</v>
      </c>
      <c r="M177" t="s">
        <v>413</v>
      </c>
    </row>
    <row r="178" spans="1:16" x14ac:dyDescent="0.25">
      <c r="A178" t="s">
        <v>149</v>
      </c>
      <c r="C178" t="s">
        <v>153</v>
      </c>
      <c r="D178">
        <v>39</v>
      </c>
      <c r="E178">
        <v>48</v>
      </c>
      <c r="F178" t="s">
        <v>122</v>
      </c>
      <c r="G178" t="s">
        <v>414</v>
      </c>
      <c r="H178">
        <v>15.239999999999998</v>
      </c>
      <c r="I178">
        <v>21</v>
      </c>
      <c r="J178">
        <v>1</v>
      </c>
      <c r="K178">
        <v>4</v>
      </c>
      <c r="L178">
        <v>2</v>
      </c>
      <c r="M178" t="s">
        <v>413</v>
      </c>
    </row>
    <row r="179" spans="1:16" x14ac:dyDescent="0.25">
      <c r="A179" t="s">
        <v>149</v>
      </c>
      <c r="C179" t="s">
        <v>136</v>
      </c>
      <c r="D179">
        <v>55</v>
      </c>
      <c r="E179">
        <v>48</v>
      </c>
      <c r="F179" t="s">
        <v>122</v>
      </c>
      <c r="G179" t="s">
        <v>414</v>
      </c>
      <c r="H179">
        <v>15.239999999999998</v>
      </c>
      <c r="I179">
        <v>21</v>
      </c>
      <c r="J179">
        <v>1</v>
      </c>
      <c r="K179">
        <v>4</v>
      </c>
      <c r="L179">
        <v>2</v>
      </c>
      <c r="M179" t="s">
        <v>415</v>
      </c>
    </row>
    <row r="180" spans="1:16" x14ac:dyDescent="0.25">
      <c r="A180" t="s">
        <v>149</v>
      </c>
      <c r="C180" t="s">
        <v>136</v>
      </c>
      <c r="D180">
        <v>40</v>
      </c>
      <c r="E180">
        <v>61</v>
      </c>
      <c r="F180" t="s">
        <v>122</v>
      </c>
      <c r="G180" t="s">
        <v>416</v>
      </c>
      <c r="H180">
        <v>19.3675</v>
      </c>
      <c r="I180">
        <v>15.5</v>
      </c>
      <c r="J180">
        <v>1</v>
      </c>
      <c r="K180">
        <v>4</v>
      </c>
      <c r="L180">
        <v>1</v>
      </c>
      <c r="M180" t="s">
        <v>417</v>
      </c>
      <c r="P180" t="s">
        <v>420</v>
      </c>
    </row>
    <row r="181" spans="1:16" x14ac:dyDescent="0.25">
      <c r="A181" t="s">
        <v>149</v>
      </c>
      <c r="P181" t="s">
        <v>423</v>
      </c>
    </row>
    <row r="182" spans="1:16" x14ac:dyDescent="0.25">
      <c r="A182" t="s">
        <v>149</v>
      </c>
      <c r="B182" t="s">
        <v>420</v>
      </c>
      <c r="C182" t="s">
        <v>136</v>
      </c>
      <c r="D182">
        <v>11</v>
      </c>
      <c r="E182">
        <v>47</v>
      </c>
      <c r="F182" t="s">
        <v>126</v>
      </c>
      <c r="G182" t="s">
        <v>418</v>
      </c>
      <c r="H182">
        <v>4.9741666666666671</v>
      </c>
      <c r="I182">
        <v>4.5</v>
      </c>
      <c r="J182">
        <v>3</v>
      </c>
      <c r="K182">
        <v>5</v>
      </c>
      <c r="L182">
        <v>1</v>
      </c>
      <c r="M182" t="s">
        <v>419</v>
      </c>
      <c r="P182" t="s">
        <v>426</v>
      </c>
    </row>
    <row r="183" spans="1:16" x14ac:dyDescent="0.25">
      <c r="A183" t="s">
        <v>149</v>
      </c>
      <c r="B183" t="s">
        <v>423</v>
      </c>
      <c r="C183" t="s">
        <v>136</v>
      </c>
      <c r="D183">
        <v>11</v>
      </c>
      <c r="E183">
        <v>47</v>
      </c>
      <c r="F183" t="s">
        <v>126</v>
      </c>
      <c r="G183" t="s">
        <v>421</v>
      </c>
      <c r="H183">
        <v>4.9741666666666671</v>
      </c>
      <c r="I183">
        <v>8</v>
      </c>
      <c r="J183">
        <v>3</v>
      </c>
      <c r="K183">
        <v>5</v>
      </c>
      <c r="L183">
        <v>1</v>
      </c>
      <c r="M183" t="s">
        <v>422</v>
      </c>
      <c r="P183" t="s">
        <v>429</v>
      </c>
    </row>
    <row r="184" spans="1:16" x14ac:dyDescent="0.25">
      <c r="A184" t="s">
        <v>149</v>
      </c>
      <c r="B184" t="s">
        <v>426</v>
      </c>
      <c r="C184" t="s">
        <v>136</v>
      </c>
      <c r="D184">
        <v>14</v>
      </c>
      <c r="E184">
        <v>63</v>
      </c>
      <c r="F184" t="s">
        <v>126</v>
      </c>
      <c r="G184" t="s">
        <v>424</v>
      </c>
      <c r="H184">
        <v>6.6674999999999995</v>
      </c>
      <c r="I184">
        <v>9</v>
      </c>
      <c r="J184">
        <v>3</v>
      </c>
      <c r="K184">
        <v>5</v>
      </c>
      <c r="L184">
        <v>1</v>
      </c>
      <c r="M184" t="s">
        <v>425</v>
      </c>
      <c r="P184" t="s">
        <v>432</v>
      </c>
    </row>
    <row r="185" spans="1:16" x14ac:dyDescent="0.25">
      <c r="A185" t="s">
        <v>149</v>
      </c>
      <c r="B185" t="s">
        <v>429</v>
      </c>
      <c r="C185" t="s">
        <v>136</v>
      </c>
      <c r="D185">
        <v>5</v>
      </c>
      <c r="E185">
        <v>51</v>
      </c>
      <c r="F185" t="s">
        <v>126</v>
      </c>
      <c r="G185" t="s">
        <v>427</v>
      </c>
      <c r="H185">
        <v>8.0962499999999995</v>
      </c>
      <c r="I185">
        <v>11</v>
      </c>
      <c r="J185">
        <v>2</v>
      </c>
      <c r="K185">
        <v>4</v>
      </c>
      <c r="L185">
        <v>2</v>
      </c>
      <c r="M185" t="s">
        <v>428</v>
      </c>
      <c r="P185" t="s">
        <v>434</v>
      </c>
    </row>
    <row r="186" spans="1:16" x14ac:dyDescent="0.25">
      <c r="A186" t="s">
        <v>149</v>
      </c>
      <c r="B186" t="s">
        <v>432</v>
      </c>
      <c r="C186" t="s">
        <v>136</v>
      </c>
      <c r="D186">
        <v>12</v>
      </c>
      <c r="E186">
        <v>47</v>
      </c>
      <c r="F186" t="s">
        <v>126</v>
      </c>
      <c r="G186" t="s">
        <v>430</v>
      </c>
      <c r="H186">
        <v>1.4922499999999999</v>
      </c>
      <c r="I186">
        <v>9.5</v>
      </c>
      <c r="J186">
        <v>10</v>
      </c>
      <c r="K186">
        <v>5</v>
      </c>
      <c r="L186">
        <v>1</v>
      </c>
      <c r="M186" t="s">
        <v>431</v>
      </c>
      <c r="P186" t="s">
        <v>436</v>
      </c>
    </row>
    <row r="187" spans="1:16" x14ac:dyDescent="0.25">
      <c r="A187" t="s">
        <v>149</v>
      </c>
      <c r="B187" t="s">
        <v>434</v>
      </c>
      <c r="C187" t="s">
        <v>136</v>
      </c>
      <c r="D187">
        <v>10</v>
      </c>
      <c r="E187">
        <v>59</v>
      </c>
      <c r="F187" t="s">
        <v>126</v>
      </c>
      <c r="G187" t="s">
        <v>433</v>
      </c>
      <c r="H187">
        <v>9.3662499999999991</v>
      </c>
      <c r="I187">
        <v>6.5</v>
      </c>
      <c r="J187">
        <v>2</v>
      </c>
      <c r="K187">
        <v>4</v>
      </c>
      <c r="L187">
        <v>1</v>
      </c>
      <c r="M187" t="s">
        <v>428</v>
      </c>
      <c r="P187" t="s">
        <v>439</v>
      </c>
    </row>
    <row r="188" spans="1:16" x14ac:dyDescent="0.25">
      <c r="A188" t="s">
        <v>149</v>
      </c>
      <c r="B188" t="s">
        <v>436</v>
      </c>
      <c r="C188" t="s">
        <v>136</v>
      </c>
      <c r="D188">
        <v>6</v>
      </c>
      <c r="E188">
        <v>63</v>
      </c>
      <c r="F188" t="s">
        <v>126</v>
      </c>
      <c r="G188" t="s">
        <v>435</v>
      </c>
      <c r="H188">
        <v>10.001249999999999</v>
      </c>
      <c r="I188">
        <v>6.5</v>
      </c>
      <c r="J188">
        <v>2</v>
      </c>
      <c r="K188">
        <v>5</v>
      </c>
      <c r="L188">
        <v>1</v>
      </c>
      <c r="M188" t="s">
        <v>422</v>
      </c>
      <c r="P188" t="s">
        <v>441</v>
      </c>
    </row>
    <row r="189" spans="1:16" x14ac:dyDescent="0.25">
      <c r="A189" t="s">
        <v>149</v>
      </c>
      <c r="B189" t="s">
        <v>439</v>
      </c>
      <c r="C189" t="s">
        <v>136</v>
      </c>
      <c r="D189">
        <v>10</v>
      </c>
      <c r="E189">
        <v>59</v>
      </c>
      <c r="F189" t="s">
        <v>126</v>
      </c>
      <c r="G189" t="s">
        <v>437</v>
      </c>
      <c r="H189">
        <v>18.732499999999998</v>
      </c>
      <c r="I189">
        <v>5.5</v>
      </c>
      <c r="J189">
        <v>1</v>
      </c>
      <c r="K189">
        <v>4</v>
      </c>
      <c r="L189">
        <v>1</v>
      </c>
      <c r="M189" t="s">
        <v>438</v>
      </c>
    </row>
    <row r="190" spans="1:16" x14ac:dyDescent="0.25">
      <c r="A190" t="s">
        <v>149</v>
      </c>
      <c r="B190" t="s">
        <v>441</v>
      </c>
      <c r="C190" t="s">
        <v>136</v>
      </c>
      <c r="D190">
        <v>3</v>
      </c>
      <c r="E190">
        <v>63</v>
      </c>
      <c r="F190" t="s">
        <v>126</v>
      </c>
      <c r="G190" t="s">
        <v>440</v>
      </c>
      <c r="H190">
        <v>6.6674999999999995</v>
      </c>
      <c r="I190">
        <v>10.5</v>
      </c>
      <c r="J190">
        <v>3</v>
      </c>
      <c r="K190">
        <v>5</v>
      </c>
      <c r="L190">
        <v>1</v>
      </c>
      <c r="M190" t="s">
        <v>428</v>
      </c>
    </row>
    <row r="191" spans="1:16" x14ac:dyDescent="0.25">
      <c r="A191" t="s">
        <v>149</v>
      </c>
    </row>
    <row r="192" spans="1:16" x14ac:dyDescent="0.25">
      <c r="A192" t="s">
        <v>149</v>
      </c>
      <c r="C192" t="s">
        <v>153</v>
      </c>
      <c r="D192">
        <v>45</v>
      </c>
      <c r="E192">
        <v>50</v>
      </c>
      <c r="F192" t="s">
        <v>324</v>
      </c>
      <c r="G192" t="s">
        <v>442</v>
      </c>
      <c r="H192">
        <v>4</v>
      </c>
      <c r="I192">
        <v>22</v>
      </c>
      <c r="J192">
        <v>4</v>
      </c>
      <c r="K192">
        <v>5</v>
      </c>
      <c r="L192">
        <v>2</v>
      </c>
      <c r="M192" t="s">
        <v>230</v>
      </c>
    </row>
    <row r="193" spans="1:16" x14ac:dyDescent="0.25">
      <c r="A193" t="s">
        <v>149</v>
      </c>
      <c r="C193" t="s">
        <v>153</v>
      </c>
      <c r="D193">
        <v>46</v>
      </c>
      <c r="E193">
        <v>66</v>
      </c>
      <c r="F193" t="s">
        <v>324</v>
      </c>
      <c r="G193" t="s">
        <v>443</v>
      </c>
      <c r="H193">
        <v>7</v>
      </c>
      <c r="I193">
        <v>22</v>
      </c>
      <c r="J193">
        <v>3</v>
      </c>
      <c r="K193">
        <v>3</v>
      </c>
      <c r="L193">
        <v>2</v>
      </c>
      <c r="M193" t="s">
        <v>230</v>
      </c>
    </row>
    <row r="194" spans="1:16" x14ac:dyDescent="0.25">
      <c r="A194" t="s">
        <v>149</v>
      </c>
      <c r="C194" t="s">
        <v>153</v>
      </c>
      <c r="D194">
        <v>47</v>
      </c>
      <c r="E194">
        <v>47</v>
      </c>
      <c r="F194" t="s">
        <v>324</v>
      </c>
      <c r="G194" t="s">
        <v>444</v>
      </c>
      <c r="H194">
        <v>3</v>
      </c>
      <c r="I194">
        <v>16</v>
      </c>
      <c r="J194">
        <v>6</v>
      </c>
      <c r="K194">
        <v>0</v>
      </c>
      <c r="L194">
        <v>2</v>
      </c>
      <c r="M194" t="s">
        <v>230</v>
      </c>
    </row>
    <row r="195" spans="1:16" x14ac:dyDescent="0.25">
      <c r="A195" t="s">
        <v>149</v>
      </c>
      <c r="C195" t="s">
        <v>153</v>
      </c>
      <c r="D195">
        <v>53</v>
      </c>
      <c r="E195">
        <v>47</v>
      </c>
      <c r="F195" t="s">
        <v>324</v>
      </c>
      <c r="G195" t="s">
        <v>445</v>
      </c>
      <c r="H195">
        <v>3</v>
      </c>
      <c r="I195">
        <v>20</v>
      </c>
      <c r="J195">
        <v>7</v>
      </c>
      <c r="K195">
        <v>0</v>
      </c>
      <c r="L195">
        <v>2</v>
      </c>
      <c r="M195" t="s">
        <v>230</v>
      </c>
    </row>
    <row r="196" spans="1:16" x14ac:dyDescent="0.25">
      <c r="A196" t="s">
        <v>149</v>
      </c>
      <c r="P196" t="s">
        <v>396</v>
      </c>
    </row>
    <row r="197" spans="1:16" x14ac:dyDescent="0.25">
      <c r="A197" t="s">
        <v>149</v>
      </c>
      <c r="P197" t="s">
        <v>449</v>
      </c>
    </row>
    <row r="198" spans="1:16" x14ac:dyDescent="0.25">
      <c r="A198" t="s">
        <v>149</v>
      </c>
      <c r="B198" t="s">
        <v>396</v>
      </c>
      <c r="C198" t="s">
        <v>378</v>
      </c>
      <c r="D198">
        <v>48</v>
      </c>
      <c r="E198">
        <v>49</v>
      </c>
      <c r="F198" t="s">
        <v>396</v>
      </c>
      <c r="G198" t="s">
        <v>446</v>
      </c>
      <c r="H198">
        <v>5.1858333333333331</v>
      </c>
      <c r="I198">
        <v>21</v>
      </c>
      <c r="J198">
        <v>3</v>
      </c>
      <c r="L198">
        <v>2</v>
      </c>
      <c r="M198" t="s">
        <v>447</v>
      </c>
    </row>
    <row r="199" spans="1:16" x14ac:dyDescent="0.25">
      <c r="A199" t="s">
        <v>149</v>
      </c>
      <c r="B199" t="s">
        <v>449</v>
      </c>
      <c r="C199" t="s">
        <v>172</v>
      </c>
      <c r="D199">
        <v>51</v>
      </c>
      <c r="E199">
        <v>54</v>
      </c>
      <c r="F199" t="s">
        <v>396</v>
      </c>
      <c r="G199">
        <v>22</v>
      </c>
      <c r="I199">
        <v>22</v>
      </c>
      <c r="J199">
        <v>4</v>
      </c>
      <c r="L199">
        <v>1</v>
      </c>
      <c r="M199" t="s">
        <v>448</v>
      </c>
    </row>
    <row r="200" spans="1:16" x14ac:dyDescent="0.25">
      <c r="A200" t="s">
        <v>149</v>
      </c>
      <c r="D200">
        <v>52</v>
      </c>
      <c r="E200">
        <v>59</v>
      </c>
      <c r="F200" t="s">
        <v>450</v>
      </c>
      <c r="G200" t="s">
        <v>451</v>
      </c>
      <c r="J200" t="s">
        <v>409</v>
      </c>
      <c r="K200" t="s">
        <v>409</v>
      </c>
      <c r="L200" t="s">
        <v>409</v>
      </c>
    </row>
    <row r="201" spans="1:16" x14ac:dyDescent="0.25">
      <c r="A201" t="s">
        <v>149</v>
      </c>
      <c r="C201" t="s">
        <v>157</v>
      </c>
      <c r="D201">
        <v>50</v>
      </c>
      <c r="E201">
        <v>65</v>
      </c>
      <c r="F201" t="s">
        <v>396</v>
      </c>
      <c r="G201" t="s">
        <v>408</v>
      </c>
      <c r="M201" t="s">
        <v>410</v>
      </c>
      <c r="P201" t="s">
        <v>452</v>
      </c>
    </row>
    <row r="202" spans="1:16" x14ac:dyDescent="0.25">
      <c r="A202" t="s">
        <v>231</v>
      </c>
      <c r="B202" t="s">
        <v>842</v>
      </c>
      <c r="C202" t="s">
        <v>136</v>
      </c>
      <c r="D202">
        <v>1</v>
      </c>
      <c r="E202">
        <v>43</v>
      </c>
      <c r="F202" t="s">
        <v>135</v>
      </c>
      <c r="G202">
        <v>0.97</v>
      </c>
      <c r="H202">
        <v>0.97</v>
      </c>
      <c r="I202">
        <v>7.5</v>
      </c>
      <c r="J202">
        <v>14</v>
      </c>
      <c r="K202">
        <v>4</v>
      </c>
      <c r="L202" t="s">
        <v>158</v>
      </c>
    </row>
    <row r="203" spans="1:16" x14ac:dyDescent="0.25">
      <c r="A203" t="s">
        <v>231</v>
      </c>
      <c r="B203" t="s">
        <v>843</v>
      </c>
      <c r="D203">
        <v>3</v>
      </c>
      <c r="E203">
        <v>51</v>
      </c>
      <c r="F203" t="s">
        <v>135</v>
      </c>
      <c r="G203">
        <v>2</v>
      </c>
      <c r="H203">
        <v>2</v>
      </c>
      <c r="I203">
        <v>6.6</v>
      </c>
      <c r="J203">
        <v>8</v>
      </c>
      <c r="K203">
        <v>5</v>
      </c>
      <c r="L203">
        <v>1</v>
      </c>
    </row>
    <row r="204" spans="1:16" x14ac:dyDescent="0.25">
      <c r="A204" t="s">
        <v>231</v>
      </c>
      <c r="B204" t="s">
        <v>844</v>
      </c>
      <c r="C204" t="s">
        <v>136</v>
      </c>
      <c r="D204">
        <v>4</v>
      </c>
      <c r="E204">
        <v>43</v>
      </c>
      <c r="F204" t="s">
        <v>135</v>
      </c>
      <c r="G204">
        <v>3.4</v>
      </c>
      <c r="H204">
        <v>3.4</v>
      </c>
      <c r="I204">
        <v>9.5</v>
      </c>
      <c r="J204">
        <v>4.0110147058823529</v>
      </c>
      <c r="K204">
        <v>4</v>
      </c>
      <c r="L204" t="s">
        <v>158</v>
      </c>
    </row>
    <row r="205" spans="1:16" x14ac:dyDescent="0.25">
      <c r="A205" t="s">
        <v>231</v>
      </c>
      <c r="C205" t="s">
        <v>136</v>
      </c>
      <c r="D205">
        <v>5</v>
      </c>
      <c r="E205">
        <v>57</v>
      </c>
      <c r="F205" t="s">
        <v>135</v>
      </c>
      <c r="G205">
        <v>4.5</v>
      </c>
      <c r="H205">
        <v>4.5</v>
      </c>
      <c r="I205">
        <v>16</v>
      </c>
      <c r="J205">
        <v>4.0172333333333334</v>
      </c>
      <c r="K205">
        <v>5</v>
      </c>
      <c r="L205" t="s">
        <v>158</v>
      </c>
      <c r="N205" t="s">
        <v>453</v>
      </c>
    </row>
    <row r="206" spans="1:16" x14ac:dyDescent="0.25">
      <c r="A206" t="s">
        <v>231</v>
      </c>
      <c r="C206" t="s">
        <v>136</v>
      </c>
      <c r="D206">
        <v>6</v>
      </c>
      <c r="E206">
        <v>47</v>
      </c>
      <c r="F206" t="s">
        <v>135</v>
      </c>
      <c r="G206">
        <v>5</v>
      </c>
      <c r="H206">
        <v>5</v>
      </c>
      <c r="I206">
        <v>16</v>
      </c>
      <c r="J206">
        <v>2.9812099999999999</v>
      </c>
      <c r="K206">
        <v>5</v>
      </c>
      <c r="L206" t="s">
        <v>158</v>
      </c>
      <c r="N206" t="s">
        <v>453</v>
      </c>
    </row>
    <row r="207" spans="1:16" x14ac:dyDescent="0.25">
      <c r="A207" t="s">
        <v>231</v>
      </c>
      <c r="C207" t="s">
        <v>153</v>
      </c>
      <c r="D207">
        <v>7</v>
      </c>
      <c r="E207">
        <v>47</v>
      </c>
      <c r="F207" t="s">
        <v>135</v>
      </c>
      <c r="G207">
        <v>5</v>
      </c>
      <c r="H207">
        <v>5</v>
      </c>
      <c r="I207">
        <v>16</v>
      </c>
      <c r="J207">
        <v>2.9812099999999999</v>
      </c>
      <c r="K207">
        <v>5</v>
      </c>
      <c r="L207" t="s">
        <v>158</v>
      </c>
    </row>
    <row r="208" spans="1:16" x14ac:dyDescent="0.25">
      <c r="A208" t="s">
        <v>231</v>
      </c>
      <c r="C208" t="s">
        <v>136</v>
      </c>
      <c r="D208">
        <v>8</v>
      </c>
      <c r="E208">
        <v>57</v>
      </c>
      <c r="F208" t="s">
        <v>135</v>
      </c>
      <c r="G208">
        <v>6</v>
      </c>
      <c r="H208">
        <v>6</v>
      </c>
      <c r="I208">
        <v>16</v>
      </c>
      <c r="J208">
        <v>3.0129250000000001</v>
      </c>
      <c r="K208">
        <v>5</v>
      </c>
      <c r="L208" t="s">
        <v>158</v>
      </c>
    </row>
    <row r="209" spans="1:14" x14ac:dyDescent="0.25">
      <c r="A209" t="s">
        <v>231</v>
      </c>
      <c r="C209" t="s">
        <v>136</v>
      </c>
      <c r="D209">
        <v>9</v>
      </c>
      <c r="E209">
        <v>57</v>
      </c>
      <c r="F209" t="s">
        <v>135</v>
      </c>
      <c r="G209">
        <v>6</v>
      </c>
      <c r="H209">
        <v>6</v>
      </c>
      <c r="I209">
        <v>16</v>
      </c>
      <c r="J209">
        <v>3.0129250000000001</v>
      </c>
      <c r="K209">
        <v>5</v>
      </c>
      <c r="L209" t="s">
        <v>158</v>
      </c>
      <c r="N209" t="s">
        <v>454</v>
      </c>
    </row>
    <row r="210" spans="1:14" x14ac:dyDescent="0.25">
      <c r="A210" t="s">
        <v>231</v>
      </c>
      <c r="B210" t="s">
        <v>845</v>
      </c>
      <c r="C210" t="s">
        <v>136</v>
      </c>
      <c r="D210">
        <v>10</v>
      </c>
      <c r="E210">
        <v>43</v>
      </c>
      <c r="F210" t="s">
        <v>135</v>
      </c>
      <c r="G210">
        <v>6.8</v>
      </c>
      <c r="H210">
        <v>6.8</v>
      </c>
      <c r="I210">
        <v>8.5</v>
      </c>
      <c r="J210">
        <v>2.0055073529411764</v>
      </c>
      <c r="K210">
        <v>4</v>
      </c>
      <c r="L210" t="s">
        <v>158</v>
      </c>
      <c r="M210" t="s">
        <v>455</v>
      </c>
    </row>
    <row r="211" spans="1:14" x14ac:dyDescent="0.25">
      <c r="A211" t="s">
        <v>231</v>
      </c>
      <c r="C211" t="s">
        <v>136</v>
      </c>
      <c r="D211">
        <v>11</v>
      </c>
      <c r="E211">
        <v>47</v>
      </c>
      <c r="F211" t="s">
        <v>135</v>
      </c>
      <c r="G211">
        <v>7.5</v>
      </c>
      <c r="H211">
        <v>7.5</v>
      </c>
      <c r="I211">
        <v>16</v>
      </c>
      <c r="J211">
        <v>1.9874733333333332</v>
      </c>
      <c r="K211">
        <v>5</v>
      </c>
      <c r="L211" t="s">
        <v>158</v>
      </c>
      <c r="N211" t="s">
        <v>453</v>
      </c>
    </row>
    <row r="212" spans="1:14" x14ac:dyDescent="0.25">
      <c r="A212" t="s">
        <v>231</v>
      </c>
      <c r="C212" t="s">
        <v>157</v>
      </c>
      <c r="D212">
        <v>12</v>
      </c>
      <c r="E212">
        <v>47</v>
      </c>
      <c r="F212" t="s">
        <v>135</v>
      </c>
      <c r="G212">
        <v>7.5</v>
      </c>
      <c r="H212">
        <v>7.5</v>
      </c>
      <c r="I212">
        <v>15.8</v>
      </c>
      <c r="J212">
        <v>1.9874733333333332</v>
      </c>
      <c r="K212">
        <v>5</v>
      </c>
      <c r="L212" t="s">
        <v>158</v>
      </c>
      <c r="M212" t="s">
        <v>456</v>
      </c>
    </row>
    <row r="213" spans="1:14" x14ac:dyDescent="0.25">
      <c r="A213" t="s">
        <v>231</v>
      </c>
      <c r="B213" t="s">
        <v>846</v>
      </c>
      <c r="C213" t="s">
        <v>136</v>
      </c>
      <c r="D213">
        <v>13</v>
      </c>
      <c r="E213">
        <v>63</v>
      </c>
      <c r="F213" t="s">
        <v>135</v>
      </c>
      <c r="G213">
        <v>10</v>
      </c>
      <c r="H213">
        <v>10</v>
      </c>
      <c r="I213">
        <v>8.3000000000000007</v>
      </c>
      <c r="J213">
        <v>1.9980449999999998</v>
      </c>
      <c r="K213">
        <v>5</v>
      </c>
      <c r="L213" t="s">
        <v>158</v>
      </c>
    </row>
    <row r="214" spans="1:14" x14ac:dyDescent="0.25">
      <c r="A214" t="s">
        <v>231</v>
      </c>
      <c r="B214" t="s">
        <v>847</v>
      </c>
      <c r="C214" t="s">
        <v>157</v>
      </c>
      <c r="D214">
        <v>14</v>
      </c>
      <c r="E214">
        <v>43</v>
      </c>
      <c r="F214" t="s">
        <v>135</v>
      </c>
      <c r="G214">
        <v>13.5</v>
      </c>
      <c r="H214">
        <v>13.5</v>
      </c>
      <c r="I214">
        <v>6.5</v>
      </c>
      <c r="J214">
        <v>1.0101814814814816</v>
      </c>
      <c r="K214">
        <v>4</v>
      </c>
      <c r="L214" t="s">
        <v>158</v>
      </c>
    </row>
    <row r="215" spans="1:14" x14ac:dyDescent="0.25">
      <c r="A215" t="s">
        <v>231</v>
      </c>
      <c r="B215" t="s">
        <v>848</v>
      </c>
      <c r="C215" t="s">
        <v>136</v>
      </c>
      <c r="D215">
        <v>113</v>
      </c>
      <c r="E215">
        <v>43</v>
      </c>
      <c r="F215" t="s">
        <v>135</v>
      </c>
      <c r="G215">
        <v>13.6</v>
      </c>
      <c r="H215">
        <v>13.6</v>
      </c>
      <c r="I215">
        <v>8.8000000000000007</v>
      </c>
      <c r="J215">
        <v>1.0027536764705882</v>
      </c>
      <c r="K215">
        <v>4</v>
      </c>
      <c r="L215" t="s">
        <v>457</v>
      </c>
    </row>
    <row r="216" spans="1:14" x14ac:dyDescent="0.25">
      <c r="A216" t="s">
        <v>231</v>
      </c>
      <c r="B216" t="s">
        <v>849</v>
      </c>
      <c r="C216" t="s">
        <v>136</v>
      </c>
      <c r="D216">
        <v>15</v>
      </c>
      <c r="E216">
        <v>47</v>
      </c>
      <c r="F216" t="s">
        <v>135</v>
      </c>
      <c r="G216">
        <v>14.9</v>
      </c>
      <c r="H216">
        <v>14.9</v>
      </c>
      <c r="I216">
        <v>5.3</v>
      </c>
      <c r="J216">
        <v>1</v>
      </c>
      <c r="K216">
        <v>5</v>
      </c>
      <c r="L216" t="s">
        <v>158</v>
      </c>
    </row>
    <row r="217" spans="1:14" x14ac:dyDescent="0.25">
      <c r="A217" t="s">
        <v>231</v>
      </c>
      <c r="B217" t="s">
        <v>850</v>
      </c>
      <c r="C217" t="s">
        <v>136</v>
      </c>
      <c r="D217">
        <v>16</v>
      </c>
      <c r="E217">
        <v>63</v>
      </c>
      <c r="F217" t="s">
        <v>135</v>
      </c>
      <c r="G217">
        <v>20</v>
      </c>
      <c r="H217">
        <v>20</v>
      </c>
      <c r="I217">
        <v>9.5</v>
      </c>
      <c r="J217">
        <v>1</v>
      </c>
      <c r="K217">
        <v>5</v>
      </c>
      <c r="L217" t="s">
        <v>158</v>
      </c>
      <c r="M217" t="s">
        <v>458</v>
      </c>
    </row>
    <row r="218" spans="1:14" x14ac:dyDescent="0.25">
      <c r="A218" t="s">
        <v>231</v>
      </c>
    </row>
    <row r="219" spans="1:14" x14ac:dyDescent="0.25">
      <c r="A219" t="s">
        <v>231</v>
      </c>
      <c r="B219" t="s">
        <v>851</v>
      </c>
      <c r="C219" t="s">
        <v>168</v>
      </c>
      <c r="D219">
        <v>26</v>
      </c>
      <c r="E219">
        <v>57</v>
      </c>
      <c r="F219" t="s">
        <v>177</v>
      </c>
      <c r="G219">
        <v>1.2</v>
      </c>
      <c r="H219">
        <v>1.5</v>
      </c>
      <c r="I219">
        <v>3.5</v>
      </c>
      <c r="J219">
        <v>15.064624999999999</v>
      </c>
      <c r="K219">
        <v>5</v>
      </c>
      <c r="L219">
        <v>2</v>
      </c>
    </row>
    <row r="220" spans="1:14" x14ac:dyDescent="0.25">
      <c r="A220" t="s">
        <v>231</v>
      </c>
      <c r="B220" t="s">
        <v>852</v>
      </c>
      <c r="C220" t="s">
        <v>157</v>
      </c>
      <c r="D220">
        <v>17</v>
      </c>
      <c r="E220">
        <v>43</v>
      </c>
      <c r="F220" t="s">
        <v>177</v>
      </c>
      <c r="G220">
        <v>2</v>
      </c>
      <c r="H220">
        <v>2.2999999999999998</v>
      </c>
      <c r="I220">
        <v>2.5</v>
      </c>
      <c r="J220">
        <v>6</v>
      </c>
      <c r="K220">
        <v>4</v>
      </c>
      <c r="L220">
        <v>1</v>
      </c>
    </row>
    <row r="221" spans="1:14" x14ac:dyDescent="0.25">
      <c r="A221" t="s">
        <v>231</v>
      </c>
      <c r="C221" t="s">
        <v>157</v>
      </c>
      <c r="D221">
        <v>18</v>
      </c>
      <c r="E221">
        <v>43</v>
      </c>
      <c r="F221" t="s">
        <v>177</v>
      </c>
      <c r="G221">
        <v>2.5</v>
      </c>
      <c r="H221">
        <v>2.8</v>
      </c>
      <c r="I221">
        <v>3</v>
      </c>
      <c r="J221">
        <v>5.4549800000000008</v>
      </c>
      <c r="K221">
        <v>4</v>
      </c>
      <c r="L221">
        <v>1</v>
      </c>
      <c r="M221" t="s">
        <v>266</v>
      </c>
    </row>
    <row r="222" spans="1:14" x14ac:dyDescent="0.25">
      <c r="A222" t="s">
        <v>231</v>
      </c>
      <c r="B222" t="s">
        <v>853</v>
      </c>
      <c r="C222" t="s">
        <v>168</v>
      </c>
      <c r="D222">
        <v>17</v>
      </c>
      <c r="E222">
        <v>43</v>
      </c>
      <c r="F222" t="s">
        <v>177</v>
      </c>
      <c r="G222">
        <v>3.1</v>
      </c>
      <c r="H222">
        <v>3.4</v>
      </c>
      <c r="I222">
        <v>3.5</v>
      </c>
      <c r="J222">
        <v>4.3991774193548387</v>
      </c>
      <c r="K222">
        <v>4</v>
      </c>
      <c r="L222">
        <v>1</v>
      </c>
    </row>
    <row r="223" spans="1:14" x14ac:dyDescent="0.25">
      <c r="A223" t="s">
        <v>231</v>
      </c>
      <c r="B223" t="s">
        <v>854</v>
      </c>
      <c r="C223" t="s">
        <v>168</v>
      </c>
      <c r="D223">
        <v>58</v>
      </c>
      <c r="E223">
        <v>43</v>
      </c>
      <c r="F223" t="s">
        <v>177</v>
      </c>
      <c r="G223">
        <v>3.1</v>
      </c>
      <c r="H223">
        <v>3.4</v>
      </c>
      <c r="I223">
        <v>3.5</v>
      </c>
      <c r="J223">
        <v>4.3991774193548387</v>
      </c>
      <c r="K223">
        <v>4</v>
      </c>
      <c r="L223">
        <v>1</v>
      </c>
    </row>
    <row r="224" spans="1:14" x14ac:dyDescent="0.25">
      <c r="A224" t="s">
        <v>231</v>
      </c>
      <c r="B224" t="s">
        <v>855</v>
      </c>
      <c r="C224" t="s">
        <v>168</v>
      </c>
      <c r="D224">
        <v>20</v>
      </c>
      <c r="E224">
        <v>51</v>
      </c>
      <c r="F224" t="s">
        <v>177</v>
      </c>
      <c r="G224">
        <v>3.7</v>
      </c>
      <c r="H224">
        <v>4</v>
      </c>
      <c r="I224">
        <v>4.2</v>
      </c>
      <c r="J224">
        <v>4.3715270270270272</v>
      </c>
      <c r="K224">
        <v>5</v>
      </c>
      <c r="L224">
        <v>1</v>
      </c>
      <c r="M224" t="s">
        <v>459</v>
      </c>
    </row>
    <row r="225" spans="1:13" x14ac:dyDescent="0.25">
      <c r="A225" t="s">
        <v>231</v>
      </c>
      <c r="B225" t="s">
        <v>856</v>
      </c>
      <c r="C225" t="s">
        <v>168</v>
      </c>
      <c r="D225">
        <v>21</v>
      </c>
      <c r="E225">
        <v>43</v>
      </c>
      <c r="F225" t="s">
        <v>177</v>
      </c>
      <c r="G225">
        <v>4.3</v>
      </c>
      <c r="H225">
        <v>4.5999999999999996</v>
      </c>
      <c r="I225">
        <v>4.8</v>
      </c>
      <c r="J225">
        <v>3.1715000000000004</v>
      </c>
      <c r="K225">
        <v>4</v>
      </c>
      <c r="L225">
        <v>1</v>
      </c>
      <c r="M225" t="s">
        <v>460</v>
      </c>
    </row>
    <row r="226" spans="1:13" x14ac:dyDescent="0.25">
      <c r="A226" t="s">
        <v>231</v>
      </c>
      <c r="B226" t="s">
        <v>857</v>
      </c>
      <c r="C226" t="s">
        <v>153</v>
      </c>
      <c r="D226">
        <v>1</v>
      </c>
      <c r="E226">
        <v>43</v>
      </c>
      <c r="F226" t="s">
        <v>177</v>
      </c>
      <c r="G226">
        <v>4.3</v>
      </c>
      <c r="H226">
        <v>4.5999999999999996</v>
      </c>
      <c r="I226">
        <v>5</v>
      </c>
      <c r="J226">
        <v>3.1715000000000004</v>
      </c>
      <c r="M226" t="s">
        <v>461</v>
      </c>
    </row>
    <row r="227" spans="1:13" x14ac:dyDescent="0.25">
      <c r="A227" t="s">
        <v>231</v>
      </c>
      <c r="B227" t="s">
        <v>858</v>
      </c>
      <c r="C227" t="s">
        <v>168</v>
      </c>
      <c r="D227">
        <v>23</v>
      </c>
      <c r="E227">
        <v>47</v>
      </c>
      <c r="F227" t="s">
        <v>177</v>
      </c>
      <c r="G227">
        <v>4.8</v>
      </c>
      <c r="H227">
        <v>5.0999999999999996</v>
      </c>
      <c r="I227">
        <v>5.5</v>
      </c>
      <c r="J227">
        <v>3.1054270833333333</v>
      </c>
      <c r="K227">
        <v>5</v>
      </c>
      <c r="L227">
        <v>1</v>
      </c>
    </row>
    <row r="228" spans="1:13" x14ac:dyDescent="0.25">
      <c r="A228" t="s">
        <v>231</v>
      </c>
      <c r="C228" t="s">
        <v>168</v>
      </c>
      <c r="D228">
        <v>24</v>
      </c>
      <c r="E228">
        <v>63</v>
      </c>
      <c r="F228" t="s">
        <v>177</v>
      </c>
      <c r="G228">
        <v>6.45</v>
      </c>
      <c r="H228">
        <v>6.75</v>
      </c>
      <c r="I228">
        <v>14</v>
      </c>
      <c r="J228">
        <v>3.0977441860465116</v>
      </c>
      <c r="K228">
        <v>5</v>
      </c>
      <c r="L228">
        <v>2</v>
      </c>
      <c r="M228" t="s">
        <v>462</v>
      </c>
    </row>
    <row r="229" spans="1:13" x14ac:dyDescent="0.25">
      <c r="A229" t="s">
        <v>231</v>
      </c>
      <c r="C229" t="s">
        <v>153</v>
      </c>
      <c r="D229">
        <v>25</v>
      </c>
      <c r="E229">
        <v>51</v>
      </c>
      <c r="F229" t="s">
        <v>177</v>
      </c>
      <c r="G229">
        <v>7.8</v>
      </c>
      <c r="H229">
        <v>8.1</v>
      </c>
      <c r="I229">
        <v>17</v>
      </c>
      <c r="J229">
        <v>2.0736730769230767</v>
      </c>
      <c r="K229">
        <v>5</v>
      </c>
      <c r="L229">
        <v>2</v>
      </c>
      <c r="M229" t="s">
        <v>463</v>
      </c>
    </row>
    <row r="230" spans="1:13" x14ac:dyDescent="0.25">
      <c r="A230" t="s">
        <v>231</v>
      </c>
      <c r="B230" t="s">
        <v>859</v>
      </c>
      <c r="C230" t="s">
        <v>168</v>
      </c>
      <c r="D230">
        <v>3</v>
      </c>
      <c r="E230">
        <v>51</v>
      </c>
      <c r="F230" t="s">
        <v>177</v>
      </c>
      <c r="G230">
        <v>7.8</v>
      </c>
      <c r="H230">
        <v>8.1</v>
      </c>
      <c r="I230">
        <v>17</v>
      </c>
      <c r="J230">
        <v>2.0736730769230767</v>
      </c>
      <c r="K230">
        <v>5</v>
      </c>
      <c r="L230">
        <v>1</v>
      </c>
    </row>
    <row r="231" spans="1:13" x14ac:dyDescent="0.25">
      <c r="A231" t="s">
        <v>231</v>
      </c>
      <c r="C231" t="s">
        <v>168</v>
      </c>
      <c r="D231">
        <v>125</v>
      </c>
      <c r="E231">
        <v>51</v>
      </c>
      <c r="F231" t="s">
        <v>177</v>
      </c>
      <c r="G231">
        <v>7.8</v>
      </c>
      <c r="H231">
        <v>8.1</v>
      </c>
      <c r="I231">
        <v>17</v>
      </c>
      <c r="J231">
        <v>2.0736730769230767</v>
      </c>
      <c r="K231">
        <v>5</v>
      </c>
      <c r="L231">
        <v>1</v>
      </c>
      <c r="M231" t="s">
        <v>464</v>
      </c>
    </row>
    <row r="232" spans="1:13" x14ac:dyDescent="0.25">
      <c r="A232" t="s">
        <v>231</v>
      </c>
      <c r="B232" t="s">
        <v>860</v>
      </c>
      <c r="C232" t="s">
        <v>168</v>
      </c>
      <c r="D232">
        <v>27</v>
      </c>
      <c r="E232">
        <v>60</v>
      </c>
      <c r="F232" t="s">
        <v>177</v>
      </c>
      <c r="G232">
        <v>9.1999999999999993</v>
      </c>
      <c r="H232">
        <v>9.5</v>
      </c>
      <c r="I232">
        <v>9.8000000000000007</v>
      </c>
      <c r="J232">
        <v>2.0683695652173912</v>
      </c>
      <c r="K232">
        <v>4</v>
      </c>
      <c r="L232">
        <v>1</v>
      </c>
      <c r="M232" t="s">
        <v>458</v>
      </c>
    </row>
    <row r="233" spans="1:13" x14ac:dyDescent="0.25">
      <c r="A233" t="s">
        <v>231</v>
      </c>
      <c r="B233" t="s">
        <v>861</v>
      </c>
      <c r="C233" t="s">
        <v>168</v>
      </c>
      <c r="D233">
        <v>28</v>
      </c>
      <c r="E233">
        <v>63</v>
      </c>
      <c r="F233" t="s">
        <v>177</v>
      </c>
      <c r="G233">
        <v>9.6999999999999993</v>
      </c>
      <c r="H233">
        <v>10</v>
      </c>
      <c r="I233">
        <v>10.5</v>
      </c>
      <c r="J233">
        <v>2.0598402061855667</v>
      </c>
      <c r="K233">
        <v>5</v>
      </c>
      <c r="L233">
        <v>1</v>
      </c>
      <c r="M233" t="s">
        <v>465</v>
      </c>
    </row>
    <row r="234" spans="1:13" x14ac:dyDescent="0.25">
      <c r="A234" t="s">
        <v>231</v>
      </c>
      <c r="C234" t="s">
        <v>157</v>
      </c>
      <c r="D234">
        <v>29</v>
      </c>
      <c r="E234">
        <v>43</v>
      </c>
      <c r="F234" t="s">
        <v>177</v>
      </c>
      <c r="G234">
        <v>13.3</v>
      </c>
      <c r="H234">
        <v>13.600000000000001</v>
      </c>
      <c r="I234">
        <v>14</v>
      </c>
      <c r="J234">
        <v>1.025372180451128</v>
      </c>
      <c r="K234">
        <v>4</v>
      </c>
      <c r="L234">
        <v>1</v>
      </c>
      <c r="M234" t="s">
        <v>466</v>
      </c>
    </row>
    <row r="235" spans="1:13" x14ac:dyDescent="0.25">
      <c r="A235" t="s">
        <v>231</v>
      </c>
      <c r="B235" t="s">
        <v>862</v>
      </c>
      <c r="C235" t="s">
        <v>121</v>
      </c>
      <c r="D235">
        <v>30</v>
      </c>
      <c r="E235">
        <v>43</v>
      </c>
      <c r="F235" t="s">
        <v>177</v>
      </c>
      <c r="G235">
        <v>12.5</v>
      </c>
      <c r="H235">
        <v>13.6</v>
      </c>
      <c r="I235">
        <v>13</v>
      </c>
      <c r="J235">
        <v>1.0909960000000001</v>
      </c>
      <c r="K235">
        <v>4</v>
      </c>
      <c r="L235">
        <v>1</v>
      </c>
      <c r="M235" t="s">
        <v>465</v>
      </c>
    </row>
    <row r="236" spans="1:13" x14ac:dyDescent="0.25">
      <c r="A236" t="s">
        <v>231</v>
      </c>
    </row>
    <row r="237" spans="1:13" x14ac:dyDescent="0.25">
      <c r="A237" t="s">
        <v>231</v>
      </c>
      <c r="B237" t="s">
        <v>863</v>
      </c>
      <c r="C237" t="s">
        <v>168</v>
      </c>
      <c r="D237">
        <v>4</v>
      </c>
      <c r="E237">
        <v>43</v>
      </c>
      <c r="F237" t="s">
        <v>192</v>
      </c>
      <c r="G237" t="s">
        <v>467</v>
      </c>
      <c r="H237">
        <v>2.7274900000000004</v>
      </c>
      <c r="I237">
        <v>5.5</v>
      </c>
      <c r="J237">
        <v>5</v>
      </c>
      <c r="K237">
        <v>4</v>
      </c>
      <c r="L237">
        <v>3</v>
      </c>
      <c r="M237" t="s">
        <v>468</v>
      </c>
    </row>
    <row r="238" spans="1:13" x14ac:dyDescent="0.25">
      <c r="A238" t="s">
        <v>231</v>
      </c>
      <c r="B238" t="s">
        <v>864</v>
      </c>
      <c r="C238" t="s">
        <v>168</v>
      </c>
      <c r="D238">
        <v>32</v>
      </c>
      <c r="E238">
        <v>47</v>
      </c>
      <c r="F238" t="s">
        <v>192</v>
      </c>
      <c r="G238" t="s">
        <v>469</v>
      </c>
      <c r="H238">
        <v>2.4843416666666664</v>
      </c>
      <c r="I238">
        <v>7.5</v>
      </c>
      <c r="J238">
        <v>6</v>
      </c>
      <c r="K238">
        <v>5</v>
      </c>
      <c r="L238">
        <v>2</v>
      </c>
      <c r="M238" t="s">
        <v>470</v>
      </c>
    </row>
    <row r="239" spans="1:13" x14ac:dyDescent="0.25">
      <c r="A239" t="s">
        <v>231</v>
      </c>
      <c r="B239" t="s">
        <v>865</v>
      </c>
      <c r="C239" t="s">
        <v>471</v>
      </c>
      <c r="D239">
        <v>33</v>
      </c>
      <c r="E239">
        <v>43</v>
      </c>
      <c r="F239" t="s">
        <v>192</v>
      </c>
      <c r="G239" t="s">
        <v>472</v>
      </c>
      <c r="H239">
        <v>4.5458166666666671</v>
      </c>
      <c r="I239">
        <v>3.5</v>
      </c>
      <c r="J239">
        <v>3</v>
      </c>
      <c r="K239">
        <v>4</v>
      </c>
      <c r="L239">
        <v>1</v>
      </c>
    </row>
    <row r="240" spans="1:13" x14ac:dyDescent="0.25">
      <c r="A240" t="s">
        <v>231</v>
      </c>
      <c r="B240" t="s">
        <v>866</v>
      </c>
      <c r="C240" t="s">
        <v>168</v>
      </c>
      <c r="D240">
        <v>34</v>
      </c>
      <c r="E240">
        <v>47</v>
      </c>
      <c r="F240" t="s">
        <v>192</v>
      </c>
      <c r="G240" t="s">
        <v>473</v>
      </c>
      <c r="H240">
        <v>4.9686833333333329</v>
      </c>
      <c r="I240">
        <v>3.5</v>
      </c>
      <c r="J240">
        <v>3</v>
      </c>
      <c r="K240">
        <v>5</v>
      </c>
      <c r="L240">
        <v>1</v>
      </c>
      <c r="M240" t="s">
        <v>474</v>
      </c>
    </row>
    <row r="241" spans="1:14" x14ac:dyDescent="0.25">
      <c r="A241" t="s">
        <v>231</v>
      </c>
      <c r="B241" t="s">
        <v>867</v>
      </c>
      <c r="C241" t="s">
        <v>121</v>
      </c>
      <c r="D241">
        <v>35</v>
      </c>
      <c r="E241">
        <v>43</v>
      </c>
      <c r="F241" t="s">
        <v>192</v>
      </c>
      <c r="G241" t="s">
        <v>475</v>
      </c>
      <c r="H241">
        <v>6.8187250000000006</v>
      </c>
      <c r="I241">
        <v>3.5</v>
      </c>
      <c r="J241">
        <v>2</v>
      </c>
      <c r="K241">
        <v>4</v>
      </c>
      <c r="L241">
        <v>1</v>
      </c>
    </row>
    <row r="242" spans="1:14" x14ac:dyDescent="0.25">
      <c r="A242" t="s">
        <v>231</v>
      </c>
      <c r="B242" t="s">
        <v>868</v>
      </c>
      <c r="C242" t="s">
        <v>121</v>
      </c>
      <c r="D242">
        <v>36</v>
      </c>
      <c r="E242">
        <v>47</v>
      </c>
      <c r="F242" t="s">
        <v>192</v>
      </c>
      <c r="G242" t="s">
        <v>476</v>
      </c>
      <c r="H242">
        <v>7.4530249999999993</v>
      </c>
      <c r="I242">
        <v>5.5</v>
      </c>
      <c r="J242">
        <v>2</v>
      </c>
      <c r="K242">
        <v>5</v>
      </c>
      <c r="L242">
        <v>1</v>
      </c>
      <c r="M242" t="s">
        <v>477</v>
      </c>
    </row>
    <row r="243" spans="1:14" x14ac:dyDescent="0.25">
      <c r="A243" t="s">
        <v>231</v>
      </c>
      <c r="B243" t="s">
        <v>869</v>
      </c>
      <c r="C243" t="s">
        <v>168</v>
      </c>
      <c r="D243">
        <v>37</v>
      </c>
      <c r="E243">
        <v>63</v>
      </c>
      <c r="F243" t="s">
        <v>192</v>
      </c>
      <c r="G243" t="s">
        <v>478</v>
      </c>
      <c r="H243">
        <v>4.9951124999999994</v>
      </c>
      <c r="I243">
        <v>8</v>
      </c>
      <c r="J243">
        <v>4</v>
      </c>
      <c r="K243">
        <v>5</v>
      </c>
      <c r="L243">
        <v>1</v>
      </c>
      <c r="M243" t="s">
        <v>208</v>
      </c>
    </row>
    <row r="244" spans="1:14" x14ac:dyDescent="0.25">
      <c r="A244" t="s">
        <v>231</v>
      </c>
      <c r="B244" t="s">
        <v>870</v>
      </c>
      <c r="C244" t="s">
        <v>471</v>
      </c>
      <c r="D244">
        <v>35</v>
      </c>
      <c r="E244">
        <v>43</v>
      </c>
      <c r="F244" t="s">
        <v>192</v>
      </c>
      <c r="G244" t="s">
        <v>479</v>
      </c>
      <c r="H244">
        <v>6.8187250000000006</v>
      </c>
      <c r="I244">
        <v>10</v>
      </c>
      <c r="J244">
        <v>2</v>
      </c>
      <c r="K244">
        <v>4</v>
      </c>
      <c r="L244">
        <v>1</v>
      </c>
      <c r="M244" t="s">
        <v>480</v>
      </c>
    </row>
    <row r="245" spans="1:14" x14ac:dyDescent="0.25">
      <c r="A245" t="s">
        <v>231</v>
      </c>
      <c r="B245" t="s">
        <v>870</v>
      </c>
      <c r="C245" t="s">
        <v>471</v>
      </c>
      <c r="D245">
        <v>122</v>
      </c>
      <c r="E245">
        <v>43</v>
      </c>
      <c r="F245" t="s">
        <v>192</v>
      </c>
      <c r="G245" t="s">
        <v>479</v>
      </c>
      <c r="H245">
        <v>6.8187250000000006</v>
      </c>
      <c r="I245">
        <v>10</v>
      </c>
      <c r="J245">
        <v>2</v>
      </c>
      <c r="K245">
        <v>4</v>
      </c>
      <c r="L245">
        <v>1</v>
      </c>
      <c r="M245" t="s">
        <v>481</v>
      </c>
    </row>
    <row r="246" spans="1:14" x14ac:dyDescent="0.25">
      <c r="A246" t="s">
        <v>231</v>
      </c>
      <c r="C246" t="s">
        <v>471</v>
      </c>
      <c r="D246">
        <v>40</v>
      </c>
      <c r="E246">
        <v>57</v>
      </c>
      <c r="F246" t="s">
        <v>192</v>
      </c>
      <c r="G246" t="s">
        <v>482</v>
      </c>
      <c r="H246">
        <v>9.0387749999999993</v>
      </c>
      <c r="I246">
        <v>13</v>
      </c>
      <c r="J246">
        <v>2</v>
      </c>
      <c r="K246">
        <v>5</v>
      </c>
      <c r="L246">
        <v>1</v>
      </c>
      <c r="M246" t="s">
        <v>483</v>
      </c>
    </row>
    <row r="247" spans="1:14" x14ac:dyDescent="0.25">
      <c r="A247" t="s">
        <v>231</v>
      </c>
      <c r="C247" t="s">
        <v>168</v>
      </c>
      <c r="D247">
        <v>41</v>
      </c>
      <c r="E247">
        <v>60</v>
      </c>
      <c r="F247" t="s">
        <v>192</v>
      </c>
      <c r="G247" t="s">
        <v>484</v>
      </c>
      <c r="H247">
        <v>9.5145</v>
      </c>
      <c r="I247">
        <v>14.5</v>
      </c>
      <c r="J247">
        <v>2</v>
      </c>
      <c r="K247">
        <v>4</v>
      </c>
      <c r="L247">
        <v>1</v>
      </c>
      <c r="M247" t="s">
        <v>485</v>
      </c>
    </row>
    <row r="248" spans="1:14" x14ac:dyDescent="0.25">
      <c r="A248" t="s">
        <v>231</v>
      </c>
    </row>
    <row r="249" spans="1:14" x14ac:dyDescent="0.25">
      <c r="A249" t="s">
        <v>231</v>
      </c>
      <c r="B249" t="s">
        <v>871</v>
      </c>
      <c r="C249" t="s">
        <v>168</v>
      </c>
      <c r="D249">
        <v>72</v>
      </c>
      <c r="E249">
        <v>78</v>
      </c>
      <c r="F249" t="s">
        <v>122</v>
      </c>
      <c r="G249" t="s">
        <v>486</v>
      </c>
      <c r="H249">
        <v>24.7377</v>
      </c>
      <c r="I249">
        <v>3.8</v>
      </c>
      <c r="J249">
        <v>1</v>
      </c>
      <c r="K249">
        <v>5</v>
      </c>
      <c r="L249">
        <v>2</v>
      </c>
      <c r="M249" t="s">
        <v>487</v>
      </c>
    </row>
    <row r="250" spans="1:14" x14ac:dyDescent="0.25">
      <c r="A250" t="s">
        <v>231</v>
      </c>
      <c r="B250" t="s">
        <v>872</v>
      </c>
      <c r="C250" t="s">
        <v>168</v>
      </c>
      <c r="D250">
        <v>42</v>
      </c>
      <c r="E250">
        <v>47</v>
      </c>
      <c r="F250" t="s">
        <v>122</v>
      </c>
      <c r="G250" t="s">
        <v>488</v>
      </c>
      <c r="H250">
        <v>1.8632562499999998</v>
      </c>
      <c r="I250">
        <v>10.5</v>
      </c>
      <c r="J250">
        <v>8</v>
      </c>
      <c r="K250">
        <v>5</v>
      </c>
      <c r="L250">
        <v>3</v>
      </c>
      <c r="M250" t="s">
        <v>489</v>
      </c>
    </row>
    <row r="251" spans="1:14" x14ac:dyDescent="0.25">
      <c r="A251" t="s">
        <v>231</v>
      </c>
      <c r="B251" t="s">
        <v>873</v>
      </c>
      <c r="C251" t="s">
        <v>164</v>
      </c>
      <c r="D251">
        <v>43</v>
      </c>
      <c r="E251">
        <v>68</v>
      </c>
      <c r="F251" t="s">
        <v>122</v>
      </c>
      <c r="G251" t="s">
        <v>490</v>
      </c>
      <c r="H251">
        <v>3.0808857142857144</v>
      </c>
      <c r="I251">
        <v>8.5</v>
      </c>
      <c r="J251">
        <v>7</v>
      </c>
      <c r="K251">
        <v>5</v>
      </c>
      <c r="L251">
        <v>2</v>
      </c>
      <c r="M251" t="s">
        <v>491</v>
      </c>
    </row>
    <row r="252" spans="1:14" x14ac:dyDescent="0.25">
      <c r="A252" t="s">
        <v>231</v>
      </c>
      <c r="C252" t="s">
        <v>168</v>
      </c>
      <c r="D252">
        <v>44</v>
      </c>
      <c r="E252">
        <v>68</v>
      </c>
      <c r="F252" t="s">
        <v>122</v>
      </c>
      <c r="G252" t="s">
        <v>235</v>
      </c>
      <c r="H252">
        <v>4.3132400000000004</v>
      </c>
      <c r="I252">
        <v>13.5</v>
      </c>
      <c r="J252">
        <v>5</v>
      </c>
      <c r="K252">
        <v>5</v>
      </c>
      <c r="L252">
        <v>3</v>
      </c>
      <c r="M252" t="s">
        <v>492</v>
      </c>
      <c r="N252" t="s">
        <v>493</v>
      </c>
    </row>
    <row r="253" spans="1:14" x14ac:dyDescent="0.25">
      <c r="A253" t="s">
        <v>231</v>
      </c>
      <c r="B253" t="s">
        <v>874</v>
      </c>
      <c r="C253" t="s">
        <v>168</v>
      </c>
      <c r="D253">
        <v>28</v>
      </c>
      <c r="E253">
        <v>63</v>
      </c>
      <c r="F253" t="s">
        <v>122</v>
      </c>
      <c r="G253" t="s">
        <v>494</v>
      </c>
      <c r="H253">
        <v>2.2200499999999996</v>
      </c>
      <c r="I253">
        <v>4.5</v>
      </c>
      <c r="J253">
        <v>9</v>
      </c>
      <c r="K253">
        <v>5</v>
      </c>
      <c r="L253">
        <v>1</v>
      </c>
    </row>
    <row r="254" spans="1:14" x14ac:dyDescent="0.25">
      <c r="A254" t="s">
        <v>231</v>
      </c>
      <c r="B254" t="s">
        <v>875</v>
      </c>
      <c r="C254" t="s">
        <v>168</v>
      </c>
      <c r="D254">
        <v>46</v>
      </c>
      <c r="E254">
        <v>43</v>
      </c>
      <c r="F254" t="s">
        <v>122</v>
      </c>
      <c r="G254" t="s">
        <v>495</v>
      </c>
      <c r="H254">
        <v>2.2729083333333335</v>
      </c>
      <c r="I254">
        <v>5.5</v>
      </c>
      <c r="J254">
        <v>6</v>
      </c>
      <c r="K254">
        <v>4</v>
      </c>
      <c r="L254">
        <v>1</v>
      </c>
      <c r="M254" t="s">
        <v>240</v>
      </c>
    </row>
    <row r="255" spans="1:14" x14ac:dyDescent="0.25">
      <c r="A255" t="s">
        <v>231</v>
      </c>
      <c r="B255" t="s">
        <v>876</v>
      </c>
      <c r="C255" t="s">
        <v>471</v>
      </c>
      <c r="D255">
        <v>33</v>
      </c>
      <c r="E255">
        <v>43</v>
      </c>
      <c r="F255" t="s">
        <v>122</v>
      </c>
      <c r="G255" t="s">
        <v>496</v>
      </c>
      <c r="H255">
        <v>2.7274900000000004</v>
      </c>
      <c r="I255">
        <v>10.5</v>
      </c>
      <c r="J255">
        <v>5</v>
      </c>
      <c r="K255">
        <v>4</v>
      </c>
      <c r="L255">
        <v>2</v>
      </c>
      <c r="M255" t="s">
        <v>359</v>
      </c>
      <c r="N255" t="s">
        <v>497</v>
      </c>
    </row>
    <row r="256" spans="1:14" x14ac:dyDescent="0.25">
      <c r="A256" t="s">
        <v>231</v>
      </c>
      <c r="B256" t="s">
        <v>877</v>
      </c>
      <c r="C256" t="s">
        <v>164</v>
      </c>
      <c r="D256">
        <v>43</v>
      </c>
      <c r="E256">
        <v>68</v>
      </c>
      <c r="F256" t="s">
        <v>122</v>
      </c>
      <c r="G256" t="s">
        <v>498</v>
      </c>
      <c r="H256">
        <v>3.5943666666666667</v>
      </c>
      <c r="I256">
        <v>5.5</v>
      </c>
      <c r="J256">
        <v>6</v>
      </c>
      <c r="K256">
        <v>5</v>
      </c>
      <c r="L256">
        <v>1</v>
      </c>
      <c r="M256" t="s">
        <v>491</v>
      </c>
    </row>
    <row r="257" spans="1:14" x14ac:dyDescent="0.25">
      <c r="A257" t="s">
        <v>231</v>
      </c>
      <c r="B257" t="s">
        <v>878</v>
      </c>
      <c r="C257" t="s">
        <v>168</v>
      </c>
      <c r="D257">
        <v>49</v>
      </c>
      <c r="E257">
        <v>60</v>
      </c>
      <c r="F257" t="s">
        <v>122</v>
      </c>
      <c r="G257" t="s">
        <v>246</v>
      </c>
      <c r="H257">
        <v>6.343</v>
      </c>
      <c r="I257">
        <v>9</v>
      </c>
      <c r="J257">
        <v>3</v>
      </c>
      <c r="K257">
        <v>4</v>
      </c>
      <c r="L257">
        <v>2</v>
      </c>
      <c r="M257" t="s">
        <v>499</v>
      </c>
    </row>
    <row r="258" spans="1:14" x14ac:dyDescent="0.25">
      <c r="A258" t="s">
        <v>231</v>
      </c>
      <c r="C258" t="s">
        <v>168</v>
      </c>
      <c r="D258">
        <v>50</v>
      </c>
      <c r="E258">
        <v>60</v>
      </c>
      <c r="F258" t="s">
        <v>122</v>
      </c>
      <c r="G258" t="s">
        <v>500</v>
      </c>
      <c r="H258">
        <v>6.343</v>
      </c>
      <c r="I258">
        <v>10.5</v>
      </c>
      <c r="J258">
        <v>3</v>
      </c>
      <c r="K258">
        <v>4</v>
      </c>
      <c r="L258">
        <v>3</v>
      </c>
      <c r="M258" t="s">
        <v>501</v>
      </c>
      <c r="N258" t="s">
        <v>148</v>
      </c>
    </row>
    <row r="259" spans="1:14" x14ac:dyDescent="0.25">
      <c r="A259" t="s">
        <v>231</v>
      </c>
      <c r="C259" t="s">
        <v>168</v>
      </c>
      <c r="D259">
        <v>51</v>
      </c>
      <c r="E259">
        <v>68</v>
      </c>
      <c r="F259" t="s">
        <v>122</v>
      </c>
      <c r="G259" t="s">
        <v>246</v>
      </c>
      <c r="H259">
        <v>4.3132400000000004</v>
      </c>
      <c r="I259">
        <v>13</v>
      </c>
      <c r="J259">
        <v>5</v>
      </c>
      <c r="K259">
        <v>5</v>
      </c>
      <c r="L259">
        <v>2</v>
      </c>
      <c r="M259" t="s">
        <v>502</v>
      </c>
      <c r="N259" t="s">
        <v>148</v>
      </c>
    </row>
    <row r="260" spans="1:14" x14ac:dyDescent="0.25">
      <c r="A260" t="s">
        <v>231</v>
      </c>
      <c r="C260" t="s">
        <v>168</v>
      </c>
      <c r="D260">
        <v>53</v>
      </c>
      <c r="E260">
        <v>47</v>
      </c>
      <c r="F260" t="s">
        <v>122</v>
      </c>
      <c r="G260" t="s">
        <v>503</v>
      </c>
      <c r="H260">
        <v>4.9686833333333329</v>
      </c>
      <c r="I260">
        <v>15</v>
      </c>
      <c r="J260">
        <v>3</v>
      </c>
      <c r="K260">
        <v>5</v>
      </c>
      <c r="L260">
        <v>2</v>
      </c>
      <c r="N260" t="s">
        <v>148</v>
      </c>
    </row>
    <row r="261" spans="1:14" x14ac:dyDescent="0.25">
      <c r="A261" t="s">
        <v>231</v>
      </c>
      <c r="B261" t="s">
        <v>879</v>
      </c>
      <c r="C261" t="s">
        <v>378</v>
      </c>
      <c r="D261">
        <v>54</v>
      </c>
      <c r="E261">
        <v>47</v>
      </c>
      <c r="F261" t="s">
        <v>122</v>
      </c>
      <c r="G261" t="s">
        <v>503</v>
      </c>
      <c r="H261">
        <v>4.9686833333333329</v>
      </c>
      <c r="I261">
        <v>11</v>
      </c>
      <c r="J261">
        <v>3</v>
      </c>
      <c r="K261">
        <v>5</v>
      </c>
      <c r="L261">
        <v>2</v>
      </c>
      <c r="M261" t="s">
        <v>504</v>
      </c>
      <c r="N261" t="s">
        <v>148</v>
      </c>
    </row>
    <row r="262" spans="1:14" x14ac:dyDescent="0.25">
      <c r="A262" t="s">
        <v>231</v>
      </c>
      <c r="C262" t="s">
        <v>136</v>
      </c>
      <c r="D262">
        <v>129</v>
      </c>
      <c r="E262">
        <v>54</v>
      </c>
      <c r="F262" t="s">
        <v>217</v>
      </c>
      <c r="G262" t="s">
        <v>505</v>
      </c>
      <c r="H262">
        <v>4.2815250000000002</v>
      </c>
      <c r="I262">
        <v>15</v>
      </c>
      <c r="J262">
        <v>4</v>
      </c>
      <c r="K262">
        <v>0</v>
      </c>
      <c r="L262">
        <v>2</v>
      </c>
      <c r="M262" t="s">
        <v>506</v>
      </c>
    </row>
    <row r="263" spans="1:14" x14ac:dyDescent="0.25">
      <c r="A263" t="s">
        <v>231</v>
      </c>
      <c r="C263" t="s">
        <v>168</v>
      </c>
      <c r="D263">
        <v>55</v>
      </c>
      <c r="E263">
        <v>47</v>
      </c>
      <c r="F263" t="s">
        <v>122</v>
      </c>
      <c r="G263" t="s">
        <v>507</v>
      </c>
      <c r="H263">
        <v>7.4530249999999993</v>
      </c>
      <c r="I263">
        <v>11</v>
      </c>
      <c r="J263">
        <v>2</v>
      </c>
      <c r="K263">
        <v>5</v>
      </c>
      <c r="L263">
        <v>2</v>
      </c>
      <c r="M263" t="s">
        <v>152</v>
      </c>
    </row>
    <row r="264" spans="1:14" x14ac:dyDescent="0.25">
      <c r="A264" t="s">
        <v>231</v>
      </c>
      <c r="C264" t="s">
        <v>378</v>
      </c>
      <c r="D264">
        <v>76</v>
      </c>
      <c r="E264">
        <v>43</v>
      </c>
      <c r="F264" t="s">
        <v>122</v>
      </c>
      <c r="G264" t="s">
        <v>508</v>
      </c>
      <c r="H264">
        <v>3.4093625000000003</v>
      </c>
      <c r="I264">
        <v>8.5</v>
      </c>
      <c r="J264">
        <v>4</v>
      </c>
      <c r="K264">
        <v>4</v>
      </c>
      <c r="L264">
        <v>1</v>
      </c>
      <c r="M264" t="s">
        <v>499</v>
      </c>
    </row>
    <row r="265" spans="1:14" x14ac:dyDescent="0.25">
      <c r="A265" t="s">
        <v>231</v>
      </c>
      <c r="C265" t="s">
        <v>168</v>
      </c>
      <c r="D265">
        <v>56</v>
      </c>
      <c r="E265">
        <v>43</v>
      </c>
      <c r="F265" t="s">
        <v>122</v>
      </c>
      <c r="G265" t="s">
        <v>509</v>
      </c>
      <c r="H265">
        <v>2.7274900000000004</v>
      </c>
      <c r="I265">
        <v>9.5</v>
      </c>
      <c r="J265">
        <v>5</v>
      </c>
      <c r="K265">
        <v>4</v>
      </c>
      <c r="L265">
        <v>1</v>
      </c>
      <c r="M265" t="s">
        <v>510</v>
      </c>
    </row>
    <row r="266" spans="1:14" x14ac:dyDescent="0.25">
      <c r="A266" t="s">
        <v>231</v>
      </c>
      <c r="C266" t="s">
        <v>471</v>
      </c>
      <c r="D266">
        <v>57</v>
      </c>
      <c r="E266">
        <v>60</v>
      </c>
      <c r="F266" t="s">
        <v>122</v>
      </c>
      <c r="G266" t="s">
        <v>511</v>
      </c>
      <c r="H266">
        <v>3.8058000000000001</v>
      </c>
      <c r="I266">
        <v>10</v>
      </c>
      <c r="J266">
        <v>5</v>
      </c>
      <c r="K266">
        <v>4</v>
      </c>
      <c r="L266">
        <v>1</v>
      </c>
      <c r="M266" t="s">
        <v>510</v>
      </c>
      <c r="N266" t="s">
        <v>512</v>
      </c>
    </row>
    <row r="267" spans="1:14" x14ac:dyDescent="0.25">
      <c r="A267" t="s">
        <v>231</v>
      </c>
      <c r="B267" t="s">
        <v>880</v>
      </c>
      <c r="C267" t="s">
        <v>471</v>
      </c>
      <c r="D267">
        <v>75</v>
      </c>
      <c r="E267">
        <v>60</v>
      </c>
      <c r="F267" t="s">
        <v>122</v>
      </c>
      <c r="G267" t="s">
        <v>513</v>
      </c>
      <c r="H267">
        <v>9.5145</v>
      </c>
      <c r="I267">
        <v>3.5</v>
      </c>
      <c r="J267">
        <v>2</v>
      </c>
      <c r="K267">
        <v>4</v>
      </c>
      <c r="L267">
        <v>1</v>
      </c>
    </row>
    <row r="268" spans="1:14" x14ac:dyDescent="0.25">
      <c r="A268" t="s">
        <v>231</v>
      </c>
      <c r="C268" t="s">
        <v>514</v>
      </c>
      <c r="D268">
        <v>77</v>
      </c>
      <c r="E268">
        <v>51</v>
      </c>
      <c r="F268" t="s">
        <v>122</v>
      </c>
      <c r="G268" t="s">
        <v>515</v>
      </c>
      <c r="H268">
        <v>5.3915500000000005</v>
      </c>
      <c r="I268">
        <v>11</v>
      </c>
      <c r="J268">
        <v>3</v>
      </c>
      <c r="K268">
        <v>5</v>
      </c>
      <c r="L268">
        <v>1</v>
      </c>
      <c r="M268" t="s">
        <v>499</v>
      </c>
    </row>
    <row r="269" spans="1:14" x14ac:dyDescent="0.25">
      <c r="A269" t="s">
        <v>231</v>
      </c>
      <c r="B269" t="s">
        <v>881</v>
      </c>
      <c r="C269" t="s">
        <v>168</v>
      </c>
      <c r="D269">
        <v>22</v>
      </c>
      <c r="E269">
        <v>60</v>
      </c>
      <c r="F269" t="s">
        <v>122</v>
      </c>
      <c r="G269" t="s">
        <v>516</v>
      </c>
      <c r="H269">
        <v>6.343</v>
      </c>
      <c r="I269">
        <v>11</v>
      </c>
      <c r="J269">
        <v>3</v>
      </c>
      <c r="K269">
        <v>4</v>
      </c>
      <c r="L269">
        <v>1</v>
      </c>
      <c r="M269" t="s">
        <v>499</v>
      </c>
    </row>
    <row r="270" spans="1:14" x14ac:dyDescent="0.25">
      <c r="A270" t="s">
        <v>231</v>
      </c>
      <c r="C270" t="s">
        <v>471</v>
      </c>
      <c r="D270">
        <v>59</v>
      </c>
      <c r="E270">
        <v>47</v>
      </c>
      <c r="F270" t="s">
        <v>122</v>
      </c>
      <c r="G270" t="s">
        <v>517</v>
      </c>
      <c r="H270">
        <v>7.4530249999999993</v>
      </c>
      <c r="I270">
        <v>15</v>
      </c>
      <c r="J270">
        <v>2</v>
      </c>
      <c r="K270">
        <v>5</v>
      </c>
      <c r="L270">
        <v>2</v>
      </c>
      <c r="M270" t="s">
        <v>518</v>
      </c>
    </row>
    <row r="271" spans="1:14" x14ac:dyDescent="0.25">
      <c r="A271" t="s">
        <v>231</v>
      </c>
      <c r="C271" t="s">
        <v>471</v>
      </c>
      <c r="D271">
        <v>61</v>
      </c>
      <c r="E271">
        <v>47</v>
      </c>
      <c r="F271" t="s">
        <v>122</v>
      </c>
      <c r="G271" t="s">
        <v>519</v>
      </c>
      <c r="H271">
        <v>3.7265124999999997</v>
      </c>
      <c r="I271">
        <v>11.5</v>
      </c>
      <c r="J271">
        <v>4</v>
      </c>
      <c r="K271">
        <v>5</v>
      </c>
      <c r="L271">
        <v>1</v>
      </c>
      <c r="M271" t="s">
        <v>520</v>
      </c>
    </row>
    <row r="272" spans="1:14" x14ac:dyDescent="0.25">
      <c r="A272" t="s">
        <v>231</v>
      </c>
      <c r="C272" t="s">
        <v>168</v>
      </c>
      <c r="D272">
        <v>124</v>
      </c>
      <c r="E272">
        <v>43</v>
      </c>
      <c r="F272" t="s">
        <v>122</v>
      </c>
      <c r="G272" t="s">
        <v>521</v>
      </c>
      <c r="H272">
        <v>2.2729083333333335</v>
      </c>
      <c r="I272">
        <v>12</v>
      </c>
      <c r="J272">
        <v>6</v>
      </c>
      <c r="K272">
        <v>4</v>
      </c>
      <c r="L272">
        <v>1</v>
      </c>
      <c r="M272" t="s">
        <v>180</v>
      </c>
    </row>
    <row r="273" spans="1:13" x14ac:dyDescent="0.25">
      <c r="A273" t="s">
        <v>231</v>
      </c>
      <c r="C273" t="s">
        <v>471</v>
      </c>
      <c r="D273">
        <v>62</v>
      </c>
      <c r="E273">
        <v>78</v>
      </c>
      <c r="F273" t="s">
        <v>122</v>
      </c>
      <c r="G273" t="s">
        <v>522</v>
      </c>
      <c r="H273">
        <v>12.36885</v>
      </c>
      <c r="I273">
        <v>13</v>
      </c>
      <c r="J273">
        <v>2</v>
      </c>
      <c r="K273">
        <v>5</v>
      </c>
      <c r="L273">
        <v>2</v>
      </c>
      <c r="M273" t="s">
        <v>523</v>
      </c>
    </row>
    <row r="274" spans="1:13" x14ac:dyDescent="0.25">
      <c r="A274" t="s">
        <v>231</v>
      </c>
      <c r="B274" t="s">
        <v>882</v>
      </c>
      <c r="C274" t="s">
        <v>157</v>
      </c>
      <c r="D274">
        <v>31</v>
      </c>
      <c r="E274">
        <v>39</v>
      </c>
      <c r="F274" t="s">
        <v>122</v>
      </c>
      <c r="G274" t="s">
        <v>522</v>
      </c>
      <c r="H274">
        <v>12.36885</v>
      </c>
      <c r="I274">
        <v>13</v>
      </c>
      <c r="J274">
        <v>1</v>
      </c>
      <c r="K274">
        <v>5</v>
      </c>
      <c r="L274">
        <v>2</v>
      </c>
      <c r="M274" t="s">
        <v>523</v>
      </c>
    </row>
    <row r="275" spans="1:13" x14ac:dyDescent="0.25">
      <c r="A275" t="s">
        <v>231</v>
      </c>
      <c r="C275" t="s">
        <v>471</v>
      </c>
      <c r="D275">
        <v>65</v>
      </c>
      <c r="E275">
        <v>47</v>
      </c>
      <c r="F275" t="s">
        <v>122</v>
      </c>
      <c r="G275" t="s">
        <v>524</v>
      </c>
      <c r="H275">
        <v>14.906049999999999</v>
      </c>
      <c r="I275">
        <v>12.5</v>
      </c>
      <c r="J275">
        <v>1</v>
      </c>
      <c r="K275">
        <v>5</v>
      </c>
      <c r="L275">
        <v>1</v>
      </c>
      <c r="M275" t="s">
        <v>304</v>
      </c>
    </row>
    <row r="276" spans="1:13" x14ac:dyDescent="0.25">
      <c r="A276" t="s">
        <v>231</v>
      </c>
      <c r="C276" t="s">
        <v>514</v>
      </c>
      <c r="D276">
        <v>78</v>
      </c>
      <c r="E276">
        <v>47</v>
      </c>
      <c r="F276" t="s">
        <v>122</v>
      </c>
      <c r="G276" t="s">
        <v>525</v>
      </c>
      <c r="H276">
        <v>7.4530249999999993</v>
      </c>
      <c r="I276">
        <v>13.5</v>
      </c>
      <c r="J276">
        <v>2</v>
      </c>
      <c r="K276">
        <v>5</v>
      </c>
      <c r="L276">
        <v>1</v>
      </c>
      <c r="M276" t="s">
        <v>499</v>
      </c>
    </row>
    <row r="277" spans="1:13" x14ac:dyDescent="0.25">
      <c r="A277" t="s">
        <v>231</v>
      </c>
      <c r="B277" t="s">
        <v>883</v>
      </c>
      <c r="C277" t="s">
        <v>471</v>
      </c>
      <c r="D277">
        <v>14</v>
      </c>
      <c r="E277">
        <v>43</v>
      </c>
      <c r="F277" t="s">
        <v>122</v>
      </c>
      <c r="G277" t="s">
        <v>526</v>
      </c>
      <c r="H277">
        <v>13.637450000000001</v>
      </c>
      <c r="I277">
        <v>8.5</v>
      </c>
      <c r="J277">
        <v>1</v>
      </c>
      <c r="K277">
        <v>4</v>
      </c>
      <c r="L277">
        <v>1</v>
      </c>
      <c r="M277" t="s">
        <v>491</v>
      </c>
    </row>
    <row r="278" spans="1:13" x14ac:dyDescent="0.25">
      <c r="A278" t="s">
        <v>231</v>
      </c>
      <c r="C278" t="s">
        <v>471</v>
      </c>
      <c r="D278">
        <v>60</v>
      </c>
      <c r="E278">
        <v>43</v>
      </c>
      <c r="F278" t="s">
        <v>122</v>
      </c>
      <c r="G278" t="s">
        <v>527</v>
      </c>
      <c r="H278">
        <v>13.637450000000001</v>
      </c>
      <c r="I278">
        <v>11</v>
      </c>
      <c r="J278">
        <v>1</v>
      </c>
      <c r="K278">
        <v>4</v>
      </c>
      <c r="L278">
        <v>1</v>
      </c>
      <c r="M278" t="s">
        <v>528</v>
      </c>
    </row>
    <row r="279" spans="1:13" x14ac:dyDescent="0.25">
      <c r="A279" t="s">
        <v>231</v>
      </c>
      <c r="C279" t="s">
        <v>471</v>
      </c>
      <c r="D279">
        <v>2</v>
      </c>
      <c r="E279">
        <v>43</v>
      </c>
      <c r="F279" t="s">
        <v>122</v>
      </c>
      <c r="G279" t="s">
        <v>527</v>
      </c>
      <c r="H279">
        <v>13.637450000000001</v>
      </c>
      <c r="I279">
        <v>11</v>
      </c>
      <c r="J279">
        <v>1</v>
      </c>
      <c r="K279">
        <v>4</v>
      </c>
      <c r="L279">
        <v>1</v>
      </c>
      <c r="M279" t="s">
        <v>528</v>
      </c>
    </row>
    <row r="280" spans="1:13" x14ac:dyDescent="0.25">
      <c r="A280" t="s">
        <v>231</v>
      </c>
      <c r="C280" t="s">
        <v>471</v>
      </c>
      <c r="D280">
        <v>64</v>
      </c>
      <c r="E280">
        <v>47</v>
      </c>
      <c r="F280" t="s">
        <v>122</v>
      </c>
      <c r="G280" t="s">
        <v>529</v>
      </c>
      <c r="H280">
        <v>14.906049999999999</v>
      </c>
      <c r="I280">
        <v>15.5</v>
      </c>
      <c r="J280">
        <v>1</v>
      </c>
      <c r="K280">
        <v>5</v>
      </c>
      <c r="L280">
        <v>2</v>
      </c>
      <c r="M280" t="s">
        <v>523</v>
      </c>
    </row>
    <row r="281" spans="1:13" x14ac:dyDescent="0.25">
      <c r="A281" t="s">
        <v>231</v>
      </c>
      <c r="C281" t="s">
        <v>164</v>
      </c>
      <c r="D281">
        <v>67</v>
      </c>
      <c r="E281">
        <v>51</v>
      </c>
      <c r="F281" t="s">
        <v>122</v>
      </c>
      <c r="G281" t="s">
        <v>530</v>
      </c>
      <c r="H281">
        <v>16.17465</v>
      </c>
      <c r="I281">
        <v>11</v>
      </c>
      <c r="J281">
        <v>1</v>
      </c>
      <c r="K281">
        <v>5</v>
      </c>
      <c r="L281">
        <v>1</v>
      </c>
      <c r="M281" t="s">
        <v>531</v>
      </c>
    </row>
    <row r="282" spans="1:13" x14ac:dyDescent="0.25">
      <c r="A282" t="s">
        <v>231</v>
      </c>
      <c r="C282" t="s">
        <v>136</v>
      </c>
      <c r="D282">
        <v>112</v>
      </c>
      <c r="E282">
        <v>57</v>
      </c>
      <c r="F282" t="s">
        <v>122</v>
      </c>
      <c r="G282" t="s">
        <v>532</v>
      </c>
      <c r="H282">
        <v>18.077549999999999</v>
      </c>
      <c r="I282">
        <v>11</v>
      </c>
      <c r="J282">
        <v>1</v>
      </c>
      <c r="K282">
        <v>4</v>
      </c>
      <c r="L282">
        <v>1</v>
      </c>
      <c r="M282" t="s">
        <v>528</v>
      </c>
    </row>
    <row r="283" spans="1:13" x14ac:dyDescent="0.25">
      <c r="A283" t="s">
        <v>231</v>
      </c>
      <c r="C283" t="s">
        <v>168</v>
      </c>
      <c r="D283">
        <v>66</v>
      </c>
      <c r="E283">
        <v>47</v>
      </c>
      <c r="F283" t="s">
        <v>122</v>
      </c>
      <c r="G283" t="s">
        <v>533</v>
      </c>
      <c r="H283">
        <v>7.4530249999999993</v>
      </c>
      <c r="I283">
        <v>15.7</v>
      </c>
      <c r="J283">
        <v>2</v>
      </c>
      <c r="K283">
        <v>5</v>
      </c>
      <c r="L283">
        <v>1</v>
      </c>
      <c r="M283" t="s">
        <v>534</v>
      </c>
    </row>
    <row r="284" spans="1:13" x14ac:dyDescent="0.25">
      <c r="A284" t="s">
        <v>231</v>
      </c>
      <c r="B284" t="s">
        <v>884</v>
      </c>
      <c r="C284" t="s">
        <v>168</v>
      </c>
      <c r="D284">
        <v>68</v>
      </c>
      <c r="E284">
        <v>63</v>
      </c>
      <c r="F284" t="s">
        <v>122</v>
      </c>
      <c r="G284" t="s">
        <v>535</v>
      </c>
      <c r="H284">
        <v>19.980449999999998</v>
      </c>
      <c r="I284">
        <v>13.5</v>
      </c>
      <c r="J284">
        <v>1</v>
      </c>
      <c r="K284">
        <v>5</v>
      </c>
      <c r="L284">
        <v>3</v>
      </c>
      <c r="M284" t="s">
        <v>536</v>
      </c>
    </row>
    <row r="285" spans="1:13" x14ac:dyDescent="0.25">
      <c r="A285" t="s">
        <v>231</v>
      </c>
      <c r="B285" t="s">
        <v>885</v>
      </c>
      <c r="C285" t="s">
        <v>168</v>
      </c>
      <c r="D285">
        <v>69</v>
      </c>
      <c r="E285">
        <v>63</v>
      </c>
      <c r="F285" t="s">
        <v>122</v>
      </c>
      <c r="G285" t="s">
        <v>537</v>
      </c>
      <c r="H285">
        <v>19.980449999999998</v>
      </c>
      <c r="I285">
        <v>7.5</v>
      </c>
      <c r="J285">
        <v>1</v>
      </c>
      <c r="K285">
        <v>5</v>
      </c>
      <c r="L285">
        <v>1</v>
      </c>
      <c r="M285" t="s">
        <v>538</v>
      </c>
    </row>
    <row r="286" spans="1:13" x14ac:dyDescent="0.25">
      <c r="A286" t="s">
        <v>231</v>
      </c>
      <c r="B286" t="s">
        <v>886</v>
      </c>
      <c r="C286" t="s">
        <v>168</v>
      </c>
      <c r="D286">
        <v>69</v>
      </c>
      <c r="E286">
        <v>63</v>
      </c>
      <c r="F286" t="s">
        <v>122</v>
      </c>
      <c r="G286" t="s">
        <v>539</v>
      </c>
      <c r="H286">
        <v>19.980449999999998</v>
      </c>
      <c r="I286">
        <v>8.5</v>
      </c>
      <c r="J286">
        <v>1</v>
      </c>
      <c r="K286">
        <v>5</v>
      </c>
      <c r="L286">
        <v>1</v>
      </c>
      <c r="M286" t="s">
        <v>538</v>
      </c>
    </row>
    <row r="287" spans="1:13" x14ac:dyDescent="0.25">
      <c r="A287" t="s">
        <v>231</v>
      </c>
      <c r="C287" t="s">
        <v>168</v>
      </c>
      <c r="D287">
        <v>71</v>
      </c>
      <c r="E287">
        <v>63</v>
      </c>
      <c r="F287" t="s">
        <v>122</v>
      </c>
      <c r="G287" t="s">
        <v>540</v>
      </c>
      <c r="H287">
        <v>19.980449999999998</v>
      </c>
      <c r="I287">
        <v>10.5</v>
      </c>
      <c r="J287">
        <v>1</v>
      </c>
      <c r="K287">
        <v>5</v>
      </c>
      <c r="L287">
        <v>1</v>
      </c>
      <c r="M287" t="s">
        <v>528</v>
      </c>
    </row>
    <row r="288" spans="1:13" x14ac:dyDescent="0.25">
      <c r="A288" t="s">
        <v>231</v>
      </c>
      <c r="C288" t="s">
        <v>541</v>
      </c>
      <c r="D288">
        <v>111</v>
      </c>
      <c r="E288">
        <v>68</v>
      </c>
      <c r="F288" t="s">
        <v>122</v>
      </c>
      <c r="G288" t="s">
        <v>542</v>
      </c>
      <c r="H288">
        <v>21.566200000000002</v>
      </c>
      <c r="I288">
        <v>15.5</v>
      </c>
      <c r="J288">
        <v>1</v>
      </c>
      <c r="K288">
        <v>5</v>
      </c>
      <c r="L288">
        <v>1</v>
      </c>
      <c r="M288" t="s">
        <v>543</v>
      </c>
    </row>
    <row r="289" spans="1:13" x14ac:dyDescent="0.25">
      <c r="A289" t="s">
        <v>231</v>
      </c>
      <c r="C289" t="s">
        <v>136</v>
      </c>
      <c r="D289">
        <v>127</v>
      </c>
      <c r="E289">
        <v>68</v>
      </c>
      <c r="F289" t="s">
        <v>217</v>
      </c>
      <c r="G289" t="s">
        <v>542</v>
      </c>
      <c r="H289">
        <v>21.566200000000002</v>
      </c>
      <c r="I289">
        <v>15.5</v>
      </c>
      <c r="J289">
        <v>1</v>
      </c>
      <c r="K289">
        <v>5</v>
      </c>
      <c r="L289">
        <v>1</v>
      </c>
      <c r="M289" t="s">
        <v>543</v>
      </c>
    </row>
    <row r="290" spans="1:13" x14ac:dyDescent="0.25">
      <c r="A290" t="s">
        <v>231</v>
      </c>
      <c r="C290" t="s">
        <v>168</v>
      </c>
      <c r="D290">
        <v>73</v>
      </c>
      <c r="E290">
        <v>98</v>
      </c>
      <c r="F290" t="s">
        <v>122</v>
      </c>
      <c r="G290" t="s">
        <v>544</v>
      </c>
      <c r="H290">
        <v>31.0807</v>
      </c>
      <c r="I290">
        <v>11</v>
      </c>
      <c r="J290">
        <v>1</v>
      </c>
      <c r="K290">
        <v>5</v>
      </c>
      <c r="L290">
        <v>1</v>
      </c>
      <c r="M290" t="s">
        <v>545</v>
      </c>
    </row>
    <row r="291" spans="1:13" x14ac:dyDescent="0.25">
      <c r="A291" t="s">
        <v>231</v>
      </c>
      <c r="B291" t="s">
        <v>480</v>
      </c>
      <c r="C291" t="s">
        <v>121</v>
      </c>
      <c r="D291">
        <v>74</v>
      </c>
      <c r="E291">
        <v>98</v>
      </c>
      <c r="F291" t="s">
        <v>122</v>
      </c>
      <c r="G291" t="s">
        <v>544</v>
      </c>
      <c r="H291">
        <v>31.0807</v>
      </c>
      <c r="I291">
        <v>11</v>
      </c>
      <c r="J291">
        <v>1</v>
      </c>
      <c r="K291">
        <v>5</v>
      </c>
      <c r="L291">
        <v>1</v>
      </c>
      <c r="M291" t="s">
        <v>546</v>
      </c>
    </row>
    <row r="292" spans="1:13" x14ac:dyDescent="0.25">
      <c r="A292" t="s">
        <v>231</v>
      </c>
    </row>
    <row r="293" spans="1:13" x14ac:dyDescent="0.25">
      <c r="A293" t="s">
        <v>231</v>
      </c>
      <c r="B293" t="s">
        <v>887</v>
      </c>
      <c r="C293" t="s">
        <v>168</v>
      </c>
      <c r="D293">
        <v>79</v>
      </c>
      <c r="E293">
        <v>43</v>
      </c>
      <c r="F293" t="s">
        <v>126</v>
      </c>
      <c r="G293" t="s">
        <v>547</v>
      </c>
      <c r="H293">
        <v>2.7274900000000004</v>
      </c>
      <c r="I293">
        <v>2</v>
      </c>
      <c r="J293">
        <v>5</v>
      </c>
      <c r="K293">
        <v>4</v>
      </c>
      <c r="L293">
        <v>1</v>
      </c>
    </row>
    <row r="294" spans="1:13" x14ac:dyDescent="0.25">
      <c r="A294" t="s">
        <v>231</v>
      </c>
      <c r="B294" t="s">
        <v>888</v>
      </c>
      <c r="C294" t="s">
        <v>168</v>
      </c>
      <c r="D294">
        <v>79</v>
      </c>
      <c r="E294">
        <v>43</v>
      </c>
      <c r="F294" t="s">
        <v>126</v>
      </c>
      <c r="G294" t="s">
        <v>548</v>
      </c>
      <c r="H294">
        <v>3.1</v>
      </c>
      <c r="I294">
        <v>7</v>
      </c>
      <c r="J294">
        <v>5</v>
      </c>
      <c r="K294">
        <v>4</v>
      </c>
      <c r="L294">
        <v>2</v>
      </c>
      <c r="M294" t="s">
        <v>549</v>
      </c>
    </row>
    <row r="295" spans="1:13" x14ac:dyDescent="0.25">
      <c r="A295" t="s">
        <v>231</v>
      </c>
      <c r="B295" t="s">
        <v>889</v>
      </c>
      <c r="C295" t="s">
        <v>168</v>
      </c>
      <c r="D295">
        <v>84</v>
      </c>
      <c r="E295">
        <v>43</v>
      </c>
      <c r="F295" t="s">
        <v>126</v>
      </c>
      <c r="G295" t="s">
        <v>550</v>
      </c>
      <c r="H295">
        <v>3.4093625000000003</v>
      </c>
      <c r="I295">
        <v>2.5</v>
      </c>
      <c r="J295">
        <v>4</v>
      </c>
      <c r="K295">
        <v>4</v>
      </c>
      <c r="L295">
        <v>1</v>
      </c>
      <c r="M295" t="s">
        <v>551</v>
      </c>
    </row>
    <row r="296" spans="1:13" x14ac:dyDescent="0.25">
      <c r="A296" t="s">
        <v>231</v>
      </c>
      <c r="B296" t="s">
        <v>890</v>
      </c>
      <c r="C296" t="s">
        <v>168</v>
      </c>
      <c r="D296">
        <v>81</v>
      </c>
      <c r="E296">
        <v>57</v>
      </c>
      <c r="F296" t="s">
        <v>126</v>
      </c>
      <c r="G296" t="s">
        <v>552</v>
      </c>
      <c r="H296">
        <v>3.6155099999999996</v>
      </c>
      <c r="I296">
        <v>3</v>
      </c>
      <c r="J296">
        <v>5</v>
      </c>
      <c r="K296">
        <v>5</v>
      </c>
      <c r="L296">
        <v>1</v>
      </c>
      <c r="M296" t="s">
        <v>553</v>
      </c>
    </row>
    <row r="297" spans="1:13" x14ac:dyDescent="0.25">
      <c r="A297" t="s">
        <v>231</v>
      </c>
      <c r="B297" t="s">
        <v>891</v>
      </c>
      <c r="C297" t="s">
        <v>168</v>
      </c>
      <c r="D297">
        <v>79</v>
      </c>
      <c r="E297">
        <v>43</v>
      </c>
      <c r="F297" t="s">
        <v>126</v>
      </c>
      <c r="G297" t="s">
        <v>554</v>
      </c>
      <c r="H297">
        <v>4.3</v>
      </c>
      <c r="I297">
        <v>2.5</v>
      </c>
      <c r="J297">
        <v>3</v>
      </c>
      <c r="K297">
        <v>4</v>
      </c>
      <c r="L297">
        <v>2</v>
      </c>
      <c r="M297" t="s">
        <v>510</v>
      </c>
    </row>
    <row r="298" spans="1:13" x14ac:dyDescent="0.25">
      <c r="A298" t="s">
        <v>231</v>
      </c>
      <c r="B298" t="s">
        <v>892</v>
      </c>
      <c r="C298" t="s">
        <v>168</v>
      </c>
      <c r="D298">
        <v>42</v>
      </c>
      <c r="E298">
        <v>47</v>
      </c>
      <c r="F298" t="s">
        <v>126</v>
      </c>
      <c r="G298" t="s">
        <v>555</v>
      </c>
      <c r="H298">
        <v>1.2421708333333332</v>
      </c>
      <c r="I298">
        <v>4.5</v>
      </c>
      <c r="J298">
        <v>12</v>
      </c>
      <c r="K298">
        <v>5</v>
      </c>
      <c r="L298">
        <v>1</v>
      </c>
      <c r="M298" t="s">
        <v>556</v>
      </c>
    </row>
    <row r="299" spans="1:13" x14ac:dyDescent="0.25">
      <c r="A299" t="s">
        <v>231</v>
      </c>
      <c r="B299" t="s">
        <v>893</v>
      </c>
      <c r="C299" t="s">
        <v>168</v>
      </c>
      <c r="D299">
        <v>79</v>
      </c>
      <c r="E299">
        <v>43</v>
      </c>
      <c r="F299" t="s">
        <v>126</v>
      </c>
      <c r="G299" t="s">
        <v>557</v>
      </c>
      <c r="H299">
        <v>4.5458166666666671</v>
      </c>
      <c r="I299">
        <v>2.5</v>
      </c>
      <c r="J299">
        <v>3</v>
      </c>
      <c r="K299">
        <v>4</v>
      </c>
      <c r="L299">
        <v>1</v>
      </c>
      <c r="M299" t="s">
        <v>558</v>
      </c>
    </row>
    <row r="300" spans="1:13" x14ac:dyDescent="0.25">
      <c r="A300" t="s">
        <v>231</v>
      </c>
      <c r="B300" t="s">
        <v>894</v>
      </c>
      <c r="C300" t="s">
        <v>168</v>
      </c>
      <c r="D300">
        <v>19</v>
      </c>
      <c r="E300">
        <v>60</v>
      </c>
      <c r="F300" t="s">
        <v>126</v>
      </c>
      <c r="G300" t="s">
        <v>559</v>
      </c>
      <c r="H300">
        <v>4.75725</v>
      </c>
      <c r="I300">
        <v>3.5</v>
      </c>
      <c r="J300">
        <v>4</v>
      </c>
      <c r="K300">
        <v>4</v>
      </c>
      <c r="L300">
        <v>1</v>
      </c>
      <c r="M300" t="s">
        <v>551</v>
      </c>
    </row>
    <row r="301" spans="1:13" x14ac:dyDescent="0.25">
      <c r="A301" t="s">
        <v>231</v>
      </c>
      <c r="B301" t="s">
        <v>895</v>
      </c>
      <c r="C301" t="s">
        <v>168</v>
      </c>
      <c r="D301">
        <v>21</v>
      </c>
      <c r="E301">
        <v>43</v>
      </c>
      <c r="F301" t="s">
        <v>126</v>
      </c>
      <c r="G301" t="s">
        <v>560</v>
      </c>
      <c r="H301">
        <v>2.7274900000000004</v>
      </c>
      <c r="I301">
        <v>10</v>
      </c>
      <c r="J301">
        <v>5</v>
      </c>
      <c r="K301">
        <v>4</v>
      </c>
      <c r="L301">
        <v>2</v>
      </c>
      <c r="M301" t="s">
        <v>468</v>
      </c>
    </row>
    <row r="302" spans="1:13" x14ac:dyDescent="0.25">
      <c r="A302" t="s">
        <v>231</v>
      </c>
      <c r="B302" t="s">
        <v>896</v>
      </c>
      <c r="C302" t="s">
        <v>168</v>
      </c>
      <c r="D302">
        <v>32</v>
      </c>
      <c r="E302">
        <v>47</v>
      </c>
      <c r="F302" t="s">
        <v>126</v>
      </c>
      <c r="G302" t="s">
        <v>561</v>
      </c>
      <c r="H302">
        <v>4.9686833333333329</v>
      </c>
      <c r="I302">
        <v>6</v>
      </c>
      <c r="J302">
        <v>3</v>
      </c>
      <c r="K302">
        <v>5</v>
      </c>
      <c r="L302">
        <v>1</v>
      </c>
      <c r="M302" t="s">
        <v>562</v>
      </c>
    </row>
    <row r="303" spans="1:13" x14ac:dyDescent="0.25">
      <c r="A303" t="s">
        <v>231</v>
      </c>
      <c r="B303" t="s">
        <v>897</v>
      </c>
      <c r="C303" t="s">
        <v>168</v>
      </c>
      <c r="D303">
        <v>22</v>
      </c>
      <c r="E303">
        <v>60</v>
      </c>
      <c r="F303" t="s">
        <v>126</v>
      </c>
      <c r="G303" t="s">
        <v>563</v>
      </c>
      <c r="H303">
        <v>5.8</v>
      </c>
      <c r="I303">
        <v>4</v>
      </c>
      <c r="J303">
        <v>3</v>
      </c>
      <c r="K303">
        <v>4</v>
      </c>
      <c r="L303">
        <v>1</v>
      </c>
      <c r="M303" t="s">
        <v>499</v>
      </c>
    </row>
    <row r="304" spans="1:13" x14ac:dyDescent="0.25">
      <c r="A304" t="s">
        <v>231</v>
      </c>
      <c r="B304" t="s">
        <v>898</v>
      </c>
      <c r="C304" t="s">
        <v>168</v>
      </c>
      <c r="D304">
        <v>83</v>
      </c>
      <c r="E304">
        <v>57</v>
      </c>
      <c r="F304" t="s">
        <v>126</v>
      </c>
      <c r="G304" t="s">
        <v>564</v>
      </c>
      <c r="H304">
        <v>6.0258500000000002</v>
      </c>
      <c r="I304">
        <v>3.5</v>
      </c>
      <c r="J304">
        <v>3</v>
      </c>
      <c r="K304">
        <v>5</v>
      </c>
      <c r="L304">
        <v>1</v>
      </c>
      <c r="M304" t="s">
        <v>565</v>
      </c>
    </row>
    <row r="305" spans="1:13" x14ac:dyDescent="0.25">
      <c r="A305" t="s">
        <v>231</v>
      </c>
      <c r="B305" t="s">
        <v>899</v>
      </c>
      <c r="C305" t="s">
        <v>168</v>
      </c>
      <c r="D305">
        <v>49</v>
      </c>
      <c r="E305">
        <v>60</v>
      </c>
      <c r="F305" t="s">
        <v>126</v>
      </c>
      <c r="G305" t="s">
        <v>246</v>
      </c>
      <c r="H305">
        <v>6.343</v>
      </c>
      <c r="I305">
        <v>4.5</v>
      </c>
      <c r="J305">
        <v>3</v>
      </c>
      <c r="K305">
        <v>4</v>
      </c>
      <c r="L305">
        <v>1</v>
      </c>
      <c r="M305" t="s">
        <v>566</v>
      </c>
    </row>
    <row r="306" spans="1:13" x14ac:dyDescent="0.25">
      <c r="A306" t="s">
        <v>231</v>
      </c>
      <c r="B306" t="s">
        <v>900</v>
      </c>
      <c r="C306" t="s">
        <v>168</v>
      </c>
      <c r="D306">
        <v>27</v>
      </c>
      <c r="E306">
        <v>60</v>
      </c>
      <c r="F306" t="s">
        <v>126</v>
      </c>
      <c r="G306" t="s">
        <v>567</v>
      </c>
      <c r="H306">
        <v>6.3</v>
      </c>
      <c r="I306">
        <v>5</v>
      </c>
      <c r="J306">
        <v>3</v>
      </c>
      <c r="K306">
        <v>4</v>
      </c>
      <c r="L306">
        <v>1</v>
      </c>
      <c r="M306" t="s">
        <v>458</v>
      </c>
    </row>
    <row r="307" spans="1:13" x14ac:dyDescent="0.25">
      <c r="A307" t="s">
        <v>231</v>
      </c>
      <c r="C307" t="s">
        <v>168</v>
      </c>
      <c r="D307">
        <v>109</v>
      </c>
      <c r="E307">
        <v>60</v>
      </c>
      <c r="F307" t="s">
        <v>126</v>
      </c>
      <c r="G307" t="s">
        <v>568</v>
      </c>
      <c r="H307">
        <v>6.343</v>
      </c>
      <c r="I307">
        <v>16</v>
      </c>
      <c r="J307">
        <v>3</v>
      </c>
      <c r="K307">
        <v>4</v>
      </c>
      <c r="L307">
        <v>3</v>
      </c>
      <c r="M307" t="s">
        <v>569</v>
      </c>
    </row>
    <row r="308" spans="1:13" x14ac:dyDescent="0.25">
      <c r="A308" t="s">
        <v>231</v>
      </c>
      <c r="B308" t="s">
        <v>901</v>
      </c>
      <c r="C308" t="s">
        <v>168</v>
      </c>
      <c r="D308">
        <v>37</v>
      </c>
      <c r="E308">
        <v>63</v>
      </c>
      <c r="F308" t="s">
        <v>126</v>
      </c>
      <c r="G308" t="s">
        <v>570</v>
      </c>
      <c r="H308">
        <v>4.9951124999999994</v>
      </c>
      <c r="I308">
        <v>6.5</v>
      </c>
      <c r="J308">
        <v>4</v>
      </c>
      <c r="K308">
        <v>5</v>
      </c>
      <c r="L308">
        <v>1</v>
      </c>
    </row>
    <row r="309" spans="1:13" x14ac:dyDescent="0.25">
      <c r="A309" t="s">
        <v>231</v>
      </c>
      <c r="B309" t="s">
        <v>902</v>
      </c>
      <c r="C309" t="s">
        <v>168</v>
      </c>
      <c r="D309">
        <v>10</v>
      </c>
      <c r="E309">
        <v>43</v>
      </c>
      <c r="F309" t="s">
        <v>126</v>
      </c>
      <c r="G309" t="s">
        <v>571</v>
      </c>
      <c r="H309">
        <v>4.5458166666666671</v>
      </c>
      <c r="I309">
        <v>7</v>
      </c>
      <c r="J309">
        <v>3</v>
      </c>
      <c r="K309">
        <v>4</v>
      </c>
      <c r="L309">
        <v>1</v>
      </c>
      <c r="M309" t="s">
        <v>455</v>
      </c>
    </row>
    <row r="310" spans="1:13" x14ac:dyDescent="0.25">
      <c r="A310" t="s">
        <v>231</v>
      </c>
      <c r="B310" t="s">
        <v>903</v>
      </c>
      <c r="C310" t="s">
        <v>471</v>
      </c>
      <c r="D310">
        <v>17</v>
      </c>
      <c r="E310">
        <v>43</v>
      </c>
      <c r="F310" t="s">
        <v>126</v>
      </c>
      <c r="G310" t="s">
        <v>572</v>
      </c>
      <c r="H310">
        <v>6.8187250000000006</v>
      </c>
      <c r="I310">
        <v>5.5</v>
      </c>
      <c r="J310">
        <v>2</v>
      </c>
      <c r="K310">
        <v>4</v>
      </c>
      <c r="L310">
        <v>1</v>
      </c>
      <c r="M310" t="s">
        <v>573</v>
      </c>
    </row>
    <row r="311" spans="1:13" x14ac:dyDescent="0.25">
      <c r="A311" t="s">
        <v>231</v>
      </c>
      <c r="B311" t="s">
        <v>904</v>
      </c>
      <c r="C311" t="s">
        <v>168</v>
      </c>
      <c r="D311">
        <v>46</v>
      </c>
      <c r="E311">
        <v>43</v>
      </c>
      <c r="F311" t="s">
        <v>126</v>
      </c>
      <c r="G311" t="s">
        <v>574</v>
      </c>
      <c r="H311">
        <v>6.8187250000000006</v>
      </c>
      <c r="I311">
        <v>8</v>
      </c>
      <c r="J311">
        <v>2</v>
      </c>
      <c r="K311">
        <v>4</v>
      </c>
      <c r="L311">
        <v>1</v>
      </c>
      <c r="M311" t="s">
        <v>575</v>
      </c>
    </row>
    <row r="312" spans="1:13" x14ac:dyDescent="0.25">
      <c r="A312" t="s">
        <v>231</v>
      </c>
      <c r="B312" t="s">
        <v>905</v>
      </c>
      <c r="C312" t="s">
        <v>168</v>
      </c>
      <c r="D312">
        <v>38</v>
      </c>
      <c r="E312">
        <v>57</v>
      </c>
      <c r="F312" t="s">
        <v>126</v>
      </c>
      <c r="G312" t="s">
        <v>576</v>
      </c>
      <c r="H312">
        <v>9.1999999999999993</v>
      </c>
      <c r="I312">
        <v>6.5</v>
      </c>
      <c r="J312">
        <v>2</v>
      </c>
      <c r="K312">
        <v>5</v>
      </c>
      <c r="L312">
        <v>1</v>
      </c>
      <c r="M312" t="s">
        <v>577</v>
      </c>
    </row>
    <row r="313" spans="1:13" x14ac:dyDescent="0.25">
      <c r="A313" t="s">
        <v>231</v>
      </c>
      <c r="B313" t="s">
        <v>906</v>
      </c>
      <c r="C313" t="s">
        <v>168</v>
      </c>
      <c r="D313">
        <v>38</v>
      </c>
      <c r="E313">
        <v>57</v>
      </c>
      <c r="F313" t="s">
        <v>126</v>
      </c>
      <c r="G313" t="s">
        <v>576</v>
      </c>
      <c r="H313">
        <v>9.1999999999999993</v>
      </c>
      <c r="I313">
        <v>6.5</v>
      </c>
      <c r="J313">
        <v>2</v>
      </c>
      <c r="K313">
        <v>5</v>
      </c>
      <c r="L313">
        <v>1</v>
      </c>
      <c r="M313" t="s">
        <v>428</v>
      </c>
    </row>
    <row r="314" spans="1:13" x14ac:dyDescent="0.25">
      <c r="A314" t="s">
        <v>231</v>
      </c>
      <c r="C314" t="s">
        <v>164</v>
      </c>
      <c r="D314">
        <v>39</v>
      </c>
      <c r="E314">
        <v>56</v>
      </c>
      <c r="F314" t="s">
        <v>126</v>
      </c>
      <c r="G314" t="s">
        <v>578</v>
      </c>
      <c r="H314">
        <v>1.6</v>
      </c>
      <c r="I314">
        <v>9.5</v>
      </c>
      <c r="J314">
        <v>12</v>
      </c>
      <c r="K314" t="s">
        <v>158</v>
      </c>
      <c r="L314">
        <v>1</v>
      </c>
      <c r="M314" t="s">
        <v>579</v>
      </c>
    </row>
    <row r="315" spans="1:13" x14ac:dyDescent="0.25">
      <c r="A315" t="s">
        <v>231</v>
      </c>
      <c r="C315" t="s">
        <v>378</v>
      </c>
      <c r="D315">
        <v>45</v>
      </c>
      <c r="E315">
        <v>47</v>
      </c>
      <c r="F315" t="s">
        <v>126</v>
      </c>
      <c r="G315" t="s">
        <v>580</v>
      </c>
      <c r="H315">
        <v>7.4530249999999993</v>
      </c>
      <c r="I315">
        <v>9.5</v>
      </c>
      <c r="J315">
        <v>2</v>
      </c>
      <c r="K315">
        <v>5</v>
      </c>
      <c r="L315">
        <v>1</v>
      </c>
      <c r="M315" t="s">
        <v>581</v>
      </c>
    </row>
    <row r="316" spans="1:13" x14ac:dyDescent="0.25">
      <c r="A316" t="s">
        <v>231</v>
      </c>
      <c r="C316" t="s">
        <v>168</v>
      </c>
      <c r="D316">
        <v>47</v>
      </c>
      <c r="E316">
        <v>60</v>
      </c>
      <c r="F316" t="s">
        <v>126</v>
      </c>
      <c r="G316" t="s">
        <v>582</v>
      </c>
      <c r="H316">
        <v>9.5145</v>
      </c>
      <c r="I316">
        <v>8</v>
      </c>
      <c r="J316">
        <v>2</v>
      </c>
      <c r="K316">
        <v>4</v>
      </c>
      <c r="L316">
        <v>2</v>
      </c>
      <c r="M316" t="s">
        <v>583</v>
      </c>
    </row>
    <row r="317" spans="1:13" x14ac:dyDescent="0.25">
      <c r="A317" t="s">
        <v>231</v>
      </c>
      <c r="C317" t="s">
        <v>168</v>
      </c>
      <c r="D317">
        <v>48</v>
      </c>
      <c r="E317">
        <v>60</v>
      </c>
      <c r="F317" t="s">
        <v>126</v>
      </c>
      <c r="G317" t="s">
        <v>584</v>
      </c>
      <c r="H317">
        <v>9.5145</v>
      </c>
      <c r="I317">
        <v>10</v>
      </c>
      <c r="J317">
        <v>2</v>
      </c>
      <c r="K317">
        <v>4</v>
      </c>
      <c r="L317">
        <v>1</v>
      </c>
      <c r="M317" t="s">
        <v>585</v>
      </c>
    </row>
    <row r="318" spans="1:13" x14ac:dyDescent="0.25">
      <c r="A318" t="s">
        <v>231</v>
      </c>
      <c r="B318" t="s">
        <v>907</v>
      </c>
      <c r="C318" t="s">
        <v>168</v>
      </c>
      <c r="D318">
        <v>83</v>
      </c>
      <c r="E318">
        <v>57</v>
      </c>
      <c r="F318" t="s">
        <v>126</v>
      </c>
      <c r="G318" t="s">
        <v>586</v>
      </c>
      <c r="H318">
        <v>6.0258500000000002</v>
      </c>
      <c r="I318">
        <v>10</v>
      </c>
      <c r="J318">
        <v>3</v>
      </c>
      <c r="K318">
        <v>5</v>
      </c>
      <c r="L318">
        <v>1</v>
      </c>
      <c r="M318" t="s">
        <v>587</v>
      </c>
    </row>
    <row r="319" spans="1:13" x14ac:dyDescent="0.25">
      <c r="A319" t="s">
        <v>231</v>
      </c>
      <c r="C319" t="s">
        <v>378</v>
      </c>
      <c r="D319">
        <v>70</v>
      </c>
      <c r="E319">
        <v>51</v>
      </c>
      <c r="F319" t="s">
        <v>126</v>
      </c>
      <c r="G319" t="s">
        <v>588</v>
      </c>
      <c r="H319">
        <v>8.0873249999999999</v>
      </c>
      <c r="I319">
        <v>10</v>
      </c>
      <c r="J319">
        <v>2</v>
      </c>
      <c r="K319">
        <v>5</v>
      </c>
      <c r="L319">
        <v>1</v>
      </c>
      <c r="M319" t="s">
        <v>589</v>
      </c>
    </row>
    <row r="320" spans="1:13" x14ac:dyDescent="0.25">
      <c r="A320" t="s">
        <v>231</v>
      </c>
      <c r="C320" t="s">
        <v>121</v>
      </c>
      <c r="D320">
        <v>80</v>
      </c>
      <c r="E320">
        <v>51</v>
      </c>
      <c r="F320" t="s">
        <v>126</v>
      </c>
      <c r="G320" t="s">
        <v>588</v>
      </c>
      <c r="H320">
        <v>8.0873249999999999</v>
      </c>
      <c r="I320">
        <v>10</v>
      </c>
      <c r="J320">
        <v>2</v>
      </c>
      <c r="K320">
        <v>5</v>
      </c>
      <c r="L320">
        <v>1</v>
      </c>
      <c r="M320" t="s">
        <v>589</v>
      </c>
    </row>
    <row r="321" spans="1:13" x14ac:dyDescent="0.25">
      <c r="A321" t="s">
        <v>231</v>
      </c>
      <c r="C321" t="s">
        <v>471</v>
      </c>
      <c r="D321">
        <v>63</v>
      </c>
      <c r="E321">
        <v>63</v>
      </c>
      <c r="F321" t="s">
        <v>126</v>
      </c>
      <c r="G321" t="s">
        <v>590</v>
      </c>
      <c r="H321">
        <v>9.9902249999999988</v>
      </c>
      <c r="I321">
        <v>8</v>
      </c>
      <c r="J321">
        <v>2</v>
      </c>
      <c r="K321">
        <v>5</v>
      </c>
      <c r="L321">
        <v>2</v>
      </c>
      <c r="M321" t="s">
        <v>523</v>
      </c>
    </row>
    <row r="322" spans="1:13" x14ac:dyDescent="0.25">
      <c r="A322" t="s">
        <v>231</v>
      </c>
      <c r="C322" t="s">
        <v>168</v>
      </c>
      <c r="D322">
        <v>82</v>
      </c>
      <c r="E322">
        <v>63</v>
      </c>
      <c r="F322" t="s">
        <v>126</v>
      </c>
      <c r="G322" t="s">
        <v>591</v>
      </c>
      <c r="H322">
        <v>6.6601499999999998</v>
      </c>
      <c r="I322">
        <v>10.5</v>
      </c>
      <c r="J322">
        <v>3</v>
      </c>
      <c r="K322">
        <v>5</v>
      </c>
      <c r="L322">
        <v>1</v>
      </c>
      <c r="M322" t="s">
        <v>340</v>
      </c>
    </row>
    <row r="323" spans="1:13" x14ac:dyDescent="0.25">
      <c r="A323" t="s">
        <v>231</v>
      </c>
      <c r="C323" t="s">
        <v>471</v>
      </c>
      <c r="D323">
        <v>85</v>
      </c>
      <c r="E323">
        <v>43</v>
      </c>
      <c r="F323" t="s">
        <v>126</v>
      </c>
      <c r="G323" t="s">
        <v>592</v>
      </c>
      <c r="H323">
        <v>6.8187250000000006</v>
      </c>
      <c r="I323">
        <v>11</v>
      </c>
      <c r="J323">
        <v>2</v>
      </c>
      <c r="K323">
        <v>4</v>
      </c>
      <c r="L323">
        <v>1</v>
      </c>
      <c r="M323" t="s">
        <v>499</v>
      </c>
    </row>
    <row r="324" spans="1:13" x14ac:dyDescent="0.25">
      <c r="A324" t="s">
        <v>231</v>
      </c>
      <c r="B324" t="s">
        <v>908</v>
      </c>
      <c r="C324" t="s">
        <v>168</v>
      </c>
      <c r="D324">
        <v>20</v>
      </c>
      <c r="E324">
        <v>51</v>
      </c>
      <c r="F324" t="s">
        <v>126</v>
      </c>
      <c r="G324" t="s">
        <v>515</v>
      </c>
      <c r="H324">
        <v>5.3915500000000005</v>
      </c>
      <c r="I324">
        <v>11</v>
      </c>
      <c r="J324">
        <v>3</v>
      </c>
      <c r="K324">
        <v>5</v>
      </c>
      <c r="L324">
        <v>1</v>
      </c>
      <c r="M324" t="s">
        <v>566</v>
      </c>
    </row>
    <row r="325" spans="1:13" x14ac:dyDescent="0.25">
      <c r="A325" t="s">
        <v>231</v>
      </c>
      <c r="B325" t="s">
        <v>909</v>
      </c>
      <c r="C325" t="s">
        <v>168</v>
      </c>
      <c r="D325">
        <v>81</v>
      </c>
      <c r="E325">
        <v>57</v>
      </c>
      <c r="F325" t="s">
        <v>126</v>
      </c>
      <c r="G325" t="s">
        <v>593</v>
      </c>
      <c r="H325">
        <v>6.0258500000000002</v>
      </c>
      <c r="I325">
        <v>11</v>
      </c>
      <c r="J325">
        <v>3</v>
      </c>
      <c r="K325">
        <v>5</v>
      </c>
      <c r="L325">
        <v>1</v>
      </c>
      <c r="M325" t="s">
        <v>594</v>
      </c>
    </row>
    <row r="326" spans="1:13" x14ac:dyDescent="0.25">
      <c r="A326" t="s">
        <v>231</v>
      </c>
      <c r="C326" t="s">
        <v>168</v>
      </c>
      <c r="D326">
        <v>86</v>
      </c>
      <c r="E326">
        <v>57</v>
      </c>
      <c r="F326" t="s">
        <v>126</v>
      </c>
      <c r="G326" t="s">
        <v>593</v>
      </c>
      <c r="H326">
        <v>6</v>
      </c>
      <c r="I326">
        <v>11</v>
      </c>
      <c r="J326">
        <v>2</v>
      </c>
      <c r="K326">
        <v>5</v>
      </c>
      <c r="L326">
        <v>1</v>
      </c>
      <c r="M326" t="s">
        <v>594</v>
      </c>
    </row>
    <row r="327" spans="1:13" x14ac:dyDescent="0.25">
      <c r="A327" t="s">
        <v>231</v>
      </c>
      <c r="B327" t="s">
        <v>910</v>
      </c>
      <c r="C327" t="s">
        <v>168</v>
      </c>
      <c r="D327">
        <v>34</v>
      </c>
      <c r="E327">
        <v>47</v>
      </c>
      <c r="F327" t="s">
        <v>126</v>
      </c>
      <c r="G327" t="s">
        <v>595</v>
      </c>
      <c r="H327">
        <v>8.1</v>
      </c>
      <c r="I327">
        <v>11</v>
      </c>
      <c r="J327">
        <v>2</v>
      </c>
      <c r="K327">
        <v>5</v>
      </c>
      <c r="L327">
        <v>1</v>
      </c>
      <c r="M327" t="s">
        <v>575</v>
      </c>
    </row>
    <row r="328" spans="1:13" x14ac:dyDescent="0.25">
      <c r="A328" t="s">
        <v>231</v>
      </c>
      <c r="B328" t="s">
        <v>911</v>
      </c>
      <c r="C328" t="s">
        <v>471</v>
      </c>
      <c r="D328">
        <v>52</v>
      </c>
      <c r="E328">
        <v>68</v>
      </c>
      <c r="F328" t="s">
        <v>126</v>
      </c>
      <c r="G328" t="s">
        <v>596</v>
      </c>
      <c r="H328">
        <v>10.783100000000001</v>
      </c>
      <c r="I328">
        <v>7</v>
      </c>
      <c r="J328">
        <v>2</v>
      </c>
      <c r="K328">
        <v>5</v>
      </c>
      <c r="L328">
        <v>1</v>
      </c>
      <c r="M328" t="s">
        <v>428</v>
      </c>
    </row>
    <row r="329" spans="1:13" x14ac:dyDescent="0.25">
      <c r="A329" t="s">
        <v>231</v>
      </c>
      <c r="B329" t="s">
        <v>912</v>
      </c>
      <c r="C329" t="s">
        <v>471</v>
      </c>
      <c r="D329">
        <v>52</v>
      </c>
      <c r="E329">
        <v>68</v>
      </c>
      <c r="F329" t="s">
        <v>126</v>
      </c>
      <c r="G329" t="s">
        <v>597</v>
      </c>
      <c r="H329">
        <v>10.783100000000001</v>
      </c>
      <c r="I329">
        <v>7.5</v>
      </c>
      <c r="J329">
        <v>2</v>
      </c>
      <c r="K329">
        <v>5</v>
      </c>
      <c r="L329">
        <v>1</v>
      </c>
      <c r="M329" t="s">
        <v>598</v>
      </c>
    </row>
    <row r="330" spans="1:13" x14ac:dyDescent="0.25">
      <c r="A330" t="s">
        <v>231</v>
      </c>
      <c r="B330" t="s">
        <v>913</v>
      </c>
      <c r="C330" t="s">
        <v>168</v>
      </c>
      <c r="D330">
        <v>23</v>
      </c>
      <c r="E330">
        <v>47</v>
      </c>
      <c r="F330" t="s">
        <v>126</v>
      </c>
      <c r="G330" t="s">
        <v>517</v>
      </c>
      <c r="H330">
        <v>7.5</v>
      </c>
      <c r="I330">
        <v>11</v>
      </c>
      <c r="J330">
        <v>2</v>
      </c>
      <c r="K330">
        <v>5</v>
      </c>
      <c r="L330">
        <v>1</v>
      </c>
      <c r="M330" t="s">
        <v>599</v>
      </c>
    </row>
    <row r="331" spans="1:13" x14ac:dyDescent="0.25">
      <c r="A331" t="s">
        <v>231</v>
      </c>
      <c r="C331" t="s">
        <v>164</v>
      </c>
      <c r="D331">
        <v>62</v>
      </c>
      <c r="E331">
        <v>57</v>
      </c>
      <c r="F331" t="s">
        <v>126</v>
      </c>
      <c r="G331" t="s">
        <v>600</v>
      </c>
      <c r="H331">
        <v>9.1</v>
      </c>
      <c r="I331">
        <v>11</v>
      </c>
      <c r="J331">
        <v>2</v>
      </c>
      <c r="K331">
        <v>5</v>
      </c>
      <c r="L331">
        <v>1</v>
      </c>
      <c r="M331" t="s">
        <v>601</v>
      </c>
    </row>
    <row r="332" spans="1:13" x14ac:dyDescent="0.25">
      <c r="A332" t="s">
        <v>231</v>
      </c>
      <c r="C332" t="s">
        <v>378</v>
      </c>
      <c r="D332">
        <v>88</v>
      </c>
      <c r="E332">
        <v>60</v>
      </c>
      <c r="F332" t="s">
        <v>126</v>
      </c>
      <c r="G332" t="s">
        <v>602</v>
      </c>
      <c r="H332">
        <v>9.5145</v>
      </c>
      <c r="I332">
        <v>11</v>
      </c>
      <c r="J332">
        <v>2</v>
      </c>
      <c r="K332">
        <v>4</v>
      </c>
      <c r="L332">
        <v>1</v>
      </c>
      <c r="M332" t="s">
        <v>603</v>
      </c>
    </row>
    <row r="333" spans="1:13" x14ac:dyDescent="0.25">
      <c r="A333" t="s">
        <v>231</v>
      </c>
      <c r="C333" t="s">
        <v>121</v>
      </c>
      <c r="D333">
        <v>87</v>
      </c>
      <c r="E333">
        <v>51</v>
      </c>
      <c r="F333" t="s">
        <v>126</v>
      </c>
      <c r="G333" t="s">
        <v>604</v>
      </c>
      <c r="H333">
        <v>4.5</v>
      </c>
      <c r="I333">
        <v>11</v>
      </c>
      <c r="J333">
        <v>5</v>
      </c>
      <c r="K333">
        <v>5</v>
      </c>
      <c r="L333">
        <v>1</v>
      </c>
      <c r="M333" t="s">
        <v>605</v>
      </c>
    </row>
    <row r="334" spans="1:13" x14ac:dyDescent="0.25">
      <c r="A334" t="s">
        <v>231</v>
      </c>
      <c r="B334" t="s">
        <v>914</v>
      </c>
      <c r="C334" t="s">
        <v>168</v>
      </c>
      <c r="D334">
        <v>26</v>
      </c>
      <c r="E334">
        <v>57</v>
      </c>
      <c r="F334" t="s">
        <v>126</v>
      </c>
      <c r="G334" t="s">
        <v>606</v>
      </c>
      <c r="H334">
        <v>6.0258500000000002</v>
      </c>
      <c r="I334">
        <v>11</v>
      </c>
      <c r="J334">
        <v>3</v>
      </c>
      <c r="K334">
        <v>5</v>
      </c>
      <c r="L334">
        <v>1</v>
      </c>
      <c r="M334" t="s">
        <v>594</v>
      </c>
    </row>
    <row r="335" spans="1:13" x14ac:dyDescent="0.25">
      <c r="A335" t="s">
        <v>231</v>
      </c>
      <c r="C335" t="s">
        <v>168</v>
      </c>
      <c r="D335">
        <v>89</v>
      </c>
      <c r="E335">
        <v>43</v>
      </c>
      <c r="F335" t="s">
        <v>126</v>
      </c>
      <c r="G335" t="s">
        <v>607</v>
      </c>
      <c r="H335">
        <v>13.637450000000001</v>
      </c>
      <c r="I335">
        <v>6.8</v>
      </c>
      <c r="J335">
        <v>1</v>
      </c>
      <c r="K335">
        <v>4</v>
      </c>
      <c r="L335">
        <v>2</v>
      </c>
      <c r="M335" t="s">
        <v>608</v>
      </c>
    </row>
    <row r="336" spans="1:13" x14ac:dyDescent="0.25">
      <c r="A336" t="s">
        <v>231</v>
      </c>
      <c r="C336" t="s">
        <v>168</v>
      </c>
      <c r="D336">
        <v>110</v>
      </c>
      <c r="E336">
        <v>51</v>
      </c>
      <c r="F336" t="s">
        <v>126</v>
      </c>
      <c r="G336" t="s">
        <v>609</v>
      </c>
      <c r="H336">
        <v>8.0873249999999999</v>
      </c>
      <c r="I336">
        <v>12.5</v>
      </c>
      <c r="J336">
        <v>2</v>
      </c>
      <c r="L336">
        <v>1</v>
      </c>
      <c r="M336" t="s">
        <v>610</v>
      </c>
    </row>
    <row r="337" spans="1:13" x14ac:dyDescent="0.25">
      <c r="A337" t="s">
        <v>231</v>
      </c>
      <c r="C337" t="s">
        <v>168</v>
      </c>
      <c r="D337">
        <v>90</v>
      </c>
      <c r="E337">
        <v>78</v>
      </c>
      <c r="F337" t="s">
        <v>126</v>
      </c>
      <c r="G337" t="s">
        <v>611</v>
      </c>
      <c r="H337">
        <v>12.36885</v>
      </c>
      <c r="I337">
        <v>6</v>
      </c>
      <c r="J337">
        <v>2</v>
      </c>
      <c r="K337">
        <v>5</v>
      </c>
      <c r="L337">
        <v>2</v>
      </c>
      <c r="M337" t="s">
        <v>428</v>
      </c>
    </row>
    <row r="338" spans="1:13" x14ac:dyDescent="0.25">
      <c r="A338" t="s">
        <v>231</v>
      </c>
      <c r="C338" t="s">
        <v>168</v>
      </c>
      <c r="D338">
        <v>91</v>
      </c>
      <c r="E338">
        <v>78</v>
      </c>
      <c r="F338" t="s">
        <v>126</v>
      </c>
      <c r="G338" t="s">
        <v>612</v>
      </c>
      <c r="H338">
        <v>12.36885</v>
      </c>
      <c r="I338">
        <v>6.85</v>
      </c>
      <c r="J338">
        <v>2</v>
      </c>
      <c r="K338">
        <v>5</v>
      </c>
      <c r="L338">
        <v>2</v>
      </c>
      <c r="M338" t="s">
        <v>583</v>
      </c>
    </row>
    <row r="339" spans="1:13" x14ac:dyDescent="0.25">
      <c r="A339" t="s">
        <v>231</v>
      </c>
      <c r="C339" t="s">
        <v>168</v>
      </c>
      <c r="D339">
        <v>123</v>
      </c>
      <c r="E339">
        <v>39</v>
      </c>
      <c r="F339" t="s">
        <v>126</v>
      </c>
      <c r="G339" t="s">
        <v>612</v>
      </c>
      <c r="H339">
        <v>12.36885</v>
      </c>
      <c r="I339">
        <v>6.85</v>
      </c>
      <c r="J339">
        <v>1</v>
      </c>
      <c r="K339">
        <v>5</v>
      </c>
      <c r="L339">
        <v>2</v>
      </c>
      <c r="M339" t="s">
        <v>583</v>
      </c>
    </row>
    <row r="340" spans="1:13" x14ac:dyDescent="0.25">
      <c r="A340" t="s">
        <v>231</v>
      </c>
      <c r="B340" t="s">
        <v>915</v>
      </c>
      <c r="C340" t="s">
        <v>168</v>
      </c>
      <c r="D340">
        <v>84</v>
      </c>
      <c r="E340">
        <v>43</v>
      </c>
      <c r="F340" t="s">
        <v>126</v>
      </c>
      <c r="G340" t="s">
        <v>613</v>
      </c>
      <c r="H340">
        <v>13.637450000000001</v>
      </c>
      <c r="I340">
        <v>2.2999999999999998</v>
      </c>
      <c r="J340">
        <v>1</v>
      </c>
      <c r="K340">
        <v>4</v>
      </c>
      <c r="L340">
        <v>4</v>
      </c>
      <c r="M340" t="s">
        <v>566</v>
      </c>
    </row>
    <row r="341" spans="1:13" x14ac:dyDescent="0.25">
      <c r="A341" t="s">
        <v>231</v>
      </c>
      <c r="C341" t="s">
        <v>471</v>
      </c>
      <c r="D341">
        <v>92</v>
      </c>
      <c r="E341">
        <v>43</v>
      </c>
      <c r="F341" t="s">
        <v>126</v>
      </c>
      <c r="G341" t="s">
        <v>614</v>
      </c>
      <c r="H341">
        <v>5.3</v>
      </c>
      <c r="I341">
        <v>13.8</v>
      </c>
      <c r="J341">
        <v>2</v>
      </c>
      <c r="K341">
        <v>4</v>
      </c>
      <c r="L341">
        <v>1</v>
      </c>
      <c r="M341" t="s">
        <v>566</v>
      </c>
    </row>
    <row r="342" spans="1:13" x14ac:dyDescent="0.25">
      <c r="A342" t="s">
        <v>231</v>
      </c>
      <c r="C342" t="s">
        <v>164</v>
      </c>
      <c r="D342">
        <v>93</v>
      </c>
      <c r="E342">
        <v>43</v>
      </c>
      <c r="F342" t="s">
        <v>126</v>
      </c>
      <c r="G342" t="s">
        <v>615</v>
      </c>
      <c r="H342">
        <v>13.6</v>
      </c>
      <c r="I342">
        <v>7.5</v>
      </c>
      <c r="J342">
        <v>1</v>
      </c>
      <c r="K342">
        <v>4</v>
      </c>
      <c r="L342">
        <v>1</v>
      </c>
      <c r="M342" t="s">
        <v>601</v>
      </c>
    </row>
    <row r="343" spans="1:13" x14ac:dyDescent="0.25">
      <c r="A343" t="s">
        <v>231</v>
      </c>
      <c r="C343" t="s">
        <v>168</v>
      </c>
      <c r="D343">
        <v>94</v>
      </c>
      <c r="E343">
        <v>43</v>
      </c>
      <c r="F343" t="s">
        <v>126</v>
      </c>
      <c r="G343" t="s">
        <v>616</v>
      </c>
      <c r="H343">
        <v>13.637450000000001</v>
      </c>
      <c r="I343">
        <v>8.5</v>
      </c>
      <c r="J343">
        <v>1</v>
      </c>
      <c r="K343">
        <v>4</v>
      </c>
      <c r="L343">
        <v>1</v>
      </c>
      <c r="M343" t="s">
        <v>617</v>
      </c>
    </row>
    <row r="344" spans="1:13" x14ac:dyDescent="0.25">
      <c r="A344" t="s">
        <v>231</v>
      </c>
      <c r="C344" t="s">
        <v>378</v>
      </c>
      <c r="D344">
        <v>95</v>
      </c>
      <c r="E344">
        <v>43</v>
      </c>
      <c r="F344" t="s">
        <v>126</v>
      </c>
      <c r="G344" t="s">
        <v>618</v>
      </c>
      <c r="H344">
        <v>13.637450000000001</v>
      </c>
      <c r="I344">
        <v>9.5</v>
      </c>
      <c r="J344">
        <v>1</v>
      </c>
      <c r="K344">
        <v>4</v>
      </c>
      <c r="L344">
        <v>1</v>
      </c>
      <c r="M344" t="s">
        <v>619</v>
      </c>
    </row>
    <row r="345" spans="1:13" x14ac:dyDescent="0.25">
      <c r="A345" t="s">
        <v>231</v>
      </c>
      <c r="C345" t="s">
        <v>378</v>
      </c>
      <c r="D345">
        <v>96</v>
      </c>
      <c r="E345">
        <v>43</v>
      </c>
      <c r="F345" t="s">
        <v>126</v>
      </c>
      <c r="G345" t="s">
        <v>618</v>
      </c>
      <c r="H345">
        <v>13.637450000000001</v>
      </c>
      <c r="I345">
        <v>9.5</v>
      </c>
      <c r="J345">
        <v>1</v>
      </c>
      <c r="K345">
        <v>4</v>
      </c>
      <c r="L345">
        <v>1</v>
      </c>
      <c r="M345" t="s">
        <v>620</v>
      </c>
    </row>
    <row r="346" spans="1:13" x14ac:dyDescent="0.25">
      <c r="A346" t="s">
        <v>231</v>
      </c>
      <c r="D346">
        <v>97</v>
      </c>
      <c r="E346">
        <v>43</v>
      </c>
      <c r="F346" t="s">
        <v>126</v>
      </c>
      <c r="G346" t="s">
        <v>618</v>
      </c>
      <c r="H346">
        <v>13.637450000000001</v>
      </c>
      <c r="I346">
        <v>9.5</v>
      </c>
      <c r="J346">
        <v>1</v>
      </c>
      <c r="K346">
        <v>4</v>
      </c>
      <c r="L346">
        <v>1</v>
      </c>
      <c r="M346" t="s">
        <v>619</v>
      </c>
    </row>
    <row r="347" spans="1:13" x14ac:dyDescent="0.25">
      <c r="A347" t="s">
        <v>231</v>
      </c>
      <c r="C347" t="s">
        <v>471</v>
      </c>
      <c r="D347">
        <v>98</v>
      </c>
      <c r="E347">
        <v>43</v>
      </c>
      <c r="F347" t="s">
        <v>126</v>
      </c>
      <c r="G347" t="s">
        <v>621</v>
      </c>
      <c r="H347">
        <v>6.8187250000000006</v>
      </c>
      <c r="I347">
        <v>14.5</v>
      </c>
      <c r="J347">
        <v>2</v>
      </c>
      <c r="K347">
        <v>4</v>
      </c>
      <c r="L347">
        <v>1</v>
      </c>
      <c r="M347" t="s">
        <v>622</v>
      </c>
    </row>
    <row r="348" spans="1:13" x14ac:dyDescent="0.25">
      <c r="A348" t="s">
        <v>231</v>
      </c>
      <c r="B348" t="s">
        <v>916</v>
      </c>
      <c r="C348" t="s">
        <v>168</v>
      </c>
      <c r="D348">
        <v>15</v>
      </c>
      <c r="E348">
        <v>47</v>
      </c>
      <c r="F348" t="s">
        <v>126</v>
      </c>
      <c r="G348" t="s">
        <v>623</v>
      </c>
      <c r="H348">
        <v>14.9</v>
      </c>
      <c r="I348">
        <v>10.5</v>
      </c>
      <c r="J348">
        <v>1</v>
      </c>
      <c r="K348">
        <v>5</v>
      </c>
      <c r="L348">
        <v>1</v>
      </c>
      <c r="M348" t="s">
        <v>624</v>
      </c>
    </row>
    <row r="349" spans="1:13" x14ac:dyDescent="0.25">
      <c r="A349" t="s">
        <v>231</v>
      </c>
      <c r="C349" t="s">
        <v>471</v>
      </c>
      <c r="D349">
        <v>99</v>
      </c>
      <c r="E349">
        <v>47</v>
      </c>
      <c r="F349" t="s">
        <v>126</v>
      </c>
      <c r="G349" t="s">
        <v>625</v>
      </c>
      <c r="H349">
        <v>14.906049999999999</v>
      </c>
      <c r="I349">
        <v>7</v>
      </c>
      <c r="J349">
        <v>1</v>
      </c>
      <c r="K349">
        <v>5</v>
      </c>
      <c r="L349">
        <v>2</v>
      </c>
      <c r="M349" t="s">
        <v>428</v>
      </c>
    </row>
    <row r="350" spans="1:13" x14ac:dyDescent="0.25">
      <c r="A350" t="s">
        <v>231</v>
      </c>
      <c r="C350" t="s">
        <v>168</v>
      </c>
      <c r="D350">
        <v>100</v>
      </c>
      <c r="E350">
        <v>47</v>
      </c>
      <c r="F350" t="s">
        <v>126</v>
      </c>
      <c r="G350" t="s">
        <v>626</v>
      </c>
      <c r="H350">
        <v>14.906049999999999</v>
      </c>
      <c r="I350">
        <v>5.5</v>
      </c>
      <c r="J350">
        <v>1</v>
      </c>
      <c r="K350">
        <v>5</v>
      </c>
      <c r="L350">
        <v>2</v>
      </c>
      <c r="M350" t="s">
        <v>428</v>
      </c>
    </row>
    <row r="351" spans="1:13" x14ac:dyDescent="0.25">
      <c r="A351" t="s">
        <v>231</v>
      </c>
      <c r="B351" t="s">
        <v>917</v>
      </c>
      <c r="C351" t="s">
        <v>121</v>
      </c>
      <c r="D351">
        <v>36</v>
      </c>
      <c r="E351">
        <v>47</v>
      </c>
      <c r="F351" t="s">
        <v>126</v>
      </c>
      <c r="G351" t="s">
        <v>627</v>
      </c>
      <c r="H351">
        <v>14.906049999999999</v>
      </c>
      <c r="I351">
        <v>10</v>
      </c>
      <c r="J351">
        <v>1</v>
      </c>
      <c r="K351">
        <v>5</v>
      </c>
      <c r="L351">
        <v>1</v>
      </c>
      <c r="M351" t="s">
        <v>518</v>
      </c>
    </row>
    <row r="352" spans="1:13" x14ac:dyDescent="0.25">
      <c r="A352" t="s">
        <v>231</v>
      </c>
      <c r="C352" t="s">
        <v>168</v>
      </c>
      <c r="D352">
        <v>101</v>
      </c>
      <c r="E352">
        <v>98</v>
      </c>
      <c r="F352" t="s">
        <v>126</v>
      </c>
      <c r="G352" t="s">
        <v>628</v>
      </c>
      <c r="H352">
        <v>5.1801166666666667</v>
      </c>
      <c r="I352">
        <v>15.5</v>
      </c>
      <c r="J352">
        <v>6</v>
      </c>
      <c r="K352">
        <v>5</v>
      </c>
      <c r="L352">
        <v>1</v>
      </c>
      <c r="M352" t="s">
        <v>629</v>
      </c>
    </row>
    <row r="353" spans="1:13" x14ac:dyDescent="0.25">
      <c r="A353" t="s">
        <v>231</v>
      </c>
      <c r="C353" t="s">
        <v>471</v>
      </c>
      <c r="D353">
        <v>102</v>
      </c>
      <c r="E353">
        <v>57</v>
      </c>
      <c r="F353" t="s">
        <v>126</v>
      </c>
      <c r="G353" t="s">
        <v>630</v>
      </c>
      <c r="H353">
        <v>9.0387749999999993</v>
      </c>
      <c r="I353">
        <v>15.5</v>
      </c>
      <c r="J353">
        <v>2</v>
      </c>
      <c r="K353">
        <v>5</v>
      </c>
      <c r="L353">
        <v>1</v>
      </c>
      <c r="M353" t="s">
        <v>594</v>
      </c>
    </row>
    <row r="354" spans="1:13" x14ac:dyDescent="0.25">
      <c r="A354" t="s">
        <v>231</v>
      </c>
      <c r="C354" t="s">
        <v>471</v>
      </c>
      <c r="D354">
        <v>103</v>
      </c>
      <c r="E354">
        <v>57</v>
      </c>
      <c r="F354" t="s">
        <v>126</v>
      </c>
      <c r="G354" t="s">
        <v>630</v>
      </c>
      <c r="H354">
        <v>9.0387749999999993</v>
      </c>
      <c r="I354">
        <v>15.5</v>
      </c>
      <c r="J354">
        <v>2</v>
      </c>
      <c r="K354">
        <v>5</v>
      </c>
      <c r="L354">
        <v>1</v>
      </c>
      <c r="M354" t="s">
        <v>631</v>
      </c>
    </row>
    <row r="355" spans="1:13" x14ac:dyDescent="0.25">
      <c r="A355" t="s">
        <v>231</v>
      </c>
      <c r="C355" t="s">
        <v>121</v>
      </c>
      <c r="D355">
        <v>104</v>
      </c>
      <c r="E355">
        <v>51</v>
      </c>
      <c r="F355" t="s">
        <v>126</v>
      </c>
      <c r="G355" t="s">
        <v>632</v>
      </c>
      <c r="H355">
        <v>5.3915500000000005</v>
      </c>
      <c r="I355">
        <v>16.3</v>
      </c>
      <c r="J355">
        <v>3</v>
      </c>
      <c r="K355">
        <v>5</v>
      </c>
      <c r="L355">
        <v>1</v>
      </c>
      <c r="M355" t="s">
        <v>605</v>
      </c>
    </row>
    <row r="356" spans="1:13" x14ac:dyDescent="0.25">
      <c r="A356" t="s">
        <v>231</v>
      </c>
      <c r="C356" t="s">
        <v>168</v>
      </c>
      <c r="D356">
        <v>105</v>
      </c>
      <c r="E356">
        <v>51</v>
      </c>
      <c r="F356" t="s">
        <v>126</v>
      </c>
      <c r="G356" t="s">
        <v>633</v>
      </c>
      <c r="H356">
        <v>16.17465</v>
      </c>
      <c r="I356">
        <v>7.5</v>
      </c>
      <c r="J356">
        <v>1</v>
      </c>
      <c r="K356">
        <v>5</v>
      </c>
      <c r="L356">
        <v>2</v>
      </c>
      <c r="M356" t="s">
        <v>428</v>
      </c>
    </row>
    <row r="357" spans="1:13" x14ac:dyDescent="0.25">
      <c r="A357" t="s">
        <v>231</v>
      </c>
      <c r="C357" t="s">
        <v>168</v>
      </c>
      <c r="D357">
        <v>106</v>
      </c>
      <c r="E357">
        <v>51</v>
      </c>
      <c r="F357" t="s">
        <v>126</v>
      </c>
      <c r="G357" t="s">
        <v>634</v>
      </c>
      <c r="H357">
        <v>16.17465</v>
      </c>
      <c r="I357">
        <v>11.5</v>
      </c>
      <c r="J357">
        <v>1</v>
      </c>
      <c r="K357">
        <v>5</v>
      </c>
      <c r="L357">
        <v>1</v>
      </c>
      <c r="M357" t="s">
        <v>617</v>
      </c>
    </row>
    <row r="358" spans="1:13" x14ac:dyDescent="0.25">
      <c r="A358" t="s">
        <v>231</v>
      </c>
      <c r="C358" t="s">
        <v>168</v>
      </c>
      <c r="D358">
        <v>107</v>
      </c>
      <c r="E358">
        <v>57</v>
      </c>
      <c r="F358" t="s">
        <v>126</v>
      </c>
      <c r="G358" t="s">
        <v>635</v>
      </c>
      <c r="H358">
        <v>18.077549999999999</v>
      </c>
      <c r="I358">
        <v>15</v>
      </c>
      <c r="J358">
        <v>1</v>
      </c>
      <c r="K358">
        <v>4</v>
      </c>
      <c r="L358">
        <v>1</v>
      </c>
      <c r="M358" t="s">
        <v>636</v>
      </c>
    </row>
    <row r="359" spans="1:13" x14ac:dyDescent="0.25">
      <c r="A359" t="s">
        <v>231</v>
      </c>
      <c r="B359" t="s">
        <v>918</v>
      </c>
      <c r="C359" t="s">
        <v>168</v>
      </c>
      <c r="D359">
        <v>19</v>
      </c>
      <c r="E359">
        <v>60</v>
      </c>
      <c r="F359" t="s">
        <v>126</v>
      </c>
      <c r="G359" t="s">
        <v>637</v>
      </c>
      <c r="H359">
        <v>19.029</v>
      </c>
      <c r="I359">
        <v>5</v>
      </c>
      <c r="J359">
        <v>1</v>
      </c>
      <c r="K359">
        <v>4</v>
      </c>
      <c r="L359">
        <v>2</v>
      </c>
      <c r="M359" t="s">
        <v>566</v>
      </c>
    </row>
    <row r="360" spans="1:13" x14ac:dyDescent="0.25">
      <c r="A360" t="s">
        <v>231</v>
      </c>
      <c r="B360" t="s">
        <v>919</v>
      </c>
      <c r="D360">
        <v>16</v>
      </c>
      <c r="E360">
        <v>63</v>
      </c>
      <c r="F360" t="s">
        <v>126</v>
      </c>
      <c r="G360" t="s">
        <v>638</v>
      </c>
      <c r="H360">
        <v>19.980449999999998</v>
      </c>
      <c r="I360">
        <v>5.5</v>
      </c>
      <c r="J360">
        <v>1</v>
      </c>
      <c r="K360">
        <v>5</v>
      </c>
      <c r="L360">
        <v>1</v>
      </c>
      <c r="M360" t="s">
        <v>639</v>
      </c>
    </row>
    <row r="361" spans="1:13" x14ac:dyDescent="0.25">
      <c r="A361" t="s">
        <v>231</v>
      </c>
      <c r="C361" t="s">
        <v>168</v>
      </c>
      <c r="D361">
        <v>108</v>
      </c>
      <c r="E361">
        <v>63</v>
      </c>
      <c r="F361" t="s">
        <v>126</v>
      </c>
      <c r="G361" t="s">
        <v>640</v>
      </c>
      <c r="H361">
        <v>19.980449999999998</v>
      </c>
      <c r="I361">
        <v>11.5</v>
      </c>
      <c r="J361">
        <v>1</v>
      </c>
      <c r="K361">
        <v>5</v>
      </c>
      <c r="L361">
        <v>2</v>
      </c>
      <c r="M361" t="s">
        <v>608</v>
      </c>
    </row>
    <row r="362" spans="1:13" x14ac:dyDescent="0.25">
      <c r="A362" t="s">
        <v>231</v>
      </c>
      <c r="B362" t="s">
        <v>920</v>
      </c>
      <c r="D362">
        <v>13</v>
      </c>
      <c r="E362">
        <v>63</v>
      </c>
      <c r="F362" t="s">
        <v>126</v>
      </c>
      <c r="G362" t="s">
        <v>641</v>
      </c>
      <c r="H362">
        <v>19.980449999999998</v>
      </c>
      <c r="I362">
        <v>6</v>
      </c>
      <c r="J362">
        <v>1</v>
      </c>
      <c r="K362">
        <v>5</v>
      </c>
      <c r="L362">
        <v>1</v>
      </c>
      <c r="M362" t="s">
        <v>642</v>
      </c>
    </row>
    <row r="363" spans="1:13" x14ac:dyDescent="0.25">
      <c r="A363" t="s">
        <v>231</v>
      </c>
      <c r="B363" t="s">
        <v>921</v>
      </c>
      <c r="C363" t="s">
        <v>168</v>
      </c>
      <c r="D363">
        <v>72</v>
      </c>
      <c r="E363">
        <v>78</v>
      </c>
      <c r="F363" t="s">
        <v>126</v>
      </c>
      <c r="G363" t="s">
        <v>643</v>
      </c>
      <c r="H363">
        <v>24.7377</v>
      </c>
      <c r="I363">
        <v>6</v>
      </c>
      <c r="J363">
        <v>1</v>
      </c>
      <c r="K363">
        <v>5</v>
      </c>
      <c r="L363">
        <v>2</v>
      </c>
      <c r="M363" t="s">
        <v>644</v>
      </c>
    </row>
    <row r="364" spans="1:13" x14ac:dyDescent="0.25">
      <c r="A364" t="s">
        <v>231</v>
      </c>
    </row>
    <row r="365" spans="1:13" x14ac:dyDescent="0.25">
      <c r="A365" t="s">
        <v>231</v>
      </c>
      <c r="B365" t="s">
        <v>922</v>
      </c>
      <c r="C365" t="s">
        <v>168</v>
      </c>
      <c r="D365">
        <v>113</v>
      </c>
      <c r="E365">
        <v>43</v>
      </c>
      <c r="F365" t="s">
        <v>302</v>
      </c>
      <c r="G365" t="s">
        <v>645</v>
      </c>
      <c r="M365" t="s">
        <v>646</v>
      </c>
    </row>
    <row r="366" spans="1:13" x14ac:dyDescent="0.25">
      <c r="A366" t="s">
        <v>231</v>
      </c>
      <c r="B366" t="s">
        <v>923</v>
      </c>
      <c r="C366" t="s">
        <v>168</v>
      </c>
      <c r="D366">
        <v>58</v>
      </c>
      <c r="E366">
        <v>43</v>
      </c>
      <c r="F366" t="s">
        <v>302</v>
      </c>
      <c r="G366" t="s">
        <v>496</v>
      </c>
      <c r="M366" t="s">
        <v>647</v>
      </c>
    </row>
    <row r="367" spans="1:13" x14ac:dyDescent="0.25">
      <c r="A367" t="s">
        <v>231</v>
      </c>
      <c r="B367" t="s">
        <v>924</v>
      </c>
      <c r="C367" t="s">
        <v>136</v>
      </c>
      <c r="D367">
        <v>114</v>
      </c>
      <c r="E367">
        <v>47</v>
      </c>
      <c r="F367" t="s">
        <v>302</v>
      </c>
      <c r="G367" t="s">
        <v>648</v>
      </c>
      <c r="M367" t="s">
        <v>152</v>
      </c>
    </row>
    <row r="368" spans="1:13" x14ac:dyDescent="0.25">
      <c r="A368" t="s">
        <v>231</v>
      </c>
      <c r="C368" t="s">
        <v>168</v>
      </c>
      <c r="D368">
        <v>115</v>
      </c>
      <c r="E368">
        <v>43</v>
      </c>
      <c r="F368" t="s">
        <v>449</v>
      </c>
      <c r="G368" t="s">
        <v>509</v>
      </c>
      <c r="M368" t="s">
        <v>449</v>
      </c>
    </row>
    <row r="369" spans="1:13" x14ac:dyDescent="0.25">
      <c r="A369" t="s">
        <v>231</v>
      </c>
      <c r="D369">
        <v>121</v>
      </c>
      <c r="E369">
        <v>60</v>
      </c>
      <c r="F369" t="s">
        <v>302</v>
      </c>
      <c r="G369" t="s">
        <v>649</v>
      </c>
    </row>
    <row r="370" spans="1:13" x14ac:dyDescent="0.25">
      <c r="A370" t="s">
        <v>231</v>
      </c>
      <c r="C370" t="s">
        <v>471</v>
      </c>
      <c r="D370">
        <v>116</v>
      </c>
      <c r="E370">
        <v>60</v>
      </c>
      <c r="F370" t="s">
        <v>449</v>
      </c>
      <c r="G370" t="s">
        <v>649</v>
      </c>
      <c r="M370" t="s">
        <v>449</v>
      </c>
    </row>
    <row r="371" spans="1:13" x14ac:dyDescent="0.25">
      <c r="A371" t="s">
        <v>231</v>
      </c>
      <c r="C371" t="s">
        <v>172</v>
      </c>
      <c r="D371">
        <v>118</v>
      </c>
      <c r="E371">
        <v>92</v>
      </c>
      <c r="F371" t="s">
        <v>302</v>
      </c>
      <c r="G371" t="s">
        <v>650</v>
      </c>
      <c r="H371">
        <v>29.2</v>
      </c>
      <c r="I371">
        <v>12.5</v>
      </c>
      <c r="J371">
        <v>1</v>
      </c>
      <c r="K371">
        <v>1</v>
      </c>
      <c r="L371">
        <v>5</v>
      </c>
      <c r="M371" t="s">
        <v>651</v>
      </c>
    </row>
    <row r="372" spans="1:13" x14ac:dyDescent="0.25">
      <c r="A372" t="s">
        <v>231</v>
      </c>
      <c r="C372" t="s">
        <v>172</v>
      </c>
      <c r="D372">
        <v>120</v>
      </c>
      <c r="E372">
        <v>92</v>
      </c>
      <c r="F372" t="s">
        <v>247</v>
      </c>
      <c r="G372" t="s">
        <v>650</v>
      </c>
      <c r="H372">
        <v>29.2</v>
      </c>
      <c r="I372">
        <v>12.5</v>
      </c>
      <c r="J372">
        <v>1</v>
      </c>
      <c r="K372">
        <v>1</v>
      </c>
      <c r="L372">
        <v>5</v>
      </c>
      <c r="M372" t="s">
        <v>651</v>
      </c>
    </row>
    <row r="373" spans="1:13" x14ac:dyDescent="0.25">
      <c r="A373" t="s">
        <v>231</v>
      </c>
      <c r="B373" t="s">
        <v>247</v>
      </c>
      <c r="C373" t="s">
        <v>168</v>
      </c>
      <c r="D373">
        <v>117</v>
      </c>
      <c r="E373">
        <v>63</v>
      </c>
      <c r="F373" t="s">
        <v>302</v>
      </c>
      <c r="G373" t="s">
        <v>652</v>
      </c>
      <c r="M373" t="s">
        <v>653</v>
      </c>
    </row>
    <row r="374" spans="1:13" x14ac:dyDescent="0.25">
      <c r="A374" t="s">
        <v>231</v>
      </c>
      <c r="C374" t="s">
        <v>654</v>
      </c>
      <c r="D374">
        <v>119</v>
      </c>
      <c r="E374">
        <v>98</v>
      </c>
      <c r="F374" t="s">
        <v>449</v>
      </c>
      <c r="M374" t="s">
        <v>449</v>
      </c>
    </row>
    <row r="375" spans="1:13" x14ac:dyDescent="0.25">
      <c r="A375" t="s">
        <v>231</v>
      </c>
      <c r="D375">
        <v>126</v>
      </c>
      <c r="F375" t="s">
        <v>655</v>
      </c>
      <c r="G375">
        <v>10</v>
      </c>
      <c r="M375" t="s">
        <v>656</v>
      </c>
    </row>
    <row r="376" spans="1:13" x14ac:dyDescent="0.25">
      <c r="A376" t="s">
        <v>231</v>
      </c>
      <c r="D376">
        <v>128</v>
      </c>
      <c r="E376">
        <v>64</v>
      </c>
      <c r="F376" t="s">
        <v>655</v>
      </c>
      <c r="M376" t="s">
        <v>656</v>
      </c>
    </row>
    <row r="377" spans="1:13" x14ac:dyDescent="0.25">
      <c r="A377" t="s">
        <v>657</v>
      </c>
      <c r="C377" t="s">
        <v>172</v>
      </c>
      <c r="D377">
        <v>14</v>
      </c>
      <c r="E377">
        <v>57</v>
      </c>
      <c r="F377" t="s">
        <v>135</v>
      </c>
      <c r="G377">
        <v>6</v>
      </c>
      <c r="H377">
        <v>6.0258500000000002</v>
      </c>
      <c r="I377">
        <v>25</v>
      </c>
      <c r="J377">
        <v>3</v>
      </c>
      <c r="K377">
        <v>6</v>
      </c>
      <c r="L377">
        <v>1</v>
      </c>
      <c r="M377" t="s">
        <v>658</v>
      </c>
    </row>
    <row r="378" spans="1:13" x14ac:dyDescent="0.25">
      <c r="A378" t="s">
        <v>657</v>
      </c>
      <c r="B378" t="s">
        <v>601</v>
      </c>
      <c r="C378" t="s">
        <v>172</v>
      </c>
      <c r="D378">
        <v>41</v>
      </c>
      <c r="E378">
        <v>47</v>
      </c>
      <c r="F378" t="s">
        <v>135</v>
      </c>
      <c r="G378">
        <v>7.5</v>
      </c>
      <c r="H378">
        <v>7.4530249999999993</v>
      </c>
      <c r="I378">
        <v>10.5</v>
      </c>
      <c r="J378">
        <v>2</v>
      </c>
      <c r="K378">
        <v>6</v>
      </c>
      <c r="L378">
        <v>1</v>
      </c>
      <c r="M378" t="s">
        <v>659</v>
      </c>
    </row>
    <row r="379" spans="1:13" x14ac:dyDescent="0.25">
      <c r="A379" t="s">
        <v>657</v>
      </c>
      <c r="B379" t="s">
        <v>925</v>
      </c>
      <c r="C379" t="s">
        <v>153</v>
      </c>
      <c r="D379">
        <v>15</v>
      </c>
      <c r="E379">
        <v>57</v>
      </c>
      <c r="F379" t="s">
        <v>135</v>
      </c>
      <c r="G379">
        <v>9.048</v>
      </c>
      <c r="H379">
        <v>9.0387749999999993</v>
      </c>
      <c r="I379">
        <v>60</v>
      </c>
      <c r="J379">
        <v>2</v>
      </c>
      <c r="K379">
        <v>6</v>
      </c>
      <c r="L379">
        <v>1</v>
      </c>
    </row>
    <row r="380" spans="1:13" x14ac:dyDescent="0.25">
      <c r="A380" t="s">
        <v>657</v>
      </c>
      <c r="B380" t="s">
        <v>926</v>
      </c>
      <c r="C380" t="s">
        <v>136</v>
      </c>
      <c r="D380">
        <v>31</v>
      </c>
      <c r="E380">
        <v>63</v>
      </c>
      <c r="F380" t="s">
        <v>135</v>
      </c>
      <c r="G380">
        <v>10</v>
      </c>
      <c r="H380">
        <v>9.9902249999999988</v>
      </c>
      <c r="I380">
        <v>10</v>
      </c>
      <c r="J380">
        <v>2</v>
      </c>
      <c r="L380">
        <v>1</v>
      </c>
      <c r="M380" t="s">
        <v>660</v>
      </c>
    </row>
    <row r="381" spans="1:13" x14ac:dyDescent="0.25">
      <c r="A381" t="s">
        <v>657</v>
      </c>
      <c r="C381" t="s">
        <v>172</v>
      </c>
      <c r="D381">
        <v>18</v>
      </c>
      <c r="E381">
        <v>98</v>
      </c>
      <c r="F381" t="s">
        <v>135</v>
      </c>
      <c r="G381">
        <v>31</v>
      </c>
      <c r="H381">
        <v>31.0807</v>
      </c>
      <c r="I381">
        <v>25</v>
      </c>
      <c r="J381">
        <v>1</v>
      </c>
      <c r="K381">
        <v>6</v>
      </c>
      <c r="L381">
        <v>1</v>
      </c>
      <c r="M381" t="s">
        <v>661</v>
      </c>
    </row>
    <row r="382" spans="1:13" x14ac:dyDescent="0.25">
      <c r="A382" t="s">
        <v>657</v>
      </c>
    </row>
    <row r="383" spans="1:13" x14ac:dyDescent="0.25">
      <c r="A383" t="s">
        <v>657</v>
      </c>
      <c r="B383" t="s">
        <v>927</v>
      </c>
      <c r="C383" t="s">
        <v>136</v>
      </c>
      <c r="D383">
        <v>26</v>
      </c>
      <c r="E383">
        <v>47</v>
      </c>
      <c r="F383" t="s">
        <v>177</v>
      </c>
      <c r="G383">
        <v>3</v>
      </c>
      <c r="H383">
        <v>3.7265124999999997</v>
      </c>
      <c r="I383">
        <v>3.5</v>
      </c>
      <c r="J383">
        <v>4</v>
      </c>
      <c r="K383">
        <v>6</v>
      </c>
      <c r="L383">
        <v>1</v>
      </c>
      <c r="M383" t="s">
        <v>662</v>
      </c>
    </row>
    <row r="384" spans="1:13" x14ac:dyDescent="0.25">
      <c r="A384" t="s">
        <v>657</v>
      </c>
      <c r="B384" t="s">
        <v>928</v>
      </c>
      <c r="C384" t="s">
        <v>136</v>
      </c>
      <c r="D384">
        <v>42</v>
      </c>
      <c r="E384">
        <v>47</v>
      </c>
      <c r="F384" t="s">
        <v>177</v>
      </c>
      <c r="G384">
        <v>3.4</v>
      </c>
      <c r="H384">
        <v>3.7265124999999997</v>
      </c>
      <c r="I384">
        <v>4.5</v>
      </c>
      <c r="J384">
        <v>4</v>
      </c>
      <c r="K384">
        <v>6</v>
      </c>
      <c r="L384">
        <v>1</v>
      </c>
    </row>
    <row r="385" spans="1:13" x14ac:dyDescent="0.25">
      <c r="A385" t="s">
        <v>657</v>
      </c>
      <c r="C385" t="s">
        <v>172</v>
      </c>
      <c r="D385">
        <v>19</v>
      </c>
      <c r="E385">
        <v>63</v>
      </c>
      <c r="F385" t="s">
        <v>177</v>
      </c>
      <c r="G385">
        <v>4.8</v>
      </c>
      <c r="H385">
        <v>4.9951124999999994</v>
      </c>
      <c r="I385">
        <v>21</v>
      </c>
      <c r="J385">
        <v>4</v>
      </c>
      <c r="K385">
        <v>6</v>
      </c>
      <c r="L385">
        <v>4</v>
      </c>
      <c r="M385" t="s">
        <v>663</v>
      </c>
    </row>
    <row r="386" spans="1:13" x14ac:dyDescent="0.25">
      <c r="A386" t="s">
        <v>657</v>
      </c>
      <c r="B386" t="s">
        <v>929</v>
      </c>
      <c r="C386" t="s">
        <v>172</v>
      </c>
      <c r="D386">
        <v>16</v>
      </c>
      <c r="E386">
        <v>57</v>
      </c>
      <c r="F386" t="s">
        <v>177</v>
      </c>
      <c r="G386">
        <v>8.8000000000000007</v>
      </c>
      <c r="H386">
        <v>9.0387749999999993</v>
      </c>
      <c r="I386">
        <v>9.5</v>
      </c>
      <c r="J386">
        <v>2</v>
      </c>
      <c r="K386">
        <v>6</v>
      </c>
      <c r="L386">
        <v>1</v>
      </c>
      <c r="M386" t="s">
        <v>664</v>
      </c>
    </row>
    <row r="387" spans="1:13" x14ac:dyDescent="0.25">
      <c r="A387" t="s">
        <v>657</v>
      </c>
    </row>
    <row r="388" spans="1:13" x14ac:dyDescent="0.25">
      <c r="A388" t="s">
        <v>657</v>
      </c>
      <c r="B388" t="s">
        <v>930</v>
      </c>
      <c r="C388" t="s">
        <v>153</v>
      </c>
      <c r="D388">
        <v>32</v>
      </c>
      <c r="E388">
        <v>63</v>
      </c>
      <c r="F388" t="s">
        <v>192</v>
      </c>
      <c r="G388" t="s">
        <v>665</v>
      </c>
      <c r="H388">
        <v>9.9902249999999988</v>
      </c>
      <c r="I388">
        <v>7.5</v>
      </c>
      <c r="J388">
        <v>2</v>
      </c>
      <c r="K388">
        <v>6</v>
      </c>
      <c r="L388">
        <v>2</v>
      </c>
    </row>
    <row r="389" spans="1:13" x14ac:dyDescent="0.25">
      <c r="A389" t="s">
        <v>657</v>
      </c>
      <c r="B389" t="s">
        <v>931</v>
      </c>
      <c r="C389" t="s">
        <v>153</v>
      </c>
      <c r="D389">
        <v>4</v>
      </c>
      <c r="E389">
        <v>47</v>
      </c>
      <c r="F389" t="s">
        <v>192</v>
      </c>
      <c r="G389" t="s">
        <v>666</v>
      </c>
      <c r="H389">
        <v>7.4530249999999993</v>
      </c>
      <c r="I389">
        <v>11</v>
      </c>
      <c r="J389">
        <v>2</v>
      </c>
      <c r="K389">
        <v>6</v>
      </c>
      <c r="L389">
        <v>1</v>
      </c>
      <c r="M389" t="s">
        <v>192</v>
      </c>
    </row>
    <row r="390" spans="1:13" x14ac:dyDescent="0.25">
      <c r="A390" t="s">
        <v>657</v>
      </c>
      <c r="B390" t="s">
        <v>932</v>
      </c>
      <c r="C390" t="s">
        <v>136</v>
      </c>
      <c r="D390">
        <v>31</v>
      </c>
      <c r="E390">
        <v>63</v>
      </c>
      <c r="F390" t="s">
        <v>192</v>
      </c>
      <c r="G390" t="s">
        <v>667</v>
      </c>
      <c r="H390">
        <v>6.6601499999999998</v>
      </c>
      <c r="I390">
        <v>125</v>
      </c>
      <c r="J390">
        <v>3</v>
      </c>
      <c r="K390">
        <v>6</v>
      </c>
      <c r="L390">
        <v>1</v>
      </c>
      <c r="M390" t="s">
        <v>668</v>
      </c>
    </row>
    <row r="391" spans="1:13" x14ac:dyDescent="0.25">
      <c r="A391" t="s">
        <v>657</v>
      </c>
    </row>
    <row r="392" spans="1:13" x14ac:dyDescent="0.25">
      <c r="A392" t="s">
        <v>657</v>
      </c>
      <c r="C392" t="s">
        <v>136</v>
      </c>
      <c r="D392">
        <v>23</v>
      </c>
      <c r="E392">
        <v>69</v>
      </c>
      <c r="F392" t="s">
        <v>217</v>
      </c>
      <c r="G392" t="s">
        <v>669</v>
      </c>
      <c r="H392">
        <v>7.2944499999999994</v>
      </c>
      <c r="I392">
        <v>21</v>
      </c>
      <c r="J392">
        <v>3</v>
      </c>
      <c r="K392">
        <v>6</v>
      </c>
      <c r="L392">
        <v>4</v>
      </c>
      <c r="M392" t="s">
        <v>417</v>
      </c>
    </row>
    <row r="393" spans="1:13" x14ac:dyDescent="0.25">
      <c r="A393" t="s">
        <v>657</v>
      </c>
      <c r="C393" t="s">
        <v>172</v>
      </c>
      <c r="D393">
        <v>11</v>
      </c>
      <c r="E393">
        <v>54</v>
      </c>
      <c r="F393" t="s">
        <v>217</v>
      </c>
      <c r="G393" t="s">
        <v>670</v>
      </c>
      <c r="H393">
        <v>4.2815250000000002</v>
      </c>
      <c r="I393">
        <v>25</v>
      </c>
      <c r="J393">
        <v>4</v>
      </c>
      <c r="K393">
        <v>2</v>
      </c>
      <c r="L393">
        <v>4</v>
      </c>
      <c r="M393" t="s">
        <v>671</v>
      </c>
    </row>
    <row r="394" spans="1:13" x14ac:dyDescent="0.25">
      <c r="A394" t="s">
        <v>657</v>
      </c>
      <c r="C394" t="s">
        <v>172</v>
      </c>
      <c r="D394">
        <v>5</v>
      </c>
      <c r="E394">
        <v>50</v>
      </c>
      <c r="F394" t="s">
        <v>217</v>
      </c>
      <c r="G394" t="s">
        <v>672</v>
      </c>
      <c r="H394">
        <v>5.2858333333333327</v>
      </c>
      <c r="I394">
        <v>25</v>
      </c>
      <c r="J394">
        <v>3</v>
      </c>
      <c r="K394">
        <v>2</v>
      </c>
      <c r="L394">
        <v>4</v>
      </c>
      <c r="M394" t="s">
        <v>673</v>
      </c>
    </row>
    <row r="395" spans="1:13" x14ac:dyDescent="0.25">
      <c r="A395" t="s">
        <v>657</v>
      </c>
      <c r="C395" t="s">
        <v>172</v>
      </c>
      <c r="D395">
        <v>7</v>
      </c>
      <c r="E395">
        <v>50</v>
      </c>
      <c r="F395" t="s">
        <v>217</v>
      </c>
      <c r="G395" t="s">
        <v>672</v>
      </c>
      <c r="H395">
        <v>5.2858333333333327</v>
      </c>
      <c r="I395">
        <v>25</v>
      </c>
      <c r="J395">
        <v>3</v>
      </c>
      <c r="K395">
        <v>2</v>
      </c>
      <c r="L395">
        <v>4</v>
      </c>
      <c r="M395" t="s">
        <v>236</v>
      </c>
    </row>
    <row r="396" spans="1:13" x14ac:dyDescent="0.25">
      <c r="A396" t="s">
        <v>657</v>
      </c>
      <c r="C396" t="s">
        <v>121</v>
      </c>
      <c r="D396">
        <v>8</v>
      </c>
      <c r="E396">
        <v>50</v>
      </c>
      <c r="F396" t="s">
        <v>217</v>
      </c>
      <c r="G396" t="s">
        <v>672</v>
      </c>
      <c r="H396">
        <v>5.2858333333333327</v>
      </c>
      <c r="I396">
        <v>25</v>
      </c>
      <c r="J396">
        <v>3</v>
      </c>
      <c r="K396">
        <v>2</v>
      </c>
      <c r="L396">
        <v>4</v>
      </c>
      <c r="M396" t="s">
        <v>236</v>
      </c>
    </row>
    <row r="397" spans="1:13" x14ac:dyDescent="0.25">
      <c r="A397" t="s">
        <v>657</v>
      </c>
      <c r="C397" t="s">
        <v>121</v>
      </c>
      <c r="D397">
        <v>29</v>
      </c>
      <c r="E397">
        <v>78</v>
      </c>
      <c r="F397" t="s">
        <v>122</v>
      </c>
      <c r="G397" t="s">
        <v>674</v>
      </c>
      <c r="H397">
        <v>12.36885</v>
      </c>
      <c r="I397">
        <v>25</v>
      </c>
      <c r="J397">
        <v>2</v>
      </c>
      <c r="K397">
        <v>6</v>
      </c>
      <c r="L397">
        <v>4</v>
      </c>
      <c r="M397" t="s">
        <v>123</v>
      </c>
    </row>
    <row r="398" spans="1:13" x14ac:dyDescent="0.25">
      <c r="A398" t="s">
        <v>657</v>
      </c>
      <c r="C398" t="s">
        <v>121</v>
      </c>
      <c r="D398">
        <v>30</v>
      </c>
      <c r="E398">
        <v>71</v>
      </c>
      <c r="F398" t="s">
        <v>122</v>
      </c>
      <c r="G398" t="s">
        <v>675</v>
      </c>
      <c r="H398">
        <v>11.258825</v>
      </c>
      <c r="I398">
        <v>25</v>
      </c>
      <c r="J398">
        <v>2</v>
      </c>
      <c r="K398">
        <v>6</v>
      </c>
      <c r="L398">
        <v>4</v>
      </c>
      <c r="M398" t="s">
        <v>230</v>
      </c>
    </row>
    <row r="399" spans="1:13" x14ac:dyDescent="0.25">
      <c r="A399" t="s">
        <v>657</v>
      </c>
      <c r="B399" t="s">
        <v>933</v>
      </c>
      <c r="C399" t="s">
        <v>136</v>
      </c>
      <c r="D399">
        <v>1</v>
      </c>
      <c r="E399">
        <v>47</v>
      </c>
      <c r="F399" t="s">
        <v>217</v>
      </c>
      <c r="G399" t="s">
        <v>676</v>
      </c>
      <c r="H399">
        <v>7.4530249999999993</v>
      </c>
      <c r="I399">
        <v>8</v>
      </c>
      <c r="J399">
        <v>2</v>
      </c>
      <c r="K399">
        <v>6</v>
      </c>
      <c r="L399">
        <v>1</v>
      </c>
      <c r="M399" t="s">
        <v>677</v>
      </c>
    </row>
    <row r="400" spans="1:13" x14ac:dyDescent="0.25">
      <c r="A400" t="s">
        <v>657</v>
      </c>
      <c r="C400" t="s">
        <v>172</v>
      </c>
      <c r="D400">
        <v>10</v>
      </c>
      <c r="E400">
        <v>54</v>
      </c>
      <c r="F400" t="s">
        <v>217</v>
      </c>
      <c r="G400" t="s">
        <v>678</v>
      </c>
      <c r="H400">
        <v>4.2815250000000002</v>
      </c>
      <c r="I400">
        <v>25</v>
      </c>
      <c r="J400">
        <v>4</v>
      </c>
      <c r="K400">
        <v>6</v>
      </c>
      <c r="L400">
        <v>3</v>
      </c>
      <c r="M400" t="s">
        <v>679</v>
      </c>
    </row>
    <row r="401" spans="1:13" x14ac:dyDescent="0.25">
      <c r="A401" t="s">
        <v>657</v>
      </c>
      <c r="C401" t="s">
        <v>153</v>
      </c>
      <c r="D401">
        <v>15</v>
      </c>
      <c r="E401">
        <v>57</v>
      </c>
      <c r="F401" t="s">
        <v>217</v>
      </c>
      <c r="G401" t="s">
        <v>680</v>
      </c>
      <c r="H401">
        <v>4.5193874999999997</v>
      </c>
      <c r="I401">
        <v>180</v>
      </c>
      <c r="J401">
        <v>4</v>
      </c>
      <c r="K401">
        <v>6</v>
      </c>
      <c r="L401">
        <v>2</v>
      </c>
      <c r="M401" t="s">
        <v>681</v>
      </c>
    </row>
    <row r="402" spans="1:13" x14ac:dyDescent="0.25">
      <c r="A402" t="s">
        <v>657</v>
      </c>
      <c r="C402" t="s">
        <v>136</v>
      </c>
      <c r="D402">
        <v>45</v>
      </c>
      <c r="E402">
        <v>78</v>
      </c>
      <c r="F402" t="s">
        <v>217</v>
      </c>
      <c r="G402" t="s">
        <v>682</v>
      </c>
      <c r="H402">
        <v>8.2459000000000007</v>
      </c>
      <c r="I402">
        <v>25</v>
      </c>
      <c r="J402">
        <v>3</v>
      </c>
      <c r="K402">
        <v>6</v>
      </c>
      <c r="L402">
        <v>3</v>
      </c>
      <c r="M402" t="s">
        <v>683</v>
      </c>
    </row>
    <row r="403" spans="1:13" x14ac:dyDescent="0.25">
      <c r="A403" t="s">
        <v>657</v>
      </c>
      <c r="B403" t="s">
        <v>691</v>
      </c>
      <c r="C403" t="s">
        <v>136</v>
      </c>
      <c r="D403">
        <v>44</v>
      </c>
      <c r="E403">
        <v>51</v>
      </c>
      <c r="F403" t="s">
        <v>217</v>
      </c>
      <c r="G403" t="s">
        <v>509</v>
      </c>
      <c r="H403">
        <v>2.6957750000000003</v>
      </c>
      <c r="I403">
        <v>10</v>
      </c>
      <c r="J403">
        <v>6</v>
      </c>
      <c r="K403">
        <v>6</v>
      </c>
      <c r="L403">
        <v>1</v>
      </c>
      <c r="M403" t="s">
        <v>684</v>
      </c>
    </row>
    <row r="404" spans="1:13" x14ac:dyDescent="0.25">
      <c r="A404" t="s">
        <v>657</v>
      </c>
      <c r="C404" t="s">
        <v>153</v>
      </c>
      <c r="D404">
        <v>32</v>
      </c>
      <c r="E404">
        <v>63</v>
      </c>
      <c r="F404" t="s">
        <v>217</v>
      </c>
      <c r="G404" t="s">
        <v>665</v>
      </c>
      <c r="H404">
        <v>9.9902249999999988</v>
      </c>
      <c r="I404">
        <v>7.5</v>
      </c>
      <c r="J404">
        <v>2</v>
      </c>
      <c r="K404">
        <v>6</v>
      </c>
      <c r="L404">
        <v>1</v>
      </c>
      <c r="M404" t="s">
        <v>685</v>
      </c>
    </row>
    <row r="405" spans="1:13" x14ac:dyDescent="0.25">
      <c r="A405" t="s">
        <v>657</v>
      </c>
      <c r="C405" t="s">
        <v>136</v>
      </c>
      <c r="D405">
        <v>38</v>
      </c>
      <c r="E405">
        <v>63</v>
      </c>
      <c r="F405" t="s">
        <v>122</v>
      </c>
      <c r="G405" t="s">
        <v>686</v>
      </c>
      <c r="H405">
        <v>3.3300749999999999</v>
      </c>
      <c r="I405">
        <v>10.5</v>
      </c>
      <c r="J405">
        <v>6</v>
      </c>
      <c r="K405">
        <v>6</v>
      </c>
      <c r="L405">
        <v>1</v>
      </c>
      <c r="M405" t="s">
        <v>684</v>
      </c>
    </row>
    <row r="406" spans="1:13" x14ac:dyDescent="0.25">
      <c r="A406" t="s">
        <v>657</v>
      </c>
      <c r="B406" t="s">
        <v>717</v>
      </c>
      <c r="C406" t="s">
        <v>136</v>
      </c>
      <c r="D406">
        <v>50</v>
      </c>
      <c r="E406">
        <v>51</v>
      </c>
      <c r="F406" t="s">
        <v>122</v>
      </c>
      <c r="G406" t="s">
        <v>687</v>
      </c>
      <c r="H406">
        <v>8.0873249999999999</v>
      </c>
      <c r="I406">
        <v>10.5</v>
      </c>
      <c r="J406">
        <v>2</v>
      </c>
      <c r="K406">
        <v>6</v>
      </c>
      <c r="L406">
        <v>1</v>
      </c>
      <c r="M406" t="s">
        <v>688</v>
      </c>
    </row>
    <row r="407" spans="1:13" x14ac:dyDescent="0.25">
      <c r="A407" t="s">
        <v>657</v>
      </c>
      <c r="B407" t="s">
        <v>934</v>
      </c>
      <c r="C407" t="s">
        <v>136</v>
      </c>
      <c r="D407">
        <v>38</v>
      </c>
      <c r="E407">
        <v>63</v>
      </c>
      <c r="F407" t="s">
        <v>122</v>
      </c>
      <c r="G407" t="s">
        <v>689</v>
      </c>
      <c r="H407">
        <v>3.3300749999999999</v>
      </c>
      <c r="I407">
        <v>11</v>
      </c>
      <c r="J407">
        <v>6</v>
      </c>
      <c r="K407">
        <v>6</v>
      </c>
      <c r="L407">
        <v>1</v>
      </c>
      <c r="M407" t="s">
        <v>690</v>
      </c>
    </row>
    <row r="408" spans="1:13" x14ac:dyDescent="0.25">
      <c r="A408" t="s">
        <v>657</v>
      </c>
      <c r="C408" t="s">
        <v>136</v>
      </c>
      <c r="D408">
        <v>44</v>
      </c>
      <c r="E408">
        <v>51</v>
      </c>
      <c r="F408" t="s">
        <v>122</v>
      </c>
      <c r="G408" t="s">
        <v>691</v>
      </c>
      <c r="H408">
        <v>4.0436624999999999</v>
      </c>
      <c r="I408">
        <v>11.2</v>
      </c>
      <c r="J408">
        <v>4</v>
      </c>
      <c r="K408">
        <v>6</v>
      </c>
      <c r="L408">
        <v>1</v>
      </c>
      <c r="M408" t="s">
        <v>684</v>
      </c>
    </row>
    <row r="409" spans="1:13" x14ac:dyDescent="0.25">
      <c r="A409" t="s">
        <v>657</v>
      </c>
      <c r="B409" t="s">
        <v>935</v>
      </c>
      <c r="C409" t="s">
        <v>136</v>
      </c>
      <c r="D409">
        <v>39</v>
      </c>
      <c r="E409">
        <v>63</v>
      </c>
      <c r="F409" t="s">
        <v>122</v>
      </c>
      <c r="G409" t="s">
        <v>692</v>
      </c>
      <c r="H409">
        <v>19.980449999999998</v>
      </c>
      <c r="I409">
        <v>11</v>
      </c>
      <c r="J409">
        <v>1</v>
      </c>
      <c r="K409">
        <v>6</v>
      </c>
      <c r="L409">
        <v>1</v>
      </c>
      <c r="M409" t="s">
        <v>693</v>
      </c>
    </row>
    <row r="410" spans="1:13" x14ac:dyDescent="0.25">
      <c r="A410" t="s">
        <v>657</v>
      </c>
      <c r="B410" t="s">
        <v>936</v>
      </c>
      <c r="C410" t="s">
        <v>136</v>
      </c>
      <c r="D410">
        <v>20</v>
      </c>
      <c r="E410">
        <v>63</v>
      </c>
      <c r="F410" t="s">
        <v>217</v>
      </c>
      <c r="G410" t="s">
        <v>694</v>
      </c>
      <c r="H410">
        <v>9.9902249999999988</v>
      </c>
      <c r="I410">
        <v>12</v>
      </c>
      <c r="J410">
        <v>2</v>
      </c>
      <c r="K410">
        <v>6</v>
      </c>
      <c r="L410">
        <v>1</v>
      </c>
      <c r="M410" t="s">
        <v>695</v>
      </c>
    </row>
    <row r="411" spans="1:13" x14ac:dyDescent="0.25">
      <c r="A411" t="s">
        <v>657</v>
      </c>
      <c r="B411" t="s">
        <v>697</v>
      </c>
      <c r="C411" t="s">
        <v>172</v>
      </c>
      <c r="D411">
        <v>24</v>
      </c>
      <c r="E411">
        <v>78</v>
      </c>
      <c r="F411" t="s">
        <v>217</v>
      </c>
      <c r="G411" t="s">
        <v>696</v>
      </c>
      <c r="H411">
        <v>12.36885</v>
      </c>
      <c r="I411">
        <v>11</v>
      </c>
      <c r="J411">
        <v>2</v>
      </c>
      <c r="K411">
        <v>6</v>
      </c>
      <c r="L411">
        <v>4</v>
      </c>
      <c r="M411" t="s">
        <v>697</v>
      </c>
    </row>
    <row r="412" spans="1:13" x14ac:dyDescent="0.25">
      <c r="A412" t="s">
        <v>657</v>
      </c>
      <c r="C412" t="s">
        <v>136</v>
      </c>
      <c r="D412">
        <v>48</v>
      </c>
      <c r="E412">
        <v>78</v>
      </c>
      <c r="F412" t="s">
        <v>217</v>
      </c>
      <c r="G412" t="s">
        <v>937</v>
      </c>
      <c r="H412">
        <v>12.36885</v>
      </c>
      <c r="I412">
        <v>21</v>
      </c>
      <c r="J412">
        <v>2</v>
      </c>
      <c r="K412">
        <v>6</v>
      </c>
      <c r="L412">
        <v>2</v>
      </c>
      <c r="M412" t="s">
        <v>938</v>
      </c>
    </row>
    <row r="413" spans="1:13" x14ac:dyDescent="0.25">
      <c r="A413" t="s">
        <v>657</v>
      </c>
      <c r="B413" t="s">
        <v>939</v>
      </c>
      <c r="C413" t="s">
        <v>153</v>
      </c>
      <c r="D413">
        <v>4</v>
      </c>
      <c r="E413">
        <v>47</v>
      </c>
      <c r="F413" t="s">
        <v>217</v>
      </c>
      <c r="G413" t="s">
        <v>698</v>
      </c>
      <c r="H413">
        <v>14.906049999999999</v>
      </c>
      <c r="I413">
        <v>11</v>
      </c>
      <c r="J413">
        <v>1</v>
      </c>
      <c r="K413">
        <v>6</v>
      </c>
      <c r="L413">
        <v>1</v>
      </c>
      <c r="M413" t="s">
        <v>699</v>
      </c>
    </row>
    <row r="414" spans="1:13" x14ac:dyDescent="0.25">
      <c r="A414" t="s">
        <v>657</v>
      </c>
      <c r="B414" t="s">
        <v>734</v>
      </c>
      <c r="C414" t="s">
        <v>136</v>
      </c>
      <c r="D414">
        <v>47</v>
      </c>
      <c r="E414">
        <v>57</v>
      </c>
      <c r="F414" t="s">
        <v>122</v>
      </c>
      <c r="G414" t="s">
        <v>700</v>
      </c>
      <c r="H414">
        <v>18.077549999999999</v>
      </c>
      <c r="I414">
        <v>8.5</v>
      </c>
      <c r="J414">
        <v>1</v>
      </c>
      <c r="K414">
        <v>6</v>
      </c>
      <c r="L414">
        <v>1</v>
      </c>
      <c r="M414" t="s">
        <v>701</v>
      </c>
    </row>
    <row r="415" spans="1:13" x14ac:dyDescent="0.25">
      <c r="A415" t="s">
        <v>657</v>
      </c>
      <c r="C415" t="s">
        <v>136</v>
      </c>
      <c r="D415">
        <v>13</v>
      </c>
      <c r="E415">
        <v>57</v>
      </c>
      <c r="F415" t="s">
        <v>217</v>
      </c>
      <c r="G415" t="s">
        <v>702</v>
      </c>
      <c r="H415">
        <v>18.077549999999999</v>
      </c>
      <c r="I415">
        <v>24</v>
      </c>
      <c r="J415">
        <v>1</v>
      </c>
      <c r="K415">
        <v>6</v>
      </c>
      <c r="L415">
        <v>3</v>
      </c>
      <c r="M415" t="s">
        <v>703</v>
      </c>
    </row>
    <row r="416" spans="1:13" x14ac:dyDescent="0.25">
      <c r="A416" t="s">
        <v>657</v>
      </c>
      <c r="C416" t="s">
        <v>136</v>
      </c>
      <c r="D416">
        <v>33</v>
      </c>
      <c r="E416">
        <v>57</v>
      </c>
      <c r="F416" t="s">
        <v>217</v>
      </c>
      <c r="G416" t="s">
        <v>702</v>
      </c>
      <c r="H416">
        <v>18.077549999999999</v>
      </c>
      <c r="I416">
        <v>24</v>
      </c>
      <c r="J416">
        <v>1</v>
      </c>
      <c r="K416">
        <v>6</v>
      </c>
      <c r="L416">
        <v>3</v>
      </c>
      <c r="M416" t="s">
        <v>703</v>
      </c>
    </row>
    <row r="417" spans="1:13" x14ac:dyDescent="0.25">
      <c r="A417" t="s">
        <v>657</v>
      </c>
      <c r="C417" t="s">
        <v>172</v>
      </c>
      <c r="D417">
        <v>3</v>
      </c>
      <c r="E417">
        <v>47</v>
      </c>
      <c r="F417" t="s">
        <v>217</v>
      </c>
      <c r="G417" t="s">
        <v>704</v>
      </c>
      <c r="H417">
        <v>4.9686833333333329</v>
      </c>
      <c r="I417">
        <v>23.5</v>
      </c>
      <c r="J417">
        <v>3</v>
      </c>
      <c r="K417">
        <v>6</v>
      </c>
      <c r="L417">
        <v>1</v>
      </c>
      <c r="M417" t="s">
        <v>705</v>
      </c>
    </row>
    <row r="418" spans="1:13" x14ac:dyDescent="0.25">
      <c r="A418" t="s">
        <v>657</v>
      </c>
      <c r="B418" t="s">
        <v>940</v>
      </c>
      <c r="C418" t="s">
        <v>136</v>
      </c>
      <c r="D418">
        <v>49</v>
      </c>
      <c r="E418">
        <v>63</v>
      </c>
      <c r="F418" t="s">
        <v>217</v>
      </c>
      <c r="G418" t="s">
        <v>706</v>
      </c>
      <c r="H418">
        <v>19.980449999999998</v>
      </c>
      <c r="I418">
        <v>23.5</v>
      </c>
      <c r="J418">
        <v>1</v>
      </c>
      <c r="K418">
        <v>6</v>
      </c>
      <c r="L418">
        <v>1</v>
      </c>
      <c r="M418" t="s">
        <v>941</v>
      </c>
    </row>
    <row r="419" spans="1:13" x14ac:dyDescent="0.25">
      <c r="A419" t="s">
        <v>657</v>
      </c>
      <c r="B419" t="s">
        <v>717</v>
      </c>
      <c r="C419" t="s">
        <v>136</v>
      </c>
      <c r="D419">
        <v>46</v>
      </c>
      <c r="E419">
        <v>63</v>
      </c>
      <c r="F419" t="s">
        <v>122</v>
      </c>
      <c r="G419" t="s">
        <v>707</v>
      </c>
      <c r="H419">
        <v>6.6601499999999998</v>
      </c>
      <c r="I419">
        <v>10.5</v>
      </c>
      <c r="J419">
        <v>3</v>
      </c>
      <c r="K419">
        <v>6</v>
      </c>
      <c r="L419">
        <v>2</v>
      </c>
      <c r="M419" t="s">
        <v>708</v>
      </c>
    </row>
    <row r="420" spans="1:13" x14ac:dyDescent="0.25">
      <c r="A420" t="s">
        <v>657</v>
      </c>
    </row>
    <row r="421" spans="1:13" x14ac:dyDescent="0.25">
      <c r="A421" t="s">
        <v>657</v>
      </c>
      <c r="B421" t="s">
        <v>942</v>
      </c>
      <c r="C421" t="s">
        <v>172</v>
      </c>
      <c r="D421">
        <v>12</v>
      </c>
      <c r="E421">
        <v>54</v>
      </c>
      <c r="F421" t="s">
        <v>709</v>
      </c>
      <c r="G421">
        <v>4</v>
      </c>
      <c r="H421">
        <v>4.2815250000000002</v>
      </c>
      <c r="I421">
        <v>9</v>
      </c>
      <c r="J421">
        <v>4</v>
      </c>
      <c r="K421">
        <v>6</v>
      </c>
      <c r="L421">
        <v>1</v>
      </c>
      <c r="M421" t="s">
        <v>710</v>
      </c>
    </row>
    <row r="422" spans="1:13" x14ac:dyDescent="0.25">
      <c r="A422" t="s">
        <v>657</v>
      </c>
      <c r="B422" t="s">
        <v>933</v>
      </c>
      <c r="C422" t="s">
        <v>136</v>
      </c>
      <c r="D422">
        <v>1</v>
      </c>
      <c r="E422">
        <v>47</v>
      </c>
      <c r="F422" t="s">
        <v>709</v>
      </c>
      <c r="G422">
        <v>4.76</v>
      </c>
      <c r="H422">
        <v>4.9686833333333329</v>
      </c>
      <c r="I422">
        <v>5.5</v>
      </c>
      <c r="J422">
        <v>3</v>
      </c>
      <c r="K422">
        <v>6</v>
      </c>
      <c r="L422">
        <v>1</v>
      </c>
      <c r="M422" t="s">
        <v>711</v>
      </c>
    </row>
    <row r="423" spans="1:13" x14ac:dyDescent="0.25">
      <c r="A423" t="s">
        <v>657</v>
      </c>
      <c r="C423" t="s">
        <v>136</v>
      </c>
      <c r="D423">
        <v>34</v>
      </c>
      <c r="E423">
        <v>47</v>
      </c>
      <c r="F423" t="s">
        <v>709</v>
      </c>
      <c r="G423">
        <v>4.76</v>
      </c>
      <c r="H423">
        <v>4.9686833333333329</v>
      </c>
      <c r="I423">
        <v>5.5</v>
      </c>
      <c r="J423">
        <v>3</v>
      </c>
      <c r="K423">
        <v>6</v>
      </c>
      <c r="L423">
        <v>4</v>
      </c>
      <c r="M423" t="s">
        <v>230</v>
      </c>
    </row>
    <row r="424" spans="1:13" x14ac:dyDescent="0.25">
      <c r="A424" t="s">
        <v>657</v>
      </c>
      <c r="B424" t="s">
        <v>943</v>
      </c>
      <c r="C424" t="s">
        <v>136</v>
      </c>
      <c r="D424">
        <v>26</v>
      </c>
      <c r="E424">
        <v>47</v>
      </c>
      <c r="F424" t="s">
        <v>709</v>
      </c>
      <c r="G424" t="s">
        <v>712</v>
      </c>
      <c r="H424">
        <v>4.9686833333333329</v>
      </c>
      <c r="I424">
        <v>12</v>
      </c>
      <c r="J424">
        <v>3</v>
      </c>
      <c r="K424">
        <v>6</v>
      </c>
      <c r="L424">
        <v>1</v>
      </c>
      <c r="M424" t="s">
        <v>662</v>
      </c>
    </row>
    <row r="425" spans="1:13" x14ac:dyDescent="0.25">
      <c r="A425" t="s">
        <v>657</v>
      </c>
      <c r="B425" t="s">
        <v>933</v>
      </c>
      <c r="C425" t="s">
        <v>136</v>
      </c>
      <c r="D425">
        <v>1</v>
      </c>
      <c r="E425">
        <v>47</v>
      </c>
      <c r="F425" t="s">
        <v>709</v>
      </c>
      <c r="G425" t="s">
        <v>713</v>
      </c>
      <c r="H425">
        <v>4.9686833333333329</v>
      </c>
      <c r="I425">
        <v>5.5</v>
      </c>
      <c r="J425">
        <v>3</v>
      </c>
      <c r="K425">
        <v>6</v>
      </c>
      <c r="L425">
        <v>1</v>
      </c>
      <c r="M425" t="s">
        <v>677</v>
      </c>
    </row>
    <row r="426" spans="1:13" x14ac:dyDescent="0.25">
      <c r="A426" t="s">
        <v>657</v>
      </c>
      <c r="B426" t="s">
        <v>939</v>
      </c>
      <c r="C426" t="s">
        <v>153</v>
      </c>
      <c r="D426">
        <v>4</v>
      </c>
      <c r="E426">
        <v>47</v>
      </c>
      <c r="F426" t="s">
        <v>709</v>
      </c>
      <c r="G426" t="s">
        <v>714</v>
      </c>
      <c r="H426">
        <v>3.7265124999999997</v>
      </c>
      <c r="I426">
        <v>11</v>
      </c>
      <c r="J426">
        <v>4</v>
      </c>
      <c r="K426">
        <v>6</v>
      </c>
      <c r="L426">
        <v>2</v>
      </c>
      <c r="M426" t="s">
        <v>715</v>
      </c>
    </row>
    <row r="427" spans="1:13" x14ac:dyDescent="0.25">
      <c r="A427" t="s">
        <v>657</v>
      </c>
      <c r="B427" t="s">
        <v>944</v>
      </c>
      <c r="C427" t="s">
        <v>172</v>
      </c>
      <c r="D427">
        <v>50</v>
      </c>
      <c r="E427">
        <v>51</v>
      </c>
      <c r="F427" t="s">
        <v>709</v>
      </c>
      <c r="G427" t="s">
        <v>716</v>
      </c>
      <c r="H427">
        <v>16.17465</v>
      </c>
      <c r="I427">
        <v>13</v>
      </c>
      <c r="J427">
        <v>1</v>
      </c>
      <c r="K427">
        <v>6</v>
      </c>
      <c r="L427">
        <v>2</v>
      </c>
      <c r="M427" t="s">
        <v>717</v>
      </c>
    </row>
    <row r="428" spans="1:13" x14ac:dyDescent="0.25">
      <c r="A428" t="s">
        <v>657</v>
      </c>
      <c r="C428" t="s">
        <v>136</v>
      </c>
      <c r="D428">
        <v>9</v>
      </c>
      <c r="E428">
        <v>54</v>
      </c>
      <c r="F428" t="s">
        <v>709</v>
      </c>
      <c r="G428" t="s">
        <v>718</v>
      </c>
      <c r="H428">
        <v>5.7086999999999994</v>
      </c>
      <c r="I428">
        <v>25</v>
      </c>
      <c r="J428">
        <v>3</v>
      </c>
      <c r="K428">
        <v>6</v>
      </c>
      <c r="L428">
        <v>5</v>
      </c>
      <c r="M428" t="s">
        <v>223</v>
      </c>
    </row>
    <row r="429" spans="1:13" x14ac:dyDescent="0.25">
      <c r="A429" t="s">
        <v>657</v>
      </c>
      <c r="B429" t="s">
        <v>945</v>
      </c>
      <c r="C429" t="s">
        <v>172</v>
      </c>
      <c r="D429">
        <v>12</v>
      </c>
      <c r="E429">
        <v>54</v>
      </c>
      <c r="F429" t="s">
        <v>126</v>
      </c>
      <c r="G429" t="s">
        <v>719</v>
      </c>
      <c r="H429">
        <v>4.2815250000000002</v>
      </c>
      <c r="I429">
        <v>6.5</v>
      </c>
      <c r="J429">
        <v>4</v>
      </c>
      <c r="K429">
        <v>6</v>
      </c>
      <c r="L429">
        <v>1</v>
      </c>
      <c r="M429" t="s">
        <v>720</v>
      </c>
    </row>
    <row r="430" spans="1:13" x14ac:dyDescent="0.25">
      <c r="A430" t="s">
        <v>657</v>
      </c>
      <c r="B430" t="s">
        <v>946</v>
      </c>
      <c r="C430" t="s">
        <v>136</v>
      </c>
      <c r="D430">
        <v>27</v>
      </c>
      <c r="E430">
        <v>57</v>
      </c>
      <c r="F430" t="s">
        <v>709</v>
      </c>
      <c r="G430" t="s">
        <v>721</v>
      </c>
      <c r="H430">
        <v>6.0258500000000002</v>
      </c>
      <c r="I430">
        <v>6.5</v>
      </c>
      <c r="J430">
        <v>3</v>
      </c>
      <c r="K430">
        <v>6</v>
      </c>
      <c r="L430">
        <v>1</v>
      </c>
      <c r="M430" t="s">
        <v>722</v>
      </c>
    </row>
    <row r="431" spans="1:13" x14ac:dyDescent="0.25">
      <c r="A431" t="s">
        <v>657</v>
      </c>
      <c r="B431" t="s">
        <v>933</v>
      </c>
      <c r="C431" t="s">
        <v>136</v>
      </c>
      <c r="D431">
        <v>1</v>
      </c>
      <c r="E431">
        <v>47</v>
      </c>
      <c r="F431" t="s">
        <v>126</v>
      </c>
      <c r="G431" t="s">
        <v>723</v>
      </c>
      <c r="H431">
        <v>7.4530249999999993</v>
      </c>
      <c r="I431">
        <v>7</v>
      </c>
      <c r="J431">
        <v>2</v>
      </c>
      <c r="K431">
        <v>6</v>
      </c>
      <c r="L431">
        <v>1</v>
      </c>
      <c r="M431" t="s">
        <v>677</v>
      </c>
    </row>
    <row r="432" spans="1:13" x14ac:dyDescent="0.25">
      <c r="A432" t="s">
        <v>657</v>
      </c>
      <c r="B432" t="s">
        <v>946</v>
      </c>
      <c r="C432" t="s">
        <v>136</v>
      </c>
      <c r="D432">
        <v>27</v>
      </c>
      <c r="E432">
        <v>57</v>
      </c>
      <c r="F432" t="s">
        <v>709</v>
      </c>
      <c r="G432" t="s">
        <v>724</v>
      </c>
      <c r="H432">
        <v>6.0258500000000002</v>
      </c>
      <c r="I432">
        <v>7.5</v>
      </c>
      <c r="J432">
        <v>3</v>
      </c>
      <c r="K432">
        <v>6</v>
      </c>
      <c r="L432">
        <v>1</v>
      </c>
      <c r="M432" t="s">
        <v>725</v>
      </c>
    </row>
    <row r="433" spans="1:13" x14ac:dyDescent="0.25">
      <c r="A433" t="s">
        <v>657</v>
      </c>
      <c r="B433" t="s">
        <v>732</v>
      </c>
      <c r="C433" t="s">
        <v>136</v>
      </c>
      <c r="D433">
        <v>43</v>
      </c>
      <c r="E433">
        <v>47</v>
      </c>
      <c r="F433" t="s">
        <v>709</v>
      </c>
      <c r="G433" t="s">
        <v>726</v>
      </c>
      <c r="H433">
        <v>7.4530249999999993</v>
      </c>
      <c r="I433">
        <v>6.5</v>
      </c>
      <c r="J433">
        <v>2</v>
      </c>
      <c r="K433">
        <v>6</v>
      </c>
      <c r="L433">
        <v>1</v>
      </c>
      <c r="M433" t="s">
        <v>727</v>
      </c>
    </row>
    <row r="434" spans="1:13" x14ac:dyDescent="0.25">
      <c r="A434" t="s">
        <v>657</v>
      </c>
      <c r="C434" t="s">
        <v>172</v>
      </c>
      <c r="D434">
        <v>16</v>
      </c>
      <c r="E434">
        <v>57</v>
      </c>
      <c r="F434" t="s">
        <v>709</v>
      </c>
      <c r="G434" t="s">
        <v>728</v>
      </c>
      <c r="H434">
        <v>6.0258500000000002</v>
      </c>
      <c r="I434">
        <v>8.5</v>
      </c>
      <c r="J434">
        <v>3</v>
      </c>
      <c r="K434">
        <v>6</v>
      </c>
      <c r="L434">
        <v>1</v>
      </c>
      <c r="M434" t="s">
        <v>499</v>
      </c>
    </row>
    <row r="435" spans="1:13" x14ac:dyDescent="0.25">
      <c r="A435" t="s">
        <v>657</v>
      </c>
      <c r="B435" t="s">
        <v>947</v>
      </c>
      <c r="C435" t="s">
        <v>172</v>
      </c>
      <c r="D435">
        <v>12</v>
      </c>
      <c r="E435">
        <v>54</v>
      </c>
      <c r="F435" t="s">
        <v>709</v>
      </c>
      <c r="G435" t="s">
        <v>729</v>
      </c>
      <c r="H435">
        <v>8.5630500000000005</v>
      </c>
      <c r="I435">
        <v>6.5</v>
      </c>
      <c r="J435">
        <v>2</v>
      </c>
      <c r="K435">
        <v>6</v>
      </c>
      <c r="L435">
        <v>1</v>
      </c>
      <c r="M435" t="s">
        <v>730</v>
      </c>
    </row>
    <row r="436" spans="1:13" x14ac:dyDescent="0.25">
      <c r="A436" t="s">
        <v>657</v>
      </c>
      <c r="B436" t="s">
        <v>727</v>
      </c>
      <c r="C436" t="s">
        <v>136</v>
      </c>
      <c r="D436">
        <v>43</v>
      </c>
      <c r="E436">
        <v>47</v>
      </c>
      <c r="F436" t="s">
        <v>709</v>
      </c>
      <c r="G436" t="s">
        <v>731</v>
      </c>
      <c r="H436">
        <v>4.9686833333333329</v>
      </c>
      <c r="I436">
        <v>18</v>
      </c>
      <c r="J436">
        <v>3</v>
      </c>
      <c r="K436">
        <v>6</v>
      </c>
      <c r="L436">
        <v>2</v>
      </c>
      <c r="M436" t="s">
        <v>732</v>
      </c>
    </row>
    <row r="437" spans="1:13" x14ac:dyDescent="0.25">
      <c r="A437" t="s">
        <v>657</v>
      </c>
      <c r="B437" t="s">
        <v>948</v>
      </c>
      <c r="C437" t="s">
        <v>136</v>
      </c>
      <c r="D437">
        <v>47</v>
      </c>
      <c r="E437">
        <v>57</v>
      </c>
      <c r="F437" t="s">
        <v>126</v>
      </c>
      <c r="G437" t="s">
        <v>733</v>
      </c>
      <c r="H437">
        <v>9.0387749999999993</v>
      </c>
      <c r="I437">
        <v>14</v>
      </c>
      <c r="J437">
        <v>2</v>
      </c>
      <c r="K437">
        <v>6</v>
      </c>
      <c r="L437">
        <v>2</v>
      </c>
      <c r="M437" t="s">
        <v>734</v>
      </c>
    </row>
    <row r="438" spans="1:13" x14ac:dyDescent="0.25">
      <c r="A438" t="s">
        <v>657</v>
      </c>
      <c r="B438" t="s">
        <v>949</v>
      </c>
      <c r="C438" t="s">
        <v>136</v>
      </c>
      <c r="D438">
        <v>42</v>
      </c>
      <c r="E438">
        <v>47</v>
      </c>
      <c r="F438" t="s">
        <v>709</v>
      </c>
      <c r="G438" t="s">
        <v>735</v>
      </c>
      <c r="H438">
        <v>14.906049999999999</v>
      </c>
      <c r="I438">
        <v>9.5</v>
      </c>
      <c r="J438">
        <v>1</v>
      </c>
      <c r="K438">
        <v>6</v>
      </c>
      <c r="L438">
        <v>1</v>
      </c>
      <c r="M438" t="s">
        <v>624</v>
      </c>
    </row>
    <row r="439" spans="1:13" x14ac:dyDescent="0.25">
      <c r="A439" t="s">
        <v>657</v>
      </c>
      <c r="B439" t="s">
        <v>950</v>
      </c>
      <c r="C439" t="s">
        <v>136</v>
      </c>
      <c r="D439">
        <v>20</v>
      </c>
      <c r="E439">
        <v>63</v>
      </c>
      <c r="F439" t="s">
        <v>709</v>
      </c>
      <c r="G439" t="s">
        <v>736</v>
      </c>
      <c r="H439">
        <v>9.9902249999999988</v>
      </c>
      <c r="I439">
        <v>6.5</v>
      </c>
      <c r="J439">
        <v>2</v>
      </c>
      <c r="K439">
        <v>6</v>
      </c>
      <c r="L439">
        <v>1</v>
      </c>
      <c r="M439" t="s">
        <v>737</v>
      </c>
    </row>
    <row r="440" spans="1:13" x14ac:dyDescent="0.25">
      <c r="A440" t="s">
        <v>657</v>
      </c>
      <c r="B440" t="s">
        <v>951</v>
      </c>
      <c r="C440" t="s">
        <v>136</v>
      </c>
      <c r="D440">
        <v>21</v>
      </c>
      <c r="E440">
        <v>63</v>
      </c>
      <c r="F440" t="s">
        <v>709</v>
      </c>
      <c r="G440" t="s">
        <v>738</v>
      </c>
      <c r="H440">
        <v>9.9902249999999988</v>
      </c>
      <c r="I440">
        <v>7</v>
      </c>
      <c r="J440">
        <v>2</v>
      </c>
      <c r="K440">
        <v>6</v>
      </c>
      <c r="L440">
        <v>1</v>
      </c>
      <c r="M440" t="s">
        <v>739</v>
      </c>
    </row>
    <row r="441" spans="1:13" x14ac:dyDescent="0.25">
      <c r="A441" t="s">
        <v>657</v>
      </c>
      <c r="B441" t="s">
        <v>741</v>
      </c>
      <c r="C441" t="s">
        <v>172</v>
      </c>
      <c r="D441">
        <v>17</v>
      </c>
      <c r="E441">
        <v>57</v>
      </c>
      <c r="F441" t="s">
        <v>709</v>
      </c>
      <c r="G441" t="s">
        <v>740</v>
      </c>
      <c r="H441">
        <v>9.0387749999999993</v>
      </c>
      <c r="I441">
        <v>10.5</v>
      </c>
      <c r="J441">
        <v>2</v>
      </c>
      <c r="K441">
        <v>6</v>
      </c>
      <c r="L441">
        <v>1</v>
      </c>
      <c r="M441" t="s">
        <v>741</v>
      </c>
    </row>
    <row r="442" spans="1:13" x14ac:dyDescent="0.25">
      <c r="A442" t="s">
        <v>657</v>
      </c>
    </row>
    <row r="443" spans="1:13" x14ac:dyDescent="0.25">
      <c r="A443" t="s">
        <v>657</v>
      </c>
      <c r="C443" t="s">
        <v>136</v>
      </c>
      <c r="D443">
        <v>28</v>
      </c>
      <c r="E443">
        <v>63</v>
      </c>
      <c r="F443" t="s">
        <v>709</v>
      </c>
      <c r="G443" t="s">
        <v>591</v>
      </c>
      <c r="H443">
        <v>6.6601499999999998</v>
      </c>
      <c r="I443">
        <v>10.5</v>
      </c>
      <c r="J443">
        <v>3</v>
      </c>
      <c r="K443">
        <v>6</v>
      </c>
      <c r="L443">
        <v>1</v>
      </c>
      <c r="M443" t="s">
        <v>742</v>
      </c>
    </row>
    <row r="444" spans="1:13" x14ac:dyDescent="0.25">
      <c r="A444" t="s">
        <v>657</v>
      </c>
      <c r="B444" t="s">
        <v>952</v>
      </c>
      <c r="C444" t="s">
        <v>136</v>
      </c>
      <c r="D444">
        <v>2</v>
      </c>
      <c r="E444">
        <v>47</v>
      </c>
      <c r="F444" t="s">
        <v>709</v>
      </c>
      <c r="G444" t="s">
        <v>743</v>
      </c>
      <c r="H444">
        <v>7.4530249999999993</v>
      </c>
      <c r="I444">
        <v>10.5</v>
      </c>
      <c r="J444">
        <v>2</v>
      </c>
      <c r="L444">
        <v>1</v>
      </c>
      <c r="M444" t="s">
        <v>744</v>
      </c>
    </row>
    <row r="445" spans="1:13" x14ac:dyDescent="0.25">
      <c r="A445" t="s">
        <v>657</v>
      </c>
      <c r="C445" t="s">
        <v>136</v>
      </c>
      <c r="D445">
        <v>37</v>
      </c>
      <c r="E445">
        <v>57</v>
      </c>
      <c r="F445" t="s">
        <v>126</v>
      </c>
      <c r="G445" t="s">
        <v>745</v>
      </c>
      <c r="H445">
        <v>9.0387749999999993</v>
      </c>
      <c r="I445">
        <v>11</v>
      </c>
      <c r="J445">
        <v>2</v>
      </c>
      <c r="K445">
        <v>6</v>
      </c>
      <c r="L445">
        <v>1</v>
      </c>
      <c r="M445" t="s">
        <v>746</v>
      </c>
    </row>
    <row r="446" spans="1:13" x14ac:dyDescent="0.25">
      <c r="A446" t="s">
        <v>657</v>
      </c>
      <c r="B446" t="s">
        <v>946</v>
      </c>
      <c r="C446" t="s">
        <v>136</v>
      </c>
      <c r="D446">
        <v>27</v>
      </c>
      <c r="E446">
        <v>57</v>
      </c>
      <c r="F446" t="s">
        <v>709</v>
      </c>
      <c r="G446" t="s">
        <v>747</v>
      </c>
      <c r="H446">
        <v>9.0387749999999993</v>
      </c>
      <c r="I446">
        <v>11</v>
      </c>
      <c r="J446">
        <v>2</v>
      </c>
      <c r="K446">
        <v>6</v>
      </c>
      <c r="L446">
        <v>1</v>
      </c>
      <c r="M446" t="s">
        <v>748</v>
      </c>
    </row>
    <row r="447" spans="1:13" x14ac:dyDescent="0.25">
      <c r="A447" t="s">
        <v>657</v>
      </c>
      <c r="C447" t="s">
        <v>172</v>
      </c>
      <c r="D447">
        <v>22</v>
      </c>
      <c r="E447">
        <v>63</v>
      </c>
      <c r="F447" t="s">
        <v>126</v>
      </c>
      <c r="G447" t="s">
        <v>749</v>
      </c>
      <c r="H447">
        <v>9.9902249999999988</v>
      </c>
      <c r="I447">
        <v>11</v>
      </c>
      <c r="J447">
        <v>2</v>
      </c>
      <c r="L447">
        <v>1</v>
      </c>
      <c r="M447" t="s">
        <v>750</v>
      </c>
    </row>
    <row r="448" spans="1:13" x14ac:dyDescent="0.25">
      <c r="A448" t="s">
        <v>657</v>
      </c>
      <c r="B448" t="s">
        <v>927</v>
      </c>
      <c r="C448" t="s">
        <v>136</v>
      </c>
      <c r="D448">
        <v>26</v>
      </c>
      <c r="E448">
        <v>47</v>
      </c>
      <c r="F448" t="s">
        <v>126</v>
      </c>
      <c r="G448" t="s">
        <v>751</v>
      </c>
      <c r="H448">
        <v>4.9686833333333329</v>
      </c>
      <c r="I448">
        <v>12</v>
      </c>
      <c r="J448">
        <v>3</v>
      </c>
      <c r="K448">
        <v>6</v>
      </c>
      <c r="L448">
        <v>1</v>
      </c>
      <c r="M448" t="s">
        <v>662</v>
      </c>
    </row>
    <row r="449" spans="1:13" x14ac:dyDescent="0.25">
      <c r="A449" t="s">
        <v>657</v>
      </c>
      <c r="B449" t="s">
        <v>953</v>
      </c>
      <c r="C449" t="s">
        <v>136</v>
      </c>
      <c r="D449">
        <v>21</v>
      </c>
      <c r="E449">
        <v>63</v>
      </c>
      <c r="F449" t="s">
        <v>709</v>
      </c>
      <c r="G449" t="s">
        <v>752</v>
      </c>
      <c r="H449">
        <v>9.9902249999999988</v>
      </c>
      <c r="I449">
        <v>11.5</v>
      </c>
      <c r="J449">
        <v>2</v>
      </c>
      <c r="K449">
        <v>6</v>
      </c>
      <c r="L449">
        <v>1</v>
      </c>
      <c r="M449" t="s">
        <v>753</v>
      </c>
    </row>
    <row r="450" spans="1:13" x14ac:dyDescent="0.25">
      <c r="A450" t="s">
        <v>657</v>
      </c>
      <c r="C450" t="s">
        <v>172</v>
      </c>
      <c r="D450">
        <v>22</v>
      </c>
      <c r="E450">
        <v>63</v>
      </c>
      <c r="F450" t="s">
        <v>709</v>
      </c>
      <c r="G450" t="s">
        <v>754</v>
      </c>
      <c r="H450">
        <v>6.6601499999999998</v>
      </c>
      <c r="I450">
        <v>14</v>
      </c>
      <c r="J450">
        <v>3</v>
      </c>
      <c r="L450">
        <v>1</v>
      </c>
      <c r="M450" t="s">
        <v>755</v>
      </c>
    </row>
    <row r="451" spans="1:13" x14ac:dyDescent="0.25">
      <c r="A451" t="s">
        <v>657</v>
      </c>
      <c r="B451" t="s">
        <v>528</v>
      </c>
      <c r="C451" t="s">
        <v>136</v>
      </c>
      <c r="D451">
        <v>39</v>
      </c>
      <c r="E451">
        <v>63</v>
      </c>
      <c r="F451" t="s">
        <v>709</v>
      </c>
      <c r="G451" t="s">
        <v>756</v>
      </c>
      <c r="H451">
        <v>9.9902249999999988</v>
      </c>
      <c r="I451">
        <v>14</v>
      </c>
      <c r="J451">
        <v>2</v>
      </c>
      <c r="K451">
        <v>6</v>
      </c>
      <c r="L451">
        <v>1</v>
      </c>
      <c r="M451" t="s">
        <v>757</v>
      </c>
    </row>
    <row r="452" spans="1:13" x14ac:dyDescent="0.25">
      <c r="A452" t="s">
        <v>657</v>
      </c>
      <c r="C452" t="s">
        <v>136</v>
      </c>
      <c r="D452">
        <v>37</v>
      </c>
      <c r="E452">
        <v>57</v>
      </c>
      <c r="F452" t="s">
        <v>126</v>
      </c>
      <c r="G452" t="s">
        <v>758</v>
      </c>
      <c r="H452">
        <v>9.0387749999999993</v>
      </c>
      <c r="I452">
        <v>14.5</v>
      </c>
      <c r="J452">
        <v>2</v>
      </c>
      <c r="K452">
        <v>6</v>
      </c>
      <c r="L452">
        <v>1</v>
      </c>
      <c r="M452" t="s">
        <v>565</v>
      </c>
    </row>
    <row r="453" spans="1:13" x14ac:dyDescent="0.25">
      <c r="A453" t="s">
        <v>657</v>
      </c>
      <c r="B453" t="s">
        <v>954</v>
      </c>
      <c r="C453" t="s">
        <v>136</v>
      </c>
      <c r="D453">
        <v>26</v>
      </c>
      <c r="E453">
        <v>47</v>
      </c>
      <c r="F453" t="s">
        <v>709</v>
      </c>
      <c r="G453" t="s">
        <v>759</v>
      </c>
      <c r="H453">
        <v>14.906049999999999</v>
      </c>
      <c r="I453">
        <v>8.5</v>
      </c>
      <c r="J453">
        <v>1</v>
      </c>
      <c r="K453">
        <v>6</v>
      </c>
      <c r="L453">
        <v>1</v>
      </c>
      <c r="M453" t="s">
        <v>662</v>
      </c>
    </row>
    <row r="454" spans="1:13" x14ac:dyDescent="0.25">
      <c r="A454" t="s">
        <v>657</v>
      </c>
      <c r="B454" t="s">
        <v>955</v>
      </c>
      <c r="C454" t="s">
        <v>136</v>
      </c>
      <c r="D454">
        <v>42</v>
      </c>
      <c r="E454">
        <v>47</v>
      </c>
      <c r="F454" t="s">
        <v>709</v>
      </c>
      <c r="G454" t="s">
        <v>760</v>
      </c>
      <c r="H454">
        <v>14.906049999999999</v>
      </c>
      <c r="I454">
        <v>11</v>
      </c>
      <c r="J454">
        <v>1</v>
      </c>
      <c r="K454">
        <v>6</v>
      </c>
      <c r="L454">
        <v>1</v>
      </c>
      <c r="M454" t="s">
        <v>761</v>
      </c>
    </row>
    <row r="455" spans="1:13" x14ac:dyDescent="0.25">
      <c r="A455" t="s">
        <v>657</v>
      </c>
      <c r="B455" t="s">
        <v>956</v>
      </c>
      <c r="C455" t="s">
        <v>136</v>
      </c>
      <c r="D455">
        <v>2</v>
      </c>
      <c r="E455">
        <v>47</v>
      </c>
      <c r="F455" t="s">
        <v>709</v>
      </c>
      <c r="G455" t="s">
        <v>762</v>
      </c>
      <c r="H455">
        <v>14.906049999999999</v>
      </c>
      <c r="I455">
        <v>13</v>
      </c>
      <c r="J455">
        <v>1</v>
      </c>
      <c r="L455">
        <v>1</v>
      </c>
      <c r="M455" t="s">
        <v>744</v>
      </c>
    </row>
    <row r="456" spans="1:13" x14ac:dyDescent="0.25">
      <c r="A456" t="s">
        <v>657</v>
      </c>
      <c r="B456" t="s">
        <v>957</v>
      </c>
      <c r="C456" t="s">
        <v>172</v>
      </c>
      <c r="D456">
        <v>41</v>
      </c>
      <c r="E456">
        <v>47</v>
      </c>
      <c r="F456" t="s">
        <v>709</v>
      </c>
      <c r="G456" t="s">
        <v>763</v>
      </c>
      <c r="H456">
        <v>14.906049999999999</v>
      </c>
      <c r="I456">
        <v>13.5</v>
      </c>
      <c r="J456">
        <v>1</v>
      </c>
      <c r="K456">
        <v>6</v>
      </c>
      <c r="L456">
        <v>1</v>
      </c>
      <c r="M456" t="s">
        <v>764</v>
      </c>
    </row>
    <row r="457" spans="1:13" x14ac:dyDescent="0.25">
      <c r="A457" t="s">
        <v>657</v>
      </c>
      <c r="B457" t="s">
        <v>766</v>
      </c>
      <c r="C457" t="s">
        <v>172</v>
      </c>
      <c r="D457">
        <v>17</v>
      </c>
      <c r="E457">
        <v>57</v>
      </c>
      <c r="F457" t="s">
        <v>709</v>
      </c>
      <c r="G457" t="s">
        <v>765</v>
      </c>
      <c r="H457">
        <v>18.077549999999999</v>
      </c>
      <c r="I457">
        <v>14.5</v>
      </c>
      <c r="J457">
        <v>1</v>
      </c>
      <c r="K457">
        <v>6</v>
      </c>
      <c r="L457">
        <v>2</v>
      </c>
      <c r="M457" t="s">
        <v>766</v>
      </c>
    </row>
    <row r="458" spans="1:13" x14ac:dyDescent="0.25">
      <c r="A458" t="s">
        <v>657</v>
      </c>
      <c r="B458" t="s">
        <v>958</v>
      </c>
      <c r="C458" t="s">
        <v>136</v>
      </c>
      <c r="D458">
        <v>21</v>
      </c>
      <c r="E458">
        <v>63</v>
      </c>
      <c r="F458" t="s">
        <v>709</v>
      </c>
      <c r="G458" t="s">
        <v>767</v>
      </c>
      <c r="H458">
        <v>2.2200499999999996</v>
      </c>
      <c r="I458">
        <v>6.5</v>
      </c>
      <c r="J458">
        <v>9</v>
      </c>
      <c r="K458">
        <v>6</v>
      </c>
      <c r="L458">
        <v>1</v>
      </c>
      <c r="M458" t="s">
        <v>739</v>
      </c>
    </row>
    <row r="459" spans="1:13" x14ac:dyDescent="0.25">
      <c r="A459" t="s">
        <v>657</v>
      </c>
      <c r="B459" t="s">
        <v>959</v>
      </c>
      <c r="C459" t="s">
        <v>136</v>
      </c>
      <c r="D459">
        <v>49</v>
      </c>
      <c r="E459">
        <v>63</v>
      </c>
      <c r="F459" t="s">
        <v>709</v>
      </c>
      <c r="G459" t="s">
        <v>788</v>
      </c>
      <c r="H459">
        <v>19.980449999999998</v>
      </c>
      <c r="I459">
        <v>9.5</v>
      </c>
      <c r="J459">
        <v>1</v>
      </c>
      <c r="K459">
        <v>6</v>
      </c>
      <c r="L459">
        <v>1</v>
      </c>
      <c r="M459" t="s">
        <v>960</v>
      </c>
    </row>
    <row r="460" spans="1:13" x14ac:dyDescent="0.25">
      <c r="A460" t="s">
        <v>657</v>
      </c>
      <c r="C460" t="s">
        <v>136</v>
      </c>
      <c r="D460">
        <v>36</v>
      </c>
      <c r="E460">
        <v>51</v>
      </c>
      <c r="F460" t="s">
        <v>709</v>
      </c>
      <c r="G460" t="s">
        <v>768</v>
      </c>
      <c r="H460">
        <v>5.3915500000000005</v>
      </c>
      <c r="I460">
        <v>230</v>
      </c>
      <c r="J460">
        <v>3</v>
      </c>
      <c r="K460">
        <v>6</v>
      </c>
      <c r="L460">
        <v>1</v>
      </c>
      <c r="M460" t="s">
        <v>230</v>
      </c>
    </row>
    <row r="461" spans="1:13" x14ac:dyDescent="0.25">
      <c r="A461" t="s">
        <v>657</v>
      </c>
      <c r="B461" t="s">
        <v>961</v>
      </c>
      <c r="C461" t="s">
        <v>172</v>
      </c>
      <c r="D461">
        <v>25</v>
      </c>
      <c r="E461">
        <v>98</v>
      </c>
      <c r="F461" t="s">
        <v>709</v>
      </c>
      <c r="G461" t="s">
        <v>769</v>
      </c>
      <c r="H461">
        <v>31.0807</v>
      </c>
      <c r="I461">
        <v>11</v>
      </c>
      <c r="J461">
        <v>1</v>
      </c>
      <c r="K461">
        <v>6</v>
      </c>
      <c r="L461">
        <v>3</v>
      </c>
      <c r="M461" t="s">
        <v>770</v>
      </c>
    </row>
    <row r="462" spans="1:13" x14ac:dyDescent="0.25">
      <c r="A462" t="s">
        <v>657</v>
      </c>
      <c r="C462" t="s">
        <v>136</v>
      </c>
      <c r="D462">
        <v>35</v>
      </c>
      <c r="E462">
        <v>98</v>
      </c>
      <c r="F462" t="s">
        <v>709</v>
      </c>
      <c r="G462" t="s">
        <v>771</v>
      </c>
      <c r="H462">
        <v>31.0807</v>
      </c>
      <c r="I462">
        <v>12.5</v>
      </c>
      <c r="J462">
        <v>1</v>
      </c>
      <c r="K462">
        <v>6</v>
      </c>
      <c r="L462">
        <v>3</v>
      </c>
      <c r="M462" t="s">
        <v>230</v>
      </c>
    </row>
    <row r="463" spans="1:13" x14ac:dyDescent="0.25">
      <c r="A463" t="s">
        <v>657</v>
      </c>
      <c r="B463" t="s">
        <v>962</v>
      </c>
      <c r="C463" t="s">
        <v>172</v>
      </c>
      <c r="D463">
        <v>25</v>
      </c>
      <c r="E463">
        <v>98</v>
      </c>
      <c r="F463" t="s">
        <v>709</v>
      </c>
      <c r="G463" t="s">
        <v>772</v>
      </c>
      <c r="H463">
        <v>31.0807</v>
      </c>
      <c r="I463">
        <v>13</v>
      </c>
      <c r="J463">
        <v>1</v>
      </c>
      <c r="K463">
        <v>6</v>
      </c>
      <c r="L463">
        <v>2</v>
      </c>
      <c r="M463" t="s">
        <v>773</v>
      </c>
    </row>
    <row r="464" spans="1:13" x14ac:dyDescent="0.25">
      <c r="A464" t="s">
        <v>657</v>
      </c>
      <c r="B464" t="s">
        <v>963</v>
      </c>
      <c r="C464" t="s">
        <v>136</v>
      </c>
      <c r="D464">
        <v>46</v>
      </c>
      <c r="E464">
        <v>63</v>
      </c>
      <c r="F464" t="s">
        <v>709</v>
      </c>
      <c r="G464" t="s">
        <v>774</v>
      </c>
      <c r="H464">
        <v>9.9902249999999988</v>
      </c>
      <c r="I464">
        <v>13</v>
      </c>
      <c r="J464">
        <v>2</v>
      </c>
      <c r="K464">
        <v>6</v>
      </c>
      <c r="L464">
        <v>1</v>
      </c>
      <c r="M464" t="s">
        <v>717</v>
      </c>
    </row>
    <row r="465" spans="1:13" x14ac:dyDescent="0.25">
      <c r="A465" t="s">
        <v>657</v>
      </c>
      <c r="B465" t="s">
        <v>964</v>
      </c>
      <c r="C465" t="s">
        <v>136</v>
      </c>
      <c r="D465">
        <v>46</v>
      </c>
      <c r="E465">
        <v>63</v>
      </c>
      <c r="F465" t="s">
        <v>709</v>
      </c>
      <c r="G465" t="s">
        <v>775</v>
      </c>
      <c r="H465">
        <v>6.6601499999999998</v>
      </c>
      <c r="I465">
        <v>13</v>
      </c>
      <c r="J465">
        <v>3</v>
      </c>
      <c r="K465">
        <v>6</v>
      </c>
      <c r="L465">
        <v>1</v>
      </c>
      <c r="M465" t="s">
        <v>776</v>
      </c>
    </row>
    <row r="466" spans="1:13" x14ac:dyDescent="0.25">
      <c r="A466" t="s">
        <v>657</v>
      </c>
    </row>
    <row r="467" spans="1:13" x14ac:dyDescent="0.25">
      <c r="A467" t="s">
        <v>657</v>
      </c>
      <c r="C467" t="s">
        <v>136</v>
      </c>
      <c r="D467">
        <v>6</v>
      </c>
      <c r="E467">
        <v>50</v>
      </c>
      <c r="F467" t="s">
        <v>302</v>
      </c>
      <c r="G467" t="s">
        <v>672</v>
      </c>
      <c r="H467">
        <v>5.3</v>
      </c>
      <c r="I467">
        <v>25</v>
      </c>
      <c r="J467">
        <v>3</v>
      </c>
      <c r="K467">
        <v>2</v>
      </c>
      <c r="L467">
        <v>4</v>
      </c>
      <c r="M467" t="s">
        <v>396</v>
      </c>
    </row>
    <row r="468" spans="1:13" x14ac:dyDescent="0.25">
      <c r="A468" t="s">
        <v>657</v>
      </c>
      <c r="C468" t="s">
        <v>172</v>
      </c>
      <c r="D468">
        <v>40</v>
      </c>
      <c r="E468">
        <v>51</v>
      </c>
      <c r="F468" t="s">
        <v>449</v>
      </c>
      <c r="G468" t="s">
        <v>777</v>
      </c>
      <c r="H468">
        <v>2.7</v>
      </c>
      <c r="I468">
        <v>11</v>
      </c>
      <c r="J468">
        <v>6</v>
      </c>
    </row>
    <row r="469" spans="1:13" x14ac:dyDescent="0.25">
      <c r="A469" t="s">
        <v>657</v>
      </c>
      <c r="C469" t="s">
        <v>172</v>
      </c>
      <c r="D469">
        <v>40</v>
      </c>
      <c r="E469">
        <v>51</v>
      </c>
      <c r="F469" t="s">
        <v>449</v>
      </c>
      <c r="G469" t="s">
        <v>691</v>
      </c>
      <c r="H469">
        <v>3.9</v>
      </c>
      <c r="I469">
        <v>11</v>
      </c>
      <c r="J469">
        <v>6</v>
      </c>
    </row>
    <row r="470" spans="1:13" x14ac:dyDescent="0.25">
      <c r="A470" t="s">
        <v>657</v>
      </c>
      <c r="C470" t="s">
        <v>136</v>
      </c>
      <c r="D470">
        <v>40</v>
      </c>
      <c r="E470">
        <v>63</v>
      </c>
      <c r="F470" t="s">
        <v>449</v>
      </c>
      <c r="G470" t="s">
        <v>689</v>
      </c>
      <c r="H470">
        <v>3.3</v>
      </c>
      <c r="I470">
        <v>25</v>
      </c>
      <c r="J470">
        <v>6</v>
      </c>
    </row>
    <row r="471" spans="1:13" x14ac:dyDescent="0.25">
      <c r="A471" t="s">
        <v>779</v>
      </c>
      <c r="C471" t="s">
        <v>136</v>
      </c>
      <c r="D471">
        <v>41</v>
      </c>
      <c r="E471">
        <v>64</v>
      </c>
      <c r="F471" t="s">
        <v>778</v>
      </c>
    </row>
    <row r="472" spans="1:13" x14ac:dyDescent="0.25">
      <c r="A472" t="s">
        <v>779</v>
      </c>
      <c r="B472" t="s">
        <v>780</v>
      </c>
      <c r="C472" t="s">
        <v>136</v>
      </c>
      <c r="D472">
        <v>4</v>
      </c>
      <c r="E472">
        <v>69</v>
      </c>
      <c r="F472" t="s">
        <v>122</v>
      </c>
      <c r="G472" t="s">
        <v>796</v>
      </c>
      <c r="H472">
        <v>7.2944499999999994</v>
      </c>
      <c r="I472">
        <v>10.5</v>
      </c>
      <c r="J472">
        <v>3</v>
      </c>
      <c r="K472">
        <v>6</v>
      </c>
      <c r="L472">
        <v>1</v>
      </c>
      <c r="M472" t="s">
        <v>603</v>
      </c>
    </row>
    <row r="473" spans="1:13" x14ac:dyDescent="0.25">
      <c r="A473" t="s">
        <v>779</v>
      </c>
      <c r="B473" t="s">
        <v>818</v>
      </c>
      <c r="C473" t="s">
        <v>136</v>
      </c>
      <c r="D473">
        <v>4</v>
      </c>
      <c r="E473">
        <v>69</v>
      </c>
      <c r="F473" t="s">
        <v>122</v>
      </c>
      <c r="G473" t="s">
        <v>780</v>
      </c>
      <c r="H473">
        <v>10.941675</v>
      </c>
      <c r="I473">
        <v>13.5</v>
      </c>
      <c r="J473">
        <v>2</v>
      </c>
      <c r="K473">
        <v>6</v>
      </c>
      <c r="L473">
        <v>1</v>
      </c>
      <c r="M473" t="s">
        <v>603</v>
      </c>
    </row>
    <row r="474" spans="1:13" x14ac:dyDescent="0.25">
      <c r="A474" t="s">
        <v>779</v>
      </c>
      <c r="B474" t="s">
        <v>701</v>
      </c>
      <c r="C474" t="s">
        <v>136</v>
      </c>
      <c r="D474">
        <v>3</v>
      </c>
      <c r="E474">
        <v>63</v>
      </c>
      <c r="F474" t="s">
        <v>122</v>
      </c>
      <c r="G474" t="s">
        <v>781</v>
      </c>
      <c r="H474">
        <v>19.980449999999998</v>
      </c>
      <c r="I474">
        <v>10</v>
      </c>
      <c r="J474">
        <v>1</v>
      </c>
      <c r="K474">
        <v>6</v>
      </c>
      <c r="L474">
        <v>1</v>
      </c>
      <c r="M474" t="s">
        <v>701</v>
      </c>
    </row>
    <row r="475" spans="1:13" x14ac:dyDescent="0.25">
      <c r="A475" t="s">
        <v>779</v>
      </c>
      <c r="B475" t="s">
        <v>819</v>
      </c>
      <c r="C475" t="s">
        <v>136</v>
      </c>
      <c r="D475">
        <v>3</v>
      </c>
      <c r="E475">
        <v>66</v>
      </c>
      <c r="F475" t="s">
        <v>122</v>
      </c>
      <c r="G475" t="s">
        <v>782</v>
      </c>
      <c r="H475">
        <v>20.931899999999999</v>
      </c>
      <c r="I475">
        <v>15.5</v>
      </c>
      <c r="J475">
        <v>1</v>
      </c>
      <c r="K475">
        <v>6</v>
      </c>
      <c r="L475">
        <v>1</v>
      </c>
      <c r="M475" t="s">
        <v>688</v>
      </c>
    </row>
    <row r="476" spans="1:13" x14ac:dyDescent="0.25">
      <c r="A476" t="s">
        <v>779</v>
      </c>
      <c r="B476" t="s">
        <v>790</v>
      </c>
      <c r="C476" t="s">
        <v>136</v>
      </c>
      <c r="D476">
        <v>5</v>
      </c>
      <c r="E476">
        <v>78</v>
      </c>
      <c r="F476" t="s">
        <v>122</v>
      </c>
      <c r="G476" t="s">
        <v>820</v>
      </c>
      <c r="H476">
        <v>12.36885</v>
      </c>
      <c r="I476">
        <v>10.5</v>
      </c>
      <c r="J476">
        <v>2</v>
      </c>
      <c r="K476">
        <v>6</v>
      </c>
      <c r="L476">
        <v>1</v>
      </c>
      <c r="M476" t="s">
        <v>790</v>
      </c>
    </row>
    <row r="477" spans="1:13" x14ac:dyDescent="0.25">
      <c r="A477" t="s">
        <v>779</v>
      </c>
    </row>
    <row r="478" spans="1:13" x14ac:dyDescent="0.25">
      <c r="A478" t="s">
        <v>779</v>
      </c>
    </row>
    <row r="479" spans="1:13" x14ac:dyDescent="0.25">
      <c r="A479" t="s">
        <v>779</v>
      </c>
      <c r="B479" t="s">
        <v>821</v>
      </c>
      <c r="C479" t="s">
        <v>136</v>
      </c>
      <c r="D479">
        <v>7</v>
      </c>
      <c r="E479">
        <v>74</v>
      </c>
      <c r="F479" t="s">
        <v>126</v>
      </c>
      <c r="G479" t="s">
        <v>822</v>
      </c>
      <c r="H479">
        <v>5.8672750000000002</v>
      </c>
      <c r="I479">
        <v>8.5</v>
      </c>
      <c r="J479">
        <v>4</v>
      </c>
      <c r="K479">
        <v>6</v>
      </c>
      <c r="L479">
        <v>1</v>
      </c>
      <c r="M479" t="s">
        <v>823</v>
      </c>
    </row>
    <row r="480" spans="1:13" x14ac:dyDescent="0.25">
      <c r="A480" t="s">
        <v>779</v>
      </c>
      <c r="B480" t="s">
        <v>821</v>
      </c>
      <c r="C480" t="s">
        <v>136</v>
      </c>
      <c r="D480">
        <v>7</v>
      </c>
      <c r="E480">
        <v>74</v>
      </c>
      <c r="F480" t="s">
        <v>126</v>
      </c>
      <c r="G480" t="s">
        <v>824</v>
      </c>
      <c r="H480">
        <v>11.73455</v>
      </c>
      <c r="I480">
        <v>8</v>
      </c>
      <c r="J480">
        <v>2</v>
      </c>
      <c r="K480">
        <v>6</v>
      </c>
      <c r="L480">
        <v>1</v>
      </c>
      <c r="M480" t="s">
        <v>825</v>
      </c>
    </row>
    <row r="481" spans="1:13" x14ac:dyDescent="0.25">
      <c r="A481" t="s">
        <v>779</v>
      </c>
      <c r="C481" t="s">
        <v>136</v>
      </c>
      <c r="D481">
        <v>6</v>
      </c>
      <c r="E481">
        <v>78</v>
      </c>
      <c r="F481" t="s">
        <v>709</v>
      </c>
      <c r="G481" t="s">
        <v>826</v>
      </c>
      <c r="H481">
        <v>12.36885</v>
      </c>
      <c r="I481">
        <v>17.5</v>
      </c>
      <c r="J481">
        <v>2</v>
      </c>
      <c r="K481">
        <v>5</v>
      </c>
      <c r="L481">
        <v>2</v>
      </c>
      <c r="M481" t="s">
        <v>827</v>
      </c>
    </row>
    <row r="482" spans="1:13" x14ac:dyDescent="0.25">
      <c r="A482" t="s">
        <v>779</v>
      </c>
      <c r="C482" t="s">
        <v>136</v>
      </c>
      <c r="D482">
        <v>6</v>
      </c>
      <c r="E482">
        <v>78</v>
      </c>
      <c r="F482" t="s">
        <v>709</v>
      </c>
      <c r="G482" t="s">
        <v>828</v>
      </c>
      <c r="H482">
        <v>6.1844250000000001</v>
      </c>
      <c r="I482">
        <v>21</v>
      </c>
      <c r="J482">
        <v>4</v>
      </c>
      <c r="K482">
        <v>6</v>
      </c>
      <c r="L482">
        <v>2</v>
      </c>
      <c r="M482" t="s">
        <v>829</v>
      </c>
    </row>
    <row r="483" spans="1:13" x14ac:dyDescent="0.25">
      <c r="A483" t="s">
        <v>779</v>
      </c>
      <c r="B483" t="s">
        <v>830</v>
      </c>
      <c r="C483" t="s">
        <v>136</v>
      </c>
      <c r="D483">
        <v>7</v>
      </c>
      <c r="E483">
        <v>74</v>
      </c>
      <c r="F483" t="s">
        <v>126</v>
      </c>
      <c r="G483" t="s">
        <v>831</v>
      </c>
      <c r="H483">
        <v>11.73455</v>
      </c>
      <c r="I483">
        <v>7.5</v>
      </c>
      <c r="J483">
        <v>2</v>
      </c>
      <c r="K483">
        <v>6</v>
      </c>
      <c r="L483">
        <v>1</v>
      </c>
      <c r="M483" t="s">
        <v>832</v>
      </c>
    </row>
    <row r="484" spans="1:13" x14ac:dyDescent="0.25">
      <c r="A484" t="s">
        <v>779</v>
      </c>
      <c r="B484" t="s">
        <v>782</v>
      </c>
      <c r="C484" t="s">
        <v>136</v>
      </c>
      <c r="D484">
        <v>3</v>
      </c>
      <c r="E484">
        <v>66</v>
      </c>
      <c r="F484" t="s">
        <v>709</v>
      </c>
      <c r="G484" t="s">
        <v>789</v>
      </c>
      <c r="H484">
        <v>10.465949999999999</v>
      </c>
      <c r="I484">
        <v>10</v>
      </c>
      <c r="J484">
        <v>2</v>
      </c>
      <c r="K484">
        <v>6</v>
      </c>
      <c r="L484">
        <v>1</v>
      </c>
      <c r="M484" t="s">
        <v>790</v>
      </c>
    </row>
    <row r="485" spans="1:13" x14ac:dyDescent="0.25">
      <c r="A485" t="s">
        <v>779</v>
      </c>
      <c r="B485" t="s">
        <v>819</v>
      </c>
      <c r="C485" t="s">
        <v>136</v>
      </c>
      <c r="D485">
        <v>5</v>
      </c>
      <c r="E485">
        <v>78</v>
      </c>
      <c r="F485" t="s">
        <v>126</v>
      </c>
      <c r="G485" t="s">
        <v>833</v>
      </c>
      <c r="H485">
        <v>12.36885</v>
      </c>
      <c r="I485">
        <v>10.5</v>
      </c>
      <c r="J485">
        <v>2</v>
      </c>
      <c r="K485">
        <v>6</v>
      </c>
      <c r="L485">
        <v>1</v>
      </c>
      <c r="M485" t="s">
        <v>688</v>
      </c>
    </row>
    <row r="486" spans="1:13" x14ac:dyDescent="0.25">
      <c r="A486" t="s">
        <v>779</v>
      </c>
      <c r="B486" t="s">
        <v>834</v>
      </c>
      <c r="C486" t="s">
        <v>136</v>
      </c>
      <c r="D486">
        <v>2</v>
      </c>
      <c r="E486">
        <v>86</v>
      </c>
      <c r="F486" t="s">
        <v>126</v>
      </c>
      <c r="G486" t="s">
        <v>787</v>
      </c>
      <c r="H486">
        <v>9.0916333333333341</v>
      </c>
      <c r="I486">
        <v>15.5</v>
      </c>
      <c r="J486">
        <v>3</v>
      </c>
      <c r="K486">
        <v>6</v>
      </c>
      <c r="L486">
        <v>1</v>
      </c>
      <c r="M486" t="s">
        <v>610</v>
      </c>
    </row>
    <row r="487" spans="1:13" x14ac:dyDescent="0.25">
      <c r="A487" t="s">
        <v>779</v>
      </c>
      <c r="B487" t="s">
        <v>835</v>
      </c>
      <c r="C487" t="s">
        <v>136</v>
      </c>
      <c r="D487">
        <v>2</v>
      </c>
      <c r="E487">
        <v>63</v>
      </c>
      <c r="F487" t="s">
        <v>126</v>
      </c>
      <c r="G487" t="s">
        <v>788</v>
      </c>
      <c r="H487">
        <v>19.980449999999998</v>
      </c>
      <c r="I487">
        <v>11.5</v>
      </c>
      <c r="J487">
        <v>1</v>
      </c>
      <c r="K487">
        <v>6</v>
      </c>
      <c r="L487">
        <v>1</v>
      </c>
      <c r="M487" t="s">
        <v>230</v>
      </c>
    </row>
    <row r="488" spans="1:13" x14ac:dyDescent="0.25">
      <c r="A488" t="s">
        <v>779</v>
      </c>
      <c r="B488" t="s">
        <v>784</v>
      </c>
      <c r="C488" t="s">
        <v>136</v>
      </c>
      <c r="D488">
        <v>1</v>
      </c>
      <c r="E488">
        <v>96</v>
      </c>
      <c r="F488" t="s">
        <v>709</v>
      </c>
      <c r="G488" t="s">
        <v>783</v>
      </c>
      <c r="H488">
        <v>30.446400000000001</v>
      </c>
      <c r="I488">
        <v>11</v>
      </c>
      <c r="J488">
        <v>1</v>
      </c>
      <c r="K488">
        <v>6</v>
      </c>
      <c r="L488">
        <v>3</v>
      </c>
      <c r="M488" t="s">
        <v>784</v>
      </c>
    </row>
    <row r="489" spans="1:13" x14ac:dyDescent="0.25">
      <c r="A489" t="s">
        <v>779</v>
      </c>
      <c r="B489" t="s">
        <v>786</v>
      </c>
      <c r="C489" t="s">
        <v>136</v>
      </c>
      <c r="D489">
        <v>1</v>
      </c>
      <c r="E489">
        <v>96</v>
      </c>
      <c r="F489" t="s">
        <v>709</v>
      </c>
      <c r="G489" t="s">
        <v>785</v>
      </c>
      <c r="H489">
        <v>30.446400000000001</v>
      </c>
      <c r="I489">
        <v>6.5</v>
      </c>
      <c r="J489">
        <v>1</v>
      </c>
      <c r="K489">
        <v>6</v>
      </c>
      <c r="L489">
        <v>2</v>
      </c>
      <c r="M489" t="s">
        <v>786</v>
      </c>
    </row>
    <row r="490" spans="1:13" x14ac:dyDescent="0.25">
      <c r="A490" t="s">
        <v>779</v>
      </c>
    </row>
    <row r="491" spans="1:13" x14ac:dyDescent="0.25">
      <c r="A491" t="s">
        <v>779</v>
      </c>
      <c r="B491" t="s">
        <v>836</v>
      </c>
      <c r="C491" t="s">
        <v>172</v>
      </c>
      <c r="D491">
        <v>8</v>
      </c>
      <c r="E491">
        <v>74</v>
      </c>
      <c r="F491" t="s">
        <v>837</v>
      </c>
      <c r="G491" t="s">
        <v>670</v>
      </c>
      <c r="H491">
        <v>5.8672750000000002</v>
      </c>
      <c r="I491">
        <v>9</v>
      </c>
      <c r="J491">
        <v>4</v>
      </c>
      <c r="K491">
        <v>6</v>
      </c>
      <c r="L491">
        <v>1</v>
      </c>
      <c r="M491" t="s">
        <v>838</v>
      </c>
    </row>
    <row r="492" spans="1:13" x14ac:dyDescent="0.25">
      <c r="A492" t="s">
        <v>779</v>
      </c>
      <c r="B492" t="s">
        <v>839</v>
      </c>
      <c r="C492" t="s">
        <v>172</v>
      </c>
      <c r="D492">
        <v>8</v>
      </c>
      <c r="E492">
        <v>74</v>
      </c>
      <c r="F492" t="s">
        <v>837</v>
      </c>
      <c r="G492" t="s">
        <v>840</v>
      </c>
      <c r="H492">
        <v>11.73455</v>
      </c>
      <c r="I492">
        <v>8</v>
      </c>
      <c r="J492">
        <v>2</v>
      </c>
      <c r="K492">
        <v>6</v>
      </c>
      <c r="L492">
        <v>1</v>
      </c>
      <c r="M492" t="s">
        <v>841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E283E-B4E2-46AA-B7A0-BA081D83943E}">
  <sheetPr codeName="Planilha2"/>
  <dimension ref="A1:F3"/>
  <sheetViews>
    <sheetView workbookViewId="0">
      <selection activeCell="A3" sqref="A3"/>
    </sheetView>
  </sheetViews>
  <sheetFormatPr defaultRowHeight="15" x14ac:dyDescent="0.25"/>
  <cols>
    <col min="2" max="2" width="11.28515625" customWidth="1"/>
    <col min="3" max="4" width="14.140625" customWidth="1"/>
    <col min="5" max="5" width="11.5703125" customWidth="1"/>
  </cols>
  <sheetData>
    <row r="1" spans="1:6" x14ac:dyDescent="0.25">
      <c r="A1" t="s">
        <v>20</v>
      </c>
    </row>
    <row r="2" spans="1:6" x14ac:dyDescent="0.25">
      <c r="A2" s="11" t="s">
        <v>38</v>
      </c>
      <c r="B2" s="11" t="s">
        <v>39</v>
      </c>
      <c r="C2" s="11" t="s">
        <v>40</v>
      </c>
      <c r="D2" s="11" t="s">
        <v>41</v>
      </c>
      <c r="E2" s="11" t="s">
        <v>42</v>
      </c>
      <c r="F2" s="101" t="s">
        <v>96</v>
      </c>
    </row>
    <row r="3" spans="1:6" x14ac:dyDescent="0.25">
      <c r="A3" s="11">
        <f>ORÇAMENTO!C10</f>
        <v>63</v>
      </c>
      <c r="B3" s="38">
        <f>ORÇAMENTO!$C$8*ORÇAMENTO!I8</f>
        <v>11</v>
      </c>
      <c r="C3" s="11">
        <f>ORÇAMENTO!$E$8</f>
        <v>0</v>
      </c>
      <c r="D3" s="11">
        <v>0.28000000000000003</v>
      </c>
      <c r="E3" s="12">
        <f>IF(A3&gt;=1,(((((A3*3.175)/10)+4)*(B3+4)*C3))*D3,"")</f>
        <v>0</v>
      </c>
      <c r="F3" t="s">
        <v>97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F0C66-AEF1-40C7-93F7-8F97C1AA91BE}">
  <sheetPr codeName="Planilha5"/>
  <dimension ref="A1:U11"/>
  <sheetViews>
    <sheetView showGridLines="0" topLeftCell="E1" zoomScale="90" zoomScaleNormal="90" workbookViewId="0">
      <selection activeCell="S4" sqref="S4"/>
    </sheetView>
  </sheetViews>
  <sheetFormatPr defaultRowHeight="15" x14ac:dyDescent="0.25"/>
  <cols>
    <col min="1" max="1" width="8.42578125" bestFit="1" customWidth="1"/>
    <col min="2" max="2" width="26.42578125" bestFit="1" customWidth="1"/>
    <col min="3" max="3" width="3.42578125" bestFit="1" customWidth="1"/>
    <col min="4" max="4" width="16" bestFit="1" customWidth="1"/>
    <col min="5" max="5" width="11.140625" bestFit="1" customWidth="1"/>
    <col min="6" max="6" width="11.140625" customWidth="1"/>
    <col min="7" max="7" width="2.7109375" customWidth="1"/>
    <col min="8" max="8" width="11.28515625" bestFit="1" customWidth="1"/>
    <col min="9" max="9" width="11.28515625" customWidth="1"/>
    <col min="10" max="10" width="2.28515625" bestFit="1" customWidth="1"/>
    <col min="11" max="11" width="7.28515625" bestFit="1" customWidth="1"/>
    <col min="12" max="12" width="11.140625" bestFit="1" customWidth="1"/>
    <col min="13" max="13" width="11.140625" customWidth="1"/>
    <col min="14" max="14" width="7" customWidth="1"/>
    <col min="15" max="15" width="14.85546875" bestFit="1" customWidth="1"/>
    <col min="16" max="16" width="14.85546875" customWidth="1"/>
    <col min="17" max="17" width="3.42578125" bestFit="1" customWidth="1"/>
    <col min="18" max="18" width="16" bestFit="1" customWidth="1"/>
    <col min="19" max="19" width="12.7109375" bestFit="1" customWidth="1"/>
    <col min="20" max="20" width="11.140625" customWidth="1"/>
  </cols>
  <sheetData>
    <row r="1" spans="1:21" ht="15.75" thickBot="1" x14ac:dyDescent="0.3">
      <c r="D1" s="136" t="s">
        <v>5</v>
      </c>
      <c r="E1" s="136"/>
      <c r="F1" s="109"/>
      <c r="K1" s="136" t="s">
        <v>5</v>
      </c>
      <c r="L1" s="136"/>
      <c r="M1" s="109"/>
      <c r="R1" s="136" t="s">
        <v>5</v>
      </c>
      <c r="S1" s="136"/>
      <c r="U1" t="s">
        <v>147</v>
      </c>
    </row>
    <row r="2" spans="1:21" x14ac:dyDescent="0.25">
      <c r="A2" s="137" t="s">
        <v>146</v>
      </c>
      <c r="B2" s="4" t="s">
        <v>145</v>
      </c>
      <c r="C2" s="13">
        <v>0</v>
      </c>
      <c r="D2" s="4" t="s">
        <v>26</v>
      </c>
      <c r="E2" s="6">
        <v>120</v>
      </c>
      <c r="F2" s="105">
        <v>120</v>
      </c>
      <c r="H2" s="140" t="str">
        <f>A2</f>
        <v>HM</v>
      </c>
      <c r="I2" s="4" t="s">
        <v>82</v>
      </c>
      <c r="J2" s="13">
        <v>1</v>
      </c>
      <c r="K2" s="4" t="s">
        <v>0</v>
      </c>
      <c r="L2" s="6">
        <v>200</v>
      </c>
      <c r="M2" s="105">
        <v>200</v>
      </c>
      <c r="O2" s="141" t="s">
        <v>83</v>
      </c>
      <c r="P2" s="108" t="s">
        <v>71</v>
      </c>
      <c r="Q2" s="13">
        <v>0</v>
      </c>
      <c r="R2" s="4" t="s">
        <v>26</v>
      </c>
      <c r="S2" s="6">
        <v>120</v>
      </c>
      <c r="T2" s="105">
        <v>120</v>
      </c>
      <c r="U2" t="s">
        <v>148</v>
      </c>
    </row>
    <row r="3" spans="1:21" x14ac:dyDescent="0.25">
      <c r="A3" s="138"/>
      <c r="B3" s="4" t="s">
        <v>145</v>
      </c>
      <c r="C3" s="13">
        <v>1</v>
      </c>
      <c r="D3" s="4" t="s">
        <v>0</v>
      </c>
      <c r="E3" s="6">
        <v>145</v>
      </c>
      <c r="F3" s="105">
        <v>145</v>
      </c>
      <c r="H3" s="140"/>
      <c r="I3" s="4" t="s">
        <v>82</v>
      </c>
      <c r="J3" s="13">
        <v>2</v>
      </c>
      <c r="K3" s="4" t="s">
        <v>1</v>
      </c>
      <c r="L3" s="6">
        <v>210</v>
      </c>
      <c r="M3" s="105">
        <v>210</v>
      </c>
      <c r="O3" s="142"/>
      <c r="P3" s="108" t="s">
        <v>71</v>
      </c>
      <c r="Q3" s="13">
        <v>1</v>
      </c>
      <c r="R3" s="4" t="s">
        <v>0</v>
      </c>
      <c r="S3" s="6">
        <v>150</v>
      </c>
      <c r="T3" s="105">
        <v>150</v>
      </c>
      <c r="U3">
        <v>160</v>
      </c>
    </row>
    <row r="4" spans="1:21" x14ac:dyDescent="0.25">
      <c r="A4" s="138"/>
      <c r="B4" s="4" t="s">
        <v>145</v>
      </c>
      <c r="C4" s="13">
        <v>2</v>
      </c>
      <c r="D4" s="4" t="s">
        <v>1</v>
      </c>
      <c r="E4" s="6">
        <v>155</v>
      </c>
      <c r="F4" s="105">
        <v>155</v>
      </c>
      <c r="O4" s="142"/>
      <c r="P4" s="108" t="s">
        <v>71</v>
      </c>
      <c r="Q4" s="13">
        <v>2</v>
      </c>
      <c r="R4" s="4" t="s">
        <v>1</v>
      </c>
      <c r="S4" s="6">
        <v>160</v>
      </c>
      <c r="T4" s="105">
        <v>160</v>
      </c>
      <c r="U4">
        <v>250</v>
      </c>
    </row>
    <row r="5" spans="1:21" x14ac:dyDescent="0.25">
      <c r="A5" s="138"/>
      <c r="B5" s="4" t="s">
        <v>145</v>
      </c>
      <c r="C5" s="13">
        <v>3</v>
      </c>
      <c r="D5" s="4" t="s">
        <v>2</v>
      </c>
      <c r="E5" s="6">
        <v>165</v>
      </c>
      <c r="F5" s="105">
        <v>165</v>
      </c>
      <c r="O5" s="142"/>
      <c r="P5" s="108" t="s">
        <v>71</v>
      </c>
      <c r="Q5" s="13">
        <v>3</v>
      </c>
      <c r="R5" s="4" t="s">
        <v>2</v>
      </c>
      <c r="S5" s="6">
        <v>170</v>
      </c>
      <c r="T5" s="105">
        <v>170</v>
      </c>
      <c r="U5" t="s">
        <v>149</v>
      </c>
    </row>
    <row r="6" spans="1:21" x14ac:dyDescent="0.25">
      <c r="A6" s="138"/>
      <c r="B6" s="4" t="s">
        <v>145</v>
      </c>
      <c r="C6" s="13">
        <v>4</v>
      </c>
      <c r="D6" s="4" t="s">
        <v>3</v>
      </c>
      <c r="E6" s="6">
        <v>175</v>
      </c>
      <c r="F6" s="105">
        <v>175</v>
      </c>
      <c r="O6" s="142"/>
      <c r="P6" s="108" t="s">
        <v>71</v>
      </c>
      <c r="Q6" s="13">
        <v>4</v>
      </c>
      <c r="R6" s="4" t="s">
        <v>3</v>
      </c>
      <c r="S6" s="6">
        <v>190</v>
      </c>
      <c r="T6" s="105">
        <v>190</v>
      </c>
      <c r="U6" t="s">
        <v>82</v>
      </c>
    </row>
    <row r="7" spans="1:21" x14ac:dyDescent="0.25">
      <c r="A7" s="138"/>
      <c r="B7" s="4" t="s">
        <v>145</v>
      </c>
      <c r="C7" s="13" t="s">
        <v>36</v>
      </c>
      <c r="D7" s="4" t="s">
        <v>33</v>
      </c>
      <c r="E7" s="6">
        <v>180</v>
      </c>
      <c r="F7" s="105">
        <v>180</v>
      </c>
      <c r="O7" s="142"/>
      <c r="P7" s="108" t="s">
        <v>71</v>
      </c>
      <c r="Q7" s="13" t="s">
        <v>36</v>
      </c>
      <c r="R7" s="4" t="s">
        <v>808</v>
      </c>
      <c r="S7" s="6">
        <v>200</v>
      </c>
      <c r="T7" s="105">
        <v>200</v>
      </c>
      <c r="U7" t="s">
        <v>71</v>
      </c>
    </row>
    <row r="8" spans="1:21" x14ac:dyDescent="0.25">
      <c r="A8" s="139"/>
      <c r="B8" s="4" t="s">
        <v>145</v>
      </c>
      <c r="C8" s="14">
        <v>5</v>
      </c>
      <c r="D8" s="4" t="s">
        <v>6</v>
      </c>
      <c r="E8" s="6">
        <v>190</v>
      </c>
      <c r="F8" s="105">
        <v>190</v>
      </c>
      <c r="O8" s="142"/>
      <c r="P8" s="108" t="s">
        <v>71</v>
      </c>
      <c r="Q8" s="13">
        <v>5</v>
      </c>
      <c r="R8" s="4" t="s">
        <v>6</v>
      </c>
      <c r="S8" s="6">
        <v>210</v>
      </c>
      <c r="T8" s="105">
        <v>210</v>
      </c>
    </row>
    <row r="9" spans="1:21" x14ac:dyDescent="0.25">
      <c r="O9" s="142"/>
      <c r="P9" s="108" t="s">
        <v>71</v>
      </c>
      <c r="Q9" s="13">
        <v>6</v>
      </c>
      <c r="R9" s="4" t="s">
        <v>805</v>
      </c>
      <c r="S9" s="6">
        <v>220</v>
      </c>
      <c r="T9" s="105">
        <v>220</v>
      </c>
    </row>
    <row r="10" spans="1:21" x14ac:dyDescent="0.25">
      <c r="O10" s="142"/>
      <c r="P10" s="108" t="s">
        <v>71</v>
      </c>
      <c r="Q10" s="13">
        <v>7</v>
      </c>
      <c r="R10" s="4" t="s">
        <v>806</v>
      </c>
      <c r="S10" s="6">
        <v>230</v>
      </c>
      <c r="T10" s="105">
        <v>230</v>
      </c>
    </row>
    <row r="11" spans="1:21" ht="15.75" thickBot="1" x14ac:dyDescent="0.3">
      <c r="O11" s="143"/>
      <c r="P11" s="108" t="s">
        <v>71</v>
      </c>
      <c r="Q11" s="13">
        <v>8</v>
      </c>
      <c r="R11" s="4" t="s">
        <v>807</v>
      </c>
      <c r="S11" s="6">
        <v>240</v>
      </c>
      <c r="T11" s="105">
        <v>240</v>
      </c>
    </row>
  </sheetData>
  <mergeCells count="6">
    <mergeCell ref="D1:E1"/>
    <mergeCell ref="K1:L1"/>
    <mergeCell ref="R1:S1"/>
    <mergeCell ref="A2:A8"/>
    <mergeCell ref="H2:H3"/>
    <mergeCell ref="O2:O11"/>
  </mergeCells>
  <phoneticPr fontId="4" type="noConversion"/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5AE13F-416E-4C16-AA4D-3EB6BDA8A9A7}">
  <sheetPr codeName="Planilha7"/>
  <dimension ref="A1:C9"/>
  <sheetViews>
    <sheetView workbookViewId="0">
      <selection activeCell="C4" sqref="C4"/>
    </sheetView>
  </sheetViews>
  <sheetFormatPr defaultRowHeight="15" x14ac:dyDescent="0.25"/>
  <cols>
    <col min="1" max="1" width="22.7109375" customWidth="1"/>
    <col min="3" max="3" width="4.42578125" bestFit="1" customWidth="1"/>
  </cols>
  <sheetData>
    <row r="1" spans="1:3" ht="30" x14ac:dyDescent="0.25">
      <c r="A1" s="4" t="s">
        <v>35</v>
      </c>
      <c r="B1" s="5" t="s">
        <v>9</v>
      </c>
      <c r="C1" s="5" t="s">
        <v>10</v>
      </c>
    </row>
    <row r="2" spans="1:3" x14ac:dyDescent="0.25">
      <c r="A2" s="1"/>
      <c r="B2" s="1"/>
      <c r="C2" s="1"/>
    </row>
    <row r="3" spans="1:3" x14ac:dyDescent="0.25">
      <c r="A3" s="4" t="s">
        <v>66</v>
      </c>
      <c r="B3" s="4">
        <v>0</v>
      </c>
      <c r="C3" s="4"/>
    </row>
    <row r="4" spans="1:3" x14ac:dyDescent="0.25">
      <c r="A4" s="4" t="s">
        <v>67</v>
      </c>
      <c r="B4" s="7">
        <f>C4/60</f>
        <v>8.3333333333333329E-2</v>
      </c>
      <c r="C4" s="8">
        <v>5</v>
      </c>
    </row>
    <row r="5" spans="1:3" x14ac:dyDescent="0.25">
      <c r="A5" s="4" t="s">
        <v>68</v>
      </c>
      <c r="B5" s="7">
        <f t="shared" ref="B5:B9" si="0">C5/60</f>
        <v>0.16666666666666666</v>
      </c>
      <c r="C5" s="8">
        <v>10</v>
      </c>
    </row>
    <row r="6" spans="1:3" x14ac:dyDescent="0.25">
      <c r="A6" s="4" t="s">
        <v>967</v>
      </c>
      <c r="B6" s="7">
        <f t="shared" si="0"/>
        <v>0.33333333333333331</v>
      </c>
      <c r="C6" s="8">
        <v>20</v>
      </c>
    </row>
    <row r="7" spans="1:3" x14ac:dyDescent="0.25">
      <c r="A7" s="4" t="s">
        <v>69</v>
      </c>
      <c r="B7" s="7">
        <f t="shared" si="0"/>
        <v>0.25</v>
      </c>
      <c r="C7" s="8">
        <v>15</v>
      </c>
    </row>
    <row r="8" spans="1:3" x14ac:dyDescent="0.25">
      <c r="A8" s="4" t="s">
        <v>70</v>
      </c>
      <c r="B8" s="7">
        <f t="shared" si="0"/>
        <v>0.83333333333333337</v>
      </c>
      <c r="C8" s="8">
        <v>50</v>
      </c>
    </row>
    <row r="9" spans="1:3" x14ac:dyDescent="0.25">
      <c r="A9" s="4" t="s">
        <v>48</v>
      </c>
      <c r="B9" s="7">
        <f t="shared" si="0"/>
        <v>8.3333333333333329E-2</v>
      </c>
      <c r="C9" s="8">
        <v>5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4C9BA-5CA0-497F-97B7-060FE7E03180}">
  <sheetPr codeName="Planilha8"/>
  <dimension ref="A1:C15"/>
  <sheetViews>
    <sheetView workbookViewId="0">
      <selection activeCell="E8" sqref="E8"/>
    </sheetView>
  </sheetViews>
  <sheetFormatPr defaultRowHeight="15" x14ac:dyDescent="0.25"/>
  <cols>
    <col min="1" max="1" width="42.7109375" customWidth="1"/>
    <col min="2" max="2" width="10" customWidth="1"/>
    <col min="4" max="4" width="28.42578125" customWidth="1"/>
    <col min="5" max="5" width="14.28515625" customWidth="1"/>
  </cols>
  <sheetData>
    <row r="1" spans="1:3" x14ac:dyDescent="0.25">
      <c r="A1" s="10" t="s">
        <v>18</v>
      </c>
      <c r="B1" s="10" t="s">
        <v>37</v>
      </c>
      <c r="C1" s="9" t="s">
        <v>804</v>
      </c>
    </row>
    <row r="2" spans="1:3" x14ac:dyDescent="0.25">
      <c r="A2" s="4" t="s">
        <v>51</v>
      </c>
      <c r="B2" s="6">
        <v>7.2</v>
      </c>
      <c r="C2" s="6">
        <v>7.2</v>
      </c>
    </row>
    <row r="3" spans="1:3" x14ac:dyDescent="0.25">
      <c r="A3" s="4" t="s">
        <v>100</v>
      </c>
      <c r="B3" s="6">
        <v>7.9</v>
      </c>
      <c r="C3" s="6">
        <v>7.9</v>
      </c>
    </row>
    <row r="4" spans="1:3" x14ac:dyDescent="0.25">
      <c r="A4" s="4" t="s">
        <v>52</v>
      </c>
      <c r="B4" s="6">
        <v>6.9</v>
      </c>
      <c r="C4" s="6">
        <v>6.9</v>
      </c>
    </row>
    <row r="5" spans="1:3" x14ac:dyDescent="0.25">
      <c r="A5" s="4" t="s">
        <v>101</v>
      </c>
      <c r="B5" s="6">
        <v>7.9</v>
      </c>
      <c r="C5" s="6">
        <v>7.9</v>
      </c>
    </row>
    <row r="6" spans="1:3" x14ac:dyDescent="0.25">
      <c r="A6" s="4" t="s">
        <v>55</v>
      </c>
      <c r="B6" s="6">
        <v>7.5</v>
      </c>
      <c r="C6" s="6">
        <v>7.5</v>
      </c>
    </row>
    <row r="7" spans="1:3" x14ac:dyDescent="0.25">
      <c r="A7" s="4" t="s">
        <v>102</v>
      </c>
      <c r="B7" s="6">
        <v>8.5</v>
      </c>
      <c r="C7" s="6">
        <v>8.5</v>
      </c>
    </row>
    <row r="8" spans="1:3" x14ac:dyDescent="0.25">
      <c r="A8" s="4" t="s">
        <v>56</v>
      </c>
      <c r="B8" s="21">
        <v>7</v>
      </c>
      <c r="C8" s="21">
        <v>7</v>
      </c>
    </row>
    <row r="9" spans="1:3" x14ac:dyDescent="0.25">
      <c r="A9" s="4" t="s">
        <v>103</v>
      </c>
      <c r="B9" s="21">
        <v>7.9</v>
      </c>
      <c r="C9" s="21">
        <v>7.9</v>
      </c>
    </row>
    <row r="10" spans="1:3" x14ac:dyDescent="0.25">
      <c r="A10" s="4" t="s">
        <v>57</v>
      </c>
      <c r="B10" s="21">
        <v>3.5</v>
      </c>
      <c r="C10" s="21">
        <v>3.5</v>
      </c>
    </row>
    <row r="11" spans="1:3" x14ac:dyDescent="0.25">
      <c r="A11" s="4" t="s">
        <v>58</v>
      </c>
      <c r="B11" s="21">
        <v>5.3</v>
      </c>
      <c r="C11" s="21">
        <v>5.3</v>
      </c>
    </row>
    <row r="12" spans="1:3" x14ac:dyDescent="0.25">
      <c r="A12" s="4" t="s">
        <v>59</v>
      </c>
      <c r="B12" s="21">
        <v>4.3</v>
      </c>
      <c r="C12" s="21">
        <v>4.3</v>
      </c>
    </row>
    <row r="13" spans="1:3" x14ac:dyDescent="0.25">
      <c r="A13" s="4" t="s">
        <v>60</v>
      </c>
      <c r="B13" s="21">
        <v>3.6</v>
      </c>
      <c r="C13" s="21">
        <v>3.6</v>
      </c>
    </row>
    <row r="14" spans="1:3" x14ac:dyDescent="0.25">
      <c r="A14" s="4" t="s">
        <v>53</v>
      </c>
      <c r="B14" s="6">
        <v>6</v>
      </c>
      <c r="C14" s="6">
        <v>6</v>
      </c>
    </row>
    <row r="15" spans="1:3" x14ac:dyDescent="0.25">
      <c r="A15" s="4" t="s">
        <v>54</v>
      </c>
      <c r="B15" s="6">
        <v>7</v>
      </c>
      <c r="C15" s="6">
        <v>7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E2260-BA08-437A-9847-2B366F43E072}">
  <sheetPr codeName="Planilha4"/>
  <dimension ref="A1:F11"/>
  <sheetViews>
    <sheetView workbookViewId="0">
      <selection activeCell="B3" sqref="B3"/>
    </sheetView>
  </sheetViews>
  <sheetFormatPr defaultColWidth="24.28515625" defaultRowHeight="15" x14ac:dyDescent="0.25"/>
  <cols>
    <col min="1" max="1" width="6.7109375" bestFit="1" customWidth="1"/>
    <col min="2" max="2" width="6.85546875" bestFit="1" customWidth="1"/>
    <col min="3" max="3" width="22.85546875" customWidth="1"/>
    <col min="4" max="4" width="3.7109375" bestFit="1" customWidth="1"/>
  </cols>
  <sheetData>
    <row r="1" spans="1:6" x14ac:dyDescent="0.25">
      <c r="A1" s="11" t="s">
        <v>8</v>
      </c>
      <c r="B1" s="11" t="s">
        <v>61</v>
      </c>
      <c r="C1" s="4" t="s">
        <v>62</v>
      </c>
      <c r="D1" s="4" t="s">
        <v>4</v>
      </c>
    </row>
    <row r="2" spans="1:6" x14ac:dyDescent="0.25">
      <c r="A2" s="11">
        <v>0</v>
      </c>
      <c r="B2" s="11"/>
      <c r="C2" s="4"/>
      <c r="D2" s="4">
        <v>4</v>
      </c>
    </row>
    <row r="3" spans="1:6" x14ac:dyDescent="0.25">
      <c r="A3" s="4">
        <v>1</v>
      </c>
      <c r="B3" s="4">
        <v>40</v>
      </c>
      <c r="C3" s="6" t="s">
        <v>30</v>
      </c>
      <c r="D3" s="4">
        <v>4</v>
      </c>
    </row>
    <row r="4" spans="1:6" x14ac:dyDescent="0.25">
      <c r="A4" s="4">
        <v>2</v>
      </c>
      <c r="B4" s="4">
        <v>60</v>
      </c>
      <c r="C4" s="6" t="s">
        <v>31</v>
      </c>
      <c r="D4" s="4">
        <v>6</v>
      </c>
    </row>
    <row r="5" spans="1:6" x14ac:dyDescent="0.25">
      <c r="A5" s="4">
        <v>3</v>
      </c>
      <c r="B5" s="4">
        <v>90</v>
      </c>
      <c r="C5" s="6" t="s">
        <v>32</v>
      </c>
      <c r="D5" s="4">
        <v>8</v>
      </c>
    </row>
    <row r="6" spans="1:6" x14ac:dyDescent="0.25">
      <c r="A6" s="4">
        <v>4</v>
      </c>
      <c r="B6" s="4">
        <v>200</v>
      </c>
      <c r="C6" s="6" t="s">
        <v>34</v>
      </c>
      <c r="D6" s="4"/>
      <c r="E6" t="s">
        <v>125</v>
      </c>
      <c r="F6">
        <v>180</v>
      </c>
    </row>
    <row r="7" spans="1:6" x14ac:dyDescent="0.25">
      <c r="A7" s="4" t="s">
        <v>36</v>
      </c>
      <c r="B7" s="4">
        <v>250</v>
      </c>
      <c r="C7" s="6" t="s">
        <v>29</v>
      </c>
      <c r="D7" s="4"/>
      <c r="E7" t="s">
        <v>124</v>
      </c>
      <c r="F7">
        <v>220</v>
      </c>
    </row>
    <row r="8" spans="1:6" x14ac:dyDescent="0.25">
      <c r="A8" s="4">
        <v>5</v>
      </c>
      <c r="B8" s="4">
        <v>250</v>
      </c>
      <c r="C8" s="6" t="s">
        <v>29</v>
      </c>
      <c r="D8" s="4"/>
      <c r="E8" t="s">
        <v>124</v>
      </c>
      <c r="F8">
        <v>220</v>
      </c>
    </row>
    <row r="9" spans="1:6" x14ac:dyDescent="0.25">
      <c r="A9" s="4">
        <v>6</v>
      </c>
      <c r="B9" s="4">
        <v>260</v>
      </c>
      <c r="C9" s="6" t="s">
        <v>798</v>
      </c>
      <c r="D9" s="4"/>
    </row>
    <row r="10" spans="1:6" x14ac:dyDescent="0.25">
      <c r="A10" s="4">
        <v>7</v>
      </c>
      <c r="B10" s="4">
        <v>270</v>
      </c>
      <c r="C10" s="6" t="s">
        <v>799</v>
      </c>
      <c r="D10" s="4"/>
    </row>
    <row r="11" spans="1:6" x14ac:dyDescent="0.25">
      <c r="A11" s="4">
        <v>8</v>
      </c>
      <c r="B11" s="4">
        <v>280</v>
      </c>
      <c r="C11" s="6" t="s">
        <v>800</v>
      </c>
      <c r="D11" s="4"/>
    </row>
  </sheetData>
  <phoneticPr fontId="4" type="noConversion"/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BA72A5-373A-4A3E-BB11-94E851EFC315}">
  <sheetPr codeName="Planilha16"/>
  <dimension ref="A1:B8"/>
  <sheetViews>
    <sheetView workbookViewId="0">
      <selection sqref="A1:B1048576"/>
    </sheetView>
  </sheetViews>
  <sheetFormatPr defaultColWidth="24.28515625" defaultRowHeight="15" x14ac:dyDescent="0.25"/>
  <cols>
    <col min="1" max="1" width="19.5703125" customWidth="1"/>
    <col min="2" max="2" width="10.85546875" customWidth="1"/>
    <col min="3" max="3" width="22.85546875" customWidth="1"/>
    <col min="4" max="4" width="3.7109375" bestFit="1" customWidth="1"/>
  </cols>
  <sheetData>
    <row r="1" spans="1:2" x14ac:dyDescent="0.25">
      <c r="A1" s="17" t="s">
        <v>65</v>
      </c>
      <c r="B1" s="17" t="s">
        <v>968</v>
      </c>
    </row>
    <row r="2" spans="1:2" x14ac:dyDescent="0.25">
      <c r="A2" s="11" t="s">
        <v>803</v>
      </c>
      <c r="B2" s="38">
        <v>0</v>
      </c>
    </row>
    <row r="3" spans="1:2" x14ac:dyDescent="0.25">
      <c r="A3" s="19" t="s">
        <v>79</v>
      </c>
      <c r="B3" s="47">
        <v>0</v>
      </c>
    </row>
    <row r="4" spans="1:2" x14ac:dyDescent="0.25">
      <c r="A4" s="19" t="s">
        <v>811</v>
      </c>
      <c r="B4" s="39">
        <v>5</v>
      </c>
    </row>
    <row r="5" spans="1:2" x14ac:dyDescent="0.25">
      <c r="A5" s="19" t="s">
        <v>78</v>
      </c>
      <c r="B5" s="39">
        <v>5</v>
      </c>
    </row>
    <row r="6" spans="1:2" x14ac:dyDescent="0.25">
      <c r="A6" s="19" t="s">
        <v>28</v>
      </c>
      <c r="B6" s="39">
        <v>0</v>
      </c>
    </row>
    <row r="7" spans="1:2" x14ac:dyDescent="0.25">
      <c r="A7" s="19" t="s">
        <v>966</v>
      </c>
      <c r="B7" s="39">
        <v>5</v>
      </c>
    </row>
    <row r="8" spans="1:2" x14ac:dyDescent="0.25">
      <c r="A8" s="19" t="s">
        <v>812</v>
      </c>
      <c r="B8" s="39">
        <v>5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1E1E8-B5F4-43E6-B0EA-F89F2521963A}">
  <sheetPr codeName="Planilha10"/>
  <dimension ref="A1:C4"/>
  <sheetViews>
    <sheetView workbookViewId="0">
      <selection activeCell="C5" sqref="C5"/>
    </sheetView>
  </sheetViews>
  <sheetFormatPr defaultColWidth="15.5703125" defaultRowHeight="15" x14ac:dyDescent="0.25"/>
  <cols>
    <col min="1" max="1" width="18.140625" customWidth="1"/>
    <col min="2" max="2" width="9.7109375" bestFit="1" customWidth="1"/>
    <col min="3" max="3" width="8.5703125" bestFit="1" customWidth="1"/>
  </cols>
  <sheetData>
    <row r="1" spans="1:3" s="9" customFormat="1" x14ac:dyDescent="0.25">
      <c r="A1" s="11" t="s">
        <v>44</v>
      </c>
      <c r="B1" s="11" t="s">
        <v>45</v>
      </c>
      <c r="C1" s="11" t="s">
        <v>37</v>
      </c>
    </row>
    <row r="2" spans="1:3" x14ac:dyDescent="0.25">
      <c r="A2" s="15" t="s">
        <v>63</v>
      </c>
      <c r="B2" s="10" t="s">
        <v>23</v>
      </c>
      <c r="C2" s="6">
        <v>0.5</v>
      </c>
    </row>
    <row r="3" spans="1:3" x14ac:dyDescent="0.25">
      <c r="A3" s="15" t="s">
        <v>801</v>
      </c>
      <c r="B3" s="10" t="s">
        <v>802</v>
      </c>
      <c r="C3" s="6">
        <v>0.6</v>
      </c>
    </row>
    <row r="4" spans="1:3" x14ac:dyDescent="0.25">
      <c r="A4" s="15" t="s">
        <v>64</v>
      </c>
      <c r="B4" s="10" t="s">
        <v>46</v>
      </c>
      <c r="C4" s="6">
        <v>0.7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6788A-CFF7-49E9-8093-66442C1FC470}">
  <sheetPr codeName="Planilha13"/>
  <dimension ref="A1:C9"/>
  <sheetViews>
    <sheetView workbookViewId="0">
      <selection activeCell="C3" sqref="C3"/>
    </sheetView>
  </sheetViews>
  <sheetFormatPr defaultRowHeight="15" x14ac:dyDescent="0.25"/>
  <cols>
    <col min="1" max="2" width="20.85546875" customWidth="1"/>
    <col min="3" max="3" width="16.7109375" customWidth="1"/>
  </cols>
  <sheetData>
    <row r="1" spans="1:3" x14ac:dyDescent="0.25">
      <c r="A1" s="17" t="s">
        <v>65</v>
      </c>
      <c r="B1" s="17" t="s">
        <v>4</v>
      </c>
      <c r="C1" s="17" t="s">
        <v>37</v>
      </c>
    </row>
    <row r="2" spans="1:3" x14ac:dyDescent="0.25">
      <c r="A2" s="11" t="s">
        <v>105</v>
      </c>
      <c r="B2" s="11">
        <v>30</v>
      </c>
      <c r="C2" s="11">
        <v>10</v>
      </c>
    </row>
    <row r="3" spans="1:3" x14ac:dyDescent="0.25">
      <c r="A3" s="11" t="s">
        <v>105</v>
      </c>
      <c r="B3" s="11" t="s">
        <v>106</v>
      </c>
      <c r="C3" s="38">
        <v>0.4</v>
      </c>
    </row>
    <row r="4" spans="1:3" x14ac:dyDescent="0.25">
      <c r="A4" s="19" t="s">
        <v>79</v>
      </c>
      <c r="B4" s="19" t="s">
        <v>4</v>
      </c>
      <c r="C4" s="20">
        <v>0.7</v>
      </c>
    </row>
    <row r="5" spans="1:3" x14ac:dyDescent="0.25">
      <c r="A5" s="19"/>
      <c r="B5" s="19"/>
      <c r="C5" s="21"/>
    </row>
    <row r="6" spans="1:3" x14ac:dyDescent="0.25">
      <c r="A6" s="19"/>
      <c r="B6" s="19"/>
      <c r="C6" s="21"/>
    </row>
    <row r="7" spans="1:3" x14ac:dyDescent="0.25">
      <c r="A7" s="19"/>
      <c r="B7" s="19"/>
      <c r="C7" s="21"/>
    </row>
    <row r="8" spans="1:3" x14ac:dyDescent="0.25">
      <c r="A8" s="19"/>
      <c r="B8" s="19"/>
      <c r="C8" s="21"/>
    </row>
    <row r="9" spans="1:3" x14ac:dyDescent="0.25">
      <c r="A9" s="9"/>
      <c r="B9" s="9"/>
      <c r="C9" s="9"/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8F7C4-22C0-4D57-A9F7-6B4C586DFF53}">
  <sheetPr codeName="Planilha15"/>
  <dimension ref="A1:C7"/>
  <sheetViews>
    <sheetView workbookViewId="0">
      <selection activeCell="A3" sqref="A3:B3"/>
    </sheetView>
  </sheetViews>
  <sheetFormatPr defaultRowHeight="15" x14ac:dyDescent="0.25"/>
  <cols>
    <col min="1" max="2" width="20.85546875" customWidth="1"/>
    <col min="3" max="3" width="16.7109375" customWidth="1"/>
  </cols>
  <sheetData>
    <row r="1" spans="1:3" x14ac:dyDescent="0.25">
      <c r="A1" s="17" t="s">
        <v>65</v>
      </c>
      <c r="B1" s="17" t="s">
        <v>4</v>
      </c>
      <c r="C1" s="17" t="s">
        <v>37</v>
      </c>
    </row>
    <row r="2" spans="1:3" x14ac:dyDescent="0.25">
      <c r="A2" s="19" t="s">
        <v>79</v>
      </c>
      <c r="B2" s="19" t="s">
        <v>4</v>
      </c>
      <c r="C2" s="39">
        <v>0.7</v>
      </c>
    </row>
    <row r="3" spans="1:3" x14ac:dyDescent="0.25">
      <c r="A3" s="19" t="s">
        <v>809</v>
      </c>
      <c r="B3" s="19">
        <v>7</v>
      </c>
      <c r="C3" s="21"/>
    </row>
    <row r="4" spans="1:3" x14ac:dyDescent="0.25">
      <c r="A4" s="19"/>
      <c r="B4" s="19"/>
      <c r="C4" s="21"/>
    </row>
    <row r="5" spans="1:3" x14ac:dyDescent="0.25">
      <c r="A5" s="19"/>
      <c r="B5" s="19"/>
      <c r="C5" s="21"/>
    </row>
    <row r="6" spans="1:3" x14ac:dyDescent="0.25">
      <c r="A6" s="19"/>
      <c r="B6" s="19"/>
      <c r="C6" s="21"/>
    </row>
    <row r="7" spans="1:3" x14ac:dyDescent="0.25">
      <c r="A7" s="9"/>
      <c r="B7" s="9"/>
      <c r="C7" s="9"/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099FA-0090-4293-86B9-418EA14CB201}">
  <sheetPr codeName="Planilha9"/>
  <dimension ref="A1:B9"/>
  <sheetViews>
    <sheetView workbookViewId="0">
      <selection sqref="A1:B8"/>
    </sheetView>
  </sheetViews>
  <sheetFormatPr defaultRowHeight="15" x14ac:dyDescent="0.25"/>
  <cols>
    <col min="1" max="1" width="20.85546875" customWidth="1"/>
    <col min="2" max="2" width="16.7109375" customWidth="1"/>
  </cols>
  <sheetData>
    <row r="1" spans="1:2" x14ac:dyDescent="0.25">
      <c r="A1" s="17" t="s">
        <v>65</v>
      </c>
      <c r="B1" s="17" t="s">
        <v>37</v>
      </c>
    </row>
    <row r="2" spans="1:2" x14ac:dyDescent="0.25">
      <c r="A2" s="11" t="s">
        <v>803</v>
      </c>
      <c r="B2" s="11">
        <v>0</v>
      </c>
    </row>
    <row r="3" spans="1:2" x14ac:dyDescent="0.25">
      <c r="A3" s="19" t="s">
        <v>79</v>
      </c>
      <c r="B3" s="47">
        <v>0.3</v>
      </c>
    </row>
    <row r="4" spans="1:2" x14ac:dyDescent="0.25">
      <c r="A4" s="19" t="s">
        <v>811</v>
      </c>
      <c r="B4" s="21">
        <v>2.8</v>
      </c>
    </row>
    <row r="5" spans="1:2" x14ac:dyDescent="0.25">
      <c r="A5" s="19" t="s">
        <v>78</v>
      </c>
      <c r="B5" s="21">
        <v>1.8</v>
      </c>
    </row>
    <row r="6" spans="1:2" x14ac:dyDescent="0.25">
      <c r="A6" s="19" t="s">
        <v>28</v>
      </c>
      <c r="B6" s="21">
        <v>17</v>
      </c>
    </row>
    <row r="7" spans="1:2" x14ac:dyDescent="0.25">
      <c r="A7" s="19" t="s">
        <v>966</v>
      </c>
      <c r="B7" s="21">
        <f>2.8+0.7</f>
        <v>3.5</v>
      </c>
    </row>
    <row r="8" spans="1:2" x14ac:dyDescent="0.25">
      <c r="A8" s="19" t="s">
        <v>812</v>
      </c>
      <c r="B8" s="21">
        <v>2.8</v>
      </c>
    </row>
    <row r="9" spans="1:2" x14ac:dyDescent="0.25">
      <c r="A9" s="9"/>
      <c r="B9" s="9"/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509A6-614F-4EDA-ABDB-0562A7B74B00}">
  <sheetPr codeName="Planilha12"/>
  <dimension ref="A1:F1385"/>
  <sheetViews>
    <sheetView workbookViewId="0">
      <pane xSplit="5" ySplit="1" topLeftCell="F2" activePane="bottomRight" state="frozen"/>
      <selection activeCell="H11" sqref="H11"/>
      <selection pane="topRight" activeCell="H11" sqref="H11"/>
      <selection pane="bottomLeft" activeCell="H11" sqref="H11"/>
      <selection pane="bottomRight" activeCell="F2" sqref="F2"/>
    </sheetView>
  </sheetViews>
  <sheetFormatPr defaultRowHeight="15" x14ac:dyDescent="0.25"/>
  <cols>
    <col min="1" max="2" width="8.85546875" customWidth="1"/>
    <col min="3" max="3" width="9.28515625" customWidth="1"/>
    <col min="4" max="4" width="17.7109375" customWidth="1"/>
    <col min="5" max="6" width="14.5703125" customWidth="1"/>
  </cols>
  <sheetData>
    <row r="1" spans="1:6" x14ac:dyDescent="0.25">
      <c r="A1" s="11"/>
      <c r="B1" s="11"/>
      <c r="C1" s="11" t="s">
        <v>75</v>
      </c>
      <c r="D1" s="11" t="s">
        <v>77</v>
      </c>
      <c r="E1" s="11" t="s">
        <v>74</v>
      </c>
      <c r="F1" s="11">
        <v>5</v>
      </c>
    </row>
    <row r="2" spans="1:6" x14ac:dyDescent="0.25">
      <c r="A2" s="11" t="s">
        <v>73</v>
      </c>
      <c r="B2" s="11" t="str">
        <f t="shared" ref="B2:B12" si="0">CONCATENATE(C2&amp;D2)</f>
        <v>3"1</v>
      </c>
      <c r="C2" s="11" t="s">
        <v>46</v>
      </c>
      <c r="D2" s="11">
        <v>1</v>
      </c>
      <c r="E2" s="11">
        <f t="shared" ref="E2:E11" si="1">E3</f>
        <v>1</v>
      </c>
      <c r="F2" s="11">
        <f>E2*$F$1</f>
        <v>5</v>
      </c>
    </row>
    <row r="3" spans="1:6" x14ac:dyDescent="0.25">
      <c r="A3" s="11" t="s">
        <v>73</v>
      </c>
      <c r="B3" s="11" t="str">
        <f t="shared" si="0"/>
        <v>3"2</v>
      </c>
      <c r="C3" s="11" t="s">
        <v>46</v>
      </c>
      <c r="D3" s="11">
        <f>D2+1</f>
        <v>2</v>
      </c>
      <c r="E3" s="11">
        <f t="shared" si="1"/>
        <v>1</v>
      </c>
      <c r="F3" s="11">
        <f t="shared" ref="F3:F66" si="2">E3*$F$1</f>
        <v>5</v>
      </c>
    </row>
    <row r="4" spans="1:6" x14ac:dyDescent="0.25">
      <c r="A4" s="11" t="s">
        <v>73</v>
      </c>
      <c r="B4" s="11" t="str">
        <f t="shared" si="0"/>
        <v>3"3</v>
      </c>
      <c r="C4" s="11" t="s">
        <v>46</v>
      </c>
      <c r="D4" s="11">
        <f t="shared" ref="D4:D67" si="3">D3+1</f>
        <v>3</v>
      </c>
      <c r="E4" s="11">
        <f t="shared" si="1"/>
        <v>1</v>
      </c>
      <c r="F4" s="11">
        <f t="shared" si="2"/>
        <v>5</v>
      </c>
    </row>
    <row r="5" spans="1:6" x14ac:dyDescent="0.25">
      <c r="A5" s="11" t="s">
        <v>73</v>
      </c>
      <c r="B5" s="11" t="str">
        <f t="shared" si="0"/>
        <v>3"4</v>
      </c>
      <c r="C5" s="11" t="s">
        <v>46</v>
      </c>
      <c r="D5" s="11">
        <f t="shared" si="3"/>
        <v>4</v>
      </c>
      <c r="E5" s="11">
        <f t="shared" si="1"/>
        <v>1</v>
      </c>
      <c r="F5" s="11">
        <f t="shared" si="2"/>
        <v>5</v>
      </c>
    </row>
    <row r="6" spans="1:6" x14ac:dyDescent="0.25">
      <c r="A6" s="11" t="s">
        <v>73</v>
      </c>
      <c r="B6" s="11" t="str">
        <f t="shared" si="0"/>
        <v>3"5</v>
      </c>
      <c r="C6" s="11" t="s">
        <v>46</v>
      </c>
      <c r="D6" s="11">
        <f t="shared" si="3"/>
        <v>5</v>
      </c>
      <c r="E6" s="11">
        <f t="shared" si="1"/>
        <v>1</v>
      </c>
      <c r="F6" s="11">
        <f t="shared" si="2"/>
        <v>5</v>
      </c>
    </row>
    <row r="7" spans="1:6" x14ac:dyDescent="0.25">
      <c r="A7" s="11" t="s">
        <v>73</v>
      </c>
      <c r="B7" s="11" t="str">
        <f t="shared" si="0"/>
        <v>3"6</v>
      </c>
      <c r="C7" s="11" t="s">
        <v>46</v>
      </c>
      <c r="D7" s="11">
        <f t="shared" si="3"/>
        <v>6</v>
      </c>
      <c r="E7" s="11">
        <f t="shared" si="1"/>
        <v>1</v>
      </c>
      <c r="F7" s="11">
        <f t="shared" si="2"/>
        <v>5</v>
      </c>
    </row>
    <row r="8" spans="1:6" x14ac:dyDescent="0.25">
      <c r="A8" s="11" t="s">
        <v>73</v>
      </c>
      <c r="B8" s="11" t="str">
        <f t="shared" si="0"/>
        <v>3"7</v>
      </c>
      <c r="C8" s="11" t="s">
        <v>46</v>
      </c>
      <c r="D8" s="11">
        <f t="shared" si="3"/>
        <v>7</v>
      </c>
      <c r="E8" s="11">
        <f t="shared" si="1"/>
        <v>1</v>
      </c>
      <c r="F8" s="11">
        <f t="shared" si="2"/>
        <v>5</v>
      </c>
    </row>
    <row r="9" spans="1:6" x14ac:dyDescent="0.25">
      <c r="A9" s="11" t="s">
        <v>73</v>
      </c>
      <c r="B9" s="11" t="str">
        <f t="shared" si="0"/>
        <v>3"8</v>
      </c>
      <c r="C9" s="11" t="s">
        <v>46</v>
      </c>
      <c r="D9" s="11">
        <f t="shared" si="3"/>
        <v>8</v>
      </c>
      <c r="E9" s="11">
        <f t="shared" si="1"/>
        <v>1</v>
      </c>
      <c r="F9" s="11">
        <f t="shared" si="2"/>
        <v>5</v>
      </c>
    </row>
    <row r="10" spans="1:6" x14ac:dyDescent="0.25">
      <c r="A10" s="11" t="s">
        <v>73</v>
      </c>
      <c r="B10" s="11" t="str">
        <f t="shared" si="0"/>
        <v>3"9</v>
      </c>
      <c r="C10" s="11" t="s">
        <v>46</v>
      </c>
      <c r="D10" s="11">
        <f t="shared" si="3"/>
        <v>9</v>
      </c>
      <c r="E10" s="11">
        <f t="shared" si="1"/>
        <v>1</v>
      </c>
      <c r="F10" s="11">
        <f t="shared" si="2"/>
        <v>5</v>
      </c>
    </row>
    <row r="11" spans="1:6" x14ac:dyDescent="0.25">
      <c r="A11" s="11" t="s">
        <v>73</v>
      </c>
      <c r="B11" s="11" t="str">
        <f t="shared" si="0"/>
        <v>3"10</v>
      </c>
      <c r="C11" s="11" t="s">
        <v>46</v>
      </c>
      <c r="D11" s="11">
        <f t="shared" si="3"/>
        <v>10</v>
      </c>
      <c r="E11" s="11">
        <f t="shared" si="1"/>
        <v>1</v>
      </c>
      <c r="F11" s="11">
        <f t="shared" si="2"/>
        <v>5</v>
      </c>
    </row>
    <row r="12" spans="1:6" x14ac:dyDescent="0.25">
      <c r="A12" s="11" t="s">
        <v>73</v>
      </c>
      <c r="B12" s="11" t="str">
        <f t="shared" si="0"/>
        <v>3"11</v>
      </c>
      <c r="C12" s="11" t="s">
        <v>46</v>
      </c>
      <c r="D12" s="11">
        <f t="shared" si="3"/>
        <v>11</v>
      </c>
      <c r="E12" s="11">
        <f>E13</f>
        <v>1</v>
      </c>
      <c r="F12" s="11">
        <f t="shared" si="2"/>
        <v>5</v>
      </c>
    </row>
    <row r="13" spans="1:6" x14ac:dyDescent="0.25">
      <c r="A13" s="11" t="s">
        <v>73</v>
      </c>
      <c r="B13" s="11" t="str">
        <f>CONCATENATE(C13&amp;D13)</f>
        <v>3"12</v>
      </c>
      <c r="C13" s="11" t="s">
        <v>46</v>
      </c>
      <c r="D13" s="22">
        <f t="shared" si="3"/>
        <v>12</v>
      </c>
      <c r="E13" s="11">
        <v>1</v>
      </c>
      <c r="F13" s="11">
        <f t="shared" si="2"/>
        <v>5</v>
      </c>
    </row>
    <row r="14" spans="1:6" x14ac:dyDescent="0.25">
      <c r="A14" s="11" t="s">
        <v>73</v>
      </c>
      <c r="B14" s="11" t="str">
        <f t="shared" ref="B14:B122" si="4">CONCATENATE(C14&amp;D14)</f>
        <v>3"13</v>
      </c>
      <c r="C14" s="11" t="s">
        <v>46</v>
      </c>
      <c r="D14" s="11">
        <f t="shared" si="3"/>
        <v>13</v>
      </c>
      <c r="E14" s="11">
        <v>2</v>
      </c>
      <c r="F14" s="11">
        <f t="shared" si="2"/>
        <v>10</v>
      </c>
    </row>
    <row r="15" spans="1:6" x14ac:dyDescent="0.25">
      <c r="A15" s="11" t="s">
        <v>73</v>
      </c>
      <c r="B15" s="11" t="str">
        <f t="shared" si="4"/>
        <v>3"14</v>
      </c>
      <c r="C15" s="11" t="s">
        <v>46</v>
      </c>
      <c r="D15" s="11">
        <f t="shared" si="3"/>
        <v>14</v>
      </c>
      <c r="E15" s="11">
        <v>2</v>
      </c>
      <c r="F15" s="11">
        <f t="shared" si="2"/>
        <v>10</v>
      </c>
    </row>
    <row r="16" spans="1:6" x14ac:dyDescent="0.25">
      <c r="A16" s="11" t="s">
        <v>73</v>
      </c>
      <c r="B16" s="11" t="str">
        <f t="shared" si="4"/>
        <v>3"15</v>
      </c>
      <c r="C16" s="11" t="s">
        <v>46</v>
      </c>
      <c r="D16" s="11">
        <f t="shared" si="3"/>
        <v>15</v>
      </c>
      <c r="E16" s="11">
        <v>2</v>
      </c>
      <c r="F16" s="11">
        <f t="shared" si="2"/>
        <v>10</v>
      </c>
    </row>
    <row r="17" spans="1:6" x14ac:dyDescent="0.25">
      <c r="A17" s="11" t="s">
        <v>73</v>
      </c>
      <c r="B17" s="11" t="str">
        <f t="shared" si="4"/>
        <v>3"16</v>
      </c>
      <c r="C17" s="11" t="s">
        <v>46</v>
      </c>
      <c r="D17" s="11">
        <f t="shared" si="3"/>
        <v>16</v>
      </c>
      <c r="E17" s="11">
        <v>2</v>
      </c>
      <c r="F17" s="11">
        <f t="shared" si="2"/>
        <v>10</v>
      </c>
    </row>
    <row r="18" spans="1:6" x14ac:dyDescent="0.25">
      <c r="A18" s="11" t="s">
        <v>73</v>
      </c>
      <c r="B18" s="11" t="str">
        <f t="shared" si="4"/>
        <v>3"17</v>
      </c>
      <c r="C18" s="11" t="s">
        <v>46</v>
      </c>
      <c r="D18" s="11">
        <f t="shared" si="3"/>
        <v>17</v>
      </c>
      <c r="E18" s="11">
        <v>2</v>
      </c>
      <c r="F18" s="11">
        <f t="shared" si="2"/>
        <v>10</v>
      </c>
    </row>
    <row r="19" spans="1:6" x14ac:dyDescent="0.25">
      <c r="A19" s="11" t="s">
        <v>73</v>
      </c>
      <c r="B19" s="11" t="str">
        <f t="shared" si="4"/>
        <v>3"18</v>
      </c>
      <c r="C19" s="11" t="s">
        <v>46</v>
      </c>
      <c r="D19" s="11">
        <f t="shared" si="3"/>
        <v>18</v>
      </c>
      <c r="E19" s="11">
        <v>2</v>
      </c>
      <c r="F19" s="11">
        <f t="shared" si="2"/>
        <v>10</v>
      </c>
    </row>
    <row r="20" spans="1:6" x14ac:dyDescent="0.25">
      <c r="A20" s="11" t="s">
        <v>73</v>
      </c>
      <c r="B20" s="11" t="str">
        <f t="shared" si="4"/>
        <v>3"19</v>
      </c>
      <c r="C20" s="11" t="s">
        <v>46</v>
      </c>
      <c r="D20" s="11">
        <f t="shared" si="3"/>
        <v>19</v>
      </c>
      <c r="E20" s="11">
        <v>2</v>
      </c>
      <c r="F20" s="11">
        <f t="shared" si="2"/>
        <v>10</v>
      </c>
    </row>
    <row r="21" spans="1:6" x14ac:dyDescent="0.25">
      <c r="A21" s="11" t="s">
        <v>73</v>
      </c>
      <c r="B21" s="11" t="str">
        <f t="shared" si="4"/>
        <v>3"20</v>
      </c>
      <c r="C21" s="11" t="s">
        <v>46</v>
      </c>
      <c r="D21" s="11">
        <f t="shared" si="3"/>
        <v>20</v>
      </c>
      <c r="E21" s="11">
        <v>2</v>
      </c>
      <c r="F21" s="11">
        <f t="shared" si="2"/>
        <v>10</v>
      </c>
    </row>
    <row r="22" spans="1:6" x14ac:dyDescent="0.25">
      <c r="A22" s="11" t="s">
        <v>73</v>
      </c>
      <c r="B22" s="11" t="str">
        <f t="shared" si="4"/>
        <v>3"21</v>
      </c>
      <c r="C22" s="11" t="s">
        <v>46</v>
      </c>
      <c r="D22" s="11">
        <f t="shared" si="3"/>
        <v>21</v>
      </c>
      <c r="E22" s="11">
        <v>2</v>
      </c>
      <c r="F22" s="11">
        <f t="shared" si="2"/>
        <v>10</v>
      </c>
    </row>
    <row r="23" spans="1:6" x14ac:dyDescent="0.25">
      <c r="A23" s="11" t="s">
        <v>73</v>
      </c>
      <c r="B23" s="11" t="str">
        <f t="shared" si="4"/>
        <v>3"22</v>
      </c>
      <c r="C23" s="11" t="s">
        <v>46</v>
      </c>
      <c r="D23" s="11">
        <f t="shared" si="3"/>
        <v>22</v>
      </c>
      <c r="E23" s="11">
        <v>2</v>
      </c>
      <c r="F23" s="11">
        <f t="shared" si="2"/>
        <v>10</v>
      </c>
    </row>
    <row r="24" spans="1:6" x14ac:dyDescent="0.25">
      <c r="A24" s="11" t="s">
        <v>73</v>
      </c>
      <c r="B24" s="11" t="str">
        <f t="shared" si="4"/>
        <v>3"23</v>
      </c>
      <c r="C24" s="11" t="s">
        <v>46</v>
      </c>
      <c r="D24" s="11">
        <f t="shared" si="3"/>
        <v>23</v>
      </c>
      <c r="E24" s="11">
        <v>2</v>
      </c>
      <c r="F24" s="11">
        <f t="shared" si="2"/>
        <v>10</v>
      </c>
    </row>
    <row r="25" spans="1:6" x14ac:dyDescent="0.25">
      <c r="A25" s="11" t="s">
        <v>73</v>
      </c>
      <c r="B25" s="11" t="str">
        <f t="shared" si="4"/>
        <v>3"24</v>
      </c>
      <c r="C25" s="11" t="s">
        <v>46</v>
      </c>
      <c r="D25" s="22">
        <f t="shared" si="3"/>
        <v>24</v>
      </c>
      <c r="E25" s="11">
        <v>2</v>
      </c>
      <c r="F25" s="11">
        <f t="shared" si="2"/>
        <v>10</v>
      </c>
    </row>
    <row r="26" spans="1:6" x14ac:dyDescent="0.25">
      <c r="A26" s="11" t="s">
        <v>73</v>
      </c>
      <c r="B26" s="11" t="str">
        <f t="shared" si="4"/>
        <v>3"25</v>
      </c>
      <c r="C26" s="11" t="s">
        <v>46</v>
      </c>
      <c r="D26" s="11">
        <f t="shared" si="3"/>
        <v>25</v>
      </c>
      <c r="E26" s="11">
        <f>E25+1</f>
        <v>3</v>
      </c>
      <c r="F26" s="11">
        <f t="shared" si="2"/>
        <v>15</v>
      </c>
    </row>
    <row r="27" spans="1:6" x14ac:dyDescent="0.25">
      <c r="A27" s="11" t="s">
        <v>73</v>
      </c>
      <c r="B27" s="11" t="str">
        <f t="shared" si="4"/>
        <v>3"26</v>
      </c>
      <c r="C27" s="11" t="s">
        <v>46</v>
      </c>
      <c r="D27" s="11">
        <f t="shared" si="3"/>
        <v>26</v>
      </c>
      <c r="E27" s="11">
        <f t="shared" ref="E27:E37" si="5">E26</f>
        <v>3</v>
      </c>
      <c r="F27" s="11">
        <f t="shared" si="2"/>
        <v>15</v>
      </c>
    </row>
    <row r="28" spans="1:6" x14ac:dyDescent="0.25">
      <c r="A28" s="11" t="s">
        <v>73</v>
      </c>
      <c r="B28" s="11" t="str">
        <f t="shared" si="4"/>
        <v>3"27</v>
      </c>
      <c r="C28" s="11" t="s">
        <v>46</v>
      </c>
      <c r="D28" s="11">
        <f t="shared" si="3"/>
        <v>27</v>
      </c>
      <c r="E28" s="11">
        <f t="shared" si="5"/>
        <v>3</v>
      </c>
      <c r="F28" s="11">
        <f t="shared" si="2"/>
        <v>15</v>
      </c>
    </row>
    <row r="29" spans="1:6" x14ac:dyDescent="0.25">
      <c r="A29" s="11" t="s">
        <v>73</v>
      </c>
      <c r="B29" s="11" t="str">
        <f t="shared" si="4"/>
        <v>3"28</v>
      </c>
      <c r="C29" s="11" t="s">
        <v>46</v>
      </c>
      <c r="D29" s="11">
        <f t="shared" si="3"/>
        <v>28</v>
      </c>
      <c r="E29" s="11">
        <f t="shared" si="5"/>
        <v>3</v>
      </c>
      <c r="F29" s="11">
        <f t="shared" si="2"/>
        <v>15</v>
      </c>
    </row>
    <row r="30" spans="1:6" x14ac:dyDescent="0.25">
      <c r="A30" s="11" t="s">
        <v>73</v>
      </c>
      <c r="B30" s="11" t="str">
        <f t="shared" si="4"/>
        <v>3"29</v>
      </c>
      <c r="C30" s="11" t="s">
        <v>46</v>
      </c>
      <c r="D30" s="11">
        <f t="shared" si="3"/>
        <v>29</v>
      </c>
      <c r="E30" s="11">
        <f t="shared" si="5"/>
        <v>3</v>
      </c>
      <c r="F30" s="11">
        <f t="shared" si="2"/>
        <v>15</v>
      </c>
    </row>
    <row r="31" spans="1:6" x14ac:dyDescent="0.25">
      <c r="A31" s="11" t="s">
        <v>73</v>
      </c>
      <c r="B31" s="11" t="str">
        <f t="shared" si="4"/>
        <v>3"30</v>
      </c>
      <c r="C31" s="11" t="s">
        <v>46</v>
      </c>
      <c r="D31" s="11">
        <f t="shared" si="3"/>
        <v>30</v>
      </c>
      <c r="E31" s="11">
        <f t="shared" si="5"/>
        <v>3</v>
      </c>
      <c r="F31" s="11">
        <f t="shared" si="2"/>
        <v>15</v>
      </c>
    </row>
    <row r="32" spans="1:6" x14ac:dyDescent="0.25">
      <c r="A32" s="11" t="s">
        <v>73</v>
      </c>
      <c r="B32" s="11" t="str">
        <f t="shared" si="4"/>
        <v>3"31</v>
      </c>
      <c r="C32" s="11" t="s">
        <v>46</v>
      </c>
      <c r="D32" s="11">
        <f t="shared" si="3"/>
        <v>31</v>
      </c>
      <c r="E32" s="11">
        <f t="shared" si="5"/>
        <v>3</v>
      </c>
      <c r="F32" s="11">
        <f t="shared" si="2"/>
        <v>15</v>
      </c>
    </row>
    <row r="33" spans="1:6" x14ac:dyDescent="0.25">
      <c r="A33" s="11" t="s">
        <v>73</v>
      </c>
      <c r="B33" s="11" t="str">
        <f t="shared" si="4"/>
        <v>3"32</v>
      </c>
      <c r="C33" s="11" t="s">
        <v>46</v>
      </c>
      <c r="D33" s="11">
        <f t="shared" si="3"/>
        <v>32</v>
      </c>
      <c r="E33" s="11">
        <f t="shared" si="5"/>
        <v>3</v>
      </c>
      <c r="F33" s="11">
        <f t="shared" si="2"/>
        <v>15</v>
      </c>
    </row>
    <row r="34" spans="1:6" x14ac:dyDescent="0.25">
      <c r="A34" s="11" t="s">
        <v>73</v>
      </c>
      <c r="B34" s="11" t="str">
        <f t="shared" si="4"/>
        <v>3"33</v>
      </c>
      <c r="C34" s="11" t="s">
        <v>46</v>
      </c>
      <c r="D34" s="11">
        <f t="shared" si="3"/>
        <v>33</v>
      </c>
      <c r="E34" s="11">
        <f t="shared" si="5"/>
        <v>3</v>
      </c>
      <c r="F34" s="11">
        <f t="shared" si="2"/>
        <v>15</v>
      </c>
    </row>
    <row r="35" spans="1:6" x14ac:dyDescent="0.25">
      <c r="A35" s="11" t="s">
        <v>73</v>
      </c>
      <c r="B35" s="11" t="str">
        <f t="shared" si="4"/>
        <v>3"34</v>
      </c>
      <c r="C35" s="11" t="s">
        <v>46</v>
      </c>
      <c r="D35" s="11">
        <f t="shared" si="3"/>
        <v>34</v>
      </c>
      <c r="E35" s="11">
        <f t="shared" si="5"/>
        <v>3</v>
      </c>
      <c r="F35" s="11">
        <f t="shared" si="2"/>
        <v>15</v>
      </c>
    </row>
    <row r="36" spans="1:6" x14ac:dyDescent="0.25">
      <c r="A36" s="11" t="s">
        <v>73</v>
      </c>
      <c r="B36" s="11" t="str">
        <f t="shared" si="4"/>
        <v>3"35</v>
      </c>
      <c r="C36" s="11" t="s">
        <v>46</v>
      </c>
      <c r="D36" s="11">
        <f t="shared" si="3"/>
        <v>35</v>
      </c>
      <c r="E36" s="11">
        <f t="shared" si="5"/>
        <v>3</v>
      </c>
      <c r="F36" s="11">
        <f t="shared" si="2"/>
        <v>15</v>
      </c>
    </row>
    <row r="37" spans="1:6" x14ac:dyDescent="0.25">
      <c r="A37" s="11" t="s">
        <v>73</v>
      </c>
      <c r="B37" s="11" t="str">
        <f t="shared" si="4"/>
        <v>3"36</v>
      </c>
      <c r="C37" s="11" t="s">
        <v>46</v>
      </c>
      <c r="D37" s="22">
        <f t="shared" si="3"/>
        <v>36</v>
      </c>
      <c r="E37" s="11">
        <f t="shared" si="5"/>
        <v>3</v>
      </c>
      <c r="F37" s="11">
        <f t="shared" si="2"/>
        <v>15</v>
      </c>
    </row>
    <row r="38" spans="1:6" x14ac:dyDescent="0.25">
      <c r="A38" s="11" t="s">
        <v>73</v>
      </c>
      <c r="B38" s="11" t="str">
        <f t="shared" si="4"/>
        <v>3"37</v>
      </c>
      <c r="C38" s="11" t="s">
        <v>46</v>
      </c>
      <c r="D38" s="11">
        <f t="shared" si="3"/>
        <v>37</v>
      </c>
      <c r="E38" s="11">
        <f>E37+1</f>
        <v>4</v>
      </c>
      <c r="F38" s="11">
        <f t="shared" si="2"/>
        <v>20</v>
      </c>
    </row>
    <row r="39" spans="1:6" x14ac:dyDescent="0.25">
      <c r="A39" s="11" t="s">
        <v>73</v>
      </c>
      <c r="B39" s="11" t="str">
        <f t="shared" si="4"/>
        <v>3"38</v>
      </c>
      <c r="C39" s="11" t="s">
        <v>46</v>
      </c>
      <c r="D39" s="11">
        <f t="shared" si="3"/>
        <v>38</v>
      </c>
      <c r="E39" s="11">
        <f t="shared" ref="E39:E49" si="6">E38</f>
        <v>4</v>
      </c>
      <c r="F39" s="11">
        <f t="shared" si="2"/>
        <v>20</v>
      </c>
    </row>
    <row r="40" spans="1:6" x14ac:dyDescent="0.25">
      <c r="A40" s="11" t="s">
        <v>73</v>
      </c>
      <c r="B40" s="11" t="str">
        <f t="shared" si="4"/>
        <v>3"39</v>
      </c>
      <c r="C40" s="11" t="s">
        <v>46</v>
      </c>
      <c r="D40" s="11">
        <f t="shared" si="3"/>
        <v>39</v>
      </c>
      <c r="E40" s="11">
        <f t="shared" si="6"/>
        <v>4</v>
      </c>
      <c r="F40" s="11">
        <f t="shared" si="2"/>
        <v>20</v>
      </c>
    </row>
    <row r="41" spans="1:6" x14ac:dyDescent="0.25">
      <c r="A41" s="11" t="s">
        <v>73</v>
      </c>
      <c r="B41" s="11" t="str">
        <f t="shared" si="4"/>
        <v>3"40</v>
      </c>
      <c r="C41" s="11" t="s">
        <v>46</v>
      </c>
      <c r="D41" s="11">
        <f t="shared" si="3"/>
        <v>40</v>
      </c>
      <c r="E41" s="11">
        <f t="shared" si="6"/>
        <v>4</v>
      </c>
      <c r="F41" s="11">
        <f t="shared" si="2"/>
        <v>20</v>
      </c>
    </row>
    <row r="42" spans="1:6" x14ac:dyDescent="0.25">
      <c r="A42" s="11" t="s">
        <v>73</v>
      </c>
      <c r="B42" s="11" t="str">
        <f t="shared" si="4"/>
        <v>3"41</v>
      </c>
      <c r="C42" s="11" t="s">
        <v>46</v>
      </c>
      <c r="D42" s="11">
        <f t="shared" si="3"/>
        <v>41</v>
      </c>
      <c r="E42" s="11">
        <f t="shared" si="6"/>
        <v>4</v>
      </c>
      <c r="F42" s="11">
        <f t="shared" si="2"/>
        <v>20</v>
      </c>
    </row>
    <row r="43" spans="1:6" x14ac:dyDescent="0.25">
      <c r="A43" s="11" t="s">
        <v>73</v>
      </c>
      <c r="B43" s="11" t="str">
        <f t="shared" si="4"/>
        <v>3"42</v>
      </c>
      <c r="C43" s="11" t="s">
        <v>46</v>
      </c>
      <c r="D43" s="11">
        <f t="shared" si="3"/>
        <v>42</v>
      </c>
      <c r="E43" s="11">
        <f t="shared" si="6"/>
        <v>4</v>
      </c>
      <c r="F43" s="11">
        <f t="shared" si="2"/>
        <v>20</v>
      </c>
    </row>
    <row r="44" spans="1:6" x14ac:dyDescent="0.25">
      <c r="A44" s="11" t="s">
        <v>73</v>
      </c>
      <c r="B44" s="11" t="str">
        <f t="shared" si="4"/>
        <v>3"43</v>
      </c>
      <c r="C44" s="11" t="s">
        <v>46</v>
      </c>
      <c r="D44" s="11">
        <f t="shared" si="3"/>
        <v>43</v>
      </c>
      <c r="E44" s="11">
        <f t="shared" si="6"/>
        <v>4</v>
      </c>
      <c r="F44" s="11">
        <f t="shared" si="2"/>
        <v>20</v>
      </c>
    </row>
    <row r="45" spans="1:6" x14ac:dyDescent="0.25">
      <c r="A45" s="11" t="s">
        <v>73</v>
      </c>
      <c r="B45" s="11" t="str">
        <f t="shared" si="4"/>
        <v>3"44</v>
      </c>
      <c r="C45" s="11" t="s">
        <v>46</v>
      </c>
      <c r="D45" s="11">
        <f t="shared" si="3"/>
        <v>44</v>
      </c>
      <c r="E45" s="11">
        <f t="shared" si="6"/>
        <v>4</v>
      </c>
      <c r="F45" s="11">
        <f t="shared" si="2"/>
        <v>20</v>
      </c>
    </row>
    <row r="46" spans="1:6" x14ac:dyDescent="0.25">
      <c r="A46" s="11" t="s">
        <v>73</v>
      </c>
      <c r="B46" s="11" t="str">
        <f t="shared" si="4"/>
        <v>3"45</v>
      </c>
      <c r="C46" s="11" t="s">
        <v>46</v>
      </c>
      <c r="D46" s="11">
        <f t="shared" si="3"/>
        <v>45</v>
      </c>
      <c r="E46" s="11">
        <f t="shared" si="6"/>
        <v>4</v>
      </c>
      <c r="F46" s="11">
        <f t="shared" si="2"/>
        <v>20</v>
      </c>
    </row>
    <row r="47" spans="1:6" x14ac:dyDescent="0.25">
      <c r="A47" s="11" t="s">
        <v>73</v>
      </c>
      <c r="B47" s="11" t="str">
        <f t="shared" si="4"/>
        <v>3"46</v>
      </c>
      <c r="C47" s="11" t="s">
        <v>46</v>
      </c>
      <c r="D47" s="11">
        <f t="shared" si="3"/>
        <v>46</v>
      </c>
      <c r="E47" s="11">
        <f t="shared" si="6"/>
        <v>4</v>
      </c>
      <c r="F47" s="11">
        <f t="shared" si="2"/>
        <v>20</v>
      </c>
    </row>
    <row r="48" spans="1:6" x14ac:dyDescent="0.25">
      <c r="A48" s="11" t="s">
        <v>73</v>
      </c>
      <c r="B48" s="11" t="str">
        <f t="shared" si="4"/>
        <v>3"47</v>
      </c>
      <c r="C48" s="11" t="s">
        <v>46</v>
      </c>
      <c r="D48" s="11">
        <f t="shared" si="3"/>
        <v>47</v>
      </c>
      <c r="E48" s="11">
        <f t="shared" si="6"/>
        <v>4</v>
      </c>
      <c r="F48" s="11">
        <f t="shared" si="2"/>
        <v>20</v>
      </c>
    </row>
    <row r="49" spans="1:6" x14ac:dyDescent="0.25">
      <c r="A49" s="11" t="s">
        <v>73</v>
      </c>
      <c r="B49" s="11" t="str">
        <f t="shared" si="4"/>
        <v>3"48</v>
      </c>
      <c r="C49" s="11" t="s">
        <v>46</v>
      </c>
      <c r="D49" s="22">
        <f t="shared" si="3"/>
        <v>48</v>
      </c>
      <c r="E49" s="11">
        <f t="shared" si="6"/>
        <v>4</v>
      </c>
      <c r="F49" s="11">
        <f t="shared" si="2"/>
        <v>20</v>
      </c>
    </row>
    <row r="50" spans="1:6" x14ac:dyDescent="0.25">
      <c r="A50" s="11" t="s">
        <v>73</v>
      </c>
      <c r="B50" s="11" t="str">
        <f t="shared" si="4"/>
        <v>3"49</v>
      </c>
      <c r="C50" s="11" t="s">
        <v>46</v>
      </c>
      <c r="D50" s="11">
        <f t="shared" si="3"/>
        <v>49</v>
      </c>
      <c r="E50" s="11">
        <v>4</v>
      </c>
      <c r="F50" s="11">
        <f t="shared" si="2"/>
        <v>20</v>
      </c>
    </row>
    <row r="51" spans="1:6" x14ac:dyDescent="0.25">
      <c r="A51" s="11" t="s">
        <v>73</v>
      </c>
      <c r="B51" s="11" t="str">
        <f t="shared" si="4"/>
        <v>3"50</v>
      </c>
      <c r="C51" s="11" t="s">
        <v>46</v>
      </c>
      <c r="D51" s="11">
        <f t="shared" si="3"/>
        <v>50</v>
      </c>
      <c r="E51" s="11">
        <v>4</v>
      </c>
      <c r="F51" s="11">
        <f t="shared" si="2"/>
        <v>20</v>
      </c>
    </row>
    <row r="52" spans="1:6" x14ac:dyDescent="0.25">
      <c r="A52" s="11" t="s">
        <v>73</v>
      </c>
      <c r="B52" s="11" t="str">
        <f t="shared" si="4"/>
        <v>3"51</v>
      </c>
      <c r="C52" s="11" t="s">
        <v>46</v>
      </c>
      <c r="D52" s="11">
        <f t="shared" si="3"/>
        <v>51</v>
      </c>
      <c r="E52" s="11">
        <v>4</v>
      </c>
      <c r="F52" s="11">
        <f t="shared" si="2"/>
        <v>20</v>
      </c>
    </row>
    <row r="53" spans="1:6" x14ac:dyDescent="0.25">
      <c r="A53" s="11" t="s">
        <v>73</v>
      </c>
      <c r="B53" s="11" t="str">
        <f t="shared" si="4"/>
        <v>3"52</v>
      </c>
      <c r="C53" s="11" t="s">
        <v>46</v>
      </c>
      <c r="D53" s="11">
        <f t="shared" si="3"/>
        <v>52</v>
      </c>
      <c r="E53" s="11">
        <v>4</v>
      </c>
      <c r="F53" s="11">
        <f t="shared" si="2"/>
        <v>20</v>
      </c>
    </row>
    <row r="54" spans="1:6" x14ac:dyDescent="0.25">
      <c r="A54" s="11" t="s">
        <v>73</v>
      </c>
      <c r="B54" s="11" t="str">
        <f t="shared" si="4"/>
        <v>3"53</v>
      </c>
      <c r="C54" s="11" t="s">
        <v>46</v>
      </c>
      <c r="D54" s="11">
        <f t="shared" si="3"/>
        <v>53</v>
      </c>
      <c r="E54" s="11">
        <v>4</v>
      </c>
      <c r="F54" s="11">
        <f t="shared" si="2"/>
        <v>20</v>
      </c>
    </row>
    <row r="55" spans="1:6" x14ac:dyDescent="0.25">
      <c r="A55" s="11" t="s">
        <v>73</v>
      </c>
      <c r="B55" s="11" t="str">
        <f t="shared" si="4"/>
        <v>3"54</v>
      </c>
      <c r="C55" s="11" t="s">
        <v>46</v>
      </c>
      <c r="D55" s="11">
        <f t="shared" si="3"/>
        <v>54</v>
      </c>
      <c r="E55" s="11">
        <v>4</v>
      </c>
      <c r="F55" s="11">
        <f t="shared" si="2"/>
        <v>20</v>
      </c>
    </row>
    <row r="56" spans="1:6" x14ac:dyDescent="0.25">
      <c r="A56" s="11" t="s">
        <v>73</v>
      </c>
      <c r="B56" s="11" t="str">
        <f t="shared" si="4"/>
        <v>3"55</v>
      </c>
      <c r="C56" s="11" t="s">
        <v>46</v>
      </c>
      <c r="D56" s="11">
        <f t="shared" si="3"/>
        <v>55</v>
      </c>
      <c r="E56" s="11">
        <v>4</v>
      </c>
      <c r="F56" s="11">
        <f t="shared" si="2"/>
        <v>20</v>
      </c>
    </row>
    <row r="57" spans="1:6" x14ac:dyDescent="0.25">
      <c r="A57" s="11" t="s">
        <v>73</v>
      </c>
      <c r="B57" s="11" t="str">
        <f t="shared" si="4"/>
        <v>3"56</v>
      </c>
      <c r="C57" s="11" t="s">
        <v>46</v>
      </c>
      <c r="D57" s="11">
        <f t="shared" si="3"/>
        <v>56</v>
      </c>
      <c r="E57" s="11">
        <v>4</v>
      </c>
      <c r="F57" s="11">
        <f t="shared" si="2"/>
        <v>20</v>
      </c>
    </row>
    <row r="58" spans="1:6" x14ac:dyDescent="0.25">
      <c r="A58" s="11" t="s">
        <v>73</v>
      </c>
      <c r="B58" s="11" t="str">
        <f t="shared" si="4"/>
        <v>3"57</v>
      </c>
      <c r="C58" s="11" t="s">
        <v>46</v>
      </c>
      <c r="D58" s="11">
        <f t="shared" si="3"/>
        <v>57</v>
      </c>
      <c r="E58" s="11">
        <v>4</v>
      </c>
      <c r="F58" s="11">
        <f t="shared" si="2"/>
        <v>20</v>
      </c>
    </row>
    <row r="59" spans="1:6" x14ac:dyDescent="0.25">
      <c r="A59" s="11" t="s">
        <v>73</v>
      </c>
      <c r="B59" s="11" t="str">
        <f t="shared" si="4"/>
        <v>3"58</v>
      </c>
      <c r="C59" s="11" t="s">
        <v>46</v>
      </c>
      <c r="D59" s="11">
        <f t="shared" si="3"/>
        <v>58</v>
      </c>
      <c r="E59" s="11">
        <v>4</v>
      </c>
      <c r="F59" s="11">
        <f t="shared" si="2"/>
        <v>20</v>
      </c>
    </row>
    <row r="60" spans="1:6" x14ac:dyDescent="0.25">
      <c r="A60" s="11" t="s">
        <v>73</v>
      </c>
      <c r="B60" s="11" t="str">
        <f t="shared" si="4"/>
        <v>3"59</v>
      </c>
      <c r="C60" s="11" t="s">
        <v>46</v>
      </c>
      <c r="D60" s="11">
        <f t="shared" si="3"/>
        <v>59</v>
      </c>
      <c r="E60" s="11">
        <v>4</v>
      </c>
      <c r="F60" s="11">
        <f t="shared" si="2"/>
        <v>20</v>
      </c>
    </row>
    <row r="61" spans="1:6" x14ac:dyDescent="0.25">
      <c r="A61" s="11" t="s">
        <v>73</v>
      </c>
      <c r="B61" s="11" t="str">
        <f t="shared" si="4"/>
        <v>3"60</v>
      </c>
      <c r="C61" s="11" t="s">
        <v>46</v>
      </c>
      <c r="D61" s="22">
        <f t="shared" si="3"/>
        <v>60</v>
      </c>
      <c r="E61" s="11">
        <v>5</v>
      </c>
      <c r="F61" s="11">
        <f t="shared" si="2"/>
        <v>25</v>
      </c>
    </row>
    <row r="62" spans="1:6" x14ac:dyDescent="0.25">
      <c r="A62" s="11" t="s">
        <v>73</v>
      </c>
      <c r="B62" s="11" t="str">
        <f t="shared" si="4"/>
        <v>3"61</v>
      </c>
      <c r="C62" s="11" t="s">
        <v>46</v>
      </c>
      <c r="D62" s="11">
        <f t="shared" si="3"/>
        <v>61</v>
      </c>
      <c r="E62" s="11">
        <v>5</v>
      </c>
      <c r="F62" s="11">
        <f t="shared" si="2"/>
        <v>25</v>
      </c>
    </row>
    <row r="63" spans="1:6" x14ac:dyDescent="0.25">
      <c r="A63" s="11" t="s">
        <v>73</v>
      </c>
      <c r="B63" s="11" t="str">
        <f t="shared" si="4"/>
        <v>3"62</v>
      </c>
      <c r="C63" s="11" t="s">
        <v>46</v>
      </c>
      <c r="D63" s="11">
        <f t="shared" si="3"/>
        <v>62</v>
      </c>
      <c r="E63" s="11">
        <v>5</v>
      </c>
      <c r="F63" s="11">
        <f t="shared" si="2"/>
        <v>25</v>
      </c>
    </row>
    <row r="64" spans="1:6" x14ac:dyDescent="0.25">
      <c r="A64" s="11" t="s">
        <v>73</v>
      </c>
      <c r="B64" s="11" t="str">
        <f t="shared" si="4"/>
        <v>3"63</v>
      </c>
      <c r="C64" s="11" t="s">
        <v>46</v>
      </c>
      <c r="D64" s="11">
        <f t="shared" si="3"/>
        <v>63</v>
      </c>
      <c r="E64" s="11">
        <v>5</v>
      </c>
      <c r="F64" s="11">
        <f t="shared" si="2"/>
        <v>25</v>
      </c>
    </row>
    <row r="65" spans="1:6" x14ac:dyDescent="0.25">
      <c r="A65" s="11" t="s">
        <v>73</v>
      </c>
      <c r="B65" s="11" t="str">
        <f t="shared" si="4"/>
        <v>3"64</v>
      </c>
      <c r="C65" s="11" t="s">
        <v>46</v>
      </c>
      <c r="D65" s="11">
        <f t="shared" si="3"/>
        <v>64</v>
      </c>
      <c r="E65" s="11">
        <v>5</v>
      </c>
      <c r="F65" s="11">
        <f t="shared" si="2"/>
        <v>25</v>
      </c>
    </row>
    <row r="66" spans="1:6" x14ac:dyDescent="0.25">
      <c r="A66" s="11" t="s">
        <v>73</v>
      </c>
      <c r="B66" s="11" t="str">
        <f t="shared" si="4"/>
        <v>3"65</v>
      </c>
      <c r="C66" s="11" t="s">
        <v>46</v>
      </c>
      <c r="D66" s="11">
        <f t="shared" si="3"/>
        <v>65</v>
      </c>
      <c r="E66" s="11">
        <v>5</v>
      </c>
      <c r="F66" s="11">
        <f t="shared" si="2"/>
        <v>25</v>
      </c>
    </row>
    <row r="67" spans="1:6" x14ac:dyDescent="0.25">
      <c r="A67" s="11" t="s">
        <v>73</v>
      </c>
      <c r="B67" s="11" t="str">
        <f t="shared" si="4"/>
        <v>3"66</v>
      </c>
      <c r="C67" s="11" t="s">
        <v>46</v>
      </c>
      <c r="D67" s="11">
        <f t="shared" si="3"/>
        <v>66</v>
      </c>
      <c r="E67" s="11">
        <v>5</v>
      </c>
      <c r="F67" s="11">
        <f t="shared" ref="F67:F130" si="7">E67*$F$1</f>
        <v>25</v>
      </c>
    </row>
    <row r="68" spans="1:6" x14ac:dyDescent="0.25">
      <c r="A68" s="11" t="s">
        <v>73</v>
      </c>
      <c r="B68" s="11" t="str">
        <f t="shared" si="4"/>
        <v>3"67</v>
      </c>
      <c r="C68" s="11" t="s">
        <v>46</v>
      </c>
      <c r="D68" s="11">
        <f t="shared" ref="D68:D131" si="8">D67+1</f>
        <v>67</v>
      </c>
      <c r="E68" s="11">
        <v>5</v>
      </c>
      <c r="F68" s="11">
        <f t="shared" si="7"/>
        <v>25</v>
      </c>
    </row>
    <row r="69" spans="1:6" x14ac:dyDescent="0.25">
      <c r="A69" s="11" t="s">
        <v>73</v>
      </c>
      <c r="B69" s="11" t="str">
        <f t="shared" si="4"/>
        <v>3"68</v>
      </c>
      <c r="C69" s="11" t="s">
        <v>46</v>
      </c>
      <c r="D69" s="11">
        <f t="shared" si="8"/>
        <v>68</v>
      </c>
      <c r="E69" s="11">
        <v>5</v>
      </c>
      <c r="F69" s="11">
        <f t="shared" si="7"/>
        <v>25</v>
      </c>
    </row>
    <row r="70" spans="1:6" x14ac:dyDescent="0.25">
      <c r="A70" s="11" t="s">
        <v>73</v>
      </c>
      <c r="B70" s="11" t="str">
        <f t="shared" si="4"/>
        <v>3"69</v>
      </c>
      <c r="C70" s="11" t="s">
        <v>46</v>
      </c>
      <c r="D70" s="11">
        <f t="shared" si="8"/>
        <v>69</v>
      </c>
      <c r="E70" s="11">
        <v>5</v>
      </c>
      <c r="F70" s="11">
        <f t="shared" si="7"/>
        <v>25</v>
      </c>
    </row>
    <row r="71" spans="1:6" x14ac:dyDescent="0.25">
      <c r="A71" s="11" t="s">
        <v>73</v>
      </c>
      <c r="B71" s="11" t="str">
        <f t="shared" si="4"/>
        <v>3"70</v>
      </c>
      <c r="C71" s="11" t="s">
        <v>46</v>
      </c>
      <c r="D71" s="11">
        <f t="shared" si="8"/>
        <v>70</v>
      </c>
      <c r="E71" s="11">
        <v>5</v>
      </c>
      <c r="F71" s="11">
        <f t="shared" si="7"/>
        <v>25</v>
      </c>
    </row>
    <row r="72" spans="1:6" x14ac:dyDescent="0.25">
      <c r="A72" s="11" t="s">
        <v>73</v>
      </c>
      <c r="B72" s="11" t="str">
        <f t="shared" si="4"/>
        <v>3"71</v>
      </c>
      <c r="C72" s="11" t="s">
        <v>46</v>
      </c>
      <c r="D72" s="11">
        <f t="shared" si="8"/>
        <v>71</v>
      </c>
      <c r="E72" s="11">
        <v>5</v>
      </c>
      <c r="F72" s="11">
        <f t="shared" si="7"/>
        <v>25</v>
      </c>
    </row>
    <row r="73" spans="1:6" x14ac:dyDescent="0.25">
      <c r="A73" s="11" t="s">
        <v>73</v>
      </c>
      <c r="B73" s="11" t="str">
        <f t="shared" si="4"/>
        <v>3"72</v>
      </c>
      <c r="C73" s="11" t="s">
        <v>46</v>
      </c>
      <c r="D73" s="22">
        <f t="shared" si="8"/>
        <v>72</v>
      </c>
      <c r="E73" s="11">
        <v>6</v>
      </c>
      <c r="F73" s="11">
        <f t="shared" si="7"/>
        <v>30</v>
      </c>
    </row>
    <row r="74" spans="1:6" x14ac:dyDescent="0.25">
      <c r="A74" s="11" t="s">
        <v>73</v>
      </c>
      <c r="B74" s="11" t="str">
        <f t="shared" si="4"/>
        <v>3"73</v>
      </c>
      <c r="C74" s="11" t="s">
        <v>46</v>
      </c>
      <c r="D74" s="11">
        <f t="shared" si="8"/>
        <v>73</v>
      </c>
      <c r="E74" s="11">
        <v>6</v>
      </c>
      <c r="F74" s="11">
        <f t="shared" si="7"/>
        <v>30</v>
      </c>
    </row>
    <row r="75" spans="1:6" x14ac:dyDescent="0.25">
      <c r="A75" s="11" t="s">
        <v>73</v>
      </c>
      <c r="B75" s="11" t="str">
        <f t="shared" si="4"/>
        <v>3"74</v>
      </c>
      <c r="C75" s="11" t="s">
        <v>46</v>
      </c>
      <c r="D75" s="11">
        <f t="shared" si="8"/>
        <v>74</v>
      </c>
      <c r="E75" s="11">
        <v>6</v>
      </c>
      <c r="F75" s="11">
        <f t="shared" si="7"/>
        <v>30</v>
      </c>
    </row>
    <row r="76" spans="1:6" x14ac:dyDescent="0.25">
      <c r="A76" s="11" t="s">
        <v>73</v>
      </c>
      <c r="B76" s="11" t="str">
        <f t="shared" si="4"/>
        <v>3"75</v>
      </c>
      <c r="C76" s="11" t="s">
        <v>46</v>
      </c>
      <c r="D76" s="11">
        <f t="shared" si="8"/>
        <v>75</v>
      </c>
      <c r="E76" s="11">
        <v>6</v>
      </c>
      <c r="F76" s="11">
        <f t="shared" si="7"/>
        <v>30</v>
      </c>
    </row>
    <row r="77" spans="1:6" x14ac:dyDescent="0.25">
      <c r="A77" s="11" t="s">
        <v>73</v>
      </c>
      <c r="B77" s="11" t="str">
        <f t="shared" si="4"/>
        <v>3"76</v>
      </c>
      <c r="C77" s="11" t="s">
        <v>46</v>
      </c>
      <c r="D77" s="11">
        <f t="shared" si="8"/>
        <v>76</v>
      </c>
      <c r="E77" s="11">
        <v>6</v>
      </c>
      <c r="F77" s="11">
        <f t="shared" si="7"/>
        <v>30</v>
      </c>
    </row>
    <row r="78" spans="1:6" x14ac:dyDescent="0.25">
      <c r="A78" s="11" t="s">
        <v>73</v>
      </c>
      <c r="B78" s="11" t="str">
        <f t="shared" si="4"/>
        <v>3"77</v>
      </c>
      <c r="C78" s="11" t="s">
        <v>46</v>
      </c>
      <c r="D78" s="11">
        <f t="shared" si="8"/>
        <v>77</v>
      </c>
      <c r="E78" s="11">
        <v>6</v>
      </c>
      <c r="F78" s="11">
        <f t="shared" si="7"/>
        <v>30</v>
      </c>
    </row>
    <row r="79" spans="1:6" x14ac:dyDescent="0.25">
      <c r="A79" s="11" t="s">
        <v>73</v>
      </c>
      <c r="B79" s="11" t="str">
        <f t="shared" si="4"/>
        <v>3"78</v>
      </c>
      <c r="C79" s="11" t="s">
        <v>46</v>
      </c>
      <c r="D79" s="11">
        <f t="shared" si="8"/>
        <v>78</v>
      </c>
      <c r="E79" s="11">
        <v>6</v>
      </c>
      <c r="F79" s="11">
        <f t="shared" si="7"/>
        <v>30</v>
      </c>
    </row>
    <row r="80" spans="1:6" x14ac:dyDescent="0.25">
      <c r="A80" s="11" t="s">
        <v>73</v>
      </c>
      <c r="B80" s="11" t="str">
        <f t="shared" si="4"/>
        <v>3"79</v>
      </c>
      <c r="C80" s="11" t="s">
        <v>46</v>
      </c>
      <c r="D80" s="11">
        <f t="shared" si="8"/>
        <v>79</v>
      </c>
      <c r="E80" s="11">
        <v>6</v>
      </c>
      <c r="F80" s="11">
        <f t="shared" si="7"/>
        <v>30</v>
      </c>
    </row>
    <row r="81" spans="1:6" x14ac:dyDescent="0.25">
      <c r="A81" s="11" t="s">
        <v>73</v>
      </c>
      <c r="B81" s="11" t="str">
        <f t="shared" si="4"/>
        <v>3"80</v>
      </c>
      <c r="C81" s="11" t="s">
        <v>46</v>
      </c>
      <c r="D81" s="11">
        <f t="shared" si="8"/>
        <v>80</v>
      </c>
      <c r="E81" s="11">
        <v>6</v>
      </c>
      <c r="F81" s="11">
        <f t="shared" si="7"/>
        <v>30</v>
      </c>
    </row>
    <row r="82" spans="1:6" x14ac:dyDescent="0.25">
      <c r="A82" s="11" t="s">
        <v>73</v>
      </c>
      <c r="B82" s="11" t="str">
        <f t="shared" si="4"/>
        <v>3"81</v>
      </c>
      <c r="C82" s="11" t="s">
        <v>46</v>
      </c>
      <c r="D82" s="11">
        <f t="shared" si="8"/>
        <v>81</v>
      </c>
      <c r="E82" s="11">
        <v>6</v>
      </c>
      <c r="F82" s="11">
        <f t="shared" si="7"/>
        <v>30</v>
      </c>
    </row>
    <row r="83" spans="1:6" x14ac:dyDescent="0.25">
      <c r="A83" s="11" t="s">
        <v>73</v>
      </c>
      <c r="B83" s="11" t="str">
        <f t="shared" si="4"/>
        <v>3"82</v>
      </c>
      <c r="C83" s="11" t="s">
        <v>46</v>
      </c>
      <c r="D83" s="11">
        <f t="shared" si="8"/>
        <v>82</v>
      </c>
      <c r="E83" s="11">
        <v>6</v>
      </c>
      <c r="F83" s="11">
        <f t="shared" si="7"/>
        <v>30</v>
      </c>
    </row>
    <row r="84" spans="1:6" x14ac:dyDescent="0.25">
      <c r="A84" s="11" t="s">
        <v>73</v>
      </c>
      <c r="B84" s="11" t="str">
        <f t="shared" si="4"/>
        <v>3"83</v>
      </c>
      <c r="C84" s="11" t="s">
        <v>46</v>
      </c>
      <c r="D84" s="11">
        <f t="shared" si="8"/>
        <v>83</v>
      </c>
      <c r="E84" s="11">
        <v>6</v>
      </c>
      <c r="F84" s="11">
        <f t="shared" si="7"/>
        <v>30</v>
      </c>
    </row>
    <row r="85" spans="1:6" x14ac:dyDescent="0.25">
      <c r="A85" s="11" t="s">
        <v>73</v>
      </c>
      <c r="B85" s="11" t="str">
        <f t="shared" si="4"/>
        <v>3"84</v>
      </c>
      <c r="C85" s="11" t="s">
        <v>46</v>
      </c>
      <c r="D85" s="22">
        <f t="shared" si="8"/>
        <v>84</v>
      </c>
      <c r="E85" s="11">
        <v>7</v>
      </c>
      <c r="F85" s="11">
        <f t="shared" si="7"/>
        <v>35</v>
      </c>
    </row>
    <row r="86" spans="1:6" x14ac:dyDescent="0.25">
      <c r="A86" s="11" t="s">
        <v>73</v>
      </c>
      <c r="B86" s="11" t="str">
        <f t="shared" si="4"/>
        <v>3"85</v>
      </c>
      <c r="C86" s="11" t="s">
        <v>46</v>
      </c>
      <c r="D86" s="11">
        <f t="shared" si="8"/>
        <v>85</v>
      </c>
      <c r="E86" s="11">
        <v>7</v>
      </c>
      <c r="F86" s="11">
        <f t="shared" si="7"/>
        <v>35</v>
      </c>
    </row>
    <row r="87" spans="1:6" x14ac:dyDescent="0.25">
      <c r="A87" s="11" t="s">
        <v>73</v>
      </c>
      <c r="B87" s="11" t="str">
        <f t="shared" si="4"/>
        <v>3"86</v>
      </c>
      <c r="C87" s="11" t="s">
        <v>46</v>
      </c>
      <c r="D87" s="11">
        <f t="shared" si="8"/>
        <v>86</v>
      </c>
      <c r="E87" s="11">
        <v>7</v>
      </c>
      <c r="F87" s="11">
        <f t="shared" si="7"/>
        <v>35</v>
      </c>
    </row>
    <row r="88" spans="1:6" x14ac:dyDescent="0.25">
      <c r="A88" s="11" t="s">
        <v>73</v>
      </c>
      <c r="B88" s="11" t="str">
        <f t="shared" si="4"/>
        <v>3"87</v>
      </c>
      <c r="C88" s="11" t="s">
        <v>46</v>
      </c>
      <c r="D88" s="11">
        <f t="shared" si="8"/>
        <v>87</v>
      </c>
      <c r="E88" s="11">
        <v>7</v>
      </c>
      <c r="F88" s="11">
        <f t="shared" si="7"/>
        <v>35</v>
      </c>
    </row>
    <row r="89" spans="1:6" x14ac:dyDescent="0.25">
      <c r="A89" s="11" t="s">
        <v>73</v>
      </c>
      <c r="B89" s="11" t="str">
        <f t="shared" si="4"/>
        <v>3"88</v>
      </c>
      <c r="C89" s="11" t="s">
        <v>46</v>
      </c>
      <c r="D89" s="11">
        <f t="shared" si="8"/>
        <v>88</v>
      </c>
      <c r="E89" s="11">
        <v>7</v>
      </c>
      <c r="F89" s="11">
        <f t="shared" si="7"/>
        <v>35</v>
      </c>
    </row>
    <row r="90" spans="1:6" x14ac:dyDescent="0.25">
      <c r="A90" s="11" t="s">
        <v>73</v>
      </c>
      <c r="B90" s="11" t="str">
        <f t="shared" si="4"/>
        <v>3"89</v>
      </c>
      <c r="C90" s="11" t="s">
        <v>46</v>
      </c>
      <c r="D90" s="11">
        <f t="shared" si="8"/>
        <v>89</v>
      </c>
      <c r="E90" s="11">
        <v>7</v>
      </c>
      <c r="F90" s="11">
        <f t="shared" si="7"/>
        <v>35</v>
      </c>
    </row>
    <row r="91" spans="1:6" x14ac:dyDescent="0.25">
      <c r="A91" s="11" t="s">
        <v>73</v>
      </c>
      <c r="B91" s="11" t="str">
        <f t="shared" si="4"/>
        <v>3"90</v>
      </c>
      <c r="C91" s="11" t="s">
        <v>46</v>
      </c>
      <c r="D91" s="11">
        <f t="shared" si="8"/>
        <v>90</v>
      </c>
      <c r="E91" s="11">
        <v>7</v>
      </c>
      <c r="F91" s="11">
        <f t="shared" si="7"/>
        <v>35</v>
      </c>
    </row>
    <row r="92" spans="1:6" x14ac:dyDescent="0.25">
      <c r="A92" s="11" t="s">
        <v>73</v>
      </c>
      <c r="B92" s="11" t="str">
        <f t="shared" si="4"/>
        <v>3"91</v>
      </c>
      <c r="C92" s="11" t="s">
        <v>46</v>
      </c>
      <c r="D92" s="11">
        <f t="shared" si="8"/>
        <v>91</v>
      </c>
      <c r="E92" s="11">
        <v>7</v>
      </c>
      <c r="F92" s="11">
        <f t="shared" si="7"/>
        <v>35</v>
      </c>
    </row>
    <row r="93" spans="1:6" x14ac:dyDescent="0.25">
      <c r="A93" s="11" t="s">
        <v>73</v>
      </c>
      <c r="B93" s="11" t="str">
        <f t="shared" si="4"/>
        <v>3"92</v>
      </c>
      <c r="C93" s="11" t="s">
        <v>46</v>
      </c>
      <c r="D93" s="11">
        <f t="shared" si="8"/>
        <v>92</v>
      </c>
      <c r="E93" s="11">
        <v>7</v>
      </c>
      <c r="F93" s="11">
        <f t="shared" si="7"/>
        <v>35</v>
      </c>
    </row>
    <row r="94" spans="1:6" x14ac:dyDescent="0.25">
      <c r="A94" s="11" t="s">
        <v>73</v>
      </c>
      <c r="B94" s="11" t="str">
        <f t="shared" si="4"/>
        <v>3"93</v>
      </c>
      <c r="C94" s="11" t="s">
        <v>46</v>
      </c>
      <c r="D94" s="11">
        <f t="shared" si="8"/>
        <v>93</v>
      </c>
      <c r="E94" s="11">
        <v>7</v>
      </c>
      <c r="F94" s="11">
        <f t="shared" si="7"/>
        <v>35</v>
      </c>
    </row>
    <row r="95" spans="1:6" x14ac:dyDescent="0.25">
      <c r="A95" s="11" t="s">
        <v>73</v>
      </c>
      <c r="B95" s="11" t="str">
        <f t="shared" si="4"/>
        <v>3"94</v>
      </c>
      <c r="C95" s="11" t="s">
        <v>46</v>
      </c>
      <c r="D95" s="11">
        <f t="shared" si="8"/>
        <v>94</v>
      </c>
      <c r="E95" s="11">
        <v>7</v>
      </c>
      <c r="F95" s="11">
        <f t="shared" si="7"/>
        <v>35</v>
      </c>
    </row>
    <row r="96" spans="1:6" x14ac:dyDescent="0.25">
      <c r="A96" s="11" t="s">
        <v>73</v>
      </c>
      <c r="B96" s="11" t="str">
        <f t="shared" si="4"/>
        <v>3"95</v>
      </c>
      <c r="C96" s="11" t="s">
        <v>46</v>
      </c>
      <c r="D96" s="11">
        <f t="shared" si="8"/>
        <v>95</v>
      </c>
      <c r="E96" s="11">
        <v>7</v>
      </c>
      <c r="F96" s="11">
        <f t="shared" si="7"/>
        <v>35</v>
      </c>
    </row>
    <row r="97" spans="1:6" x14ac:dyDescent="0.25">
      <c r="A97" s="11" t="s">
        <v>73</v>
      </c>
      <c r="B97" s="11" t="str">
        <f t="shared" si="4"/>
        <v>3"96</v>
      </c>
      <c r="C97" s="11" t="s">
        <v>46</v>
      </c>
      <c r="D97" s="22">
        <f t="shared" si="8"/>
        <v>96</v>
      </c>
      <c r="E97" s="11">
        <v>8</v>
      </c>
      <c r="F97" s="11">
        <f t="shared" si="7"/>
        <v>40</v>
      </c>
    </row>
    <row r="98" spans="1:6" x14ac:dyDescent="0.25">
      <c r="A98" s="11" t="s">
        <v>73</v>
      </c>
      <c r="B98" s="11" t="str">
        <f t="shared" si="4"/>
        <v>3"97</v>
      </c>
      <c r="C98" s="11" t="s">
        <v>46</v>
      </c>
      <c r="D98" s="11">
        <f t="shared" si="8"/>
        <v>97</v>
      </c>
      <c r="E98" s="11">
        <v>8</v>
      </c>
      <c r="F98" s="11">
        <f t="shared" si="7"/>
        <v>40</v>
      </c>
    </row>
    <row r="99" spans="1:6" x14ac:dyDescent="0.25">
      <c r="A99" s="11" t="s">
        <v>73</v>
      </c>
      <c r="B99" s="11" t="str">
        <f t="shared" si="4"/>
        <v>3"98</v>
      </c>
      <c r="C99" s="11" t="s">
        <v>46</v>
      </c>
      <c r="D99" s="11">
        <f t="shared" si="8"/>
        <v>98</v>
      </c>
      <c r="E99" s="11">
        <v>8</v>
      </c>
      <c r="F99" s="11">
        <f t="shared" si="7"/>
        <v>40</v>
      </c>
    </row>
    <row r="100" spans="1:6" x14ac:dyDescent="0.25">
      <c r="A100" s="11" t="s">
        <v>73</v>
      </c>
      <c r="B100" s="11" t="str">
        <f t="shared" si="4"/>
        <v>3"99</v>
      </c>
      <c r="C100" s="11" t="s">
        <v>46</v>
      </c>
      <c r="D100" s="11">
        <f t="shared" si="8"/>
        <v>99</v>
      </c>
      <c r="E100" s="11">
        <v>8</v>
      </c>
      <c r="F100" s="11">
        <f t="shared" si="7"/>
        <v>40</v>
      </c>
    </row>
    <row r="101" spans="1:6" x14ac:dyDescent="0.25">
      <c r="A101" s="11" t="s">
        <v>73</v>
      </c>
      <c r="B101" s="11" t="str">
        <f t="shared" si="4"/>
        <v>3"100</v>
      </c>
      <c r="C101" s="11" t="s">
        <v>46</v>
      </c>
      <c r="D101" s="11">
        <f t="shared" si="8"/>
        <v>100</v>
      </c>
      <c r="E101" s="11">
        <v>8</v>
      </c>
      <c r="F101" s="11">
        <f t="shared" si="7"/>
        <v>40</v>
      </c>
    </row>
    <row r="102" spans="1:6" x14ac:dyDescent="0.25">
      <c r="A102" s="11" t="s">
        <v>73</v>
      </c>
      <c r="B102" s="11" t="str">
        <f t="shared" si="4"/>
        <v>3"101</v>
      </c>
      <c r="C102" s="11" t="s">
        <v>46</v>
      </c>
      <c r="D102" s="11">
        <f t="shared" si="8"/>
        <v>101</v>
      </c>
      <c r="E102" s="11">
        <v>8</v>
      </c>
      <c r="F102" s="11">
        <f t="shared" si="7"/>
        <v>40</v>
      </c>
    </row>
    <row r="103" spans="1:6" x14ac:dyDescent="0.25">
      <c r="A103" s="11" t="s">
        <v>73</v>
      </c>
      <c r="B103" s="11" t="str">
        <f t="shared" si="4"/>
        <v>3"102</v>
      </c>
      <c r="C103" s="11" t="s">
        <v>46</v>
      </c>
      <c r="D103" s="11">
        <f t="shared" si="8"/>
        <v>102</v>
      </c>
      <c r="E103" s="11">
        <v>8</v>
      </c>
      <c r="F103" s="11">
        <f t="shared" si="7"/>
        <v>40</v>
      </c>
    </row>
    <row r="104" spans="1:6" x14ac:dyDescent="0.25">
      <c r="A104" s="11" t="s">
        <v>73</v>
      </c>
      <c r="B104" s="11" t="str">
        <f t="shared" si="4"/>
        <v>3"103</v>
      </c>
      <c r="C104" s="11" t="s">
        <v>46</v>
      </c>
      <c r="D104" s="11">
        <f t="shared" si="8"/>
        <v>103</v>
      </c>
      <c r="E104" s="11">
        <v>8</v>
      </c>
      <c r="F104" s="11">
        <f t="shared" si="7"/>
        <v>40</v>
      </c>
    </row>
    <row r="105" spans="1:6" x14ac:dyDescent="0.25">
      <c r="A105" s="11" t="s">
        <v>73</v>
      </c>
      <c r="B105" s="11" t="str">
        <f t="shared" si="4"/>
        <v>3"104</v>
      </c>
      <c r="C105" s="11" t="s">
        <v>46</v>
      </c>
      <c r="D105" s="11">
        <f t="shared" si="8"/>
        <v>104</v>
      </c>
      <c r="E105" s="11">
        <v>8</v>
      </c>
      <c r="F105" s="11">
        <f t="shared" si="7"/>
        <v>40</v>
      </c>
    </row>
    <row r="106" spans="1:6" x14ac:dyDescent="0.25">
      <c r="A106" s="11" t="s">
        <v>73</v>
      </c>
      <c r="B106" s="11" t="str">
        <f t="shared" si="4"/>
        <v>3"105</v>
      </c>
      <c r="C106" s="11" t="s">
        <v>46</v>
      </c>
      <c r="D106" s="11">
        <f t="shared" si="8"/>
        <v>105</v>
      </c>
      <c r="E106" s="11">
        <v>8</v>
      </c>
      <c r="F106" s="11">
        <f t="shared" si="7"/>
        <v>40</v>
      </c>
    </row>
    <row r="107" spans="1:6" x14ac:dyDescent="0.25">
      <c r="A107" s="11" t="s">
        <v>73</v>
      </c>
      <c r="B107" s="11" t="str">
        <f t="shared" si="4"/>
        <v>3"106</v>
      </c>
      <c r="C107" s="11" t="s">
        <v>46</v>
      </c>
      <c r="D107" s="11">
        <f t="shared" si="8"/>
        <v>106</v>
      </c>
      <c r="E107" s="11">
        <v>8</v>
      </c>
      <c r="F107" s="11">
        <f t="shared" si="7"/>
        <v>40</v>
      </c>
    </row>
    <row r="108" spans="1:6" x14ac:dyDescent="0.25">
      <c r="A108" s="11" t="s">
        <v>73</v>
      </c>
      <c r="B108" s="11" t="str">
        <f t="shared" si="4"/>
        <v>3"107</v>
      </c>
      <c r="C108" s="11" t="s">
        <v>46</v>
      </c>
      <c r="D108" s="11">
        <f t="shared" si="8"/>
        <v>107</v>
      </c>
      <c r="E108" s="11">
        <v>8</v>
      </c>
      <c r="F108" s="11">
        <f t="shared" si="7"/>
        <v>40</v>
      </c>
    </row>
    <row r="109" spans="1:6" x14ac:dyDescent="0.25">
      <c r="A109" s="11" t="s">
        <v>73</v>
      </c>
      <c r="B109" s="11" t="str">
        <f t="shared" si="4"/>
        <v>3"108</v>
      </c>
      <c r="C109" s="11" t="s">
        <v>46</v>
      </c>
      <c r="D109" s="22">
        <f t="shared" si="8"/>
        <v>108</v>
      </c>
      <c r="E109" s="11">
        <v>9</v>
      </c>
      <c r="F109" s="11">
        <f t="shared" si="7"/>
        <v>45</v>
      </c>
    </row>
    <row r="110" spans="1:6" x14ac:dyDescent="0.25">
      <c r="A110" s="11" t="s">
        <v>73</v>
      </c>
      <c r="B110" s="11" t="str">
        <f t="shared" si="4"/>
        <v>3"109</v>
      </c>
      <c r="C110" s="11" t="s">
        <v>46</v>
      </c>
      <c r="D110" s="11">
        <f t="shared" si="8"/>
        <v>109</v>
      </c>
      <c r="E110" s="11">
        <v>9</v>
      </c>
      <c r="F110" s="11">
        <f t="shared" si="7"/>
        <v>45</v>
      </c>
    </row>
    <row r="111" spans="1:6" x14ac:dyDescent="0.25">
      <c r="A111" s="11" t="s">
        <v>73</v>
      </c>
      <c r="B111" s="11" t="str">
        <f t="shared" si="4"/>
        <v>3"110</v>
      </c>
      <c r="C111" s="11" t="s">
        <v>46</v>
      </c>
      <c r="D111" s="11">
        <f t="shared" si="8"/>
        <v>110</v>
      </c>
      <c r="E111" s="11">
        <v>9</v>
      </c>
      <c r="F111" s="11">
        <f t="shared" si="7"/>
        <v>45</v>
      </c>
    </row>
    <row r="112" spans="1:6" x14ac:dyDescent="0.25">
      <c r="A112" s="11" t="s">
        <v>73</v>
      </c>
      <c r="B112" s="11" t="str">
        <f t="shared" si="4"/>
        <v>3"111</v>
      </c>
      <c r="C112" s="11" t="s">
        <v>46</v>
      </c>
      <c r="D112" s="11">
        <f t="shared" si="8"/>
        <v>111</v>
      </c>
      <c r="E112" s="11">
        <v>9</v>
      </c>
      <c r="F112" s="11">
        <f t="shared" si="7"/>
        <v>45</v>
      </c>
    </row>
    <row r="113" spans="1:6" x14ac:dyDescent="0.25">
      <c r="A113" s="11" t="s">
        <v>73</v>
      </c>
      <c r="B113" s="11" t="str">
        <f t="shared" si="4"/>
        <v>3"112</v>
      </c>
      <c r="C113" s="11" t="s">
        <v>46</v>
      </c>
      <c r="D113" s="11">
        <f t="shared" si="8"/>
        <v>112</v>
      </c>
      <c r="E113" s="11">
        <v>9</v>
      </c>
      <c r="F113" s="11">
        <f t="shared" si="7"/>
        <v>45</v>
      </c>
    </row>
    <row r="114" spans="1:6" x14ac:dyDescent="0.25">
      <c r="A114" s="11" t="s">
        <v>73</v>
      </c>
      <c r="B114" s="11" t="str">
        <f t="shared" si="4"/>
        <v>3"113</v>
      </c>
      <c r="C114" s="11" t="s">
        <v>46</v>
      </c>
      <c r="D114" s="11">
        <f t="shared" si="8"/>
        <v>113</v>
      </c>
      <c r="E114" s="11">
        <v>9</v>
      </c>
      <c r="F114" s="11">
        <f t="shared" si="7"/>
        <v>45</v>
      </c>
    </row>
    <row r="115" spans="1:6" x14ac:dyDescent="0.25">
      <c r="A115" s="11" t="s">
        <v>73</v>
      </c>
      <c r="B115" s="11" t="str">
        <f t="shared" si="4"/>
        <v>3"114</v>
      </c>
      <c r="C115" s="11" t="s">
        <v>46</v>
      </c>
      <c r="D115" s="11">
        <f t="shared" si="8"/>
        <v>114</v>
      </c>
      <c r="E115" s="11">
        <v>9</v>
      </c>
      <c r="F115" s="11">
        <f t="shared" si="7"/>
        <v>45</v>
      </c>
    </row>
    <row r="116" spans="1:6" x14ac:dyDescent="0.25">
      <c r="A116" s="11" t="s">
        <v>73</v>
      </c>
      <c r="B116" s="11" t="str">
        <f t="shared" si="4"/>
        <v>3"115</v>
      </c>
      <c r="C116" s="11" t="s">
        <v>46</v>
      </c>
      <c r="D116" s="11">
        <f t="shared" si="8"/>
        <v>115</v>
      </c>
      <c r="E116" s="11">
        <v>9</v>
      </c>
      <c r="F116" s="11">
        <f t="shared" si="7"/>
        <v>45</v>
      </c>
    </row>
    <row r="117" spans="1:6" x14ac:dyDescent="0.25">
      <c r="A117" s="11" t="s">
        <v>73</v>
      </c>
      <c r="B117" s="11" t="str">
        <f t="shared" si="4"/>
        <v>3"116</v>
      </c>
      <c r="C117" s="11" t="s">
        <v>46</v>
      </c>
      <c r="D117" s="11">
        <f t="shared" si="8"/>
        <v>116</v>
      </c>
      <c r="E117" s="11">
        <v>9</v>
      </c>
      <c r="F117" s="11">
        <f t="shared" si="7"/>
        <v>45</v>
      </c>
    </row>
    <row r="118" spans="1:6" x14ac:dyDescent="0.25">
      <c r="A118" s="11" t="s">
        <v>73</v>
      </c>
      <c r="B118" s="11" t="str">
        <f t="shared" si="4"/>
        <v>3"117</v>
      </c>
      <c r="C118" s="11" t="s">
        <v>46</v>
      </c>
      <c r="D118" s="11">
        <f t="shared" si="8"/>
        <v>117</v>
      </c>
      <c r="E118" s="11">
        <v>9</v>
      </c>
      <c r="F118" s="11">
        <f t="shared" si="7"/>
        <v>45</v>
      </c>
    </row>
    <row r="119" spans="1:6" x14ac:dyDescent="0.25">
      <c r="A119" s="11" t="s">
        <v>73</v>
      </c>
      <c r="B119" s="11" t="str">
        <f t="shared" si="4"/>
        <v>3"118</v>
      </c>
      <c r="C119" s="11" t="s">
        <v>46</v>
      </c>
      <c r="D119" s="11">
        <f t="shared" si="8"/>
        <v>118</v>
      </c>
      <c r="E119" s="11">
        <v>9</v>
      </c>
      <c r="F119" s="11">
        <f t="shared" si="7"/>
        <v>45</v>
      </c>
    </row>
    <row r="120" spans="1:6" x14ac:dyDescent="0.25">
      <c r="A120" s="11" t="s">
        <v>73</v>
      </c>
      <c r="B120" s="11" t="str">
        <f t="shared" si="4"/>
        <v>3"119</v>
      </c>
      <c r="C120" s="11" t="s">
        <v>46</v>
      </c>
      <c r="D120" s="11">
        <f t="shared" si="8"/>
        <v>119</v>
      </c>
      <c r="E120" s="11">
        <v>9</v>
      </c>
      <c r="F120" s="11">
        <f t="shared" si="7"/>
        <v>45</v>
      </c>
    </row>
    <row r="121" spans="1:6" x14ac:dyDescent="0.25">
      <c r="A121" s="11" t="s">
        <v>73</v>
      </c>
      <c r="B121" s="11" t="str">
        <f t="shared" si="4"/>
        <v>3"120</v>
      </c>
      <c r="C121" s="11" t="s">
        <v>46</v>
      </c>
      <c r="D121" s="22">
        <f t="shared" si="8"/>
        <v>120</v>
      </c>
      <c r="E121" s="11">
        <v>10</v>
      </c>
      <c r="F121" s="11">
        <f t="shared" si="7"/>
        <v>50</v>
      </c>
    </row>
    <row r="122" spans="1:6" x14ac:dyDescent="0.25">
      <c r="A122" s="11" t="s">
        <v>73</v>
      </c>
      <c r="B122" s="11" t="str">
        <f t="shared" si="4"/>
        <v>3"121</v>
      </c>
      <c r="C122" s="11" t="s">
        <v>46</v>
      </c>
      <c r="D122" s="11">
        <f t="shared" si="8"/>
        <v>121</v>
      </c>
      <c r="E122" s="11">
        <v>10</v>
      </c>
      <c r="F122" s="11">
        <f t="shared" si="7"/>
        <v>50</v>
      </c>
    </row>
    <row r="123" spans="1:6" x14ac:dyDescent="0.25">
      <c r="A123" s="11" t="s">
        <v>73</v>
      </c>
      <c r="B123" s="11" t="str">
        <f t="shared" ref="B123:B186" si="9">CONCATENATE(C123&amp;D123)</f>
        <v>3"122</v>
      </c>
      <c r="C123" s="11" t="s">
        <v>46</v>
      </c>
      <c r="D123" s="11">
        <f t="shared" si="8"/>
        <v>122</v>
      </c>
      <c r="E123" s="11">
        <v>10</v>
      </c>
      <c r="F123" s="11">
        <f t="shared" si="7"/>
        <v>50</v>
      </c>
    </row>
    <row r="124" spans="1:6" x14ac:dyDescent="0.25">
      <c r="A124" s="11" t="s">
        <v>73</v>
      </c>
      <c r="B124" s="11" t="str">
        <f t="shared" si="9"/>
        <v>3"123</v>
      </c>
      <c r="C124" s="11" t="s">
        <v>46</v>
      </c>
      <c r="D124" s="11">
        <f t="shared" si="8"/>
        <v>123</v>
      </c>
      <c r="E124" s="11">
        <v>10</v>
      </c>
      <c r="F124" s="11">
        <f t="shared" si="7"/>
        <v>50</v>
      </c>
    </row>
    <row r="125" spans="1:6" x14ac:dyDescent="0.25">
      <c r="A125" s="11" t="s">
        <v>73</v>
      </c>
      <c r="B125" s="11" t="str">
        <f t="shared" si="9"/>
        <v>3"124</v>
      </c>
      <c r="C125" s="11" t="s">
        <v>46</v>
      </c>
      <c r="D125" s="11">
        <f t="shared" si="8"/>
        <v>124</v>
      </c>
      <c r="E125" s="11">
        <v>10</v>
      </c>
      <c r="F125" s="11">
        <f t="shared" si="7"/>
        <v>50</v>
      </c>
    </row>
    <row r="126" spans="1:6" x14ac:dyDescent="0.25">
      <c r="A126" s="11" t="s">
        <v>73</v>
      </c>
      <c r="B126" s="11" t="str">
        <f t="shared" si="9"/>
        <v>3"125</v>
      </c>
      <c r="C126" s="11" t="s">
        <v>46</v>
      </c>
      <c r="D126" s="11">
        <f t="shared" si="8"/>
        <v>125</v>
      </c>
      <c r="E126" s="11">
        <v>10</v>
      </c>
      <c r="F126" s="11">
        <f t="shared" si="7"/>
        <v>50</v>
      </c>
    </row>
    <row r="127" spans="1:6" x14ac:dyDescent="0.25">
      <c r="A127" s="11" t="s">
        <v>73</v>
      </c>
      <c r="B127" s="11" t="str">
        <f t="shared" si="9"/>
        <v>3"126</v>
      </c>
      <c r="C127" s="11" t="s">
        <v>46</v>
      </c>
      <c r="D127" s="11">
        <f t="shared" si="8"/>
        <v>126</v>
      </c>
      <c r="E127" s="11">
        <v>10</v>
      </c>
      <c r="F127" s="11">
        <f t="shared" si="7"/>
        <v>50</v>
      </c>
    </row>
    <row r="128" spans="1:6" x14ac:dyDescent="0.25">
      <c r="A128" s="11" t="s">
        <v>73</v>
      </c>
      <c r="B128" s="11" t="str">
        <f t="shared" si="9"/>
        <v>3"127</v>
      </c>
      <c r="C128" s="11" t="s">
        <v>46</v>
      </c>
      <c r="D128" s="11">
        <f t="shared" si="8"/>
        <v>127</v>
      </c>
      <c r="E128" s="11">
        <v>10</v>
      </c>
      <c r="F128" s="11">
        <f t="shared" si="7"/>
        <v>50</v>
      </c>
    </row>
    <row r="129" spans="1:6" x14ac:dyDescent="0.25">
      <c r="A129" s="11" t="s">
        <v>73</v>
      </c>
      <c r="B129" s="11" t="str">
        <f t="shared" si="9"/>
        <v>3"128</v>
      </c>
      <c r="C129" s="11" t="s">
        <v>46</v>
      </c>
      <c r="D129" s="11">
        <f t="shared" si="8"/>
        <v>128</v>
      </c>
      <c r="E129" s="11">
        <v>10</v>
      </c>
      <c r="F129" s="11">
        <f t="shared" si="7"/>
        <v>50</v>
      </c>
    </row>
    <row r="130" spans="1:6" x14ac:dyDescent="0.25">
      <c r="A130" s="11" t="s">
        <v>73</v>
      </c>
      <c r="B130" s="11" t="str">
        <f t="shared" si="9"/>
        <v>3"129</v>
      </c>
      <c r="C130" s="11" t="s">
        <v>46</v>
      </c>
      <c r="D130" s="11">
        <f t="shared" si="8"/>
        <v>129</v>
      </c>
      <c r="E130" s="11">
        <v>10</v>
      </c>
      <c r="F130" s="11">
        <f t="shared" si="7"/>
        <v>50</v>
      </c>
    </row>
    <row r="131" spans="1:6" x14ac:dyDescent="0.25">
      <c r="A131" s="11" t="s">
        <v>73</v>
      </c>
      <c r="B131" s="11" t="str">
        <f t="shared" si="9"/>
        <v>3"130</v>
      </c>
      <c r="C131" s="11" t="s">
        <v>46</v>
      </c>
      <c r="D131" s="11">
        <f t="shared" si="8"/>
        <v>130</v>
      </c>
      <c r="E131" s="11">
        <v>10</v>
      </c>
      <c r="F131" s="11">
        <f t="shared" ref="F131:F194" si="10">E131*$F$1</f>
        <v>50</v>
      </c>
    </row>
    <row r="132" spans="1:6" x14ac:dyDescent="0.25">
      <c r="A132" s="11" t="s">
        <v>73</v>
      </c>
      <c r="B132" s="11" t="str">
        <f t="shared" si="9"/>
        <v>3"131</v>
      </c>
      <c r="C132" s="11" t="s">
        <v>46</v>
      </c>
      <c r="D132" s="11">
        <f t="shared" ref="D132:D195" si="11">D131+1</f>
        <v>131</v>
      </c>
      <c r="E132" s="11">
        <v>10</v>
      </c>
      <c r="F132" s="11">
        <f t="shared" si="10"/>
        <v>50</v>
      </c>
    </row>
    <row r="133" spans="1:6" x14ac:dyDescent="0.25">
      <c r="A133" s="11" t="s">
        <v>73</v>
      </c>
      <c r="B133" s="11" t="str">
        <f t="shared" si="9"/>
        <v>3"132</v>
      </c>
      <c r="C133" s="11" t="s">
        <v>46</v>
      </c>
      <c r="D133" s="22">
        <f t="shared" si="11"/>
        <v>132</v>
      </c>
      <c r="E133" s="11">
        <v>11</v>
      </c>
      <c r="F133" s="11">
        <f t="shared" si="10"/>
        <v>55</v>
      </c>
    </row>
    <row r="134" spans="1:6" x14ac:dyDescent="0.25">
      <c r="A134" s="11" t="s">
        <v>73</v>
      </c>
      <c r="B134" s="11" t="str">
        <f t="shared" si="9"/>
        <v>3"133</v>
      </c>
      <c r="C134" s="11" t="s">
        <v>46</v>
      </c>
      <c r="D134" s="11">
        <f t="shared" si="11"/>
        <v>133</v>
      </c>
      <c r="E134" s="11">
        <v>11</v>
      </c>
      <c r="F134" s="11">
        <f t="shared" si="10"/>
        <v>55</v>
      </c>
    </row>
    <row r="135" spans="1:6" x14ac:dyDescent="0.25">
      <c r="A135" s="11" t="s">
        <v>73</v>
      </c>
      <c r="B135" s="11" t="str">
        <f t="shared" si="9"/>
        <v>3"134</v>
      </c>
      <c r="C135" s="11" t="s">
        <v>46</v>
      </c>
      <c r="D135" s="11">
        <f t="shared" si="11"/>
        <v>134</v>
      </c>
      <c r="E135" s="11">
        <v>11</v>
      </c>
      <c r="F135" s="11">
        <f t="shared" si="10"/>
        <v>55</v>
      </c>
    </row>
    <row r="136" spans="1:6" x14ac:dyDescent="0.25">
      <c r="A136" s="11" t="s">
        <v>73</v>
      </c>
      <c r="B136" s="11" t="str">
        <f t="shared" si="9"/>
        <v>3"135</v>
      </c>
      <c r="C136" s="11" t="s">
        <v>46</v>
      </c>
      <c r="D136" s="11">
        <f t="shared" si="11"/>
        <v>135</v>
      </c>
      <c r="E136" s="11">
        <v>11</v>
      </c>
      <c r="F136" s="11">
        <f t="shared" si="10"/>
        <v>55</v>
      </c>
    </row>
    <row r="137" spans="1:6" x14ac:dyDescent="0.25">
      <c r="A137" s="11" t="s">
        <v>73</v>
      </c>
      <c r="B137" s="11" t="str">
        <f t="shared" si="9"/>
        <v>3"136</v>
      </c>
      <c r="C137" s="11" t="s">
        <v>46</v>
      </c>
      <c r="D137" s="11">
        <f t="shared" si="11"/>
        <v>136</v>
      </c>
      <c r="E137" s="11">
        <v>11</v>
      </c>
      <c r="F137" s="11">
        <f t="shared" si="10"/>
        <v>55</v>
      </c>
    </row>
    <row r="138" spans="1:6" x14ac:dyDescent="0.25">
      <c r="A138" s="11" t="s">
        <v>73</v>
      </c>
      <c r="B138" s="11" t="str">
        <f t="shared" si="9"/>
        <v>3"137</v>
      </c>
      <c r="C138" s="11" t="s">
        <v>46</v>
      </c>
      <c r="D138" s="11">
        <f t="shared" si="11"/>
        <v>137</v>
      </c>
      <c r="E138" s="11">
        <v>11</v>
      </c>
      <c r="F138" s="11">
        <f t="shared" si="10"/>
        <v>55</v>
      </c>
    </row>
    <row r="139" spans="1:6" x14ac:dyDescent="0.25">
      <c r="A139" s="11" t="s">
        <v>73</v>
      </c>
      <c r="B139" s="11" t="str">
        <f t="shared" si="9"/>
        <v>3"138</v>
      </c>
      <c r="C139" s="11" t="s">
        <v>46</v>
      </c>
      <c r="D139" s="11">
        <f t="shared" si="11"/>
        <v>138</v>
      </c>
      <c r="E139" s="11">
        <v>11</v>
      </c>
      <c r="F139" s="11">
        <f t="shared" si="10"/>
        <v>55</v>
      </c>
    </row>
    <row r="140" spans="1:6" x14ac:dyDescent="0.25">
      <c r="A140" s="11" t="s">
        <v>73</v>
      </c>
      <c r="B140" s="11" t="str">
        <f t="shared" si="9"/>
        <v>3"139</v>
      </c>
      <c r="C140" s="11" t="s">
        <v>46</v>
      </c>
      <c r="D140" s="11">
        <f t="shared" si="11"/>
        <v>139</v>
      </c>
      <c r="E140" s="11">
        <v>11</v>
      </c>
      <c r="F140" s="11">
        <f t="shared" si="10"/>
        <v>55</v>
      </c>
    </row>
    <row r="141" spans="1:6" x14ac:dyDescent="0.25">
      <c r="A141" s="11" t="s">
        <v>73</v>
      </c>
      <c r="B141" s="11" t="str">
        <f t="shared" si="9"/>
        <v>3"140</v>
      </c>
      <c r="C141" s="11" t="s">
        <v>46</v>
      </c>
      <c r="D141" s="11">
        <f t="shared" si="11"/>
        <v>140</v>
      </c>
      <c r="E141" s="11">
        <v>11</v>
      </c>
      <c r="F141" s="11">
        <f t="shared" si="10"/>
        <v>55</v>
      </c>
    </row>
    <row r="142" spans="1:6" x14ac:dyDescent="0.25">
      <c r="A142" s="11" t="s">
        <v>73</v>
      </c>
      <c r="B142" s="11" t="str">
        <f t="shared" si="9"/>
        <v>3"141</v>
      </c>
      <c r="C142" s="11" t="s">
        <v>46</v>
      </c>
      <c r="D142" s="11">
        <f t="shared" si="11"/>
        <v>141</v>
      </c>
      <c r="E142" s="11">
        <v>11</v>
      </c>
      <c r="F142" s="11">
        <f t="shared" si="10"/>
        <v>55</v>
      </c>
    </row>
    <row r="143" spans="1:6" x14ac:dyDescent="0.25">
      <c r="A143" s="11" t="s">
        <v>73</v>
      </c>
      <c r="B143" s="11" t="str">
        <f t="shared" si="9"/>
        <v>3"142</v>
      </c>
      <c r="C143" s="11" t="s">
        <v>46</v>
      </c>
      <c r="D143" s="11">
        <f t="shared" si="11"/>
        <v>142</v>
      </c>
      <c r="E143" s="11">
        <v>11</v>
      </c>
      <c r="F143" s="11">
        <f t="shared" si="10"/>
        <v>55</v>
      </c>
    </row>
    <row r="144" spans="1:6" x14ac:dyDescent="0.25">
      <c r="A144" s="11" t="s">
        <v>73</v>
      </c>
      <c r="B144" s="11" t="str">
        <f t="shared" si="9"/>
        <v>3"143</v>
      </c>
      <c r="C144" s="11" t="s">
        <v>46</v>
      </c>
      <c r="D144" s="11">
        <f t="shared" si="11"/>
        <v>143</v>
      </c>
      <c r="E144" s="11">
        <v>11</v>
      </c>
      <c r="F144" s="11">
        <f t="shared" si="10"/>
        <v>55</v>
      </c>
    </row>
    <row r="145" spans="1:6" x14ac:dyDescent="0.25">
      <c r="A145" s="11" t="s">
        <v>73</v>
      </c>
      <c r="B145" s="11" t="str">
        <f t="shared" si="9"/>
        <v>3"144</v>
      </c>
      <c r="C145" s="11" t="s">
        <v>46</v>
      </c>
      <c r="D145" s="22">
        <f t="shared" si="11"/>
        <v>144</v>
      </c>
      <c r="E145" s="11">
        <v>12</v>
      </c>
      <c r="F145" s="11">
        <f t="shared" si="10"/>
        <v>60</v>
      </c>
    </row>
    <row r="146" spans="1:6" x14ac:dyDescent="0.25">
      <c r="A146" s="11" t="s">
        <v>73</v>
      </c>
      <c r="B146" s="11" t="str">
        <f t="shared" si="9"/>
        <v>3"145</v>
      </c>
      <c r="C146" s="11" t="s">
        <v>46</v>
      </c>
      <c r="D146" s="11">
        <f t="shared" si="11"/>
        <v>145</v>
      </c>
      <c r="E146" s="11">
        <v>12</v>
      </c>
      <c r="F146" s="11">
        <f t="shared" si="10"/>
        <v>60</v>
      </c>
    </row>
    <row r="147" spans="1:6" x14ac:dyDescent="0.25">
      <c r="A147" s="11" t="s">
        <v>73</v>
      </c>
      <c r="B147" s="11" t="str">
        <f t="shared" si="9"/>
        <v>3"146</v>
      </c>
      <c r="C147" s="11" t="s">
        <v>46</v>
      </c>
      <c r="D147" s="11">
        <f t="shared" si="11"/>
        <v>146</v>
      </c>
      <c r="E147" s="11">
        <v>12</v>
      </c>
      <c r="F147" s="11">
        <f t="shared" si="10"/>
        <v>60</v>
      </c>
    </row>
    <row r="148" spans="1:6" x14ac:dyDescent="0.25">
      <c r="A148" s="11" t="s">
        <v>73</v>
      </c>
      <c r="B148" s="11" t="str">
        <f t="shared" si="9"/>
        <v>3"147</v>
      </c>
      <c r="C148" s="11" t="s">
        <v>46</v>
      </c>
      <c r="D148" s="11">
        <f t="shared" si="11"/>
        <v>147</v>
      </c>
      <c r="E148" s="11">
        <v>12</v>
      </c>
      <c r="F148" s="11">
        <f t="shared" si="10"/>
        <v>60</v>
      </c>
    </row>
    <row r="149" spans="1:6" x14ac:dyDescent="0.25">
      <c r="A149" s="11" t="s">
        <v>73</v>
      </c>
      <c r="B149" s="11" t="str">
        <f t="shared" si="9"/>
        <v>3"148</v>
      </c>
      <c r="C149" s="11" t="s">
        <v>46</v>
      </c>
      <c r="D149" s="11">
        <f t="shared" si="11"/>
        <v>148</v>
      </c>
      <c r="E149" s="11">
        <v>12</v>
      </c>
      <c r="F149" s="11">
        <f t="shared" si="10"/>
        <v>60</v>
      </c>
    </row>
    <row r="150" spans="1:6" x14ac:dyDescent="0.25">
      <c r="A150" s="11" t="s">
        <v>73</v>
      </c>
      <c r="B150" s="11" t="str">
        <f t="shared" si="9"/>
        <v>3"149</v>
      </c>
      <c r="C150" s="11" t="s">
        <v>46</v>
      </c>
      <c r="D150" s="11">
        <f t="shared" si="11"/>
        <v>149</v>
      </c>
      <c r="E150" s="11">
        <v>12</v>
      </c>
      <c r="F150" s="11">
        <f t="shared" si="10"/>
        <v>60</v>
      </c>
    </row>
    <row r="151" spans="1:6" x14ac:dyDescent="0.25">
      <c r="A151" s="11" t="s">
        <v>73</v>
      </c>
      <c r="B151" s="11" t="str">
        <f t="shared" si="9"/>
        <v>3"150</v>
      </c>
      <c r="C151" s="11" t="s">
        <v>46</v>
      </c>
      <c r="D151" s="11">
        <f t="shared" si="11"/>
        <v>150</v>
      </c>
      <c r="E151" s="11">
        <v>12</v>
      </c>
      <c r="F151" s="11">
        <f t="shared" si="10"/>
        <v>60</v>
      </c>
    </row>
    <row r="152" spans="1:6" x14ac:dyDescent="0.25">
      <c r="A152" s="11" t="s">
        <v>73</v>
      </c>
      <c r="B152" s="11" t="str">
        <f t="shared" si="9"/>
        <v>3"151</v>
      </c>
      <c r="C152" s="11" t="s">
        <v>46</v>
      </c>
      <c r="D152" s="11">
        <f t="shared" si="11"/>
        <v>151</v>
      </c>
      <c r="E152" s="11">
        <v>12</v>
      </c>
      <c r="F152" s="11">
        <f t="shared" si="10"/>
        <v>60</v>
      </c>
    </row>
    <row r="153" spans="1:6" x14ac:dyDescent="0.25">
      <c r="A153" s="11" t="s">
        <v>73</v>
      </c>
      <c r="B153" s="11" t="str">
        <f t="shared" si="9"/>
        <v>3"152</v>
      </c>
      <c r="C153" s="11" t="s">
        <v>46</v>
      </c>
      <c r="D153" s="11">
        <f t="shared" si="11"/>
        <v>152</v>
      </c>
      <c r="E153" s="11">
        <v>12</v>
      </c>
      <c r="F153" s="11">
        <f t="shared" si="10"/>
        <v>60</v>
      </c>
    </row>
    <row r="154" spans="1:6" x14ac:dyDescent="0.25">
      <c r="A154" s="11" t="s">
        <v>73</v>
      </c>
      <c r="B154" s="11" t="str">
        <f t="shared" si="9"/>
        <v>3"153</v>
      </c>
      <c r="C154" s="11" t="s">
        <v>46</v>
      </c>
      <c r="D154" s="11">
        <f t="shared" si="11"/>
        <v>153</v>
      </c>
      <c r="E154" s="11">
        <v>12</v>
      </c>
      <c r="F154" s="11">
        <f t="shared" si="10"/>
        <v>60</v>
      </c>
    </row>
    <row r="155" spans="1:6" x14ac:dyDescent="0.25">
      <c r="A155" s="11" t="s">
        <v>73</v>
      </c>
      <c r="B155" s="11" t="str">
        <f t="shared" si="9"/>
        <v>3"154</v>
      </c>
      <c r="C155" s="11" t="s">
        <v>46</v>
      </c>
      <c r="D155" s="11">
        <f t="shared" si="11"/>
        <v>154</v>
      </c>
      <c r="E155" s="11">
        <v>12</v>
      </c>
      <c r="F155" s="11">
        <f t="shared" si="10"/>
        <v>60</v>
      </c>
    </row>
    <row r="156" spans="1:6" x14ac:dyDescent="0.25">
      <c r="A156" s="11" t="s">
        <v>73</v>
      </c>
      <c r="B156" s="11" t="str">
        <f t="shared" si="9"/>
        <v>3"155</v>
      </c>
      <c r="C156" s="11" t="s">
        <v>46</v>
      </c>
      <c r="D156" s="11">
        <f t="shared" si="11"/>
        <v>155</v>
      </c>
      <c r="E156" s="11">
        <v>12</v>
      </c>
      <c r="F156" s="11">
        <f t="shared" si="10"/>
        <v>60</v>
      </c>
    </row>
    <row r="157" spans="1:6" x14ac:dyDescent="0.25">
      <c r="A157" s="11" t="s">
        <v>73</v>
      </c>
      <c r="B157" s="11" t="str">
        <f t="shared" si="9"/>
        <v>3"156</v>
      </c>
      <c r="C157" s="11" t="s">
        <v>46</v>
      </c>
      <c r="D157" s="22">
        <f t="shared" si="11"/>
        <v>156</v>
      </c>
      <c r="E157" s="11">
        <v>13</v>
      </c>
      <c r="F157" s="11">
        <f t="shared" si="10"/>
        <v>65</v>
      </c>
    </row>
    <row r="158" spans="1:6" x14ac:dyDescent="0.25">
      <c r="A158" s="11" t="s">
        <v>73</v>
      </c>
      <c r="B158" s="11" t="str">
        <f t="shared" si="9"/>
        <v>3"157</v>
      </c>
      <c r="C158" s="11" t="s">
        <v>46</v>
      </c>
      <c r="D158" s="11">
        <f t="shared" si="11"/>
        <v>157</v>
      </c>
      <c r="E158" s="11">
        <v>13</v>
      </c>
      <c r="F158" s="11">
        <f t="shared" si="10"/>
        <v>65</v>
      </c>
    </row>
    <row r="159" spans="1:6" x14ac:dyDescent="0.25">
      <c r="A159" s="11" t="s">
        <v>73</v>
      </c>
      <c r="B159" s="11" t="str">
        <f t="shared" si="9"/>
        <v>3"158</v>
      </c>
      <c r="C159" s="11" t="s">
        <v>46</v>
      </c>
      <c r="D159" s="11">
        <f t="shared" si="11"/>
        <v>158</v>
      </c>
      <c r="E159" s="11">
        <v>13</v>
      </c>
      <c r="F159" s="11">
        <f t="shared" si="10"/>
        <v>65</v>
      </c>
    </row>
    <row r="160" spans="1:6" x14ac:dyDescent="0.25">
      <c r="A160" s="11" t="s">
        <v>73</v>
      </c>
      <c r="B160" s="11" t="str">
        <f t="shared" si="9"/>
        <v>3"159</v>
      </c>
      <c r="C160" s="11" t="s">
        <v>46</v>
      </c>
      <c r="D160" s="11">
        <f t="shared" si="11"/>
        <v>159</v>
      </c>
      <c r="E160" s="11">
        <v>13</v>
      </c>
      <c r="F160" s="11">
        <f t="shared" si="10"/>
        <v>65</v>
      </c>
    </row>
    <row r="161" spans="1:6" x14ac:dyDescent="0.25">
      <c r="A161" s="11" t="s">
        <v>73</v>
      </c>
      <c r="B161" s="11" t="str">
        <f t="shared" si="9"/>
        <v>3"160</v>
      </c>
      <c r="C161" s="11" t="s">
        <v>46</v>
      </c>
      <c r="D161" s="11">
        <f t="shared" si="11"/>
        <v>160</v>
      </c>
      <c r="E161" s="11">
        <v>13</v>
      </c>
      <c r="F161" s="11">
        <f t="shared" si="10"/>
        <v>65</v>
      </c>
    </row>
    <row r="162" spans="1:6" x14ac:dyDescent="0.25">
      <c r="A162" s="11" t="s">
        <v>73</v>
      </c>
      <c r="B162" s="11" t="str">
        <f t="shared" si="9"/>
        <v>3"161</v>
      </c>
      <c r="C162" s="11" t="s">
        <v>46</v>
      </c>
      <c r="D162" s="11">
        <f t="shared" si="11"/>
        <v>161</v>
      </c>
      <c r="E162" s="11">
        <v>13</v>
      </c>
      <c r="F162" s="11">
        <f t="shared" si="10"/>
        <v>65</v>
      </c>
    </row>
    <row r="163" spans="1:6" x14ac:dyDescent="0.25">
      <c r="A163" s="11" t="s">
        <v>73</v>
      </c>
      <c r="B163" s="11" t="str">
        <f t="shared" si="9"/>
        <v>3"162</v>
      </c>
      <c r="C163" s="11" t="s">
        <v>46</v>
      </c>
      <c r="D163" s="11">
        <f t="shared" si="11"/>
        <v>162</v>
      </c>
      <c r="E163" s="11">
        <v>13</v>
      </c>
      <c r="F163" s="11">
        <f t="shared" si="10"/>
        <v>65</v>
      </c>
    </row>
    <row r="164" spans="1:6" x14ac:dyDescent="0.25">
      <c r="A164" s="11" t="s">
        <v>73</v>
      </c>
      <c r="B164" s="11" t="str">
        <f t="shared" si="9"/>
        <v>3"163</v>
      </c>
      <c r="C164" s="11" t="s">
        <v>46</v>
      </c>
      <c r="D164" s="11">
        <f t="shared" si="11"/>
        <v>163</v>
      </c>
      <c r="E164" s="11">
        <v>13</v>
      </c>
      <c r="F164" s="11">
        <f t="shared" si="10"/>
        <v>65</v>
      </c>
    </row>
    <row r="165" spans="1:6" x14ac:dyDescent="0.25">
      <c r="A165" s="11" t="s">
        <v>73</v>
      </c>
      <c r="B165" s="11" t="str">
        <f t="shared" si="9"/>
        <v>3"164</v>
      </c>
      <c r="C165" s="11" t="s">
        <v>46</v>
      </c>
      <c r="D165" s="11">
        <f t="shared" si="11"/>
        <v>164</v>
      </c>
      <c r="E165" s="11">
        <v>13</v>
      </c>
      <c r="F165" s="11">
        <f t="shared" si="10"/>
        <v>65</v>
      </c>
    </row>
    <row r="166" spans="1:6" x14ac:dyDescent="0.25">
      <c r="A166" s="11" t="s">
        <v>73</v>
      </c>
      <c r="B166" s="11" t="str">
        <f t="shared" si="9"/>
        <v>3"165</v>
      </c>
      <c r="C166" s="11" t="s">
        <v>46</v>
      </c>
      <c r="D166" s="11">
        <f t="shared" si="11"/>
        <v>165</v>
      </c>
      <c r="E166" s="11">
        <v>13</v>
      </c>
      <c r="F166" s="11">
        <f t="shared" si="10"/>
        <v>65</v>
      </c>
    </row>
    <row r="167" spans="1:6" x14ac:dyDescent="0.25">
      <c r="A167" s="11" t="s">
        <v>73</v>
      </c>
      <c r="B167" s="11" t="str">
        <f t="shared" si="9"/>
        <v>3"166</v>
      </c>
      <c r="C167" s="11" t="s">
        <v>46</v>
      </c>
      <c r="D167" s="11">
        <f t="shared" si="11"/>
        <v>166</v>
      </c>
      <c r="E167" s="11">
        <v>13</v>
      </c>
      <c r="F167" s="11">
        <f t="shared" si="10"/>
        <v>65</v>
      </c>
    </row>
    <row r="168" spans="1:6" x14ac:dyDescent="0.25">
      <c r="A168" s="11" t="s">
        <v>73</v>
      </c>
      <c r="B168" s="11" t="str">
        <f t="shared" si="9"/>
        <v>3"167</v>
      </c>
      <c r="C168" s="11" t="s">
        <v>46</v>
      </c>
      <c r="D168" s="11">
        <f t="shared" si="11"/>
        <v>167</v>
      </c>
      <c r="E168" s="11">
        <v>13</v>
      </c>
      <c r="F168" s="11">
        <f t="shared" si="10"/>
        <v>65</v>
      </c>
    </row>
    <row r="169" spans="1:6" x14ac:dyDescent="0.25">
      <c r="A169" s="11" t="s">
        <v>73</v>
      </c>
      <c r="B169" s="11" t="str">
        <f t="shared" si="9"/>
        <v>3"168</v>
      </c>
      <c r="C169" s="11" t="s">
        <v>46</v>
      </c>
      <c r="D169" s="22">
        <f t="shared" si="11"/>
        <v>168</v>
      </c>
      <c r="E169" s="11">
        <v>14</v>
      </c>
      <c r="F169" s="11">
        <f t="shared" si="10"/>
        <v>70</v>
      </c>
    </row>
    <row r="170" spans="1:6" x14ac:dyDescent="0.25">
      <c r="A170" s="11" t="s">
        <v>73</v>
      </c>
      <c r="B170" s="11" t="str">
        <f t="shared" si="9"/>
        <v>3"169</v>
      </c>
      <c r="C170" s="11" t="s">
        <v>46</v>
      </c>
      <c r="D170" s="11">
        <f t="shared" si="11"/>
        <v>169</v>
      </c>
      <c r="E170" s="11">
        <v>14</v>
      </c>
      <c r="F170" s="11">
        <f t="shared" si="10"/>
        <v>70</v>
      </c>
    </row>
    <row r="171" spans="1:6" x14ac:dyDescent="0.25">
      <c r="A171" s="11" t="s">
        <v>73</v>
      </c>
      <c r="B171" s="11" t="str">
        <f t="shared" si="9"/>
        <v>3"170</v>
      </c>
      <c r="C171" s="11" t="s">
        <v>46</v>
      </c>
      <c r="D171" s="11">
        <f t="shared" si="11"/>
        <v>170</v>
      </c>
      <c r="E171" s="11">
        <v>14</v>
      </c>
      <c r="F171" s="11">
        <f t="shared" si="10"/>
        <v>70</v>
      </c>
    </row>
    <row r="172" spans="1:6" x14ac:dyDescent="0.25">
      <c r="A172" s="11" t="s">
        <v>73</v>
      </c>
      <c r="B172" s="11" t="str">
        <f t="shared" si="9"/>
        <v>3"171</v>
      </c>
      <c r="C172" s="11" t="s">
        <v>46</v>
      </c>
      <c r="D172" s="11">
        <f t="shared" si="11"/>
        <v>171</v>
      </c>
      <c r="E172" s="11">
        <v>14</v>
      </c>
      <c r="F172" s="11">
        <f t="shared" si="10"/>
        <v>70</v>
      </c>
    </row>
    <row r="173" spans="1:6" x14ac:dyDescent="0.25">
      <c r="A173" s="11" t="s">
        <v>73</v>
      </c>
      <c r="B173" s="11" t="str">
        <f t="shared" si="9"/>
        <v>3"172</v>
      </c>
      <c r="C173" s="11" t="s">
        <v>46</v>
      </c>
      <c r="D173" s="11">
        <f t="shared" si="11"/>
        <v>172</v>
      </c>
      <c r="E173" s="11">
        <v>14</v>
      </c>
      <c r="F173" s="11">
        <f t="shared" si="10"/>
        <v>70</v>
      </c>
    </row>
    <row r="174" spans="1:6" x14ac:dyDescent="0.25">
      <c r="A174" s="11" t="s">
        <v>73</v>
      </c>
      <c r="B174" s="11" t="str">
        <f t="shared" si="9"/>
        <v>3"173</v>
      </c>
      <c r="C174" s="11" t="s">
        <v>46</v>
      </c>
      <c r="D174" s="11">
        <f t="shared" si="11"/>
        <v>173</v>
      </c>
      <c r="E174" s="11">
        <v>14</v>
      </c>
      <c r="F174" s="11">
        <f t="shared" si="10"/>
        <v>70</v>
      </c>
    </row>
    <row r="175" spans="1:6" x14ac:dyDescent="0.25">
      <c r="A175" s="11" t="s">
        <v>73</v>
      </c>
      <c r="B175" s="11" t="str">
        <f t="shared" si="9"/>
        <v>3"174</v>
      </c>
      <c r="C175" s="11" t="s">
        <v>46</v>
      </c>
      <c r="D175" s="11">
        <f t="shared" si="11"/>
        <v>174</v>
      </c>
      <c r="E175" s="11">
        <v>14</v>
      </c>
      <c r="F175" s="11">
        <f t="shared" si="10"/>
        <v>70</v>
      </c>
    </row>
    <row r="176" spans="1:6" x14ac:dyDescent="0.25">
      <c r="A176" s="11" t="s">
        <v>73</v>
      </c>
      <c r="B176" s="11" t="str">
        <f t="shared" si="9"/>
        <v>3"175</v>
      </c>
      <c r="C176" s="11" t="s">
        <v>46</v>
      </c>
      <c r="D176" s="11">
        <f t="shared" si="11"/>
        <v>175</v>
      </c>
      <c r="E176" s="11">
        <v>14</v>
      </c>
      <c r="F176" s="11">
        <f t="shared" si="10"/>
        <v>70</v>
      </c>
    </row>
    <row r="177" spans="1:6" x14ac:dyDescent="0.25">
      <c r="A177" s="11" t="s">
        <v>73</v>
      </c>
      <c r="B177" s="11" t="str">
        <f t="shared" si="9"/>
        <v>3"176</v>
      </c>
      <c r="C177" s="11" t="s">
        <v>46</v>
      </c>
      <c r="D177" s="11">
        <f t="shared" si="11"/>
        <v>176</v>
      </c>
      <c r="E177" s="11">
        <v>14</v>
      </c>
      <c r="F177" s="11">
        <f t="shared" si="10"/>
        <v>70</v>
      </c>
    </row>
    <row r="178" spans="1:6" x14ac:dyDescent="0.25">
      <c r="A178" s="11" t="s">
        <v>73</v>
      </c>
      <c r="B178" s="11" t="str">
        <f t="shared" si="9"/>
        <v>3"177</v>
      </c>
      <c r="C178" s="11" t="s">
        <v>46</v>
      </c>
      <c r="D178" s="11">
        <f t="shared" si="11"/>
        <v>177</v>
      </c>
      <c r="E178" s="11">
        <v>14</v>
      </c>
      <c r="F178" s="11">
        <f t="shared" si="10"/>
        <v>70</v>
      </c>
    </row>
    <row r="179" spans="1:6" x14ac:dyDescent="0.25">
      <c r="A179" s="11" t="s">
        <v>73</v>
      </c>
      <c r="B179" s="11" t="str">
        <f t="shared" si="9"/>
        <v>3"178</v>
      </c>
      <c r="C179" s="11" t="s">
        <v>46</v>
      </c>
      <c r="D179" s="11">
        <f t="shared" si="11"/>
        <v>178</v>
      </c>
      <c r="E179" s="11">
        <v>14</v>
      </c>
      <c r="F179" s="11">
        <f t="shared" si="10"/>
        <v>70</v>
      </c>
    </row>
    <row r="180" spans="1:6" x14ac:dyDescent="0.25">
      <c r="A180" s="11" t="s">
        <v>73</v>
      </c>
      <c r="B180" s="11" t="str">
        <f t="shared" si="9"/>
        <v>3"179</v>
      </c>
      <c r="C180" s="11" t="s">
        <v>46</v>
      </c>
      <c r="D180" s="11">
        <f t="shared" si="11"/>
        <v>179</v>
      </c>
      <c r="E180" s="11">
        <v>14</v>
      </c>
      <c r="F180" s="11">
        <f t="shared" si="10"/>
        <v>70</v>
      </c>
    </row>
    <row r="181" spans="1:6" x14ac:dyDescent="0.25">
      <c r="A181" s="11" t="s">
        <v>73</v>
      </c>
      <c r="B181" s="11" t="str">
        <f t="shared" si="9"/>
        <v>3"180</v>
      </c>
      <c r="C181" s="11" t="s">
        <v>46</v>
      </c>
      <c r="D181" s="22">
        <f t="shared" si="11"/>
        <v>180</v>
      </c>
      <c r="E181" s="11">
        <v>15</v>
      </c>
      <c r="F181" s="11">
        <f t="shared" si="10"/>
        <v>75</v>
      </c>
    </row>
    <row r="182" spans="1:6" x14ac:dyDescent="0.25">
      <c r="A182" s="11" t="s">
        <v>73</v>
      </c>
      <c r="B182" s="11" t="str">
        <f t="shared" si="9"/>
        <v>3"181</v>
      </c>
      <c r="C182" s="11" t="s">
        <v>46</v>
      </c>
      <c r="D182" s="11">
        <f t="shared" si="11"/>
        <v>181</v>
      </c>
      <c r="E182" s="11">
        <v>15</v>
      </c>
      <c r="F182" s="11">
        <f t="shared" si="10"/>
        <v>75</v>
      </c>
    </row>
    <row r="183" spans="1:6" x14ac:dyDescent="0.25">
      <c r="A183" s="11" t="s">
        <v>73</v>
      </c>
      <c r="B183" s="11" t="str">
        <f t="shared" si="9"/>
        <v>3"182</v>
      </c>
      <c r="C183" s="11" t="s">
        <v>46</v>
      </c>
      <c r="D183" s="11">
        <f t="shared" si="11"/>
        <v>182</v>
      </c>
      <c r="E183" s="11">
        <v>15</v>
      </c>
      <c r="F183" s="11">
        <f t="shared" si="10"/>
        <v>75</v>
      </c>
    </row>
    <row r="184" spans="1:6" x14ac:dyDescent="0.25">
      <c r="A184" s="11" t="s">
        <v>73</v>
      </c>
      <c r="B184" s="11" t="str">
        <f t="shared" si="9"/>
        <v>3"183</v>
      </c>
      <c r="C184" s="11" t="s">
        <v>46</v>
      </c>
      <c r="D184" s="11">
        <f t="shared" si="11"/>
        <v>183</v>
      </c>
      <c r="E184" s="11">
        <v>15</v>
      </c>
      <c r="F184" s="11">
        <f t="shared" si="10"/>
        <v>75</v>
      </c>
    </row>
    <row r="185" spans="1:6" x14ac:dyDescent="0.25">
      <c r="A185" s="11" t="s">
        <v>73</v>
      </c>
      <c r="B185" s="11" t="str">
        <f t="shared" si="9"/>
        <v>3"184</v>
      </c>
      <c r="C185" s="11" t="s">
        <v>46</v>
      </c>
      <c r="D185" s="11">
        <f t="shared" si="11"/>
        <v>184</v>
      </c>
      <c r="E185" s="11">
        <v>15</v>
      </c>
      <c r="F185" s="11">
        <f t="shared" si="10"/>
        <v>75</v>
      </c>
    </row>
    <row r="186" spans="1:6" x14ac:dyDescent="0.25">
      <c r="A186" s="11" t="s">
        <v>73</v>
      </c>
      <c r="B186" s="11" t="str">
        <f t="shared" si="9"/>
        <v>3"185</v>
      </c>
      <c r="C186" s="11" t="s">
        <v>46</v>
      </c>
      <c r="D186" s="11">
        <f t="shared" si="11"/>
        <v>185</v>
      </c>
      <c r="E186" s="11">
        <v>15</v>
      </c>
      <c r="F186" s="11">
        <f t="shared" si="10"/>
        <v>75</v>
      </c>
    </row>
    <row r="187" spans="1:6" x14ac:dyDescent="0.25">
      <c r="A187" s="11" t="s">
        <v>73</v>
      </c>
      <c r="B187" s="11" t="str">
        <f t="shared" ref="B187:B418" si="12">CONCATENATE(C187&amp;D187)</f>
        <v>3"186</v>
      </c>
      <c r="C187" s="11" t="s">
        <v>46</v>
      </c>
      <c r="D187" s="11">
        <f t="shared" si="11"/>
        <v>186</v>
      </c>
      <c r="E187" s="11">
        <v>15</v>
      </c>
      <c r="F187" s="11">
        <f t="shared" si="10"/>
        <v>75</v>
      </c>
    </row>
    <row r="188" spans="1:6" x14ac:dyDescent="0.25">
      <c r="A188" s="11" t="s">
        <v>73</v>
      </c>
      <c r="B188" s="11" t="str">
        <f t="shared" si="12"/>
        <v>3"187</v>
      </c>
      <c r="C188" s="11" t="s">
        <v>46</v>
      </c>
      <c r="D188" s="11">
        <f t="shared" si="11"/>
        <v>187</v>
      </c>
      <c r="E188" s="11">
        <v>15</v>
      </c>
      <c r="F188" s="11">
        <f t="shared" si="10"/>
        <v>75</v>
      </c>
    </row>
    <row r="189" spans="1:6" x14ac:dyDescent="0.25">
      <c r="A189" s="11" t="s">
        <v>73</v>
      </c>
      <c r="B189" s="11" t="str">
        <f t="shared" si="12"/>
        <v>3"188</v>
      </c>
      <c r="C189" s="11" t="s">
        <v>46</v>
      </c>
      <c r="D189" s="11">
        <f t="shared" si="11"/>
        <v>188</v>
      </c>
      <c r="E189" s="11">
        <v>15</v>
      </c>
      <c r="F189" s="11">
        <f t="shared" si="10"/>
        <v>75</v>
      </c>
    </row>
    <row r="190" spans="1:6" x14ac:dyDescent="0.25">
      <c r="A190" s="11" t="s">
        <v>73</v>
      </c>
      <c r="B190" s="11" t="str">
        <f t="shared" si="12"/>
        <v>3"189</v>
      </c>
      <c r="C190" s="11" t="s">
        <v>46</v>
      </c>
      <c r="D190" s="11">
        <f t="shared" si="11"/>
        <v>189</v>
      </c>
      <c r="E190" s="11">
        <v>15</v>
      </c>
      <c r="F190" s="11">
        <f t="shared" si="10"/>
        <v>75</v>
      </c>
    </row>
    <row r="191" spans="1:6" x14ac:dyDescent="0.25">
      <c r="A191" s="11" t="s">
        <v>73</v>
      </c>
      <c r="B191" s="11" t="str">
        <f t="shared" si="12"/>
        <v>3"190</v>
      </c>
      <c r="C191" s="11" t="s">
        <v>46</v>
      </c>
      <c r="D191" s="11">
        <f t="shared" si="11"/>
        <v>190</v>
      </c>
      <c r="E191" s="11">
        <v>15</v>
      </c>
      <c r="F191" s="11">
        <f t="shared" si="10"/>
        <v>75</v>
      </c>
    </row>
    <row r="192" spans="1:6" x14ac:dyDescent="0.25">
      <c r="A192" s="11" t="s">
        <v>73</v>
      </c>
      <c r="B192" s="11" t="str">
        <f t="shared" si="12"/>
        <v>3"191</v>
      </c>
      <c r="C192" s="11" t="s">
        <v>46</v>
      </c>
      <c r="D192" s="11">
        <f t="shared" si="11"/>
        <v>191</v>
      </c>
      <c r="E192" s="11">
        <v>15</v>
      </c>
      <c r="F192" s="11">
        <f t="shared" si="10"/>
        <v>75</v>
      </c>
    </row>
    <row r="193" spans="1:6" x14ac:dyDescent="0.25">
      <c r="A193" s="11" t="s">
        <v>73</v>
      </c>
      <c r="B193" s="11" t="str">
        <f t="shared" si="12"/>
        <v>3"192</v>
      </c>
      <c r="C193" s="11" t="s">
        <v>46</v>
      </c>
      <c r="D193" s="22">
        <f t="shared" si="11"/>
        <v>192</v>
      </c>
      <c r="E193" s="11">
        <v>16</v>
      </c>
      <c r="F193" s="11">
        <f t="shared" si="10"/>
        <v>80</v>
      </c>
    </row>
    <row r="194" spans="1:6" x14ac:dyDescent="0.25">
      <c r="A194" s="11" t="s">
        <v>73</v>
      </c>
      <c r="B194" s="11" t="str">
        <f t="shared" si="12"/>
        <v>3"193</v>
      </c>
      <c r="C194" s="11" t="s">
        <v>46</v>
      </c>
      <c r="D194" s="11">
        <f t="shared" si="11"/>
        <v>193</v>
      </c>
      <c r="E194" s="11">
        <v>16</v>
      </c>
      <c r="F194" s="11">
        <f t="shared" si="10"/>
        <v>80</v>
      </c>
    </row>
    <row r="195" spans="1:6" x14ac:dyDescent="0.25">
      <c r="A195" s="11" t="s">
        <v>73</v>
      </c>
      <c r="B195" s="11" t="str">
        <f t="shared" si="12"/>
        <v>3"194</v>
      </c>
      <c r="C195" s="11" t="s">
        <v>46</v>
      </c>
      <c r="D195" s="11">
        <f t="shared" si="11"/>
        <v>194</v>
      </c>
      <c r="E195" s="11">
        <v>16</v>
      </c>
      <c r="F195" s="11">
        <f t="shared" ref="F195:F258" si="13">E195*$F$1</f>
        <v>80</v>
      </c>
    </row>
    <row r="196" spans="1:6" x14ac:dyDescent="0.25">
      <c r="A196" s="11" t="s">
        <v>73</v>
      </c>
      <c r="B196" s="11" t="str">
        <f t="shared" si="12"/>
        <v>3"195</v>
      </c>
      <c r="C196" s="11" t="s">
        <v>46</v>
      </c>
      <c r="D196" s="11">
        <f t="shared" ref="D196:D259" si="14">D195+1</f>
        <v>195</v>
      </c>
      <c r="E196" s="11">
        <v>16</v>
      </c>
      <c r="F196" s="11">
        <f t="shared" si="13"/>
        <v>80</v>
      </c>
    </row>
    <row r="197" spans="1:6" x14ac:dyDescent="0.25">
      <c r="A197" s="11" t="s">
        <v>73</v>
      </c>
      <c r="B197" s="11" t="str">
        <f t="shared" si="12"/>
        <v>3"196</v>
      </c>
      <c r="C197" s="11" t="s">
        <v>46</v>
      </c>
      <c r="D197" s="11">
        <f t="shared" si="14"/>
        <v>196</v>
      </c>
      <c r="E197" s="11">
        <v>16</v>
      </c>
      <c r="F197" s="11">
        <f t="shared" si="13"/>
        <v>80</v>
      </c>
    </row>
    <row r="198" spans="1:6" x14ac:dyDescent="0.25">
      <c r="A198" s="11" t="s">
        <v>73</v>
      </c>
      <c r="B198" s="11" t="str">
        <f t="shared" si="12"/>
        <v>3"197</v>
      </c>
      <c r="C198" s="11" t="s">
        <v>46</v>
      </c>
      <c r="D198" s="11">
        <f t="shared" si="14"/>
        <v>197</v>
      </c>
      <c r="E198" s="11">
        <v>16</v>
      </c>
      <c r="F198" s="11">
        <f t="shared" si="13"/>
        <v>80</v>
      </c>
    </row>
    <row r="199" spans="1:6" x14ac:dyDescent="0.25">
      <c r="A199" s="11" t="s">
        <v>73</v>
      </c>
      <c r="B199" s="11" t="str">
        <f t="shared" si="12"/>
        <v>3"198</v>
      </c>
      <c r="C199" s="11" t="s">
        <v>46</v>
      </c>
      <c r="D199" s="11">
        <f t="shared" si="14"/>
        <v>198</v>
      </c>
      <c r="E199" s="11">
        <v>16</v>
      </c>
      <c r="F199" s="11">
        <f t="shared" si="13"/>
        <v>80</v>
      </c>
    </row>
    <row r="200" spans="1:6" x14ac:dyDescent="0.25">
      <c r="A200" s="11" t="s">
        <v>73</v>
      </c>
      <c r="B200" s="11" t="str">
        <f t="shared" si="12"/>
        <v>3"199</v>
      </c>
      <c r="C200" s="11" t="s">
        <v>46</v>
      </c>
      <c r="D200" s="11">
        <f t="shared" si="14"/>
        <v>199</v>
      </c>
      <c r="E200" s="11">
        <v>16</v>
      </c>
      <c r="F200" s="11">
        <f t="shared" si="13"/>
        <v>80</v>
      </c>
    </row>
    <row r="201" spans="1:6" x14ac:dyDescent="0.25">
      <c r="A201" s="11" t="s">
        <v>73</v>
      </c>
      <c r="B201" s="11" t="str">
        <f t="shared" si="12"/>
        <v>3"200</v>
      </c>
      <c r="C201" s="11" t="s">
        <v>46</v>
      </c>
      <c r="D201" s="11">
        <f t="shared" si="14"/>
        <v>200</v>
      </c>
      <c r="E201" s="11">
        <v>16</v>
      </c>
      <c r="F201" s="11">
        <f t="shared" si="13"/>
        <v>80</v>
      </c>
    </row>
    <row r="202" spans="1:6" x14ac:dyDescent="0.25">
      <c r="A202" s="11" t="s">
        <v>73</v>
      </c>
      <c r="B202" s="11" t="str">
        <f t="shared" si="12"/>
        <v>3"201</v>
      </c>
      <c r="C202" s="11" t="s">
        <v>46</v>
      </c>
      <c r="D202" s="11">
        <f t="shared" si="14"/>
        <v>201</v>
      </c>
      <c r="E202" s="11">
        <v>16</v>
      </c>
      <c r="F202" s="11">
        <f t="shared" si="13"/>
        <v>80</v>
      </c>
    </row>
    <row r="203" spans="1:6" x14ac:dyDescent="0.25">
      <c r="A203" s="11" t="s">
        <v>73</v>
      </c>
      <c r="B203" s="11" t="str">
        <f t="shared" si="12"/>
        <v>3"202</v>
      </c>
      <c r="C203" s="11" t="s">
        <v>46</v>
      </c>
      <c r="D203" s="11">
        <f t="shared" si="14"/>
        <v>202</v>
      </c>
      <c r="E203" s="11">
        <v>16</v>
      </c>
      <c r="F203" s="11">
        <f t="shared" si="13"/>
        <v>80</v>
      </c>
    </row>
    <row r="204" spans="1:6" x14ac:dyDescent="0.25">
      <c r="A204" s="11" t="s">
        <v>73</v>
      </c>
      <c r="B204" s="11" t="str">
        <f t="shared" si="12"/>
        <v>3"203</v>
      </c>
      <c r="C204" s="11" t="s">
        <v>46</v>
      </c>
      <c r="D204" s="11">
        <f t="shared" si="14"/>
        <v>203</v>
      </c>
      <c r="E204" s="11">
        <v>16</v>
      </c>
      <c r="F204" s="11">
        <f t="shared" si="13"/>
        <v>80</v>
      </c>
    </row>
    <row r="205" spans="1:6" x14ac:dyDescent="0.25">
      <c r="A205" s="11" t="s">
        <v>73</v>
      </c>
      <c r="B205" s="11" t="str">
        <f t="shared" si="12"/>
        <v>3"204</v>
      </c>
      <c r="C205" s="11" t="s">
        <v>46</v>
      </c>
      <c r="D205" s="22">
        <f t="shared" si="14"/>
        <v>204</v>
      </c>
      <c r="E205" s="11">
        <f>E204+1</f>
        <v>17</v>
      </c>
      <c r="F205" s="11">
        <f t="shared" si="13"/>
        <v>85</v>
      </c>
    </row>
    <row r="206" spans="1:6" x14ac:dyDescent="0.25">
      <c r="A206" s="11" t="s">
        <v>73</v>
      </c>
      <c r="B206" s="11" t="str">
        <f t="shared" si="12"/>
        <v>3"205</v>
      </c>
      <c r="C206" s="11" t="s">
        <v>46</v>
      </c>
      <c r="D206" s="11">
        <f t="shared" si="14"/>
        <v>205</v>
      </c>
      <c r="E206" s="11">
        <f>E205</f>
        <v>17</v>
      </c>
      <c r="F206" s="11">
        <f t="shared" si="13"/>
        <v>85</v>
      </c>
    </row>
    <row r="207" spans="1:6" x14ac:dyDescent="0.25">
      <c r="A207" s="11" t="s">
        <v>73</v>
      </c>
      <c r="B207" s="11" t="str">
        <f t="shared" si="12"/>
        <v>3"206</v>
      </c>
      <c r="C207" s="11" t="s">
        <v>46</v>
      </c>
      <c r="D207" s="11">
        <f t="shared" si="14"/>
        <v>206</v>
      </c>
      <c r="E207" s="11">
        <f t="shared" ref="E207:E216" si="15">E206</f>
        <v>17</v>
      </c>
      <c r="F207" s="11">
        <f t="shared" si="13"/>
        <v>85</v>
      </c>
    </row>
    <row r="208" spans="1:6" x14ac:dyDescent="0.25">
      <c r="A208" s="11" t="s">
        <v>73</v>
      </c>
      <c r="B208" s="11" t="str">
        <f t="shared" si="12"/>
        <v>3"207</v>
      </c>
      <c r="C208" s="11" t="s">
        <v>46</v>
      </c>
      <c r="D208" s="11">
        <f t="shared" si="14"/>
        <v>207</v>
      </c>
      <c r="E208" s="11">
        <f t="shared" si="15"/>
        <v>17</v>
      </c>
      <c r="F208" s="11">
        <f t="shared" si="13"/>
        <v>85</v>
      </c>
    </row>
    <row r="209" spans="1:6" x14ac:dyDescent="0.25">
      <c r="A209" s="11" t="s">
        <v>73</v>
      </c>
      <c r="B209" s="11" t="str">
        <f t="shared" si="12"/>
        <v>3"208</v>
      </c>
      <c r="C209" s="11" t="s">
        <v>46</v>
      </c>
      <c r="D209" s="11">
        <f t="shared" si="14"/>
        <v>208</v>
      </c>
      <c r="E209" s="11">
        <f t="shared" si="15"/>
        <v>17</v>
      </c>
      <c r="F209" s="11">
        <f t="shared" si="13"/>
        <v>85</v>
      </c>
    </row>
    <row r="210" spans="1:6" x14ac:dyDescent="0.25">
      <c r="A210" s="11" t="s">
        <v>73</v>
      </c>
      <c r="B210" s="11" t="str">
        <f t="shared" si="12"/>
        <v>3"209</v>
      </c>
      <c r="C210" s="11" t="s">
        <v>46</v>
      </c>
      <c r="D210" s="11">
        <f t="shared" si="14"/>
        <v>209</v>
      </c>
      <c r="E210" s="11">
        <f t="shared" si="15"/>
        <v>17</v>
      </c>
      <c r="F210" s="11">
        <f t="shared" si="13"/>
        <v>85</v>
      </c>
    </row>
    <row r="211" spans="1:6" x14ac:dyDescent="0.25">
      <c r="A211" s="11" t="s">
        <v>73</v>
      </c>
      <c r="B211" s="11" t="str">
        <f t="shared" si="12"/>
        <v>3"210</v>
      </c>
      <c r="C211" s="11" t="s">
        <v>46</v>
      </c>
      <c r="D211" s="11">
        <f t="shared" si="14"/>
        <v>210</v>
      </c>
      <c r="E211" s="11">
        <f t="shared" si="15"/>
        <v>17</v>
      </c>
      <c r="F211" s="11">
        <f t="shared" si="13"/>
        <v>85</v>
      </c>
    </row>
    <row r="212" spans="1:6" x14ac:dyDescent="0.25">
      <c r="A212" s="11" t="s">
        <v>73</v>
      </c>
      <c r="B212" s="11" t="str">
        <f t="shared" si="12"/>
        <v>3"211</v>
      </c>
      <c r="C212" s="11" t="s">
        <v>46</v>
      </c>
      <c r="D212" s="11">
        <f t="shared" si="14"/>
        <v>211</v>
      </c>
      <c r="E212" s="11">
        <f t="shared" si="15"/>
        <v>17</v>
      </c>
      <c r="F212" s="11">
        <f t="shared" si="13"/>
        <v>85</v>
      </c>
    </row>
    <row r="213" spans="1:6" x14ac:dyDescent="0.25">
      <c r="A213" s="11" t="s">
        <v>73</v>
      </c>
      <c r="B213" s="11" t="str">
        <f t="shared" si="12"/>
        <v>3"212</v>
      </c>
      <c r="C213" s="11" t="s">
        <v>46</v>
      </c>
      <c r="D213" s="11">
        <f t="shared" si="14"/>
        <v>212</v>
      </c>
      <c r="E213" s="11">
        <f t="shared" si="15"/>
        <v>17</v>
      </c>
      <c r="F213" s="11">
        <f t="shared" si="13"/>
        <v>85</v>
      </c>
    </row>
    <row r="214" spans="1:6" x14ac:dyDescent="0.25">
      <c r="A214" s="11" t="s">
        <v>73</v>
      </c>
      <c r="B214" s="11" t="str">
        <f t="shared" si="12"/>
        <v>3"213</v>
      </c>
      <c r="C214" s="11" t="s">
        <v>46</v>
      </c>
      <c r="D214" s="11">
        <f t="shared" si="14"/>
        <v>213</v>
      </c>
      <c r="E214" s="11">
        <f t="shared" si="15"/>
        <v>17</v>
      </c>
      <c r="F214" s="11">
        <f t="shared" si="13"/>
        <v>85</v>
      </c>
    </row>
    <row r="215" spans="1:6" x14ac:dyDescent="0.25">
      <c r="A215" s="11" t="s">
        <v>73</v>
      </c>
      <c r="B215" s="11" t="str">
        <f t="shared" si="12"/>
        <v>3"214</v>
      </c>
      <c r="C215" s="11" t="s">
        <v>46</v>
      </c>
      <c r="D215" s="11">
        <f t="shared" si="14"/>
        <v>214</v>
      </c>
      <c r="E215" s="11">
        <f t="shared" si="15"/>
        <v>17</v>
      </c>
      <c r="F215" s="11">
        <f t="shared" si="13"/>
        <v>85</v>
      </c>
    </row>
    <row r="216" spans="1:6" x14ac:dyDescent="0.25">
      <c r="A216" s="11" t="s">
        <v>73</v>
      </c>
      <c r="B216" s="11" t="str">
        <f t="shared" si="12"/>
        <v>3"215</v>
      </c>
      <c r="C216" s="11" t="s">
        <v>46</v>
      </c>
      <c r="D216" s="11">
        <f t="shared" si="14"/>
        <v>215</v>
      </c>
      <c r="E216" s="11">
        <f t="shared" si="15"/>
        <v>17</v>
      </c>
      <c r="F216" s="11">
        <f t="shared" si="13"/>
        <v>85</v>
      </c>
    </row>
    <row r="217" spans="1:6" x14ac:dyDescent="0.25">
      <c r="A217" s="11" t="s">
        <v>73</v>
      </c>
      <c r="B217" s="11" t="str">
        <f t="shared" si="12"/>
        <v>3"216</v>
      </c>
      <c r="C217" s="11" t="s">
        <v>46</v>
      </c>
      <c r="D217" s="22">
        <f t="shared" si="14"/>
        <v>216</v>
      </c>
      <c r="E217" s="11">
        <f>E216+1</f>
        <v>18</v>
      </c>
      <c r="F217" s="11">
        <f t="shared" si="13"/>
        <v>90</v>
      </c>
    </row>
    <row r="218" spans="1:6" x14ac:dyDescent="0.25">
      <c r="A218" s="11" t="s">
        <v>73</v>
      </c>
      <c r="B218" s="11" t="str">
        <f t="shared" si="12"/>
        <v>3"217</v>
      </c>
      <c r="C218" s="11" t="s">
        <v>46</v>
      </c>
      <c r="D218" s="22">
        <f t="shared" si="14"/>
        <v>217</v>
      </c>
      <c r="E218" s="11">
        <f>E217</f>
        <v>18</v>
      </c>
      <c r="F218" s="11">
        <f t="shared" si="13"/>
        <v>90</v>
      </c>
    </row>
    <row r="219" spans="1:6" x14ac:dyDescent="0.25">
      <c r="A219" s="11" t="s">
        <v>73</v>
      </c>
      <c r="B219" s="11" t="str">
        <f t="shared" si="12"/>
        <v>3"218</v>
      </c>
      <c r="C219" s="11" t="s">
        <v>46</v>
      </c>
      <c r="D219" s="22">
        <f t="shared" si="14"/>
        <v>218</v>
      </c>
      <c r="E219" s="11">
        <f t="shared" ref="E219:E228" si="16">E218</f>
        <v>18</v>
      </c>
      <c r="F219" s="11">
        <f t="shared" si="13"/>
        <v>90</v>
      </c>
    </row>
    <row r="220" spans="1:6" x14ac:dyDescent="0.25">
      <c r="A220" s="11" t="s">
        <v>73</v>
      </c>
      <c r="B220" s="11" t="str">
        <f t="shared" si="12"/>
        <v>3"219</v>
      </c>
      <c r="C220" s="11" t="s">
        <v>46</v>
      </c>
      <c r="D220" s="22">
        <f t="shared" si="14"/>
        <v>219</v>
      </c>
      <c r="E220" s="11">
        <f t="shared" si="16"/>
        <v>18</v>
      </c>
      <c r="F220" s="11">
        <f t="shared" si="13"/>
        <v>90</v>
      </c>
    </row>
    <row r="221" spans="1:6" x14ac:dyDescent="0.25">
      <c r="A221" s="11" t="s">
        <v>73</v>
      </c>
      <c r="B221" s="11" t="str">
        <f t="shared" si="12"/>
        <v>3"220</v>
      </c>
      <c r="C221" s="11" t="s">
        <v>46</v>
      </c>
      <c r="D221" s="22">
        <f t="shared" si="14"/>
        <v>220</v>
      </c>
      <c r="E221" s="11">
        <f t="shared" si="16"/>
        <v>18</v>
      </c>
      <c r="F221" s="11">
        <f t="shared" si="13"/>
        <v>90</v>
      </c>
    </row>
    <row r="222" spans="1:6" x14ac:dyDescent="0.25">
      <c r="A222" s="11" t="s">
        <v>73</v>
      </c>
      <c r="B222" s="11" t="str">
        <f t="shared" si="12"/>
        <v>3"221</v>
      </c>
      <c r="C222" s="11" t="s">
        <v>46</v>
      </c>
      <c r="D222" s="22">
        <f t="shared" si="14"/>
        <v>221</v>
      </c>
      <c r="E222" s="11">
        <f t="shared" si="16"/>
        <v>18</v>
      </c>
      <c r="F222" s="11">
        <f t="shared" si="13"/>
        <v>90</v>
      </c>
    </row>
    <row r="223" spans="1:6" x14ac:dyDescent="0.25">
      <c r="A223" s="11" t="s">
        <v>73</v>
      </c>
      <c r="B223" s="11" t="str">
        <f t="shared" si="12"/>
        <v>3"222</v>
      </c>
      <c r="C223" s="11" t="s">
        <v>46</v>
      </c>
      <c r="D223" s="22">
        <f t="shared" si="14"/>
        <v>222</v>
      </c>
      <c r="E223" s="11">
        <f t="shared" si="16"/>
        <v>18</v>
      </c>
      <c r="F223" s="11">
        <f t="shared" si="13"/>
        <v>90</v>
      </c>
    </row>
    <row r="224" spans="1:6" x14ac:dyDescent="0.25">
      <c r="A224" s="11" t="s">
        <v>73</v>
      </c>
      <c r="B224" s="11" t="str">
        <f t="shared" si="12"/>
        <v>3"223</v>
      </c>
      <c r="C224" s="11" t="s">
        <v>46</v>
      </c>
      <c r="D224" s="22">
        <f t="shared" si="14"/>
        <v>223</v>
      </c>
      <c r="E224" s="11">
        <f t="shared" si="16"/>
        <v>18</v>
      </c>
      <c r="F224" s="11">
        <f t="shared" si="13"/>
        <v>90</v>
      </c>
    </row>
    <row r="225" spans="1:6" x14ac:dyDescent="0.25">
      <c r="A225" s="11" t="s">
        <v>73</v>
      </c>
      <c r="B225" s="11" t="str">
        <f t="shared" si="12"/>
        <v>3"224</v>
      </c>
      <c r="C225" s="11" t="s">
        <v>46</v>
      </c>
      <c r="D225" s="22">
        <f t="shared" si="14"/>
        <v>224</v>
      </c>
      <c r="E225" s="11">
        <f t="shared" si="16"/>
        <v>18</v>
      </c>
      <c r="F225" s="11">
        <f t="shared" si="13"/>
        <v>90</v>
      </c>
    </row>
    <row r="226" spans="1:6" x14ac:dyDescent="0.25">
      <c r="A226" s="11" t="s">
        <v>73</v>
      </c>
      <c r="B226" s="11" t="str">
        <f t="shared" si="12"/>
        <v>3"225</v>
      </c>
      <c r="C226" s="11" t="s">
        <v>46</v>
      </c>
      <c r="D226" s="22">
        <f t="shared" si="14"/>
        <v>225</v>
      </c>
      <c r="E226" s="11">
        <f t="shared" si="16"/>
        <v>18</v>
      </c>
      <c r="F226" s="11">
        <f t="shared" si="13"/>
        <v>90</v>
      </c>
    </row>
    <row r="227" spans="1:6" x14ac:dyDescent="0.25">
      <c r="A227" s="11" t="s">
        <v>73</v>
      </c>
      <c r="B227" s="11" t="str">
        <f t="shared" si="12"/>
        <v>3"226</v>
      </c>
      <c r="C227" s="11" t="s">
        <v>46</v>
      </c>
      <c r="D227" s="22">
        <f t="shared" si="14"/>
        <v>226</v>
      </c>
      <c r="E227" s="11">
        <f t="shared" si="16"/>
        <v>18</v>
      </c>
      <c r="F227" s="11">
        <f t="shared" si="13"/>
        <v>90</v>
      </c>
    </row>
    <row r="228" spans="1:6" x14ac:dyDescent="0.25">
      <c r="A228" s="11" t="s">
        <v>73</v>
      </c>
      <c r="B228" s="11" t="str">
        <f t="shared" si="12"/>
        <v>3"227</v>
      </c>
      <c r="C228" s="11" t="s">
        <v>46</v>
      </c>
      <c r="D228" s="22">
        <f t="shared" si="14"/>
        <v>227</v>
      </c>
      <c r="E228" s="11">
        <f t="shared" si="16"/>
        <v>18</v>
      </c>
      <c r="F228" s="11">
        <f t="shared" si="13"/>
        <v>90</v>
      </c>
    </row>
    <row r="229" spans="1:6" x14ac:dyDescent="0.25">
      <c r="A229" s="11" t="s">
        <v>73</v>
      </c>
      <c r="B229" s="11" t="str">
        <f t="shared" si="12"/>
        <v>3"228</v>
      </c>
      <c r="C229" s="11" t="s">
        <v>46</v>
      </c>
      <c r="D229" s="22">
        <f t="shared" si="14"/>
        <v>228</v>
      </c>
      <c r="E229" s="11">
        <f>E228+1</f>
        <v>19</v>
      </c>
      <c r="F229" s="11">
        <f t="shared" si="13"/>
        <v>95</v>
      </c>
    </row>
    <row r="230" spans="1:6" x14ac:dyDescent="0.25">
      <c r="A230" s="11" t="s">
        <v>73</v>
      </c>
      <c r="B230" s="11" t="str">
        <f t="shared" si="12"/>
        <v>3"229</v>
      </c>
      <c r="C230" s="11" t="s">
        <v>46</v>
      </c>
      <c r="D230" s="22">
        <f t="shared" si="14"/>
        <v>229</v>
      </c>
      <c r="E230" s="11">
        <f>E229</f>
        <v>19</v>
      </c>
      <c r="F230" s="11">
        <f t="shared" si="13"/>
        <v>95</v>
      </c>
    </row>
    <row r="231" spans="1:6" x14ac:dyDescent="0.25">
      <c r="A231" s="11" t="s">
        <v>73</v>
      </c>
      <c r="B231" s="11" t="str">
        <f t="shared" si="12"/>
        <v>3"230</v>
      </c>
      <c r="C231" s="11" t="s">
        <v>46</v>
      </c>
      <c r="D231" s="22">
        <f t="shared" si="14"/>
        <v>230</v>
      </c>
      <c r="E231" s="11">
        <f t="shared" ref="E231:E240" si="17">E230</f>
        <v>19</v>
      </c>
      <c r="F231" s="11">
        <f t="shared" si="13"/>
        <v>95</v>
      </c>
    </row>
    <row r="232" spans="1:6" x14ac:dyDescent="0.25">
      <c r="A232" s="11" t="s">
        <v>73</v>
      </c>
      <c r="B232" s="11" t="str">
        <f t="shared" si="12"/>
        <v>3"231</v>
      </c>
      <c r="C232" s="11" t="s">
        <v>46</v>
      </c>
      <c r="D232" s="22">
        <f t="shared" si="14"/>
        <v>231</v>
      </c>
      <c r="E232" s="11">
        <f t="shared" si="17"/>
        <v>19</v>
      </c>
      <c r="F232" s="11">
        <f t="shared" si="13"/>
        <v>95</v>
      </c>
    </row>
    <row r="233" spans="1:6" x14ac:dyDescent="0.25">
      <c r="A233" s="11" t="s">
        <v>73</v>
      </c>
      <c r="B233" s="11" t="str">
        <f t="shared" si="12"/>
        <v>3"232</v>
      </c>
      <c r="C233" s="11" t="s">
        <v>46</v>
      </c>
      <c r="D233" s="22">
        <f t="shared" si="14"/>
        <v>232</v>
      </c>
      <c r="E233" s="11">
        <f t="shared" si="17"/>
        <v>19</v>
      </c>
      <c r="F233" s="11">
        <f t="shared" si="13"/>
        <v>95</v>
      </c>
    </row>
    <row r="234" spans="1:6" x14ac:dyDescent="0.25">
      <c r="A234" s="11" t="s">
        <v>73</v>
      </c>
      <c r="B234" s="11" t="str">
        <f t="shared" si="12"/>
        <v>3"233</v>
      </c>
      <c r="C234" s="11" t="s">
        <v>46</v>
      </c>
      <c r="D234" s="22">
        <f t="shared" si="14"/>
        <v>233</v>
      </c>
      <c r="E234" s="11">
        <f t="shared" si="17"/>
        <v>19</v>
      </c>
      <c r="F234" s="11">
        <f t="shared" si="13"/>
        <v>95</v>
      </c>
    </row>
    <row r="235" spans="1:6" x14ac:dyDescent="0.25">
      <c r="A235" s="11" t="s">
        <v>73</v>
      </c>
      <c r="B235" s="11" t="str">
        <f t="shared" si="12"/>
        <v>3"234</v>
      </c>
      <c r="C235" s="11" t="s">
        <v>46</v>
      </c>
      <c r="D235" s="22">
        <f t="shared" si="14"/>
        <v>234</v>
      </c>
      <c r="E235" s="11">
        <f t="shared" si="17"/>
        <v>19</v>
      </c>
      <c r="F235" s="11">
        <f t="shared" si="13"/>
        <v>95</v>
      </c>
    </row>
    <row r="236" spans="1:6" x14ac:dyDescent="0.25">
      <c r="A236" s="11" t="s">
        <v>73</v>
      </c>
      <c r="B236" s="11" t="str">
        <f t="shared" si="12"/>
        <v>3"235</v>
      </c>
      <c r="C236" s="11" t="s">
        <v>46</v>
      </c>
      <c r="D236" s="22">
        <f t="shared" si="14"/>
        <v>235</v>
      </c>
      <c r="E236" s="11">
        <f t="shared" si="17"/>
        <v>19</v>
      </c>
      <c r="F236" s="11">
        <f t="shared" si="13"/>
        <v>95</v>
      </c>
    </row>
    <row r="237" spans="1:6" x14ac:dyDescent="0.25">
      <c r="A237" s="11" t="s">
        <v>73</v>
      </c>
      <c r="B237" s="11" t="str">
        <f t="shared" si="12"/>
        <v>3"236</v>
      </c>
      <c r="C237" s="11" t="s">
        <v>46</v>
      </c>
      <c r="D237" s="22">
        <f t="shared" si="14"/>
        <v>236</v>
      </c>
      <c r="E237" s="11">
        <f t="shared" si="17"/>
        <v>19</v>
      </c>
      <c r="F237" s="11">
        <f t="shared" si="13"/>
        <v>95</v>
      </c>
    </row>
    <row r="238" spans="1:6" x14ac:dyDescent="0.25">
      <c r="A238" s="11" t="s">
        <v>73</v>
      </c>
      <c r="B238" s="11" t="str">
        <f t="shared" si="12"/>
        <v>3"237</v>
      </c>
      <c r="C238" s="11" t="s">
        <v>46</v>
      </c>
      <c r="D238" s="22">
        <f t="shared" si="14"/>
        <v>237</v>
      </c>
      <c r="E238" s="11">
        <f t="shared" si="17"/>
        <v>19</v>
      </c>
      <c r="F238" s="11">
        <f t="shared" si="13"/>
        <v>95</v>
      </c>
    </row>
    <row r="239" spans="1:6" x14ac:dyDescent="0.25">
      <c r="A239" s="11" t="s">
        <v>73</v>
      </c>
      <c r="B239" s="11" t="str">
        <f t="shared" si="12"/>
        <v>3"238</v>
      </c>
      <c r="C239" s="11" t="s">
        <v>46</v>
      </c>
      <c r="D239" s="22">
        <f t="shared" si="14"/>
        <v>238</v>
      </c>
      <c r="E239" s="11">
        <f t="shared" si="17"/>
        <v>19</v>
      </c>
      <c r="F239" s="11">
        <f t="shared" si="13"/>
        <v>95</v>
      </c>
    </row>
    <row r="240" spans="1:6" x14ac:dyDescent="0.25">
      <c r="A240" s="11" t="s">
        <v>73</v>
      </c>
      <c r="B240" s="11" t="str">
        <f t="shared" si="12"/>
        <v>3"239</v>
      </c>
      <c r="C240" s="11" t="s">
        <v>46</v>
      </c>
      <c r="D240" s="22">
        <f t="shared" si="14"/>
        <v>239</v>
      </c>
      <c r="E240" s="11">
        <f t="shared" si="17"/>
        <v>19</v>
      </c>
      <c r="F240" s="11">
        <f t="shared" si="13"/>
        <v>95</v>
      </c>
    </row>
    <row r="241" spans="1:6" x14ac:dyDescent="0.25">
      <c r="A241" s="11" t="s">
        <v>73</v>
      </c>
      <c r="B241" s="11" t="str">
        <f t="shared" si="12"/>
        <v>3"240</v>
      </c>
      <c r="C241" s="11" t="s">
        <v>46</v>
      </c>
      <c r="D241" s="22">
        <f t="shared" si="14"/>
        <v>240</v>
      </c>
      <c r="E241" s="11">
        <f>E240+1</f>
        <v>20</v>
      </c>
      <c r="F241" s="11">
        <f t="shared" si="13"/>
        <v>100</v>
      </c>
    </row>
    <row r="242" spans="1:6" x14ac:dyDescent="0.25">
      <c r="A242" s="11" t="s">
        <v>73</v>
      </c>
      <c r="B242" s="11" t="str">
        <f t="shared" si="12"/>
        <v>3"241</v>
      </c>
      <c r="C242" s="11" t="s">
        <v>46</v>
      </c>
      <c r="D242" s="22">
        <f t="shared" si="14"/>
        <v>241</v>
      </c>
      <c r="E242" s="11">
        <f>E241</f>
        <v>20</v>
      </c>
      <c r="F242" s="11">
        <f t="shared" si="13"/>
        <v>100</v>
      </c>
    </row>
    <row r="243" spans="1:6" x14ac:dyDescent="0.25">
      <c r="A243" s="11" t="s">
        <v>73</v>
      </c>
      <c r="B243" s="11" t="str">
        <f t="shared" si="12"/>
        <v>3"242</v>
      </c>
      <c r="C243" s="11" t="s">
        <v>46</v>
      </c>
      <c r="D243" s="22">
        <f t="shared" si="14"/>
        <v>242</v>
      </c>
      <c r="E243" s="11">
        <f t="shared" ref="E243:E252" si="18">E242</f>
        <v>20</v>
      </c>
      <c r="F243" s="11">
        <f t="shared" si="13"/>
        <v>100</v>
      </c>
    </row>
    <row r="244" spans="1:6" x14ac:dyDescent="0.25">
      <c r="A244" s="11" t="s">
        <v>73</v>
      </c>
      <c r="B244" s="11" t="str">
        <f t="shared" si="12"/>
        <v>3"243</v>
      </c>
      <c r="C244" s="11" t="s">
        <v>46</v>
      </c>
      <c r="D244" s="22">
        <f t="shared" si="14"/>
        <v>243</v>
      </c>
      <c r="E244" s="11">
        <f t="shared" si="18"/>
        <v>20</v>
      </c>
      <c r="F244" s="11">
        <f t="shared" si="13"/>
        <v>100</v>
      </c>
    </row>
    <row r="245" spans="1:6" x14ac:dyDescent="0.25">
      <c r="A245" s="11" t="s">
        <v>73</v>
      </c>
      <c r="B245" s="11" t="str">
        <f t="shared" si="12"/>
        <v>3"244</v>
      </c>
      <c r="C245" s="11" t="s">
        <v>46</v>
      </c>
      <c r="D245" s="22">
        <f t="shared" si="14"/>
        <v>244</v>
      </c>
      <c r="E245" s="11">
        <f t="shared" si="18"/>
        <v>20</v>
      </c>
      <c r="F245" s="11">
        <f t="shared" si="13"/>
        <v>100</v>
      </c>
    </row>
    <row r="246" spans="1:6" x14ac:dyDescent="0.25">
      <c r="A246" s="11" t="s">
        <v>73</v>
      </c>
      <c r="B246" s="11" t="str">
        <f t="shared" si="12"/>
        <v>3"245</v>
      </c>
      <c r="C246" s="11" t="s">
        <v>46</v>
      </c>
      <c r="D246" s="22">
        <f t="shared" si="14"/>
        <v>245</v>
      </c>
      <c r="E246" s="11">
        <f t="shared" si="18"/>
        <v>20</v>
      </c>
      <c r="F246" s="11">
        <f t="shared" si="13"/>
        <v>100</v>
      </c>
    </row>
    <row r="247" spans="1:6" x14ac:dyDescent="0.25">
      <c r="A247" s="11" t="s">
        <v>73</v>
      </c>
      <c r="B247" s="11" t="str">
        <f t="shared" si="12"/>
        <v>3"246</v>
      </c>
      <c r="C247" s="11" t="s">
        <v>46</v>
      </c>
      <c r="D247" s="22">
        <f t="shared" si="14"/>
        <v>246</v>
      </c>
      <c r="E247" s="11">
        <f t="shared" si="18"/>
        <v>20</v>
      </c>
      <c r="F247" s="11">
        <f t="shared" si="13"/>
        <v>100</v>
      </c>
    </row>
    <row r="248" spans="1:6" x14ac:dyDescent="0.25">
      <c r="A248" s="11" t="s">
        <v>73</v>
      </c>
      <c r="B248" s="11" t="str">
        <f t="shared" si="12"/>
        <v>3"247</v>
      </c>
      <c r="C248" s="11" t="s">
        <v>46</v>
      </c>
      <c r="D248" s="22">
        <f t="shared" si="14"/>
        <v>247</v>
      </c>
      <c r="E248" s="11">
        <f t="shared" si="18"/>
        <v>20</v>
      </c>
      <c r="F248" s="11">
        <f t="shared" si="13"/>
        <v>100</v>
      </c>
    </row>
    <row r="249" spans="1:6" x14ac:dyDescent="0.25">
      <c r="A249" s="11" t="s">
        <v>73</v>
      </c>
      <c r="B249" s="11" t="str">
        <f t="shared" si="12"/>
        <v>3"248</v>
      </c>
      <c r="C249" s="11" t="s">
        <v>46</v>
      </c>
      <c r="D249" s="22">
        <f t="shared" si="14"/>
        <v>248</v>
      </c>
      <c r="E249" s="11">
        <f t="shared" si="18"/>
        <v>20</v>
      </c>
      <c r="F249" s="11">
        <f t="shared" si="13"/>
        <v>100</v>
      </c>
    </row>
    <row r="250" spans="1:6" x14ac:dyDescent="0.25">
      <c r="A250" s="11" t="s">
        <v>73</v>
      </c>
      <c r="B250" s="11" t="str">
        <f t="shared" si="12"/>
        <v>3"249</v>
      </c>
      <c r="C250" s="11" t="s">
        <v>46</v>
      </c>
      <c r="D250" s="22">
        <f t="shared" si="14"/>
        <v>249</v>
      </c>
      <c r="E250" s="11">
        <f t="shared" si="18"/>
        <v>20</v>
      </c>
      <c r="F250" s="11">
        <f t="shared" si="13"/>
        <v>100</v>
      </c>
    </row>
    <row r="251" spans="1:6" x14ac:dyDescent="0.25">
      <c r="A251" s="11" t="s">
        <v>73</v>
      </c>
      <c r="B251" s="11" t="str">
        <f t="shared" si="12"/>
        <v>3"250</v>
      </c>
      <c r="C251" s="11" t="s">
        <v>46</v>
      </c>
      <c r="D251" s="22">
        <f t="shared" si="14"/>
        <v>250</v>
      </c>
      <c r="E251" s="11">
        <f t="shared" si="18"/>
        <v>20</v>
      </c>
      <c r="F251" s="11">
        <f t="shared" si="13"/>
        <v>100</v>
      </c>
    </row>
    <row r="252" spans="1:6" x14ac:dyDescent="0.25">
      <c r="A252" s="11" t="s">
        <v>73</v>
      </c>
      <c r="B252" s="11" t="str">
        <f t="shared" si="12"/>
        <v>3"251</v>
      </c>
      <c r="C252" s="11" t="s">
        <v>46</v>
      </c>
      <c r="D252" s="22">
        <f t="shared" si="14"/>
        <v>251</v>
      </c>
      <c r="E252" s="11">
        <f t="shared" si="18"/>
        <v>20</v>
      </c>
      <c r="F252" s="11">
        <f t="shared" si="13"/>
        <v>100</v>
      </c>
    </row>
    <row r="253" spans="1:6" x14ac:dyDescent="0.25">
      <c r="A253" s="11" t="s">
        <v>73</v>
      </c>
      <c r="B253" s="11" t="str">
        <f t="shared" si="12"/>
        <v>3"252</v>
      </c>
      <c r="C253" s="11" t="s">
        <v>46</v>
      </c>
      <c r="D253" s="22">
        <f t="shared" si="14"/>
        <v>252</v>
      </c>
      <c r="E253" s="11">
        <f>E252+1</f>
        <v>21</v>
      </c>
      <c r="F253" s="11">
        <f t="shared" si="13"/>
        <v>105</v>
      </c>
    </row>
    <row r="254" spans="1:6" x14ac:dyDescent="0.25">
      <c r="A254" s="11" t="s">
        <v>73</v>
      </c>
      <c r="B254" s="11" t="str">
        <f t="shared" si="12"/>
        <v>3"253</v>
      </c>
      <c r="C254" s="11" t="s">
        <v>46</v>
      </c>
      <c r="D254" s="22">
        <f t="shared" si="14"/>
        <v>253</v>
      </c>
      <c r="E254" s="11">
        <f>E253</f>
        <v>21</v>
      </c>
      <c r="F254" s="11">
        <f t="shared" si="13"/>
        <v>105</v>
      </c>
    </row>
    <row r="255" spans="1:6" x14ac:dyDescent="0.25">
      <c r="A255" s="11" t="s">
        <v>73</v>
      </c>
      <c r="B255" s="11" t="str">
        <f t="shared" si="12"/>
        <v>3"254</v>
      </c>
      <c r="C255" s="11" t="s">
        <v>46</v>
      </c>
      <c r="D255" s="22">
        <f t="shared" si="14"/>
        <v>254</v>
      </c>
      <c r="E255" s="11">
        <f t="shared" ref="E255:E264" si="19">E254</f>
        <v>21</v>
      </c>
      <c r="F255" s="11">
        <f t="shared" si="13"/>
        <v>105</v>
      </c>
    </row>
    <row r="256" spans="1:6" x14ac:dyDescent="0.25">
      <c r="A256" s="11" t="s">
        <v>73</v>
      </c>
      <c r="B256" s="11" t="str">
        <f t="shared" si="12"/>
        <v>3"255</v>
      </c>
      <c r="C256" s="11" t="s">
        <v>46</v>
      </c>
      <c r="D256" s="22">
        <f t="shared" si="14"/>
        <v>255</v>
      </c>
      <c r="E256" s="11">
        <f t="shared" si="19"/>
        <v>21</v>
      </c>
      <c r="F256" s="11">
        <f t="shared" si="13"/>
        <v>105</v>
      </c>
    </row>
    <row r="257" spans="1:6" x14ac:dyDescent="0.25">
      <c r="A257" s="11" t="s">
        <v>73</v>
      </c>
      <c r="B257" s="11" t="str">
        <f t="shared" si="12"/>
        <v>3"256</v>
      </c>
      <c r="C257" s="11" t="s">
        <v>46</v>
      </c>
      <c r="D257" s="22">
        <f t="shared" si="14"/>
        <v>256</v>
      </c>
      <c r="E257" s="11">
        <f t="shared" si="19"/>
        <v>21</v>
      </c>
      <c r="F257" s="11">
        <f t="shared" si="13"/>
        <v>105</v>
      </c>
    </row>
    <row r="258" spans="1:6" x14ac:dyDescent="0.25">
      <c r="A258" s="11" t="s">
        <v>73</v>
      </c>
      <c r="B258" s="11" t="str">
        <f t="shared" si="12"/>
        <v>3"257</v>
      </c>
      <c r="C258" s="11" t="s">
        <v>46</v>
      </c>
      <c r="D258" s="22">
        <f t="shared" si="14"/>
        <v>257</v>
      </c>
      <c r="E258" s="11">
        <f t="shared" si="19"/>
        <v>21</v>
      </c>
      <c r="F258" s="11">
        <f t="shared" si="13"/>
        <v>105</v>
      </c>
    </row>
    <row r="259" spans="1:6" x14ac:dyDescent="0.25">
      <c r="A259" s="11" t="s">
        <v>73</v>
      </c>
      <c r="B259" s="11" t="str">
        <f t="shared" si="12"/>
        <v>3"258</v>
      </c>
      <c r="C259" s="11" t="s">
        <v>46</v>
      </c>
      <c r="D259" s="22">
        <f t="shared" si="14"/>
        <v>258</v>
      </c>
      <c r="E259" s="11">
        <f t="shared" si="19"/>
        <v>21</v>
      </c>
      <c r="F259" s="11">
        <f t="shared" ref="F259:F394" si="20">E259*$F$1</f>
        <v>105</v>
      </c>
    </row>
    <row r="260" spans="1:6" x14ac:dyDescent="0.25">
      <c r="A260" s="11" t="s">
        <v>73</v>
      </c>
      <c r="B260" s="11" t="str">
        <f t="shared" si="12"/>
        <v>3"259</v>
      </c>
      <c r="C260" s="11" t="s">
        <v>46</v>
      </c>
      <c r="D260" s="22">
        <f t="shared" ref="D260:E314" si="21">D259+1</f>
        <v>259</v>
      </c>
      <c r="E260" s="11">
        <f t="shared" si="19"/>
        <v>21</v>
      </c>
      <c r="F260" s="11">
        <f t="shared" si="20"/>
        <v>105</v>
      </c>
    </row>
    <row r="261" spans="1:6" x14ac:dyDescent="0.25">
      <c r="A261" s="11" t="s">
        <v>73</v>
      </c>
      <c r="B261" s="11" t="str">
        <f t="shared" si="12"/>
        <v>3"260</v>
      </c>
      <c r="C261" s="11" t="s">
        <v>46</v>
      </c>
      <c r="D261" s="22">
        <f t="shared" si="21"/>
        <v>260</v>
      </c>
      <c r="E261" s="11">
        <f t="shared" si="19"/>
        <v>21</v>
      </c>
      <c r="F261" s="11">
        <f t="shared" si="20"/>
        <v>105</v>
      </c>
    </row>
    <row r="262" spans="1:6" x14ac:dyDescent="0.25">
      <c r="A262" s="11" t="s">
        <v>73</v>
      </c>
      <c r="B262" s="11" t="str">
        <f t="shared" si="12"/>
        <v>3"261</v>
      </c>
      <c r="C262" s="11" t="s">
        <v>46</v>
      </c>
      <c r="D262" s="22">
        <f t="shared" si="21"/>
        <v>261</v>
      </c>
      <c r="E262" s="11">
        <f t="shared" si="19"/>
        <v>21</v>
      </c>
      <c r="F262" s="11">
        <f t="shared" si="20"/>
        <v>105</v>
      </c>
    </row>
    <row r="263" spans="1:6" x14ac:dyDescent="0.25">
      <c r="A263" s="11" t="s">
        <v>73</v>
      </c>
      <c r="B263" s="11" t="str">
        <f t="shared" si="12"/>
        <v>3"262</v>
      </c>
      <c r="C263" s="11" t="s">
        <v>46</v>
      </c>
      <c r="D263" s="22">
        <f t="shared" si="21"/>
        <v>262</v>
      </c>
      <c r="E263" s="11">
        <f t="shared" si="19"/>
        <v>21</v>
      </c>
      <c r="F263" s="11">
        <f t="shared" si="20"/>
        <v>105</v>
      </c>
    </row>
    <row r="264" spans="1:6" x14ac:dyDescent="0.25">
      <c r="A264" s="11" t="s">
        <v>73</v>
      </c>
      <c r="B264" s="11" t="str">
        <f t="shared" si="12"/>
        <v>3"263</v>
      </c>
      <c r="C264" s="11" t="s">
        <v>46</v>
      </c>
      <c r="D264" s="22">
        <f t="shared" si="21"/>
        <v>263</v>
      </c>
      <c r="E264" s="11">
        <f t="shared" si="19"/>
        <v>21</v>
      </c>
      <c r="F264" s="11">
        <f t="shared" si="20"/>
        <v>105</v>
      </c>
    </row>
    <row r="265" spans="1:6" x14ac:dyDescent="0.25">
      <c r="A265" s="11" t="s">
        <v>73</v>
      </c>
      <c r="B265" s="11" t="str">
        <f t="shared" si="12"/>
        <v>3"264</v>
      </c>
      <c r="C265" s="11" t="s">
        <v>46</v>
      </c>
      <c r="D265" s="22">
        <f t="shared" si="21"/>
        <v>264</v>
      </c>
      <c r="E265" s="11">
        <f>E264+1</f>
        <v>22</v>
      </c>
      <c r="F265" s="11">
        <f t="shared" si="20"/>
        <v>110</v>
      </c>
    </row>
    <row r="266" spans="1:6" x14ac:dyDescent="0.25">
      <c r="A266" s="11" t="s">
        <v>73</v>
      </c>
      <c r="B266" s="11" t="str">
        <f t="shared" si="12"/>
        <v>3"265</v>
      </c>
      <c r="C266" s="11" t="s">
        <v>46</v>
      </c>
      <c r="D266" s="22">
        <f t="shared" si="21"/>
        <v>265</v>
      </c>
      <c r="E266" s="11">
        <f>E265</f>
        <v>22</v>
      </c>
      <c r="F266" s="11">
        <f t="shared" si="20"/>
        <v>110</v>
      </c>
    </row>
    <row r="267" spans="1:6" x14ac:dyDescent="0.25">
      <c r="A267" s="11" t="s">
        <v>73</v>
      </c>
      <c r="B267" s="11" t="str">
        <f t="shared" si="12"/>
        <v>3"266</v>
      </c>
      <c r="C267" s="11" t="s">
        <v>46</v>
      </c>
      <c r="D267" s="22">
        <f t="shared" si="21"/>
        <v>266</v>
      </c>
      <c r="E267" s="11">
        <f t="shared" ref="E267:E276" si="22">E266</f>
        <v>22</v>
      </c>
      <c r="F267" s="11">
        <f t="shared" si="20"/>
        <v>110</v>
      </c>
    </row>
    <row r="268" spans="1:6" x14ac:dyDescent="0.25">
      <c r="A268" s="11" t="s">
        <v>73</v>
      </c>
      <c r="B268" s="11" t="str">
        <f t="shared" si="12"/>
        <v>3"267</v>
      </c>
      <c r="C268" s="11" t="s">
        <v>46</v>
      </c>
      <c r="D268" s="22">
        <f t="shared" si="21"/>
        <v>267</v>
      </c>
      <c r="E268" s="11">
        <f t="shared" si="22"/>
        <v>22</v>
      </c>
      <c r="F268" s="11">
        <f t="shared" si="20"/>
        <v>110</v>
      </c>
    </row>
    <row r="269" spans="1:6" x14ac:dyDescent="0.25">
      <c r="A269" s="11" t="s">
        <v>73</v>
      </c>
      <c r="B269" s="11" t="str">
        <f t="shared" si="12"/>
        <v>3"268</v>
      </c>
      <c r="C269" s="11" t="s">
        <v>46</v>
      </c>
      <c r="D269" s="22">
        <f t="shared" si="21"/>
        <v>268</v>
      </c>
      <c r="E269" s="11">
        <f t="shared" si="22"/>
        <v>22</v>
      </c>
      <c r="F269" s="11">
        <f t="shared" si="20"/>
        <v>110</v>
      </c>
    </row>
    <row r="270" spans="1:6" x14ac:dyDescent="0.25">
      <c r="A270" s="11" t="s">
        <v>73</v>
      </c>
      <c r="B270" s="11" t="str">
        <f t="shared" si="12"/>
        <v>3"269</v>
      </c>
      <c r="C270" s="11" t="s">
        <v>46</v>
      </c>
      <c r="D270" s="22">
        <f t="shared" si="21"/>
        <v>269</v>
      </c>
      <c r="E270" s="11">
        <f t="shared" si="22"/>
        <v>22</v>
      </c>
      <c r="F270" s="11">
        <f t="shared" si="20"/>
        <v>110</v>
      </c>
    </row>
    <row r="271" spans="1:6" x14ac:dyDescent="0.25">
      <c r="A271" s="11" t="s">
        <v>73</v>
      </c>
      <c r="B271" s="11" t="str">
        <f t="shared" si="12"/>
        <v>3"270</v>
      </c>
      <c r="C271" s="11" t="s">
        <v>46</v>
      </c>
      <c r="D271" s="22">
        <f t="shared" si="21"/>
        <v>270</v>
      </c>
      <c r="E271" s="11">
        <f t="shared" si="22"/>
        <v>22</v>
      </c>
      <c r="F271" s="11">
        <f t="shared" si="20"/>
        <v>110</v>
      </c>
    </row>
    <row r="272" spans="1:6" x14ac:dyDescent="0.25">
      <c r="A272" s="11" t="s">
        <v>73</v>
      </c>
      <c r="B272" s="11" t="str">
        <f t="shared" si="12"/>
        <v>3"271</v>
      </c>
      <c r="C272" s="11" t="s">
        <v>46</v>
      </c>
      <c r="D272" s="22">
        <f t="shared" si="21"/>
        <v>271</v>
      </c>
      <c r="E272" s="11">
        <f t="shared" si="22"/>
        <v>22</v>
      </c>
      <c r="F272" s="11">
        <f t="shared" si="20"/>
        <v>110</v>
      </c>
    </row>
    <row r="273" spans="1:6" x14ac:dyDescent="0.25">
      <c r="A273" s="11" t="s">
        <v>73</v>
      </c>
      <c r="B273" s="11" t="str">
        <f t="shared" si="12"/>
        <v>3"272</v>
      </c>
      <c r="C273" s="11" t="s">
        <v>46</v>
      </c>
      <c r="D273" s="22">
        <f t="shared" si="21"/>
        <v>272</v>
      </c>
      <c r="E273" s="11">
        <f t="shared" si="22"/>
        <v>22</v>
      </c>
      <c r="F273" s="11">
        <f t="shared" si="20"/>
        <v>110</v>
      </c>
    </row>
    <row r="274" spans="1:6" x14ac:dyDescent="0.25">
      <c r="A274" s="11" t="s">
        <v>73</v>
      </c>
      <c r="B274" s="11" t="str">
        <f t="shared" si="12"/>
        <v>3"273</v>
      </c>
      <c r="C274" s="11" t="s">
        <v>46</v>
      </c>
      <c r="D274" s="22">
        <f t="shared" si="21"/>
        <v>273</v>
      </c>
      <c r="E274" s="11">
        <f t="shared" si="22"/>
        <v>22</v>
      </c>
      <c r="F274" s="11">
        <f t="shared" si="20"/>
        <v>110</v>
      </c>
    </row>
    <row r="275" spans="1:6" x14ac:dyDescent="0.25">
      <c r="A275" s="11" t="s">
        <v>73</v>
      </c>
      <c r="B275" s="11" t="str">
        <f t="shared" si="12"/>
        <v>3"274</v>
      </c>
      <c r="C275" s="11" t="s">
        <v>46</v>
      </c>
      <c r="D275" s="22">
        <f t="shared" si="21"/>
        <v>274</v>
      </c>
      <c r="E275" s="11">
        <f t="shared" si="22"/>
        <v>22</v>
      </c>
      <c r="F275" s="11">
        <f t="shared" si="20"/>
        <v>110</v>
      </c>
    </row>
    <row r="276" spans="1:6" x14ac:dyDescent="0.25">
      <c r="A276" s="11" t="s">
        <v>73</v>
      </c>
      <c r="B276" s="11" t="str">
        <f t="shared" si="12"/>
        <v>3"275</v>
      </c>
      <c r="C276" s="11" t="s">
        <v>46</v>
      </c>
      <c r="D276" s="22">
        <f t="shared" si="21"/>
        <v>275</v>
      </c>
      <c r="E276" s="11">
        <f t="shared" si="22"/>
        <v>22</v>
      </c>
      <c r="F276" s="11">
        <f t="shared" si="20"/>
        <v>110</v>
      </c>
    </row>
    <row r="277" spans="1:6" x14ac:dyDescent="0.25">
      <c r="A277" s="11" t="s">
        <v>73</v>
      </c>
      <c r="B277" s="11" t="str">
        <f t="shared" si="12"/>
        <v>3"276</v>
      </c>
      <c r="C277" s="11" t="s">
        <v>46</v>
      </c>
      <c r="D277" s="22">
        <f t="shared" si="21"/>
        <v>276</v>
      </c>
      <c r="E277" s="11">
        <f>E276+1</f>
        <v>23</v>
      </c>
      <c r="F277" s="11">
        <f t="shared" si="20"/>
        <v>115</v>
      </c>
    </row>
    <row r="278" spans="1:6" x14ac:dyDescent="0.25">
      <c r="A278" s="11" t="s">
        <v>73</v>
      </c>
      <c r="B278" s="11" t="str">
        <f t="shared" si="12"/>
        <v>3"277</v>
      </c>
      <c r="C278" s="11" t="s">
        <v>46</v>
      </c>
      <c r="D278" s="22">
        <f t="shared" si="21"/>
        <v>277</v>
      </c>
      <c r="E278" s="11">
        <f>E277</f>
        <v>23</v>
      </c>
      <c r="F278" s="11">
        <f t="shared" si="20"/>
        <v>115</v>
      </c>
    </row>
    <row r="279" spans="1:6" x14ac:dyDescent="0.25">
      <c r="A279" s="11" t="s">
        <v>73</v>
      </c>
      <c r="B279" s="11" t="str">
        <f t="shared" si="12"/>
        <v>3"278</v>
      </c>
      <c r="C279" s="11" t="s">
        <v>46</v>
      </c>
      <c r="D279" s="22">
        <f t="shared" si="21"/>
        <v>278</v>
      </c>
      <c r="E279" s="11">
        <f t="shared" ref="E279:E288" si="23">E278</f>
        <v>23</v>
      </c>
      <c r="F279" s="11">
        <f t="shared" si="20"/>
        <v>115</v>
      </c>
    </row>
    <row r="280" spans="1:6" x14ac:dyDescent="0.25">
      <c r="A280" s="11" t="s">
        <v>73</v>
      </c>
      <c r="B280" s="11" t="str">
        <f t="shared" si="12"/>
        <v>3"279</v>
      </c>
      <c r="C280" s="11" t="s">
        <v>46</v>
      </c>
      <c r="D280" s="22">
        <f t="shared" si="21"/>
        <v>279</v>
      </c>
      <c r="E280" s="11">
        <f t="shared" si="23"/>
        <v>23</v>
      </c>
      <c r="F280" s="11">
        <f t="shared" si="20"/>
        <v>115</v>
      </c>
    </row>
    <row r="281" spans="1:6" x14ac:dyDescent="0.25">
      <c r="A281" s="11" t="s">
        <v>73</v>
      </c>
      <c r="B281" s="11" t="str">
        <f t="shared" si="12"/>
        <v>3"280</v>
      </c>
      <c r="C281" s="11" t="s">
        <v>46</v>
      </c>
      <c r="D281" s="22">
        <f t="shared" si="21"/>
        <v>280</v>
      </c>
      <c r="E281" s="11">
        <f t="shared" si="23"/>
        <v>23</v>
      </c>
      <c r="F281" s="11">
        <f t="shared" si="20"/>
        <v>115</v>
      </c>
    </row>
    <row r="282" spans="1:6" x14ac:dyDescent="0.25">
      <c r="A282" s="11" t="s">
        <v>73</v>
      </c>
      <c r="B282" s="11" t="str">
        <f t="shared" si="12"/>
        <v>3"281</v>
      </c>
      <c r="C282" s="11" t="s">
        <v>46</v>
      </c>
      <c r="D282" s="22">
        <f t="shared" si="21"/>
        <v>281</v>
      </c>
      <c r="E282" s="11">
        <f t="shared" si="23"/>
        <v>23</v>
      </c>
      <c r="F282" s="11">
        <f t="shared" si="20"/>
        <v>115</v>
      </c>
    </row>
    <row r="283" spans="1:6" x14ac:dyDescent="0.25">
      <c r="A283" s="11" t="s">
        <v>73</v>
      </c>
      <c r="B283" s="11" t="str">
        <f t="shared" si="12"/>
        <v>3"282</v>
      </c>
      <c r="C283" s="11" t="s">
        <v>46</v>
      </c>
      <c r="D283" s="22">
        <f t="shared" si="21"/>
        <v>282</v>
      </c>
      <c r="E283" s="11">
        <f t="shared" si="23"/>
        <v>23</v>
      </c>
      <c r="F283" s="11">
        <f t="shared" si="20"/>
        <v>115</v>
      </c>
    </row>
    <row r="284" spans="1:6" x14ac:dyDescent="0.25">
      <c r="A284" s="11" t="s">
        <v>73</v>
      </c>
      <c r="B284" s="11" t="str">
        <f t="shared" si="12"/>
        <v>3"283</v>
      </c>
      <c r="C284" s="11" t="s">
        <v>46</v>
      </c>
      <c r="D284" s="22">
        <f t="shared" si="21"/>
        <v>283</v>
      </c>
      <c r="E284" s="11">
        <f t="shared" si="23"/>
        <v>23</v>
      </c>
      <c r="F284" s="11">
        <f t="shared" si="20"/>
        <v>115</v>
      </c>
    </row>
    <row r="285" spans="1:6" x14ac:dyDescent="0.25">
      <c r="A285" s="11" t="s">
        <v>73</v>
      </c>
      <c r="B285" s="11" t="str">
        <f t="shared" si="12"/>
        <v>3"284</v>
      </c>
      <c r="C285" s="11" t="s">
        <v>46</v>
      </c>
      <c r="D285" s="22">
        <f t="shared" si="21"/>
        <v>284</v>
      </c>
      <c r="E285" s="11">
        <f t="shared" si="23"/>
        <v>23</v>
      </c>
      <c r="F285" s="11">
        <f t="shared" si="20"/>
        <v>115</v>
      </c>
    </row>
    <row r="286" spans="1:6" x14ac:dyDescent="0.25">
      <c r="A286" s="11" t="s">
        <v>73</v>
      </c>
      <c r="B286" s="11" t="str">
        <f t="shared" si="12"/>
        <v>3"285</v>
      </c>
      <c r="C286" s="11" t="s">
        <v>46</v>
      </c>
      <c r="D286" s="22">
        <f t="shared" si="21"/>
        <v>285</v>
      </c>
      <c r="E286" s="11">
        <f t="shared" si="23"/>
        <v>23</v>
      </c>
      <c r="F286" s="11">
        <f t="shared" si="20"/>
        <v>115</v>
      </c>
    </row>
    <row r="287" spans="1:6" x14ac:dyDescent="0.25">
      <c r="A287" s="11" t="s">
        <v>73</v>
      </c>
      <c r="B287" s="11" t="str">
        <f t="shared" si="12"/>
        <v>3"286</v>
      </c>
      <c r="C287" s="11" t="s">
        <v>46</v>
      </c>
      <c r="D287" s="22">
        <f t="shared" si="21"/>
        <v>286</v>
      </c>
      <c r="E287" s="11">
        <f t="shared" si="23"/>
        <v>23</v>
      </c>
      <c r="F287" s="11">
        <f t="shared" si="20"/>
        <v>115</v>
      </c>
    </row>
    <row r="288" spans="1:6" x14ac:dyDescent="0.25">
      <c r="A288" s="11" t="s">
        <v>73</v>
      </c>
      <c r="B288" s="11" t="str">
        <f t="shared" si="12"/>
        <v>3"287</v>
      </c>
      <c r="C288" s="11" t="s">
        <v>46</v>
      </c>
      <c r="D288" s="22">
        <f t="shared" si="21"/>
        <v>287</v>
      </c>
      <c r="E288" s="11">
        <f t="shared" si="23"/>
        <v>23</v>
      </c>
      <c r="F288" s="11">
        <f t="shared" si="20"/>
        <v>115</v>
      </c>
    </row>
    <row r="289" spans="1:6" x14ac:dyDescent="0.25">
      <c r="A289" s="11" t="s">
        <v>73</v>
      </c>
      <c r="B289" s="11" t="str">
        <f t="shared" si="12"/>
        <v>3"288</v>
      </c>
      <c r="C289" s="11" t="s">
        <v>46</v>
      </c>
      <c r="D289" s="22">
        <f t="shared" si="21"/>
        <v>288</v>
      </c>
      <c r="E289" s="11">
        <f>E288+1</f>
        <v>24</v>
      </c>
      <c r="F289" s="11">
        <f t="shared" si="20"/>
        <v>120</v>
      </c>
    </row>
    <row r="290" spans="1:6" x14ac:dyDescent="0.25">
      <c r="A290" s="11" t="s">
        <v>73</v>
      </c>
      <c r="B290" s="11" t="str">
        <f t="shared" si="12"/>
        <v>3"289</v>
      </c>
      <c r="C290" s="11" t="s">
        <v>46</v>
      </c>
      <c r="D290" s="22">
        <f t="shared" si="21"/>
        <v>289</v>
      </c>
      <c r="E290" s="11">
        <f>E289</f>
        <v>24</v>
      </c>
      <c r="F290" s="11">
        <f t="shared" si="20"/>
        <v>120</v>
      </c>
    </row>
    <row r="291" spans="1:6" x14ac:dyDescent="0.25">
      <c r="A291" s="11" t="s">
        <v>73</v>
      </c>
      <c r="B291" s="11" t="str">
        <f t="shared" si="12"/>
        <v>3"290</v>
      </c>
      <c r="C291" s="11" t="s">
        <v>46</v>
      </c>
      <c r="D291" s="22">
        <f t="shared" si="21"/>
        <v>290</v>
      </c>
      <c r="E291" s="11">
        <f t="shared" ref="E291:E300" si="24">E290</f>
        <v>24</v>
      </c>
      <c r="F291" s="11">
        <f t="shared" si="20"/>
        <v>120</v>
      </c>
    </row>
    <row r="292" spans="1:6" x14ac:dyDescent="0.25">
      <c r="A292" s="11" t="s">
        <v>73</v>
      </c>
      <c r="B292" s="11" t="str">
        <f t="shared" si="12"/>
        <v>3"291</v>
      </c>
      <c r="C292" s="11" t="s">
        <v>46</v>
      </c>
      <c r="D292" s="22">
        <f t="shared" si="21"/>
        <v>291</v>
      </c>
      <c r="E292" s="11">
        <f t="shared" si="24"/>
        <v>24</v>
      </c>
      <c r="F292" s="11">
        <f t="shared" si="20"/>
        <v>120</v>
      </c>
    </row>
    <row r="293" spans="1:6" x14ac:dyDescent="0.25">
      <c r="A293" s="11" t="s">
        <v>73</v>
      </c>
      <c r="B293" s="11" t="str">
        <f t="shared" si="12"/>
        <v>3"292</v>
      </c>
      <c r="C293" s="11" t="s">
        <v>46</v>
      </c>
      <c r="D293" s="22">
        <f t="shared" si="21"/>
        <v>292</v>
      </c>
      <c r="E293" s="11">
        <f t="shared" si="24"/>
        <v>24</v>
      </c>
      <c r="F293" s="11">
        <f t="shared" si="20"/>
        <v>120</v>
      </c>
    </row>
    <row r="294" spans="1:6" x14ac:dyDescent="0.25">
      <c r="A294" s="11" t="s">
        <v>73</v>
      </c>
      <c r="B294" s="11" t="str">
        <f t="shared" si="12"/>
        <v>3"293</v>
      </c>
      <c r="C294" s="11" t="s">
        <v>46</v>
      </c>
      <c r="D294" s="22">
        <f t="shared" si="21"/>
        <v>293</v>
      </c>
      <c r="E294" s="11">
        <f t="shared" si="24"/>
        <v>24</v>
      </c>
      <c r="F294" s="11">
        <f t="shared" si="20"/>
        <v>120</v>
      </c>
    </row>
    <row r="295" spans="1:6" x14ac:dyDescent="0.25">
      <c r="A295" s="11" t="s">
        <v>73</v>
      </c>
      <c r="B295" s="11" t="str">
        <f t="shared" si="12"/>
        <v>3"294</v>
      </c>
      <c r="C295" s="11" t="s">
        <v>46</v>
      </c>
      <c r="D295" s="22">
        <f t="shared" si="21"/>
        <v>294</v>
      </c>
      <c r="E295" s="11">
        <f t="shared" si="24"/>
        <v>24</v>
      </c>
      <c r="F295" s="11">
        <f t="shared" si="20"/>
        <v>120</v>
      </c>
    </row>
    <row r="296" spans="1:6" x14ac:dyDescent="0.25">
      <c r="A296" s="11" t="s">
        <v>73</v>
      </c>
      <c r="B296" s="11" t="str">
        <f t="shared" si="12"/>
        <v>3"295</v>
      </c>
      <c r="C296" s="11" t="s">
        <v>46</v>
      </c>
      <c r="D296" s="22">
        <f t="shared" si="21"/>
        <v>295</v>
      </c>
      <c r="E296" s="11">
        <f t="shared" si="24"/>
        <v>24</v>
      </c>
      <c r="F296" s="11">
        <f t="shared" si="20"/>
        <v>120</v>
      </c>
    </row>
    <row r="297" spans="1:6" x14ac:dyDescent="0.25">
      <c r="A297" s="11" t="s">
        <v>73</v>
      </c>
      <c r="B297" s="11" t="str">
        <f t="shared" si="12"/>
        <v>3"296</v>
      </c>
      <c r="C297" s="11" t="s">
        <v>46</v>
      </c>
      <c r="D297" s="22">
        <f t="shared" si="21"/>
        <v>296</v>
      </c>
      <c r="E297" s="11">
        <f t="shared" si="24"/>
        <v>24</v>
      </c>
      <c r="F297" s="11">
        <f t="shared" si="20"/>
        <v>120</v>
      </c>
    </row>
    <row r="298" spans="1:6" x14ac:dyDescent="0.25">
      <c r="A298" s="11" t="s">
        <v>73</v>
      </c>
      <c r="B298" s="11" t="str">
        <f t="shared" si="12"/>
        <v>3"297</v>
      </c>
      <c r="C298" s="11" t="s">
        <v>46</v>
      </c>
      <c r="D298" s="22">
        <f t="shared" si="21"/>
        <v>297</v>
      </c>
      <c r="E298" s="11">
        <f t="shared" si="24"/>
        <v>24</v>
      </c>
      <c r="F298" s="11">
        <f t="shared" si="20"/>
        <v>120</v>
      </c>
    </row>
    <row r="299" spans="1:6" x14ac:dyDescent="0.25">
      <c r="A299" s="11" t="s">
        <v>73</v>
      </c>
      <c r="B299" s="11" t="str">
        <f t="shared" si="12"/>
        <v>3"298</v>
      </c>
      <c r="C299" s="11" t="s">
        <v>46</v>
      </c>
      <c r="D299" s="22">
        <f t="shared" si="21"/>
        <v>298</v>
      </c>
      <c r="E299" s="11">
        <f t="shared" si="24"/>
        <v>24</v>
      </c>
      <c r="F299" s="11">
        <f t="shared" si="20"/>
        <v>120</v>
      </c>
    </row>
    <row r="300" spans="1:6" x14ac:dyDescent="0.25">
      <c r="A300" s="11" t="s">
        <v>73</v>
      </c>
      <c r="B300" s="11" t="str">
        <f t="shared" si="12"/>
        <v>3"299</v>
      </c>
      <c r="C300" s="11" t="s">
        <v>46</v>
      </c>
      <c r="D300" s="22">
        <f t="shared" si="21"/>
        <v>299</v>
      </c>
      <c r="E300" s="11">
        <f t="shared" si="24"/>
        <v>24</v>
      </c>
      <c r="F300" s="11">
        <f t="shared" si="20"/>
        <v>120</v>
      </c>
    </row>
    <row r="301" spans="1:6" x14ac:dyDescent="0.25">
      <c r="A301" s="11" t="s">
        <v>73</v>
      </c>
      <c r="B301" s="11" t="str">
        <f t="shared" si="12"/>
        <v>3"300</v>
      </c>
      <c r="C301" s="11" t="s">
        <v>46</v>
      </c>
      <c r="D301" s="22">
        <f t="shared" si="21"/>
        <v>300</v>
      </c>
      <c r="E301" s="11">
        <f>E300+1</f>
        <v>25</v>
      </c>
      <c r="F301" s="11">
        <f t="shared" si="20"/>
        <v>125</v>
      </c>
    </row>
    <row r="302" spans="1:6" x14ac:dyDescent="0.25">
      <c r="A302" s="11" t="s">
        <v>73</v>
      </c>
      <c r="B302" s="11" t="str">
        <f t="shared" si="12"/>
        <v>3"301</v>
      </c>
      <c r="C302" s="11" t="s">
        <v>46</v>
      </c>
      <c r="D302" s="22">
        <f t="shared" si="21"/>
        <v>301</v>
      </c>
      <c r="E302" s="11">
        <f>E301</f>
        <v>25</v>
      </c>
      <c r="F302" s="11">
        <f t="shared" si="20"/>
        <v>125</v>
      </c>
    </row>
    <row r="303" spans="1:6" x14ac:dyDescent="0.25">
      <c r="A303" s="11" t="s">
        <v>73</v>
      </c>
      <c r="B303" s="11" t="str">
        <f t="shared" si="12"/>
        <v>3"302</v>
      </c>
      <c r="C303" s="11" t="s">
        <v>46</v>
      </c>
      <c r="D303" s="22">
        <f t="shared" si="21"/>
        <v>302</v>
      </c>
      <c r="E303" s="11">
        <f t="shared" ref="E303:E312" si="25">E302</f>
        <v>25</v>
      </c>
      <c r="F303" s="11">
        <f t="shared" si="20"/>
        <v>125</v>
      </c>
    </row>
    <row r="304" spans="1:6" x14ac:dyDescent="0.25">
      <c r="A304" s="11" t="s">
        <v>73</v>
      </c>
      <c r="B304" s="11" t="str">
        <f t="shared" si="12"/>
        <v>3"303</v>
      </c>
      <c r="C304" s="11" t="s">
        <v>46</v>
      </c>
      <c r="D304" s="22">
        <f t="shared" si="21"/>
        <v>303</v>
      </c>
      <c r="E304" s="11">
        <f t="shared" si="25"/>
        <v>25</v>
      </c>
      <c r="F304" s="11">
        <f t="shared" si="20"/>
        <v>125</v>
      </c>
    </row>
    <row r="305" spans="1:6" x14ac:dyDescent="0.25">
      <c r="A305" s="11" t="s">
        <v>73</v>
      </c>
      <c r="B305" s="11" t="str">
        <f t="shared" si="12"/>
        <v>3"304</v>
      </c>
      <c r="C305" s="11" t="s">
        <v>46</v>
      </c>
      <c r="D305" s="22">
        <f t="shared" si="21"/>
        <v>304</v>
      </c>
      <c r="E305" s="11">
        <f t="shared" si="25"/>
        <v>25</v>
      </c>
      <c r="F305" s="11">
        <f t="shared" si="20"/>
        <v>125</v>
      </c>
    </row>
    <row r="306" spans="1:6" x14ac:dyDescent="0.25">
      <c r="A306" s="11" t="s">
        <v>73</v>
      </c>
      <c r="B306" s="11" t="str">
        <f t="shared" si="12"/>
        <v>3"305</v>
      </c>
      <c r="C306" s="11" t="s">
        <v>46</v>
      </c>
      <c r="D306" s="22">
        <f t="shared" si="21"/>
        <v>305</v>
      </c>
      <c r="E306" s="11">
        <f t="shared" si="25"/>
        <v>25</v>
      </c>
      <c r="F306" s="11">
        <f t="shared" si="20"/>
        <v>125</v>
      </c>
    </row>
    <row r="307" spans="1:6" x14ac:dyDescent="0.25">
      <c r="A307" s="11" t="s">
        <v>73</v>
      </c>
      <c r="B307" s="11" t="str">
        <f t="shared" si="12"/>
        <v>3"306</v>
      </c>
      <c r="C307" s="11" t="s">
        <v>46</v>
      </c>
      <c r="D307" s="22">
        <f t="shared" si="21"/>
        <v>306</v>
      </c>
      <c r="E307" s="11">
        <f t="shared" si="25"/>
        <v>25</v>
      </c>
      <c r="F307" s="11">
        <f t="shared" si="20"/>
        <v>125</v>
      </c>
    </row>
    <row r="308" spans="1:6" x14ac:dyDescent="0.25">
      <c r="A308" s="11" t="s">
        <v>73</v>
      </c>
      <c r="B308" s="11" t="str">
        <f t="shared" si="12"/>
        <v>3"307</v>
      </c>
      <c r="C308" s="11" t="s">
        <v>46</v>
      </c>
      <c r="D308" s="22">
        <f t="shared" si="21"/>
        <v>307</v>
      </c>
      <c r="E308" s="11">
        <f t="shared" si="25"/>
        <v>25</v>
      </c>
      <c r="F308" s="11">
        <f t="shared" si="20"/>
        <v>125</v>
      </c>
    </row>
    <row r="309" spans="1:6" x14ac:dyDescent="0.25">
      <c r="A309" s="11" t="s">
        <v>73</v>
      </c>
      <c r="B309" s="11" t="str">
        <f t="shared" si="12"/>
        <v>3"308</v>
      </c>
      <c r="C309" s="11" t="s">
        <v>46</v>
      </c>
      <c r="D309" s="22">
        <f t="shared" si="21"/>
        <v>308</v>
      </c>
      <c r="E309" s="11">
        <f t="shared" si="25"/>
        <v>25</v>
      </c>
      <c r="F309" s="11">
        <f t="shared" si="20"/>
        <v>125</v>
      </c>
    </row>
    <row r="310" spans="1:6" x14ac:dyDescent="0.25">
      <c r="A310" s="11" t="s">
        <v>73</v>
      </c>
      <c r="B310" s="11" t="str">
        <f t="shared" si="12"/>
        <v>3"309</v>
      </c>
      <c r="C310" s="11" t="s">
        <v>46</v>
      </c>
      <c r="D310" s="22">
        <f t="shared" si="21"/>
        <v>309</v>
      </c>
      <c r="E310" s="11">
        <f t="shared" si="25"/>
        <v>25</v>
      </c>
      <c r="F310" s="11">
        <f t="shared" si="20"/>
        <v>125</v>
      </c>
    </row>
    <row r="311" spans="1:6" x14ac:dyDescent="0.25">
      <c r="A311" s="11" t="s">
        <v>73</v>
      </c>
      <c r="B311" s="11" t="str">
        <f t="shared" si="12"/>
        <v>3"310</v>
      </c>
      <c r="C311" s="11" t="s">
        <v>46</v>
      </c>
      <c r="D311" s="22">
        <f t="shared" si="21"/>
        <v>310</v>
      </c>
      <c r="E311" s="11">
        <f t="shared" si="25"/>
        <v>25</v>
      </c>
      <c r="F311" s="11">
        <f t="shared" si="20"/>
        <v>125</v>
      </c>
    </row>
    <row r="312" spans="1:6" x14ac:dyDescent="0.25">
      <c r="A312" s="11" t="s">
        <v>73</v>
      </c>
      <c r="B312" s="11" t="str">
        <f t="shared" si="12"/>
        <v>3"311</v>
      </c>
      <c r="C312" s="11" t="s">
        <v>46</v>
      </c>
      <c r="D312" s="22">
        <f t="shared" si="21"/>
        <v>311</v>
      </c>
      <c r="E312" s="11">
        <f t="shared" si="25"/>
        <v>25</v>
      </c>
      <c r="F312" s="11">
        <f t="shared" si="20"/>
        <v>125</v>
      </c>
    </row>
    <row r="313" spans="1:6" x14ac:dyDescent="0.25">
      <c r="A313" s="11" t="s">
        <v>73</v>
      </c>
      <c r="B313" s="11" t="str">
        <f t="shared" si="12"/>
        <v>3"312</v>
      </c>
      <c r="C313" s="11" t="s">
        <v>46</v>
      </c>
      <c r="D313" s="22">
        <f t="shared" si="21"/>
        <v>312</v>
      </c>
      <c r="E313" s="11">
        <f>E312+1</f>
        <v>26</v>
      </c>
      <c r="F313" s="11">
        <f t="shared" si="20"/>
        <v>130</v>
      </c>
    </row>
    <row r="314" spans="1:6" x14ac:dyDescent="0.25">
      <c r="A314" s="11" t="s">
        <v>73</v>
      </c>
      <c r="B314" s="11" t="str">
        <f t="shared" ref="B314:B319" si="26">CONCATENATE(C314&amp;D314)</f>
        <v>3"313</v>
      </c>
      <c r="C314" s="11" t="s">
        <v>46</v>
      </c>
      <c r="D314" s="22">
        <f t="shared" si="21"/>
        <v>313</v>
      </c>
      <c r="E314" s="11">
        <f t="shared" si="21"/>
        <v>27</v>
      </c>
      <c r="F314" s="11">
        <f t="shared" ref="F314:F319" si="27">E314*$F$1</f>
        <v>135</v>
      </c>
    </row>
    <row r="315" spans="1:6" x14ac:dyDescent="0.25">
      <c r="A315" s="11" t="s">
        <v>73</v>
      </c>
      <c r="B315" s="11" t="str">
        <f t="shared" si="26"/>
        <v>3"314</v>
      </c>
      <c r="C315" s="11" t="s">
        <v>46</v>
      </c>
      <c r="D315" s="22">
        <f t="shared" ref="D315:E318" si="28">D314+1</f>
        <v>314</v>
      </c>
      <c r="E315" s="11">
        <f t="shared" si="28"/>
        <v>28</v>
      </c>
      <c r="F315" s="11">
        <f t="shared" si="27"/>
        <v>140</v>
      </c>
    </row>
    <row r="316" spans="1:6" x14ac:dyDescent="0.25">
      <c r="A316" s="11" t="s">
        <v>73</v>
      </c>
      <c r="B316" s="11" t="str">
        <f t="shared" si="26"/>
        <v>3"315</v>
      </c>
      <c r="C316" s="11" t="s">
        <v>46</v>
      </c>
      <c r="D316" s="22">
        <f t="shared" si="28"/>
        <v>315</v>
      </c>
      <c r="E316" s="11">
        <f t="shared" si="28"/>
        <v>29</v>
      </c>
      <c r="F316" s="11">
        <f t="shared" si="27"/>
        <v>145</v>
      </c>
    </row>
    <row r="317" spans="1:6" x14ac:dyDescent="0.25">
      <c r="A317" s="11" t="s">
        <v>73</v>
      </c>
      <c r="B317" s="11" t="str">
        <f t="shared" si="26"/>
        <v>3"316</v>
      </c>
      <c r="C317" s="11" t="s">
        <v>46</v>
      </c>
      <c r="D317" s="22">
        <f t="shared" si="28"/>
        <v>316</v>
      </c>
      <c r="E317" s="11">
        <f t="shared" si="28"/>
        <v>30</v>
      </c>
      <c r="F317" s="11">
        <f t="shared" si="27"/>
        <v>150</v>
      </c>
    </row>
    <row r="318" spans="1:6" x14ac:dyDescent="0.25">
      <c r="A318" s="11" t="s">
        <v>73</v>
      </c>
      <c r="B318" s="11" t="str">
        <f t="shared" si="26"/>
        <v>3"317</v>
      </c>
      <c r="C318" s="11" t="s">
        <v>46</v>
      </c>
      <c r="D318" s="22">
        <f t="shared" si="28"/>
        <v>317</v>
      </c>
      <c r="E318" s="11">
        <f t="shared" si="28"/>
        <v>31</v>
      </c>
      <c r="F318" s="11">
        <f t="shared" si="27"/>
        <v>155</v>
      </c>
    </row>
    <row r="319" spans="1:6" x14ac:dyDescent="0.25">
      <c r="A319" s="11" t="s">
        <v>73</v>
      </c>
      <c r="B319" s="11" t="str">
        <f t="shared" si="26"/>
        <v>3"318</v>
      </c>
      <c r="C319" s="11" t="s">
        <v>46</v>
      </c>
      <c r="D319" s="22">
        <f t="shared" ref="D319:E319" si="29">D318+1</f>
        <v>318</v>
      </c>
      <c r="E319" s="11">
        <f t="shared" si="29"/>
        <v>32</v>
      </c>
      <c r="F319" s="11">
        <f t="shared" si="27"/>
        <v>160</v>
      </c>
    </row>
    <row r="320" spans="1:6" x14ac:dyDescent="0.25">
      <c r="A320" s="11" t="s">
        <v>73</v>
      </c>
      <c r="B320" s="11" t="str">
        <f t="shared" ref="B320:B354" si="30">CONCATENATE(C320&amp;D320)</f>
        <v>3"319</v>
      </c>
      <c r="C320" s="11" t="s">
        <v>46</v>
      </c>
      <c r="D320" s="22">
        <f t="shared" ref="D320:E320" si="31">D319+1</f>
        <v>319</v>
      </c>
      <c r="E320" s="11">
        <f t="shared" si="31"/>
        <v>33</v>
      </c>
      <c r="F320" s="11">
        <f t="shared" ref="F320:F354" si="32">E320*$F$1</f>
        <v>165</v>
      </c>
    </row>
    <row r="321" spans="1:6" x14ac:dyDescent="0.25">
      <c r="A321" s="11" t="s">
        <v>73</v>
      </c>
      <c r="B321" s="11" t="str">
        <f t="shared" si="30"/>
        <v>3"320</v>
      </c>
      <c r="C321" s="11" t="s">
        <v>46</v>
      </c>
      <c r="D321" s="22">
        <f t="shared" ref="D321:E321" si="33">D320+1</f>
        <v>320</v>
      </c>
      <c r="E321" s="11">
        <f t="shared" si="33"/>
        <v>34</v>
      </c>
      <c r="F321" s="11">
        <f t="shared" si="32"/>
        <v>170</v>
      </c>
    </row>
    <row r="322" spans="1:6" x14ac:dyDescent="0.25">
      <c r="A322" s="11" t="s">
        <v>73</v>
      </c>
      <c r="B322" s="11" t="str">
        <f t="shared" si="30"/>
        <v>3"321</v>
      </c>
      <c r="C322" s="11" t="s">
        <v>46</v>
      </c>
      <c r="D322" s="22">
        <f t="shared" ref="D322:E322" si="34">D321+1</f>
        <v>321</v>
      </c>
      <c r="E322" s="11">
        <f t="shared" si="34"/>
        <v>35</v>
      </c>
      <c r="F322" s="11">
        <f t="shared" si="32"/>
        <v>175</v>
      </c>
    </row>
    <row r="323" spans="1:6" x14ac:dyDescent="0.25">
      <c r="A323" s="11" t="s">
        <v>73</v>
      </c>
      <c r="B323" s="11" t="str">
        <f t="shared" si="30"/>
        <v>3"322</v>
      </c>
      <c r="C323" s="11" t="s">
        <v>46</v>
      </c>
      <c r="D323" s="22">
        <f t="shared" ref="D323:E323" si="35">D322+1</f>
        <v>322</v>
      </c>
      <c r="E323" s="11">
        <f t="shared" si="35"/>
        <v>36</v>
      </c>
      <c r="F323" s="11">
        <f t="shared" si="32"/>
        <v>180</v>
      </c>
    </row>
    <row r="324" spans="1:6" x14ac:dyDescent="0.25">
      <c r="A324" s="11" t="s">
        <v>73</v>
      </c>
      <c r="B324" s="11" t="str">
        <f t="shared" si="30"/>
        <v>3"323</v>
      </c>
      <c r="C324" s="11" t="s">
        <v>46</v>
      </c>
      <c r="D324" s="22">
        <f t="shared" ref="D324:E324" si="36">D323+1</f>
        <v>323</v>
      </c>
      <c r="E324" s="11">
        <f t="shared" si="36"/>
        <v>37</v>
      </c>
      <c r="F324" s="11">
        <f t="shared" si="32"/>
        <v>185</v>
      </c>
    </row>
    <row r="325" spans="1:6" x14ac:dyDescent="0.25">
      <c r="A325" s="11" t="s">
        <v>73</v>
      </c>
      <c r="B325" s="11" t="str">
        <f t="shared" si="30"/>
        <v>3"324</v>
      </c>
      <c r="C325" s="11" t="s">
        <v>46</v>
      </c>
      <c r="D325" s="22">
        <f t="shared" ref="D325:E325" si="37">D324+1</f>
        <v>324</v>
      </c>
      <c r="E325" s="11">
        <f t="shared" si="37"/>
        <v>38</v>
      </c>
      <c r="F325" s="11">
        <f t="shared" si="32"/>
        <v>190</v>
      </c>
    </row>
    <row r="326" spans="1:6" x14ac:dyDescent="0.25">
      <c r="A326" s="11" t="s">
        <v>73</v>
      </c>
      <c r="B326" s="11" t="str">
        <f t="shared" si="30"/>
        <v>3"325</v>
      </c>
      <c r="C326" s="11" t="s">
        <v>46</v>
      </c>
      <c r="D326" s="22">
        <f t="shared" ref="D326:E326" si="38">D325+1</f>
        <v>325</v>
      </c>
      <c r="E326" s="11">
        <f t="shared" si="38"/>
        <v>39</v>
      </c>
      <c r="F326" s="11">
        <f t="shared" si="32"/>
        <v>195</v>
      </c>
    </row>
    <row r="327" spans="1:6" x14ac:dyDescent="0.25">
      <c r="A327" s="11" t="s">
        <v>73</v>
      </c>
      <c r="B327" s="11" t="str">
        <f t="shared" si="30"/>
        <v>3"326</v>
      </c>
      <c r="C327" s="11" t="s">
        <v>46</v>
      </c>
      <c r="D327" s="22">
        <f t="shared" ref="D327:E327" si="39">D326+1</f>
        <v>326</v>
      </c>
      <c r="E327" s="11">
        <f t="shared" si="39"/>
        <v>40</v>
      </c>
      <c r="F327" s="11">
        <f t="shared" si="32"/>
        <v>200</v>
      </c>
    </row>
    <row r="328" spans="1:6" x14ac:dyDescent="0.25">
      <c r="A328" s="11" t="s">
        <v>73</v>
      </c>
      <c r="B328" s="11" t="str">
        <f t="shared" si="30"/>
        <v>3"327</v>
      </c>
      <c r="C328" s="11" t="s">
        <v>46</v>
      </c>
      <c r="D328" s="22">
        <f t="shared" ref="D328:E328" si="40">D327+1</f>
        <v>327</v>
      </c>
      <c r="E328" s="11">
        <f t="shared" si="40"/>
        <v>41</v>
      </c>
      <c r="F328" s="11">
        <f t="shared" si="32"/>
        <v>205</v>
      </c>
    </row>
    <row r="329" spans="1:6" x14ac:dyDescent="0.25">
      <c r="A329" s="11" t="s">
        <v>73</v>
      </c>
      <c r="B329" s="11" t="str">
        <f t="shared" si="30"/>
        <v>3"328</v>
      </c>
      <c r="C329" s="11" t="s">
        <v>46</v>
      </c>
      <c r="D329" s="22">
        <f t="shared" ref="D329:E329" si="41">D328+1</f>
        <v>328</v>
      </c>
      <c r="E329" s="11">
        <f t="shared" si="41"/>
        <v>42</v>
      </c>
      <c r="F329" s="11">
        <f t="shared" si="32"/>
        <v>210</v>
      </c>
    </row>
    <row r="330" spans="1:6" x14ac:dyDescent="0.25">
      <c r="A330" s="11" t="s">
        <v>73</v>
      </c>
      <c r="B330" s="11" t="str">
        <f t="shared" si="30"/>
        <v>3"329</v>
      </c>
      <c r="C330" s="11" t="s">
        <v>46</v>
      </c>
      <c r="D330" s="22">
        <f t="shared" ref="D330:E330" si="42">D329+1</f>
        <v>329</v>
      </c>
      <c r="E330" s="11">
        <f t="shared" si="42"/>
        <v>43</v>
      </c>
      <c r="F330" s="11">
        <f t="shared" si="32"/>
        <v>215</v>
      </c>
    </row>
    <row r="331" spans="1:6" x14ac:dyDescent="0.25">
      <c r="A331" s="11" t="s">
        <v>73</v>
      </c>
      <c r="B331" s="11" t="str">
        <f t="shared" si="30"/>
        <v>3"330</v>
      </c>
      <c r="C331" s="11" t="s">
        <v>46</v>
      </c>
      <c r="D331" s="22">
        <f t="shared" ref="D331:E331" si="43">D330+1</f>
        <v>330</v>
      </c>
      <c r="E331" s="11">
        <f t="shared" si="43"/>
        <v>44</v>
      </c>
      <c r="F331" s="11">
        <f t="shared" si="32"/>
        <v>220</v>
      </c>
    </row>
    <row r="332" spans="1:6" x14ac:dyDescent="0.25">
      <c r="A332" s="11" t="s">
        <v>73</v>
      </c>
      <c r="B332" s="11" t="str">
        <f t="shared" si="30"/>
        <v>3"331</v>
      </c>
      <c r="C332" s="11" t="s">
        <v>46</v>
      </c>
      <c r="D332" s="22">
        <f t="shared" ref="D332:E332" si="44">D331+1</f>
        <v>331</v>
      </c>
      <c r="E332" s="11">
        <f t="shared" si="44"/>
        <v>45</v>
      </c>
      <c r="F332" s="11">
        <f t="shared" si="32"/>
        <v>225</v>
      </c>
    </row>
    <row r="333" spans="1:6" x14ac:dyDescent="0.25">
      <c r="A333" s="11" t="s">
        <v>73</v>
      </c>
      <c r="B333" s="11" t="str">
        <f t="shared" si="30"/>
        <v>3"332</v>
      </c>
      <c r="C333" s="11" t="s">
        <v>46</v>
      </c>
      <c r="D333" s="22">
        <f t="shared" ref="D333:E333" si="45">D332+1</f>
        <v>332</v>
      </c>
      <c r="E333" s="11">
        <f t="shared" si="45"/>
        <v>46</v>
      </c>
      <c r="F333" s="11">
        <f t="shared" si="32"/>
        <v>230</v>
      </c>
    </row>
    <row r="334" spans="1:6" x14ac:dyDescent="0.25">
      <c r="A334" s="11" t="s">
        <v>73</v>
      </c>
      <c r="B334" s="11" t="str">
        <f t="shared" si="30"/>
        <v>3"333</v>
      </c>
      <c r="C334" s="11" t="s">
        <v>46</v>
      </c>
      <c r="D334" s="22">
        <f t="shared" ref="D334:E334" si="46">D333+1</f>
        <v>333</v>
      </c>
      <c r="E334" s="11">
        <f t="shared" si="46"/>
        <v>47</v>
      </c>
      <c r="F334" s="11">
        <f t="shared" si="32"/>
        <v>235</v>
      </c>
    </row>
    <row r="335" spans="1:6" x14ac:dyDescent="0.25">
      <c r="A335" s="11" t="s">
        <v>73</v>
      </c>
      <c r="B335" s="11" t="str">
        <f t="shared" si="30"/>
        <v>3"334</v>
      </c>
      <c r="C335" s="11" t="s">
        <v>46</v>
      </c>
      <c r="D335" s="22">
        <f t="shared" ref="D335:E335" si="47">D334+1</f>
        <v>334</v>
      </c>
      <c r="E335" s="11">
        <f t="shared" si="47"/>
        <v>48</v>
      </c>
      <c r="F335" s="11">
        <f t="shared" si="32"/>
        <v>240</v>
      </c>
    </row>
    <row r="336" spans="1:6" x14ac:dyDescent="0.25">
      <c r="A336" s="11" t="s">
        <v>73</v>
      </c>
      <c r="B336" s="11" t="str">
        <f t="shared" si="30"/>
        <v>3"335</v>
      </c>
      <c r="C336" s="11" t="s">
        <v>46</v>
      </c>
      <c r="D336" s="22">
        <f t="shared" ref="D336:E336" si="48">D335+1</f>
        <v>335</v>
      </c>
      <c r="E336" s="11">
        <f t="shared" si="48"/>
        <v>49</v>
      </c>
      <c r="F336" s="11">
        <f t="shared" si="32"/>
        <v>245</v>
      </c>
    </row>
    <row r="337" spans="1:6" x14ac:dyDescent="0.25">
      <c r="A337" s="11" t="s">
        <v>73</v>
      </c>
      <c r="B337" s="11" t="str">
        <f t="shared" si="30"/>
        <v>3"336</v>
      </c>
      <c r="C337" s="11" t="s">
        <v>46</v>
      </c>
      <c r="D337" s="22">
        <f t="shared" ref="D337:E337" si="49">D336+1</f>
        <v>336</v>
      </c>
      <c r="E337" s="11">
        <f t="shared" si="49"/>
        <v>50</v>
      </c>
      <c r="F337" s="11">
        <f t="shared" si="32"/>
        <v>250</v>
      </c>
    </row>
    <row r="338" spans="1:6" x14ac:dyDescent="0.25">
      <c r="A338" s="11" t="s">
        <v>73</v>
      </c>
      <c r="B338" s="11" t="str">
        <f t="shared" si="30"/>
        <v>3"337</v>
      </c>
      <c r="C338" s="11" t="s">
        <v>46</v>
      </c>
      <c r="D338" s="22">
        <f t="shared" ref="D338:E338" si="50">D337+1</f>
        <v>337</v>
      </c>
      <c r="E338" s="11">
        <f t="shared" si="50"/>
        <v>51</v>
      </c>
      <c r="F338" s="11">
        <f t="shared" si="32"/>
        <v>255</v>
      </c>
    </row>
    <row r="339" spans="1:6" x14ac:dyDescent="0.25">
      <c r="A339" s="11" t="s">
        <v>73</v>
      </c>
      <c r="B339" s="11" t="str">
        <f t="shared" si="30"/>
        <v>3"338</v>
      </c>
      <c r="C339" s="11" t="s">
        <v>46</v>
      </c>
      <c r="D339" s="22">
        <f t="shared" ref="D339:E339" si="51">D338+1</f>
        <v>338</v>
      </c>
      <c r="E339" s="11">
        <f t="shared" si="51"/>
        <v>52</v>
      </c>
      <c r="F339" s="11">
        <f t="shared" si="32"/>
        <v>260</v>
      </c>
    </row>
    <row r="340" spans="1:6" x14ac:dyDescent="0.25">
      <c r="A340" s="11" t="s">
        <v>73</v>
      </c>
      <c r="B340" s="11" t="str">
        <f t="shared" si="30"/>
        <v>3"339</v>
      </c>
      <c r="C340" s="11" t="s">
        <v>46</v>
      </c>
      <c r="D340" s="22">
        <f t="shared" ref="D340:E340" si="52">D339+1</f>
        <v>339</v>
      </c>
      <c r="E340" s="11">
        <f t="shared" si="52"/>
        <v>53</v>
      </c>
      <c r="F340" s="11">
        <f t="shared" si="32"/>
        <v>265</v>
      </c>
    </row>
    <row r="341" spans="1:6" x14ac:dyDescent="0.25">
      <c r="A341" s="11" t="s">
        <v>73</v>
      </c>
      <c r="B341" s="11" t="str">
        <f t="shared" si="30"/>
        <v>3"340</v>
      </c>
      <c r="C341" s="11" t="s">
        <v>46</v>
      </c>
      <c r="D341" s="22">
        <f t="shared" ref="D341:E341" si="53">D340+1</f>
        <v>340</v>
      </c>
      <c r="E341" s="11">
        <f t="shared" si="53"/>
        <v>54</v>
      </c>
      <c r="F341" s="11">
        <f t="shared" si="32"/>
        <v>270</v>
      </c>
    </row>
    <row r="342" spans="1:6" x14ac:dyDescent="0.25">
      <c r="A342" s="11" t="s">
        <v>73</v>
      </c>
      <c r="B342" s="11" t="str">
        <f t="shared" si="30"/>
        <v>3"341</v>
      </c>
      <c r="C342" s="11" t="s">
        <v>46</v>
      </c>
      <c r="D342" s="22">
        <f t="shared" ref="D342:E342" si="54">D341+1</f>
        <v>341</v>
      </c>
      <c r="E342" s="11">
        <f t="shared" si="54"/>
        <v>55</v>
      </c>
      <c r="F342" s="11">
        <f t="shared" si="32"/>
        <v>275</v>
      </c>
    </row>
    <row r="343" spans="1:6" x14ac:dyDescent="0.25">
      <c r="A343" s="11" t="s">
        <v>73</v>
      </c>
      <c r="B343" s="11" t="str">
        <f t="shared" si="30"/>
        <v>3"342</v>
      </c>
      <c r="C343" s="11" t="s">
        <v>46</v>
      </c>
      <c r="D343" s="22">
        <f t="shared" ref="D343:E343" si="55">D342+1</f>
        <v>342</v>
      </c>
      <c r="E343" s="11">
        <f t="shared" si="55"/>
        <v>56</v>
      </c>
      <c r="F343" s="11">
        <f t="shared" si="32"/>
        <v>280</v>
      </c>
    </row>
    <row r="344" spans="1:6" x14ac:dyDescent="0.25">
      <c r="A344" s="11" t="s">
        <v>73</v>
      </c>
      <c r="B344" s="11" t="str">
        <f t="shared" si="30"/>
        <v>3"343</v>
      </c>
      <c r="C344" s="11" t="s">
        <v>46</v>
      </c>
      <c r="D344" s="22">
        <f t="shared" ref="D344:E344" si="56">D343+1</f>
        <v>343</v>
      </c>
      <c r="E344" s="11">
        <f t="shared" si="56"/>
        <v>57</v>
      </c>
      <c r="F344" s="11">
        <f t="shared" si="32"/>
        <v>285</v>
      </c>
    </row>
    <row r="345" spans="1:6" x14ac:dyDescent="0.25">
      <c r="A345" s="11" t="s">
        <v>73</v>
      </c>
      <c r="B345" s="11" t="str">
        <f t="shared" si="30"/>
        <v>3"344</v>
      </c>
      <c r="C345" s="11" t="s">
        <v>46</v>
      </c>
      <c r="D345" s="22">
        <f t="shared" ref="D345:E345" si="57">D344+1</f>
        <v>344</v>
      </c>
      <c r="E345" s="11">
        <f t="shared" si="57"/>
        <v>58</v>
      </c>
      <c r="F345" s="11">
        <f t="shared" si="32"/>
        <v>290</v>
      </c>
    </row>
    <row r="346" spans="1:6" x14ac:dyDescent="0.25">
      <c r="A346" s="11" t="s">
        <v>73</v>
      </c>
      <c r="B346" s="11" t="str">
        <f t="shared" si="30"/>
        <v>3"345</v>
      </c>
      <c r="C346" s="11" t="s">
        <v>46</v>
      </c>
      <c r="D346" s="22">
        <f t="shared" ref="D346:E346" si="58">D345+1</f>
        <v>345</v>
      </c>
      <c r="E346" s="11">
        <f t="shared" si="58"/>
        <v>59</v>
      </c>
      <c r="F346" s="11">
        <f t="shared" si="32"/>
        <v>295</v>
      </c>
    </row>
    <row r="347" spans="1:6" x14ac:dyDescent="0.25">
      <c r="A347" s="11" t="s">
        <v>73</v>
      </c>
      <c r="B347" s="11" t="str">
        <f t="shared" si="30"/>
        <v>3"346</v>
      </c>
      <c r="C347" s="11" t="s">
        <v>46</v>
      </c>
      <c r="D347" s="22">
        <f t="shared" ref="D347:E347" si="59">D346+1</f>
        <v>346</v>
      </c>
      <c r="E347" s="11">
        <f t="shared" si="59"/>
        <v>60</v>
      </c>
      <c r="F347" s="11">
        <f t="shared" si="32"/>
        <v>300</v>
      </c>
    </row>
    <row r="348" spans="1:6" x14ac:dyDescent="0.25">
      <c r="A348" s="11" t="s">
        <v>73</v>
      </c>
      <c r="B348" s="11" t="str">
        <f t="shared" si="30"/>
        <v>3"347</v>
      </c>
      <c r="C348" s="11" t="s">
        <v>46</v>
      </c>
      <c r="D348" s="22">
        <f t="shared" ref="D348:E348" si="60">D347+1</f>
        <v>347</v>
      </c>
      <c r="E348" s="11">
        <f t="shared" si="60"/>
        <v>61</v>
      </c>
      <c r="F348" s="11">
        <f t="shared" si="32"/>
        <v>305</v>
      </c>
    </row>
    <row r="349" spans="1:6" x14ac:dyDescent="0.25">
      <c r="A349" s="11" t="s">
        <v>73</v>
      </c>
      <c r="B349" s="11" t="str">
        <f t="shared" si="30"/>
        <v>3"348</v>
      </c>
      <c r="C349" s="11" t="s">
        <v>46</v>
      </c>
      <c r="D349" s="22">
        <f t="shared" ref="D349:E349" si="61">D348+1</f>
        <v>348</v>
      </c>
      <c r="E349" s="11">
        <f t="shared" si="61"/>
        <v>62</v>
      </c>
      <c r="F349" s="11">
        <f t="shared" si="32"/>
        <v>310</v>
      </c>
    </row>
    <row r="350" spans="1:6" x14ac:dyDescent="0.25">
      <c r="A350" s="11" t="s">
        <v>73</v>
      </c>
      <c r="B350" s="11" t="str">
        <f t="shared" si="30"/>
        <v>3"349</v>
      </c>
      <c r="C350" s="11" t="s">
        <v>46</v>
      </c>
      <c r="D350" s="22">
        <f t="shared" ref="D350:E350" si="62">D349+1</f>
        <v>349</v>
      </c>
      <c r="E350" s="11">
        <f t="shared" si="62"/>
        <v>63</v>
      </c>
      <c r="F350" s="11">
        <f t="shared" si="32"/>
        <v>315</v>
      </c>
    </row>
    <row r="351" spans="1:6" x14ac:dyDescent="0.25">
      <c r="A351" s="11" t="s">
        <v>73</v>
      </c>
      <c r="B351" s="11" t="str">
        <f t="shared" si="30"/>
        <v>3"350</v>
      </c>
      <c r="C351" s="11" t="s">
        <v>46</v>
      </c>
      <c r="D351" s="22">
        <f t="shared" ref="D351:E351" si="63">D350+1</f>
        <v>350</v>
      </c>
      <c r="E351" s="11">
        <f t="shared" si="63"/>
        <v>64</v>
      </c>
      <c r="F351" s="11">
        <f t="shared" si="32"/>
        <v>320</v>
      </c>
    </row>
    <row r="352" spans="1:6" x14ac:dyDescent="0.25">
      <c r="A352" s="11" t="s">
        <v>73</v>
      </c>
      <c r="B352" s="11" t="str">
        <f t="shared" si="30"/>
        <v>3"351</v>
      </c>
      <c r="C352" s="11" t="s">
        <v>46</v>
      </c>
      <c r="D352" s="22">
        <f t="shared" ref="D352:E352" si="64">D351+1</f>
        <v>351</v>
      </c>
      <c r="E352" s="11">
        <f t="shared" si="64"/>
        <v>65</v>
      </c>
      <c r="F352" s="11">
        <f t="shared" si="32"/>
        <v>325</v>
      </c>
    </row>
    <row r="353" spans="1:6" x14ac:dyDescent="0.25">
      <c r="A353" s="11" t="s">
        <v>73</v>
      </c>
      <c r="B353" s="11" t="str">
        <f t="shared" si="30"/>
        <v>3"352</v>
      </c>
      <c r="C353" s="11" t="s">
        <v>46</v>
      </c>
      <c r="D353" s="22">
        <f t="shared" ref="D353:E353" si="65">D352+1</f>
        <v>352</v>
      </c>
      <c r="E353" s="11">
        <f t="shared" si="65"/>
        <v>66</v>
      </c>
      <c r="F353" s="11">
        <f t="shared" si="32"/>
        <v>330</v>
      </c>
    </row>
    <row r="354" spans="1:6" x14ac:dyDescent="0.25">
      <c r="A354" s="11" t="s">
        <v>73</v>
      </c>
      <c r="B354" s="11" t="str">
        <f t="shared" si="30"/>
        <v>3"353</v>
      </c>
      <c r="C354" s="11" t="s">
        <v>46</v>
      </c>
      <c r="D354" s="22">
        <f t="shared" ref="D354:E354" si="66">D353+1</f>
        <v>353</v>
      </c>
      <c r="E354" s="11">
        <f t="shared" si="66"/>
        <v>67</v>
      </c>
      <c r="F354" s="11">
        <f t="shared" si="32"/>
        <v>335</v>
      </c>
    </row>
    <row r="355" spans="1:6" x14ac:dyDescent="0.25">
      <c r="A355" s="11" t="s">
        <v>73</v>
      </c>
      <c r="B355" s="11" t="str">
        <f t="shared" ref="B355:B385" si="67">CONCATENATE(C355&amp;D355)</f>
        <v>3"354</v>
      </c>
      <c r="C355" s="11" t="s">
        <v>46</v>
      </c>
      <c r="D355" s="22">
        <f t="shared" ref="D355:E355" si="68">D354+1</f>
        <v>354</v>
      </c>
      <c r="E355" s="11">
        <f t="shared" si="68"/>
        <v>68</v>
      </c>
      <c r="F355" s="11">
        <f t="shared" ref="F355:F385" si="69">E355*$F$1</f>
        <v>340</v>
      </c>
    </row>
    <row r="356" spans="1:6" x14ac:dyDescent="0.25">
      <c r="A356" s="11" t="s">
        <v>73</v>
      </c>
      <c r="B356" s="11" t="str">
        <f t="shared" si="67"/>
        <v>3"355</v>
      </c>
      <c r="C356" s="11" t="s">
        <v>46</v>
      </c>
      <c r="D356" s="22">
        <f t="shared" ref="D356:E356" si="70">D355+1</f>
        <v>355</v>
      </c>
      <c r="E356" s="11">
        <f t="shared" si="70"/>
        <v>69</v>
      </c>
      <c r="F356" s="11">
        <f t="shared" si="69"/>
        <v>345</v>
      </c>
    </row>
    <row r="357" spans="1:6" x14ac:dyDescent="0.25">
      <c r="A357" s="11" t="s">
        <v>73</v>
      </c>
      <c r="B357" s="11" t="str">
        <f t="shared" si="67"/>
        <v>3"356</v>
      </c>
      <c r="C357" s="11" t="s">
        <v>46</v>
      </c>
      <c r="D357" s="22">
        <f t="shared" ref="D357:E357" si="71">D356+1</f>
        <v>356</v>
      </c>
      <c r="E357" s="11">
        <f t="shared" si="71"/>
        <v>70</v>
      </c>
      <c r="F357" s="11">
        <f t="shared" si="69"/>
        <v>350</v>
      </c>
    </row>
    <row r="358" spans="1:6" x14ac:dyDescent="0.25">
      <c r="A358" s="11" t="s">
        <v>73</v>
      </c>
      <c r="B358" s="11" t="str">
        <f t="shared" si="67"/>
        <v>3"357</v>
      </c>
      <c r="C358" s="11" t="s">
        <v>46</v>
      </c>
      <c r="D358" s="22">
        <f t="shared" ref="D358:E358" si="72">D357+1</f>
        <v>357</v>
      </c>
      <c r="E358" s="11">
        <f t="shared" si="72"/>
        <v>71</v>
      </c>
      <c r="F358" s="11">
        <f t="shared" si="69"/>
        <v>355</v>
      </c>
    </row>
    <row r="359" spans="1:6" x14ac:dyDescent="0.25">
      <c r="A359" s="11" t="s">
        <v>73</v>
      </c>
      <c r="B359" s="11" t="str">
        <f t="shared" si="67"/>
        <v>3"358</v>
      </c>
      <c r="C359" s="11" t="s">
        <v>46</v>
      </c>
      <c r="D359" s="22">
        <f t="shared" ref="D359:E359" si="73">D358+1</f>
        <v>358</v>
      </c>
      <c r="E359" s="11">
        <f t="shared" si="73"/>
        <v>72</v>
      </c>
      <c r="F359" s="11">
        <f t="shared" si="69"/>
        <v>360</v>
      </c>
    </row>
    <row r="360" spans="1:6" x14ac:dyDescent="0.25">
      <c r="A360" s="11" t="s">
        <v>73</v>
      </c>
      <c r="B360" s="11" t="str">
        <f t="shared" si="67"/>
        <v>3"359</v>
      </c>
      <c r="C360" s="11" t="s">
        <v>46</v>
      </c>
      <c r="D360" s="22">
        <f t="shared" ref="D360:E360" si="74">D359+1</f>
        <v>359</v>
      </c>
      <c r="E360" s="11">
        <f t="shared" si="74"/>
        <v>73</v>
      </c>
      <c r="F360" s="11">
        <f t="shared" si="69"/>
        <v>365</v>
      </c>
    </row>
    <row r="361" spans="1:6" x14ac:dyDescent="0.25">
      <c r="A361" s="11" t="s">
        <v>73</v>
      </c>
      <c r="B361" s="11" t="str">
        <f t="shared" si="67"/>
        <v>3"360</v>
      </c>
      <c r="C361" s="11" t="s">
        <v>46</v>
      </c>
      <c r="D361" s="22">
        <f t="shared" ref="D361:E361" si="75">D360+1</f>
        <v>360</v>
      </c>
      <c r="E361" s="11">
        <f t="shared" si="75"/>
        <v>74</v>
      </c>
      <c r="F361" s="11">
        <f t="shared" si="69"/>
        <v>370</v>
      </c>
    </row>
    <row r="362" spans="1:6" x14ac:dyDescent="0.25">
      <c r="A362" s="11" t="s">
        <v>73</v>
      </c>
      <c r="B362" s="11" t="str">
        <f t="shared" si="67"/>
        <v>3"361</v>
      </c>
      <c r="C362" s="11" t="s">
        <v>46</v>
      </c>
      <c r="D362" s="22">
        <f t="shared" ref="D362:E362" si="76">D361+1</f>
        <v>361</v>
      </c>
      <c r="E362" s="11">
        <f t="shared" si="76"/>
        <v>75</v>
      </c>
      <c r="F362" s="11">
        <f t="shared" si="69"/>
        <v>375</v>
      </c>
    </row>
    <row r="363" spans="1:6" x14ac:dyDescent="0.25">
      <c r="A363" s="11" t="s">
        <v>73</v>
      </c>
      <c r="B363" s="11" t="str">
        <f t="shared" si="67"/>
        <v>3"362</v>
      </c>
      <c r="C363" s="11" t="s">
        <v>46</v>
      </c>
      <c r="D363" s="22">
        <f t="shared" ref="D363:E363" si="77">D362+1</f>
        <v>362</v>
      </c>
      <c r="E363" s="11">
        <f t="shared" si="77"/>
        <v>76</v>
      </c>
      <c r="F363" s="11">
        <f t="shared" si="69"/>
        <v>380</v>
      </c>
    </row>
    <row r="364" spans="1:6" x14ac:dyDescent="0.25">
      <c r="A364" s="11" t="s">
        <v>73</v>
      </c>
      <c r="B364" s="11" t="str">
        <f t="shared" si="67"/>
        <v>3"363</v>
      </c>
      <c r="C364" s="11" t="s">
        <v>46</v>
      </c>
      <c r="D364" s="22">
        <f t="shared" ref="D364:E364" si="78">D363+1</f>
        <v>363</v>
      </c>
      <c r="E364" s="11">
        <f t="shared" si="78"/>
        <v>77</v>
      </c>
      <c r="F364" s="11">
        <f t="shared" si="69"/>
        <v>385</v>
      </c>
    </row>
    <row r="365" spans="1:6" x14ac:dyDescent="0.25">
      <c r="A365" s="11" t="s">
        <v>73</v>
      </c>
      <c r="B365" s="11" t="str">
        <f t="shared" si="67"/>
        <v>3"364</v>
      </c>
      <c r="C365" s="11" t="s">
        <v>46</v>
      </c>
      <c r="D365" s="22">
        <f t="shared" ref="D365:E365" si="79">D364+1</f>
        <v>364</v>
      </c>
      <c r="E365" s="11">
        <f t="shared" si="79"/>
        <v>78</v>
      </c>
      <c r="F365" s="11">
        <f t="shared" si="69"/>
        <v>390</v>
      </c>
    </row>
    <row r="366" spans="1:6" x14ac:dyDescent="0.25">
      <c r="A366" s="11" t="s">
        <v>73</v>
      </c>
      <c r="B366" s="11" t="str">
        <f t="shared" si="67"/>
        <v>3"365</v>
      </c>
      <c r="C366" s="11" t="s">
        <v>46</v>
      </c>
      <c r="D366" s="22">
        <f t="shared" ref="D366:E366" si="80">D365+1</f>
        <v>365</v>
      </c>
      <c r="E366" s="11">
        <f t="shared" si="80"/>
        <v>79</v>
      </c>
      <c r="F366" s="11">
        <f t="shared" si="69"/>
        <v>395</v>
      </c>
    </row>
    <row r="367" spans="1:6" x14ac:dyDescent="0.25">
      <c r="A367" s="11" t="s">
        <v>73</v>
      </c>
      <c r="B367" s="11" t="str">
        <f t="shared" si="67"/>
        <v>3"366</v>
      </c>
      <c r="C367" s="11" t="s">
        <v>46</v>
      </c>
      <c r="D367" s="22">
        <f t="shared" ref="D367:E367" si="81">D366+1</f>
        <v>366</v>
      </c>
      <c r="E367" s="11">
        <f t="shared" si="81"/>
        <v>80</v>
      </c>
      <c r="F367" s="11">
        <f t="shared" si="69"/>
        <v>400</v>
      </c>
    </row>
    <row r="368" spans="1:6" x14ac:dyDescent="0.25">
      <c r="A368" s="11" t="s">
        <v>73</v>
      </c>
      <c r="B368" s="11" t="str">
        <f t="shared" si="67"/>
        <v>3"367</v>
      </c>
      <c r="C368" s="11" t="s">
        <v>46</v>
      </c>
      <c r="D368" s="22">
        <f t="shared" ref="D368:E368" si="82">D367+1</f>
        <v>367</v>
      </c>
      <c r="E368" s="11">
        <f t="shared" si="82"/>
        <v>81</v>
      </c>
      <c r="F368" s="11">
        <f t="shared" si="69"/>
        <v>405</v>
      </c>
    </row>
    <row r="369" spans="1:6" x14ac:dyDescent="0.25">
      <c r="A369" s="11" t="s">
        <v>73</v>
      </c>
      <c r="B369" s="11" t="str">
        <f t="shared" si="67"/>
        <v>3"368</v>
      </c>
      <c r="C369" s="11" t="s">
        <v>46</v>
      </c>
      <c r="D369" s="22">
        <f t="shared" ref="D369:E369" si="83">D368+1</f>
        <v>368</v>
      </c>
      <c r="E369" s="11">
        <f t="shared" si="83"/>
        <v>82</v>
      </c>
      <c r="F369" s="11">
        <f t="shared" si="69"/>
        <v>410</v>
      </c>
    </row>
    <row r="370" spans="1:6" x14ac:dyDescent="0.25">
      <c r="A370" s="11" t="s">
        <v>73</v>
      </c>
      <c r="B370" s="11" t="str">
        <f t="shared" si="67"/>
        <v>3"369</v>
      </c>
      <c r="C370" s="11" t="s">
        <v>46</v>
      </c>
      <c r="D370" s="22">
        <f t="shared" ref="D370:E370" si="84">D369+1</f>
        <v>369</v>
      </c>
      <c r="E370" s="11">
        <f t="shared" si="84"/>
        <v>83</v>
      </c>
      <c r="F370" s="11">
        <f t="shared" si="69"/>
        <v>415</v>
      </c>
    </row>
    <row r="371" spans="1:6" x14ac:dyDescent="0.25">
      <c r="A371" s="11" t="s">
        <v>73</v>
      </c>
      <c r="B371" s="11" t="str">
        <f t="shared" si="67"/>
        <v>3"370</v>
      </c>
      <c r="C371" s="11" t="s">
        <v>46</v>
      </c>
      <c r="D371" s="22">
        <f t="shared" ref="D371:E371" si="85">D370+1</f>
        <v>370</v>
      </c>
      <c r="E371" s="11">
        <f t="shared" si="85"/>
        <v>84</v>
      </c>
      <c r="F371" s="11">
        <f t="shared" si="69"/>
        <v>420</v>
      </c>
    </row>
    <row r="372" spans="1:6" x14ac:dyDescent="0.25">
      <c r="A372" s="11" t="s">
        <v>73</v>
      </c>
      <c r="B372" s="11" t="str">
        <f t="shared" si="67"/>
        <v>3"371</v>
      </c>
      <c r="C372" s="11" t="s">
        <v>46</v>
      </c>
      <c r="D372" s="22">
        <f t="shared" ref="D372:E372" si="86">D371+1</f>
        <v>371</v>
      </c>
      <c r="E372" s="11">
        <f t="shared" si="86"/>
        <v>85</v>
      </c>
      <c r="F372" s="11">
        <f t="shared" si="69"/>
        <v>425</v>
      </c>
    </row>
    <row r="373" spans="1:6" x14ac:dyDescent="0.25">
      <c r="A373" s="11" t="s">
        <v>73</v>
      </c>
      <c r="B373" s="11" t="str">
        <f t="shared" si="67"/>
        <v>3"372</v>
      </c>
      <c r="C373" s="11" t="s">
        <v>46</v>
      </c>
      <c r="D373" s="22">
        <f t="shared" ref="D373:E373" si="87">D372+1</f>
        <v>372</v>
      </c>
      <c r="E373" s="11">
        <f t="shared" si="87"/>
        <v>86</v>
      </c>
      <c r="F373" s="11">
        <f t="shared" si="69"/>
        <v>430</v>
      </c>
    </row>
    <row r="374" spans="1:6" x14ac:dyDescent="0.25">
      <c r="A374" s="11" t="s">
        <v>73</v>
      </c>
      <c r="B374" s="11" t="str">
        <f t="shared" si="67"/>
        <v>3"373</v>
      </c>
      <c r="C374" s="11" t="s">
        <v>46</v>
      </c>
      <c r="D374" s="22">
        <f t="shared" ref="D374:E374" si="88">D373+1</f>
        <v>373</v>
      </c>
      <c r="E374" s="11">
        <f t="shared" si="88"/>
        <v>87</v>
      </c>
      <c r="F374" s="11">
        <f t="shared" si="69"/>
        <v>435</v>
      </c>
    </row>
    <row r="375" spans="1:6" x14ac:dyDescent="0.25">
      <c r="A375" s="11" t="s">
        <v>73</v>
      </c>
      <c r="B375" s="11" t="str">
        <f t="shared" si="67"/>
        <v>3"374</v>
      </c>
      <c r="C375" s="11" t="s">
        <v>46</v>
      </c>
      <c r="D375" s="22">
        <f t="shared" ref="D375:E375" si="89">D374+1</f>
        <v>374</v>
      </c>
      <c r="E375" s="11">
        <f t="shared" si="89"/>
        <v>88</v>
      </c>
      <c r="F375" s="11">
        <f t="shared" si="69"/>
        <v>440</v>
      </c>
    </row>
    <row r="376" spans="1:6" x14ac:dyDescent="0.25">
      <c r="A376" s="11" t="s">
        <v>73</v>
      </c>
      <c r="B376" s="11" t="str">
        <f t="shared" si="67"/>
        <v>3"375</v>
      </c>
      <c r="C376" s="11" t="s">
        <v>46</v>
      </c>
      <c r="D376" s="22">
        <f t="shared" ref="D376:E376" si="90">D375+1</f>
        <v>375</v>
      </c>
      <c r="E376" s="11">
        <f t="shared" si="90"/>
        <v>89</v>
      </c>
      <c r="F376" s="11">
        <f t="shared" si="69"/>
        <v>445</v>
      </c>
    </row>
    <row r="377" spans="1:6" x14ac:dyDescent="0.25">
      <c r="A377" s="11" t="s">
        <v>73</v>
      </c>
      <c r="B377" s="11" t="str">
        <f t="shared" si="67"/>
        <v>3"376</v>
      </c>
      <c r="C377" s="11" t="s">
        <v>46</v>
      </c>
      <c r="D377" s="22">
        <f t="shared" ref="D377:E377" si="91">D376+1</f>
        <v>376</v>
      </c>
      <c r="E377" s="11">
        <f t="shared" si="91"/>
        <v>90</v>
      </c>
      <c r="F377" s="11">
        <f t="shared" si="69"/>
        <v>450</v>
      </c>
    </row>
    <row r="378" spans="1:6" x14ac:dyDescent="0.25">
      <c r="A378" s="11" t="s">
        <v>73</v>
      </c>
      <c r="B378" s="11" t="str">
        <f t="shared" si="67"/>
        <v>3"377</v>
      </c>
      <c r="C378" s="11" t="s">
        <v>46</v>
      </c>
      <c r="D378" s="22">
        <f t="shared" ref="D378:E378" si="92">D377+1</f>
        <v>377</v>
      </c>
      <c r="E378" s="11">
        <f t="shared" si="92"/>
        <v>91</v>
      </c>
      <c r="F378" s="11">
        <f t="shared" si="69"/>
        <v>455</v>
      </c>
    </row>
    <row r="379" spans="1:6" x14ac:dyDescent="0.25">
      <c r="A379" s="11" t="s">
        <v>73</v>
      </c>
      <c r="B379" s="11" t="str">
        <f t="shared" si="67"/>
        <v>3"378</v>
      </c>
      <c r="C379" s="11" t="s">
        <v>46</v>
      </c>
      <c r="D379" s="22">
        <f t="shared" ref="D379:E379" si="93">D378+1</f>
        <v>378</v>
      </c>
      <c r="E379" s="11">
        <f t="shared" si="93"/>
        <v>92</v>
      </c>
      <c r="F379" s="11">
        <f t="shared" si="69"/>
        <v>460</v>
      </c>
    </row>
    <row r="380" spans="1:6" x14ac:dyDescent="0.25">
      <c r="A380" s="11" t="s">
        <v>73</v>
      </c>
      <c r="B380" s="11" t="str">
        <f t="shared" si="67"/>
        <v>3"379</v>
      </c>
      <c r="C380" s="11" t="s">
        <v>46</v>
      </c>
      <c r="D380" s="22">
        <f t="shared" ref="D380:E380" si="94">D379+1</f>
        <v>379</v>
      </c>
      <c r="E380" s="11">
        <f t="shared" si="94"/>
        <v>93</v>
      </c>
      <c r="F380" s="11">
        <f t="shared" si="69"/>
        <v>465</v>
      </c>
    </row>
    <row r="381" spans="1:6" x14ac:dyDescent="0.25">
      <c r="A381" s="11" t="s">
        <v>73</v>
      </c>
      <c r="B381" s="11" t="str">
        <f t="shared" si="67"/>
        <v>3"380</v>
      </c>
      <c r="C381" s="11" t="s">
        <v>46</v>
      </c>
      <c r="D381" s="22">
        <f t="shared" ref="D381:E381" si="95">D380+1</f>
        <v>380</v>
      </c>
      <c r="E381" s="11">
        <f t="shared" si="95"/>
        <v>94</v>
      </c>
      <c r="F381" s="11">
        <f t="shared" si="69"/>
        <v>470</v>
      </c>
    </row>
    <row r="382" spans="1:6" x14ac:dyDescent="0.25">
      <c r="A382" s="11" t="s">
        <v>73</v>
      </c>
      <c r="B382" s="11" t="str">
        <f t="shared" si="67"/>
        <v>3"381</v>
      </c>
      <c r="C382" s="11" t="s">
        <v>46</v>
      </c>
      <c r="D382" s="22">
        <f t="shared" ref="D382:E382" si="96">D381+1</f>
        <v>381</v>
      </c>
      <c r="E382" s="11">
        <f t="shared" si="96"/>
        <v>95</v>
      </c>
      <c r="F382" s="11">
        <f t="shared" si="69"/>
        <v>475</v>
      </c>
    </row>
    <row r="383" spans="1:6" x14ac:dyDescent="0.25">
      <c r="A383" s="11" t="s">
        <v>73</v>
      </c>
      <c r="B383" s="11" t="str">
        <f t="shared" si="67"/>
        <v>3"382</v>
      </c>
      <c r="C383" s="11" t="s">
        <v>46</v>
      </c>
      <c r="D383" s="22">
        <f t="shared" ref="D383:E383" si="97">D382+1</f>
        <v>382</v>
      </c>
      <c r="E383" s="11">
        <f t="shared" si="97"/>
        <v>96</v>
      </c>
      <c r="F383" s="11">
        <f t="shared" si="69"/>
        <v>480</v>
      </c>
    </row>
    <row r="384" spans="1:6" x14ac:dyDescent="0.25">
      <c r="A384" s="11" t="s">
        <v>73</v>
      </c>
      <c r="B384" s="11" t="str">
        <f t="shared" si="67"/>
        <v>3"383</v>
      </c>
      <c r="C384" s="11" t="s">
        <v>46</v>
      </c>
      <c r="D384" s="22">
        <f t="shared" ref="D384:E384" si="98">D383+1</f>
        <v>383</v>
      </c>
      <c r="E384" s="11">
        <f t="shared" si="98"/>
        <v>97</v>
      </c>
      <c r="F384" s="11">
        <f t="shared" si="69"/>
        <v>485</v>
      </c>
    </row>
    <row r="385" spans="1:6" x14ac:dyDescent="0.25">
      <c r="A385" s="11" t="s">
        <v>73</v>
      </c>
      <c r="B385" s="11" t="str">
        <f t="shared" si="67"/>
        <v>3"384</v>
      </c>
      <c r="C385" s="11" t="s">
        <v>46</v>
      </c>
      <c r="D385" s="22">
        <f t="shared" ref="D385:E385" si="99">D384+1</f>
        <v>384</v>
      </c>
      <c r="E385" s="11">
        <f t="shared" si="99"/>
        <v>98</v>
      </c>
      <c r="F385" s="11">
        <f t="shared" si="69"/>
        <v>490</v>
      </c>
    </row>
    <row r="386" spans="1:6" x14ac:dyDescent="0.25">
      <c r="A386" s="11" t="s">
        <v>73</v>
      </c>
      <c r="B386" s="11" t="str">
        <f t="shared" si="12"/>
        <v>1"1</v>
      </c>
      <c r="C386" s="11" t="s">
        <v>23</v>
      </c>
      <c r="D386" s="3">
        <v>1</v>
      </c>
      <c r="E386" s="11">
        <v>1</v>
      </c>
      <c r="F386" s="11">
        <f t="shared" si="20"/>
        <v>5</v>
      </c>
    </row>
    <row r="387" spans="1:6" x14ac:dyDescent="0.25">
      <c r="A387" s="11" t="s">
        <v>73</v>
      </c>
      <c r="B387" s="11" t="str">
        <f t="shared" si="12"/>
        <v>1"2</v>
      </c>
      <c r="C387" s="11" t="s">
        <v>23</v>
      </c>
      <c r="D387" s="3">
        <f>D386+1</f>
        <v>2</v>
      </c>
      <c r="E387" s="11">
        <v>1</v>
      </c>
      <c r="F387" s="11">
        <f t="shared" si="20"/>
        <v>5</v>
      </c>
    </row>
    <row r="388" spans="1:6" x14ac:dyDescent="0.25">
      <c r="A388" s="11" t="s">
        <v>73</v>
      </c>
      <c r="B388" s="11" t="str">
        <f t="shared" si="12"/>
        <v>1"3</v>
      </c>
      <c r="C388" s="11" t="s">
        <v>23</v>
      </c>
      <c r="D388" s="3">
        <f t="shared" ref="D388:D425" si="100">D387+1</f>
        <v>3</v>
      </c>
      <c r="E388" s="11">
        <v>1</v>
      </c>
      <c r="F388" s="11">
        <f t="shared" si="20"/>
        <v>5</v>
      </c>
    </row>
    <row r="389" spans="1:6" x14ac:dyDescent="0.25">
      <c r="A389" s="11" t="s">
        <v>73</v>
      </c>
      <c r="B389" s="11" t="str">
        <f t="shared" si="12"/>
        <v>1"4</v>
      </c>
      <c r="C389" s="11" t="s">
        <v>23</v>
      </c>
      <c r="D389" s="3">
        <f t="shared" si="100"/>
        <v>4</v>
      </c>
      <c r="E389" s="11">
        <v>1</v>
      </c>
      <c r="F389" s="11">
        <f t="shared" si="20"/>
        <v>5</v>
      </c>
    </row>
    <row r="390" spans="1:6" x14ac:dyDescent="0.25">
      <c r="A390" s="11" t="s">
        <v>73</v>
      </c>
      <c r="B390" s="11" t="str">
        <f t="shared" si="12"/>
        <v>1"5</v>
      </c>
      <c r="C390" s="11" t="s">
        <v>23</v>
      </c>
      <c r="D390" s="3">
        <f t="shared" si="100"/>
        <v>5</v>
      </c>
      <c r="E390" s="11">
        <v>1</v>
      </c>
      <c r="F390" s="11">
        <f t="shared" si="20"/>
        <v>5</v>
      </c>
    </row>
    <row r="391" spans="1:6" x14ac:dyDescent="0.25">
      <c r="A391" s="11" t="s">
        <v>73</v>
      </c>
      <c r="B391" s="11" t="str">
        <f t="shared" si="12"/>
        <v>1"6</v>
      </c>
      <c r="C391" s="11" t="s">
        <v>23</v>
      </c>
      <c r="D391" s="3">
        <f t="shared" si="100"/>
        <v>6</v>
      </c>
      <c r="E391" s="11">
        <v>1</v>
      </c>
      <c r="F391" s="11">
        <f t="shared" si="20"/>
        <v>5</v>
      </c>
    </row>
    <row r="392" spans="1:6" x14ac:dyDescent="0.25">
      <c r="A392" s="11" t="s">
        <v>73</v>
      </c>
      <c r="B392" s="11" t="str">
        <f t="shared" si="12"/>
        <v>1"7</v>
      </c>
      <c r="C392" s="11" t="s">
        <v>23</v>
      </c>
      <c r="D392" s="3">
        <f t="shared" si="100"/>
        <v>7</v>
      </c>
      <c r="E392" s="11">
        <v>1</v>
      </c>
      <c r="F392" s="11">
        <f t="shared" si="20"/>
        <v>5</v>
      </c>
    </row>
    <row r="393" spans="1:6" x14ac:dyDescent="0.25">
      <c r="A393" s="11" t="s">
        <v>73</v>
      </c>
      <c r="B393" s="11" t="str">
        <f t="shared" si="12"/>
        <v>1"8</v>
      </c>
      <c r="C393" s="11" t="s">
        <v>23</v>
      </c>
      <c r="D393" s="3">
        <f t="shared" si="100"/>
        <v>8</v>
      </c>
      <c r="E393" s="11">
        <v>1</v>
      </c>
      <c r="F393" s="11">
        <f t="shared" si="20"/>
        <v>5</v>
      </c>
    </row>
    <row r="394" spans="1:6" x14ac:dyDescent="0.25">
      <c r="A394" s="11" t="s">
        <v>73</v>
      </c>
      <c r="B394" s="11" t="str">
        <f t="shared" si="12"/>
        <v>1"9</v>
      </c>
      <c r="C394" s="11" t="s">
        <v>23</v>
      </c>
      <c r="D394" s="3">
        <f t="shared" si="100"/>
        <v>9</v>
      </c>
      <c r="E394" s="11">
        <v>1</v>
      </c>
      <c r="F394" s="11">
        <f t="shared" si="20"/>
        <v>5</v>
      </c>
    </row>
    <row r="395" spans="1:6" x14ac:dyDescent="0.25">
      <c r="A395" s="11" t="s">
        <v>73</v>
      </c>
      <c r="B395" s="11" t="str">
        <f t="shared" si="12"/>
        <v>1"10</v>
      </c>
      <c r="C395" s="11" t="s">
        <v>23</v>
      </c>
      <c r="D395" s="3">
        <f t="shared" si="100"/>
        <v>10</v>
      </c>
      <c r="E395" s="11">
        <v>1</v>
      </c>
      <c r="F395" s="11">
        <f t="shared" ref="F395:F458" si="101">E395*$F$1</f>
        <v>5</v>
      </c>
    </row>
    <row r="396" spans="1:6" x14ac:dyDescent="0.25">
      <c r="A396" s="11" t="s">
        <v>73</v>
      </c>
      <c r="B396" s="11" t="str">
        <f t="shared" si="12"/>
        <v>1"11</v>
      </c>
      <c r="C396" s="11" t="s">
        <v>23</v>
      </c>
      <c r="D396" s="3">
        <f t="shared" si="100"/>
        <v>11</v>
      </c>
      <c r="E396" s="11">
        <v>1</v>
      </c>
      <c r="F396" s="11">
        <f t="shared" si="101"/>
        <v>5</v>
      </c>
    </row>
    <row r="397" spans="1:6" x14ac:dyDescent="0.25">
      <c r="A397" s="11" t="s">
        <v>73</v>
      </c>
      <c r="B397" s="11" t="str">
        <f t="shared" si="12"/>
        <v>1"12</v>
      </c>
      <c r="C397" s="11" t="s">
        <v>23</v>
      </c>
      <c r="D397" s="3">
        <f t="shared" si="100"/>
        <v>12</v>
      </c>
      <c r="E397" s="11">
        <v>1</v>
      </c>
      <c r="F397" s="11">
        <f t="shared" si="101"/>
        <v>5</v>
      </c>
    </row>
    <row r="398" spans="1:6" x14ac:dyDescent="0.25">
      <c r="A398" s="11" t="s">
        <v>73</v>
      </c>
      <c r="B398" s="11" t="str">
        <f t="shared" si="12"/>
        <v>1"13</v>
      </c>
      <c r="C398" s="11" t="s">
        <v>23</v>
      </c>
      <c r="D398" s="3">
        <f t="shared" si="100"/>
        <v>13</v>
      </c>
      <c r="E398" s="11">
        <v>1</v>
      </c>
      <c r="F398" s="11">
        <f t="shared" si="101"/>
        <v>5</v>
      </c>
    </row>
    <row r="399" spans="1:6" x14ac:dyDescent="0.25">
      <c r="A399" s="11" t="s">
        <v>73</v>
      </c>
      <c r="B399" s="11" t="str">
        <f t="shared" si="12"/>
        <v>1"14</v>
      </c>
      <c r="C399" s="11" t="s">
        <v>23</v>
      </c>
      <c r="D399" s="3">
        <f t="shared" si="100"/>
        <v>14</v>
      </c>
      <c r="E399" s="11">
        <v>1</v>
      </c>
      <c r="F399" s="11">
        <f t="shared" si="101"/>
        <v>5</v>
      </c>
    </row>
    <row r="400" spans="1:6" x14ac:dyDescent="0.25">
      <c r="A400" s="11" t="s">
        <v>73</v>
      </c>
      <c r="B400" s="11" t="str">
        <f t="shared" si="12"/>
        <v>1"15</v>
      </c>
      <c r="C400" s="11" t="s">
        <v>23</v>
      </c>
      <c r="D400" s="3">
        <f t="shared" si="100"/>
        <v>15</v>
      </c>
      <c r="E400" s="11">
        <v>1</v>
      </c>
      <c r="F400" s="11">
        <f t="shared" si="101"/>
        <v>5</v>
      </c>
    </row>
    <row r="401" spans="1:6" x14ac:dyDescent="0.25">
      <c r="A401" s="11" t="s">
        <v>73</v>
      </c>
      <c r="B401" s="11" t="str">
        <f t="shared" si="12"/>
        <v>1"16</v>
      </c>
      <c r="C401" s="11" t="s">
        <v>23</v>
      </c>
      <c r="D401" s="3">
        <f t="shared" si="100"/>
        <v>16</v>
      </c>
      <c r="E401" s="11">
        <v>1</v>
      </c>
      <c r="F401" s="11">
        <f t="shared" si="101"/>
        <v>5</v>
      </c>
    </row>
    <row r="402" spans="1:6" x14ac:dyDescent="0.25">
      <c r="A402" s="11" t="s">
        <v>73</v>
      </c>
      <c r="B402" s="11" t="str">
        <f t="shared" si="12"/>
        <v>1"17</v>
      </c>
      <c r="C402" s="11" t="s">
        <v>23</v>
      </c>
      <c r="D402" s="3">
        <f t="shared" si="100"/>
        <v>17</v>
      </c>
      <c r="E402" s="11">
        <v>1</v>
      </c>
      <c r="F402" s="11">
        <f t="shared" si="101"/>
        <v>5</v>
      </c>
    </row>
    <row r="403" spans="1:6" x14ac:dyDescent="0.25">
      <c r="A403" s="11" t="s">
        <v>73</v>
      </c>
      <c r="B403" s="11" t="str">
        <f t="shared" si="12"/>
        <v>1"18</v>
      </c>
      <c r="C403" s="11" t="s">
        <v>23</v>
      </c>
      <c r="D403" s="3">
        <f t="shared" si="100"/>
        <v>18</v>
      </c>
      <c r="E403" s="11">
        <v>1</v>
      </c>
      <c r="F403" s="11">
        <f t="shared" si="101"/>
        <v>5</v>
      </c>
    </row>
    <row r="404" spans="1:6" x14ac:dyDescent="0.25">
      <c r="A404" s="11" t="s">
        <v>73</v>
      </c>
      <c r="B404" s="11" t="str">
        <f t="shared" si="12"/>
        <v>1"19</v>
      </c>
      <c r="C404" s="11" t="s">
        <v>23</v>
      </c>
      <c r="D404" s="3">
        <f t="shared" si="100"/>
        <v>19</v>
      </c>
      <c r="E404" s="11">
        <v>1</v>
      </c>
      <c r="F404" s="11">
        <f t="shared" si="101"/>
        <v>5</v>
      </c>
    </row>
    <row r="405" spans="1:6" x14ac:dyDescent="0.25">
      <c r="A405" s="11" t="s">
        <v>73</v>
      </c>
      <c r="B405" s="11" t="str">
        <f t="shared" si="12"/>
        <v>1"20</v>
      </c>
      <c r="C405" s="11" t="s">
        <v>23</v>
      </c>
      <c r="D405" s="22">
        <f t="shared" si="100"/>
        <v>20</v>
      </c>
      <c r="E405" s="11">
        <v>1</v>
      </c>
      <c r="F405" s="11">
        <f t="shared" si="101"/>
        <v>5</v>
      </c>
    </row>
    <row r="406" spans="1:6" x14ac:dyDescent="0.25">
      <c r="A406" s="11" t="s">
        <v>73</v>
      </c>
      <c r="B406" s="11" t="str">
        <f t="shared" si="12"/>
        <v>1"21</v>
      </c>
      <c r="C406" s="11" t="s">
        <v>23</v>
      </c>
      <c r="D406" s="3">
        <f t="shared" si="100"/>
        <v>21</v>
      </c>
      <c r="E406" s="11">
        <f>E405+1</f>
        <v>2</v>
      </c>
      <c r="F406" s="11">
        <f t="shared" si="101"/>
        <v>10</v>
      </c>
    </row>
    <row r="407" spans="1:6" x14ac:dyDescent="0.25">
      <c r="A407" s="11" t="s">
        <v>73</v>
      </c>
      <c r="B407" s="11" t="str">
        <f t="shared" si="12"/>
        <v>1"22</v>
      </c>
      <c r="C407" s="11" t="s">
        <v>23</v>
      </c>
      <c r="D407" s="3">
        <f t="shared" si="100"/>
        <v>22</v>
      </c>
      <c r="E407" s="11">
        <f t="shared" ref="E407:E413" si="102">E406</f>
        <v>2</v>
      </c>
      <c r="F407" s="11">
        <f t="shared" si="101"/>
        <v>10</v>
      </c>
    </row>
    <row r="408" spans="1:6" x14ac:dyDescent="0.25">
      <c r="A408" s="11" t="s">
        <v>73</v>
      </c>
      <c r="B408" s="11" t="str">
        <f t="shared" si="12"/>
        <v>1"23</v>
      </c>
      <c r="C408" s="11" t="s">
        <v>23</v>
      </c>
      <c r="D408" s="3">
        <f t="shared" si="100"/>
        <v>23</v>
      </c>
      <c r="E408" s="11">
        <f t="shared" si="102"/>
        <v>2</v>
      </c>
      <c r="F408" s="11">
        <f t="shared" si="101"/>
        <v>10</v>
      </c>
    </row>
    <row r="409" spans="1:6" x14ac:dyDescent="0.25">
      <c r="A409" s="11" t="s">
        <v>73</v>
      </c>
      <c r="B409" s="11" t="str">
        <f t="shared" si="12"/>
        <v>1"24</v>
      </c>
      <c r="C409" s="11" t="s">
        <v>23</v>
      </c>
      <c r="D409" s="3">
        <f t="shared" si="100"/>
        <v>24</v>
      </c>
      <c r="E409" s="11">
        <f t="shared" si="102"/>
        <v>2</v>
      </c>
      <c r="F409" s="11">
        <f t="shared" si="101"/>
        <v>10</v>
      </c>
    </row>
    <row r="410" spans="1:6" x14ac:dyDescent="0.25">
      <c r="A410" s="11" t="s">
        <v>73</v>
      </c>
      <c r="B410" s="11" t="str">
        <f t="shared" si="12"/>
        <v>1"25</v>
      </c>
      <c r="C410" s="11" t="s">
        <v>23</v>
      </c>
      <c r="D410" s="3">
        <f t="shared" si="100"/>
        <v>25</v>
      </c>
      <c r="E410" s="11">
        <f t="shared" si="102"/>
        <v>2</v>
      </c>
      <c r="F410" s="11">
        <f t="shared" si="101"/>
        <v>10</v>
      </c>
    </row>
    <row r="411" spans="1:6" x14ac:dyDescent="0.25">
      <c r="A411" s="11" t="s">
        <v>73</v>
      </c>
      <c r="B411" s="11" t="str">
        <f t="shared" si="12"/>
        <v>1"26</v>
      </c>
      <c r="C411" s="11" t="s">
        <v>23</v>
      </c>
      <c r="D411" s="3">
        <f t="shared" si="100"/>
        <v>26</v>
      </c>
      <c r="E411" s="11">
        <f t="shared" si="102"/>
        <v>2</v>
      </c>
      <c r="F411" s="11">
        <f t="shared" si="101"/>
        <v>10</v>
      </c>
    </row>
    <row r="412" spans="1:6" x14ac:dyDescent="0.25">
      <c r="A412" s="11" t="s">
        <v>73</v>
      </c>
      <c r="B412" s="11" t="str">
        <f t="shared" si="12"/>
        <v>1"27</v>
      </c>
      <c r="C412" s="11" t="s">
        <v>23</v>
      </c>
      <c r="D412" s="3">
        <f t="shared" si="100"/>
        <v>27</v>
      </c>
      <c r="E412" s="11">
        <f t="shared" si="102"/>
        <v>2</v>
      </c>
      <c r="F412" s="11">
        <f t="shared" si="101"/>
        <v>10</v>
      </c>
    </row>
    <row r="413" spans="1:6" x14ac:dyDescent="0.25">
      <c r="A413" s="11" t="s">
        <v>73</v>
      </c>
      <c r="B413" s="11" t="str">
        <f t="shared" si="12"/>
        <v>1"28</v>
      </c>
      <c r="C413" s="11" t="s">
        <v>23</v>
      </c>
      <c r="D413" s="3">
        <f t="shared" si="100"/>
        <v>28</v>
      </c>
      <c r="E413" s="11">
        <f t="shared" si="102"/>
        <v>2</v>
      </c>
      <c r="F413" s="11">
        <f t="shared" si="101"/>
        <v>10</v>
      </c>
    </row>
    <row r="414" spans="1:6" x14ac:dyDescent="0.25">
      <c r="A414" s="11" t="s">
        <v>73</v>
      </c>
      <c r="B414" s="11" t="str">
        <f t="shared" si="12"/>
        <v>1"29</v>
      </c>
      <c r="C414" s="11" t="s">
        <v>23</v>
      </c>
      <c r="D414" s="3">
        <f t="shared" si="100"/>
        <v>29</v>
      </c>
      <c r="E414" s="11">
        <f t="shared" ref="E414:E425" si="103">E413</f>
        <v>2</v>
      </c>
      <c r="F414" s="11">
        <f t="shared" si="101"/>
        <v>10</v>
      </c>
    </row>
    <row r="415" spans="1:6" x14ac:dyDescent="0.25">
      <c r="A415" s="11" t="s">
        <v>73</v>
      </c>
      <c r="B415" s="11" t="str">
        <f t="shared" si="12"/>
        <v>1"30</v>
      </c>
      <c r="C415" s="11" t="s">
        <v>23</v>
      </c>
      <c r="D415" s="3">
        <f t="shared" si="100"/>
        <v>30</v>
      </c>
      <c r="E415" s="11">
        <f t="shared" si="103"/>
        <v>2</v>
      </c>
      <c r="F415" s="11">
        <f t="shared" si="101"/>
        <v>10</v>
      </c>
    </row>
    <row r="416" spans="1:6" x14ac:dyDescent="0.25">
      <c r="A416" s="11" t="s">
        <v>73</v>
      </c>
      <c r="B416" s="11" t="str">
        <f t="shared" si="12"/>
        <v>1"31</v>
      </c>
      <c r="C416" s="11" t="s">
        <v>23</v>
      </c>
      <c r="D416" s="3">
        <f t="shared" si="100"/>
        <v>31</v>
      </c>
      <c r="E416" s="11">
        <f t="shared" si="103"/>
        <v>2</v>
      </c>
      <c r="F416" s="11">
        <f t="shared" si="101"/>
        <v>10</v>
      </c>
    </row>
    <row r="417" spans="1:6" x14ac:dyDescent="0.25">
      <c r="A417" s="11" t="s">
        <v>73</v>
      </c>
      <c r="B417" s="11" t="str">
        <f t="shared" si="12"/>
        <v>1"32</v>
      </c>
      <c r="C417" s="11" t="s">
        <v>23</v>
      </c>
      <c r="D417" s="3">
        <f t="shared" si="100"/>
        <v>32</v>
      </c>
      <c r="E417" s="11">
        <f t="shared" si="103"/>
        <v>2</v>
      </c>
      <c r="F417" s="11">
        <f t="shared" si="101"/>
        <v>10</v>
      </c>
    </row>
    <row r="418" spans="1:6" x14ac:dyDescent="0.25">
      <c r="A418" s="11" t="s">
        <v>73</v>
      </c>
      <c r="B418" s="11" t="str">
        <f t="shared" si="12"/>
        <v>1"33</v>
      </c>
      <c r="C418" s="11" t="s">
        <v>23</v>
      </c>
      <c r="D418" s="3">
        <f t="shared" si="100"/>
        <v>33</v>
      </c>
      <c r="E418" s="11">
        <f t="shared" si="103"/>
        <v>2</v>
      </c>
      <c r="F418" s="11">
        <f t="shared" si="101"/>
        <v>10</v>
      </c>
    </row>
    <row r="419" spans="1:6" x14ac:dyDescent="0.25">
      <c r="A419" s="11" t="s">
        <v>73</v>
      </c>
      <c r="B419" s="11" t="str">
        <f t="shared" ref="B419:B435" si="104">CONCATENATE(C419&amp;D419)</f>
        <v>1"34</v>
      </c>
      <c r="C419" s="11" t="s">
        <v>23</v>
      </c>
      <c r="D419" s="3">
        <f t="shared" si="100"/>
        <v>34</v>
      </c>
      <c r="E419" s="11">
        <f t="shared" si="103"/>
        <v>2</v>
      </c>
      <c r="F419" s="11">
        <f t="shared" si="101"/>
        <v>10</v>
      </c>
    </row>
    <row r="420" spans="1:6" x14ac:dyDescent="0.25">
      <c r="A420" s="11" t="s">
        <v>73</v>
      </c>
      <c r="B420" s="11" t="str">
        <f t="shared" si="104"/>
        <v>1"35</v>
      </c>
      <c r="C420" s="11" t="s">
        <v>23</v>
      </c>
      <c r="D420" s="3">
        <f t="shared" si="100"/>
        <v>35</v>
      </c>
      <c r="E420" s="11">
        <f t="shared" si="103"/>
        <v>2</v>
      </c>
      <c r="F420" s="11">
        <f t="shared" si="101"/>
        <v>10</v>
      </c>
    </row>
    <row r="421" spans="1:6" x14ac:dyDescent="0.25">
      <c r="A421" s="11" t="s">
        <v>73</v>
      </c>
      <c r="B421" s="11" t="str">
        <f t="shared" si="104"/>
        <v>1"36</v>
      </c>
      <c r="C421" s="11" t="s">
        <v>23</v>
      </c>
      <c r="D421" s="3">
        <f t="shared" si="100"/>
        <v>36</v>
      </c>
      <c r="E421" s="11">
        <f t="shared" si="103"/>
        <v>2</v>
      </c>
      <c r="F421" s="11">
        <f t="shared" si="101"/>
        <v>10</v>
      </c>
    </row>
    <row r="422" spans="1:6" x14ac:dyDescent="0.25">
      <c r="A422" s="11" t="s">
        <v>73</v>
      </c>
      <c r="B422" s="11" t="str">
        <f t="shared" si="104"/>
        <v>1"37</v>
      </c>
      <c r="C422" s="11" t="s">
        <v>23</v>
      </c>
      <c r="D422" s="3">
        <f t="shared" si="100"/>
        <v>37</v>
      </c>
      <c r="E422" s="11">
        <f t="shared" si="103"/>
        <v>2</v>
      </c>
      <c r="F422" s="11">
        <f t="shared" si="101"/>
        <v>10</v>
      </c>
    </row>
    <row r="423" spans="1:6" x14ac:dyDescent="0.25">
      <c r="A423" s="11" t="s">
        <v>73</v>
      </c>
      <c r="B423" s="11" t="str">
        <f t="shared" si="104"/>
        <v>1"38</v>
      </c>
      <c r="C423" s="11" t="s">
        <v>23</v>
      </c>
      <c r="D423" s="3">
        <f t="shared" si="100"/>
        <v>38</v>
      </c>
      <c r="E423" s="11">
        <f t="shared" si="103"/>
        <v>2</v>
      </c>
      <c r="F423" s="11">
        <f t="shared" si="101"/>
        <v>10</v>
      </c>
    </row>
    <row r="424" spans="1:6" x14ac:dyDescent="0.25">
      <c r="A424" s="11" t="s">
        <v>73</v>
      </c>
      <c r="B424" s="11" t="str">
        <f t="shared" si="104"/>
        <v>1"39</v>
      </c>
      <c r="C424" s="11" t="s">
        <v>23</v>
      </c>
      <c r="D424" s="3">
        <f t="shared" si="100"/>
        <v>39</v>
      </c>
      <c r="E424" s="11">
        <f t="shared" si="103"/>
        <v>2</v>
      </c>
      <c r="F424" s="11">
        <f t="shared" si="101"/>
        <v>10</v>
      </c>
    </row>
    <row r="425" spans="1:6" x14ac:dyDescent="0.25">
      <c r="A425" s="11" t="s">
        <v>73</v>
      </c>
      <c r="B425" s="11" t="str">
        <f t="shared" si="104"/>
        <v>1"40</v>
      </c>
      <c r="C425" s="11" t="s">
        <v>23</v>
      </c>
      <c r="D425" s="3">
        <f t="shared" si="100"/>
        <v>40</v>
      </c>
      <c r="E425" s="11">
        <f t="shared" si="103"/>
        <v>2</v>
      </c>
      <c r="F425" s="11">
        <f t="shared" si="101"/>
        <v>10</v>
      </c>
    </row>
    <row r="426" spans="1:6" x14ac:dyDescent="0.25">
      <c r="A426" s="11" t="s">
        <v>73</v>
      </c>
      <c r="B426" s="11" t="str">
        <f t="shared" si="104"/>
        <v>1"41</v>
      </c>
      <c r="C426" s="11" t="s">
        <v>23</v>
      </c>
      <c r="D426" s="3">
        <f t="shared" ref="D426:D489" si="105">D425+1</f>
        <v>41</v>
      </c>
      <c r="E426" s="11">
        <f t="shared" ref="E426" si="106">E425+1</f>
        <v>3</v>
      </c>
      <c r="F426" s="11">
        <f t="shared" si="101"/>
        <v>15</v>
      </c>
    </row>
    <row r="427" spans="1:6" x14ac:dyDescent="0.25">
      <c r="A427" s="11" t="s">
        <v>73</v>
      </c>
      <c r="B427" s="11" t="str">
        <f t="shared" si="104"/>
        <v>1"42</v>
      </c>
      <c r="C427" s="11" t="s">
        <v>23</v>
      </c>
      <c r="D427" s="3">
        <f t="shared" si="105"/>
        <v>42</v>
      </c>
      <c r="E427" s="11">
        <f t="shared" ref="E427:E445" si="107">E426</f>
        <v>3</v>
      </c>
      <c r="F427" s="11">
        <f t="shared" si="101"/>
        <v>15</v>
      </c>
    </row>
    <row r="428" spans="1:6" x14ac:dyDescent="0.25">
      <c r="A428" s="11" t="s">
        <v>73</v>
      </c>
      <c r="B428" s="11" t="str">
        <f t="shared" si="104"/>
        <v>1"43</v>
      </c>
      <c r="C428" s="11" t="s">
        <v>23</v>
      </c>
      <c r="D428" s="3">
        <f t="shared" si="105"/>
        <v>43</v>
      </c>
      <c r="E428" s="11">
        <f t="shared" si="107"/>
        <v>3</v>
      </c>
      <c r="F428" s="11">
        <f t="shared" si="101"/>
        <v>15</v>
      </c>
    </row>
    <row r="429" spans="1:6" x14ac:dyDescent="0.25">
      <c r="A429" s="11" t="s">
        <v>73</v>
      </c>
      <c r="B429" s="11" t="str">
        <f t="shared" si="104"/>
        <v>1"44</v>
      </c>
      <c r="C429" s="11" t="s">
        <v>23</v>
      </c>
      <c r="D429" s="3">
        <f t="shared" si="105"/>
        <v>44</v>
      </c>
      <c r="E429" s="11">
        <f t="shared" si="107"/>
        <v>3</v>
      </c>
      <c r="F429" s="11">
        <f t="shared" si="101"/>
        <v>15</v>
      </c>
    </row>
    <row r="430" spans="1:6" x14ac:dyDescent="0.25">
      <c r="A430" s="11" t="s">
        <v>73</v>
      </c>
      <c r="B430" s="11" t="str">
        <f t="shared" si="104"/>
        <v>1"45</v>
      </c>
      <c r="C430" s="11" t="s">
        <v>23</v>
      </c>
      <c r="D430" s="3">
        <f t="shared" si="105"/>
        <v>45</v>
      </c>
      <c r="E430" s="11">
        <f t="shared" si="107"/>
        <v>3</v>
      </c>
      <c r="F430" s="11">
        <f t="shared" si="101"/>
        <v>15</v>
      </c>
    </row>
    <row r="431" spans="1:6" x14ac:dyDescent="0.25">
      <c r="A431" s="11" t="s">
        <v>73</v>
      </c>
      <c r="B431" s="11" t="str">
        <f t="shared" si="104"/>
        <v>1"46</v>
      </c>
      <c r="C431" s="11" t="s">
        <v>23</v>
      </c>
      <c r="D431" s="3">
        <f t="shared" si="105"/>
        <v>46</v>
      </c>
      <c r="E431" s="11">
        <f t="shared" si="107"/>
        <v>3</v>
      </c>
      <c r="F431" s="11">
        <f t="shared" si="101"/>
        <v>15</v>
      </c>
    </row>
    <row r="432" spans="1:6" x14ac:dyDescent="0.25">
      <c r="A432" s="11" t="s">
        <v>73</v>
      </c>
      <c r="B432" s="11" t="str">
        <f t="shared" si="104"/>
        <v>1"47</v>
      </c>
      <c r="C432" s="11" t="s">
        <v>23</v>
      </c>
      <c r="D432" s="3">
        <f t="shared" si="105"/>
        <v>47</v>
      </c>
      <c r="E432" s="11">
        <f t="shared" si="107"/>
        <v>3</v>
      </c>
      <c r="F432" s="11">
        <f t="shared" si="101"/>
        <v>15</v>
      </c>
    </row>
    <row r="433" spans="1:6" x14ac:dyDescent="0.25">
      <c r="A433" s="11" t="s">
        <v>73</v>
      </c>
      <c r="B433" s="11" t="str">
        <f t="shared" si="104"/>
        <v>1"48</v>
      </c>
      <c r="C433" s="11" t="s">
        <v>23</v>
      </c>
      <c r="D433" s="3">
        <f t="shared" si="105"/>
        <v>48</v>
      </c>
      <c r="E433" s="11">
        <f t="shared" si="107"/>
        <v>3</v>
      </c>
      <c r="F433" s="11">
        <f t="shared" si="101"/>
        <v>15</v>
      </c>
    </row>
    <row r="434" spans="1:6" x14ac:dyDescent="0.25">
      <c r="A434" s="11" t="s">
        <v>73</v>
      </c>
      <c r="B434" s="11" t="str">
        <f t="shared" si="104"/>
        <v>1"49</v>
      </c>
      <c r="C434" s="11" t="s">
        <v>23</v>
      </c>
      <c r="D434" s="3">
        <f t="shared" si="105"/>
        <v>49</v>
      </c>
      <c r="E434" s="11">
        <f t="shared" si="107"/>
        <v>3</v>
      </c>
      <c r="F434" s="11">
        <f t="shared" si="101"/>
        <v>15</v>
      </c>
    </row>
    <row r="435" spans="1:6" x14ac:dyDescent="0.25">
      <c r="A435" s="11" t="s">
        <v>73</v>
      </c>
      <c r="B435" s="11" t="str">
        <f t="shared" si="104"/>
        <v>1"50</v>
      </c>
      <c r="C435" s="11" t="s">
        <v>23</v>
      </c>
      <c r="D435" s="3">
        <f t="shared" si="105"/>
        <v>50</v>
      </c>
      <c r="E435" s="11">
        <f t="shared" si="107"/>
        <v>3</v>
      </c>
      <c r="F435" s="11">
        <f t="shared" si="101"/>
        <v>15</v>
      </c>
    </row>
    <row r="436" spans="1:6" x14ac:dyDescent="0.25">
      <c r="A436" s="11" t="s">
        <v>73</v>
      </c>
      <c r="B436" s="11" t="str">
        <f t="shared" ref="B436:B440" si="108">CONCATENATE(C436&amp;D436)</f>
        <v>1"51</v>
      </c>
      <c r="C436" s="11" t="s">
        <v>23</v>
      </c>
      <c r="D436" s="3">
        <f t="shared" si="105"/>
        <v>51</v>
      </c>
      <c r="E436" s="11">
        <f t="shared" si="107"/>
        <v>3</v>
      </c>
      <c r="F436" s="11">
        <f t="shared" si="101"/>
        <v>15</v>
      </c>
    </row>
    <row r="437" spans="1:6" x14ac:dyDescent="0.25">
      <c r="A437" s="11" t="s">
        <v>73</v>
      </c>
      <c r="B437" s="11" t="str">
        <f t="shared" si="108"/>
        <v>1"52</v>
      </c>
      <c r="C437" s="11" t="s">
        <v>23</v>
      </c>
      <c r="D437" s="3">
        <f t="shared" si="105"/>
        <v>52</v>
      </c>
      <c r="E437" s="11">
        <f t="shared" si="107"/>
        <v>3</v>
      </c>
      <c r="F437" s="11">
        <f t="shared" si="101"/>
        <v>15</v>
      </c>
    </row>
    <row r="438" spans="1:6" x14ac:dyDescent="0.25">
      <c r="A438" s="11" t="s">
        <v>73</v>
      </c>
      <c r="B438" s="11" t="str">
        <f t="shared" si="108"/>
        <v>1"53</v>
      </c>
      <c r="C438" s="11" t="s">
        <v>23</v>
      </c>
      <c r="D438" s="3">
        <f t="shared" si="105"/>
        <v>53</v>
      </c>
      <c r="E438" s="11">
        <f t="shared" si="107"/>
        <v>3</v>
      </c>
      <c r="F438" s="11">
        <f t="shared" si="101"/>
        <v>15</v>
      </c>
    </row>
    <row r="439" spans="1:6" x14ac:dyDescent="0.25">
      <c r="A439" s="11" t="s">
        <v>73</v>
      </c>
      <c r="B439" s="11" t="str">
        <f t="shared" si="108"/>
        <v>1"54</v>
      </c>
      <c r="C439" s="11" t="s">
        <v>23</v>
      </c>
      <c r="D439" s="3">
        <f t="shared" si="105"/>
        <v>54</v>
      </c>
      <c r="E439" s="11">
        <f t="shared" si="107"/>
        <v>3</v>
      </c>
      <c r="F439" s="11">
        <f t="shared" si="101"/>
        <v>15</v>
      </c>
    </row>
    <row r="440" spans="1:6" x14ac:dyDescent="0.25">
      <c r="A440" s="11" t="s">
        <v>73</v>
      </c>
      <c r="B440" s="11" t="str">
        <f t="shared" si="108"/>
        <v>1"55</v>
      </c>
      <c r="C440" s="11" t="s">
        <v>23</v>
      </c>
      <c r="D440" s="3">
        <f t="shared" si="105"/>
        <v>55</v>
      </c>
      <c r="E440" s="11">
        <f t="shared" si="107"/>
        <v>3</v>
      </c>
      <c r="F440" s="11">
        <f t="shared" si="101"/>
        <v>15</v>
      </c>
    </row>
    <row r="441" spans="1:6" x14ac:dyDescent="0.25">
      <c r="A441" s="11" t="s">
        <v>73</v>
      </c>
      <c r="B441" s="11" t="str">
        <f t="shared" ref="B441:B442" si="109">CONCATENATE(C441&amp;D441)</f>
        <v>1"56</v>
      </c>
      <c r="C441" s="11" t="s">
        <v>23</v>
      </c>
      <c r="D441" s="3">
        <f t="shared" si="105"/>
        <v>56</v>
      </c>
      <c r="E441" s="11">
        <f t="shared" si="107"/>
        <v>3</v>
      </c>
      <c r="F441" s="11">
        <f t="shared" si="101"/>
        <v>15</v>
      </c>
    </row>
    <row r="442" spans="1:6" x14ac:dyDescent="0.25">
      <c r="A442" s="11" t="s">
        <v>73</v>
      </c>
      <c r="B442" s="11" t="str">
        <f t="shared" si="109"/>
        <v>1"57</v>
      </c>
      <c r="C442" s="11" t="s">
        <v>23</v>
      </c>
      <c r="D442" s="3">
        <f t="shared" si="105"/>
        <v>57</v>
      </c>
      <c r="E442" s="11">
        <f t="shared" si="107"/>
        <v>3</v>
      </c>
      <c r="F442" s="11">
        <f t="shared" si="101"/>
        <v>15</v>
      </c>
    </row>
    <row r="443" spans="1:6" x14ac:dyDescent="0.25">
      <c r="A443" s="11" t="s">
        <v>73</v>
      </c>
      <c r="B443" s="11" t="str">
        <f t="shared" ref="B443:B506" si="110">CONCATENATE(C443&amp;D443)</f>
        <v>1"58</v>
      </c>
      <c r="C443" s="11" t="s">
        <v>23</v>
      </c>
      <c r="D443" s="3">
        <f t="shared" si="105"/>
        <v>58</v>
      </c>
      <c r="E443" s="11">
        <f t="shared" si="107"/>
        <v>3</v>
      </c>
      <c r="F443" s="11">
        <f t="shared" si="101"/>
        <v>15</v>
      </c>
    </row>
    <row r="444" spans="1:6" x14ac:dyDescent="0.25">
      <c r="A444" s="11" t="s">
        <v>73</v>
      </c>
      <c r="B444" s="11" t="str">
        <f t="shared" si="110"/>
        <v>1"59</v>
      </c>
      <c r="C444" s="11" t="s">
        <v>23</v>
      </c>
      <c r="D444" s="3">
        <f t="shared" si="105"/>
        <v>59</v>
      </c>
      <c r="E444" s="11">
        <f t="shared" si="107"/>
        <v>3</v>
      </c>
      <c r="F444" s="11">
        <f t="shared" si="101"/>
        <v>15</v>
      </c>
    </row>
    <row r="445" spans="1:6" x14ac:dyDescent="0.25">
      <c r="A445" s="11" t="s">
        <v>73</v>
      </c>
      <c r="B445" s="11" t="str">
        <f t="shared" si="110"/>
        <v>1"60</v>
      </c>
      <c r="C445" s="11" t="s">
        <v>23</v>
      </c>
      <c r="D445" s="3">
        <f t="shared" si="105"/>
        <v>60</v>
      </c>
      <c r="E445" s="11">
        <f t="shared" si="107"/>
        <v>3</v>
      </c>
      <c r="F445" s="11">
        <f t="shared" si="101"/>
        <v>15</v>
      </c>
    </row>
    <row r="446" spans="1:6" x14ac:dyDescent="0.25">
      <c r="A446" s="11" t="s">
        <v>73</v>
      </c>
      <c r="B446" s="11" t="str">
        <f t="shared" si="110"/>
        <v>1"61</v>
      </c>
      <c r="C446" s="11" t="s">
        <v>23</v>
      </c>
      <c r="D446" s="3">
        <f t="shared" si="105"/>
        <v>61</v>
      </c>
      <c r="E446" s="11">
        <f t="shared" ref="E446" si="111">E445+1</f>
        <v>4</v>
      </c>
      <c r="F446" s="11">
        <f t="shared" si="101"/>
        <v>20</v>
      </c>
    </row>
    <row r="447" spans="1:6" x14ac:dyDescent="0.25">
      <c r="A447" s="11" t="s">
        <v>73</v>
      </c>
      <c r="B447" s="11" t="str">
        <f t="shared" si="110"/>
        <v>1"62</v>
      </c>
      <c r="C447" s="11" t="s">
        <v>23</v>
      </c>
      <c r="D447" s="3">
        <f t="shared" si="105"/>
        <v>62</v>
      </c>
      <c r="E447" s="11">
        <f t="shared" ref="E447:E465" si="112">E446</f>
        <v>4</v>
      </c>
      <c r="F447" s="11">
        <f t="shared" si="101"/>
        <v>20</v>
      </c>
    </row>
    <row r="448" spans="1:6" x14ac:dyDescent="0.25">
      <c r="A448" s="11" t="s">
        <v>73</v>
      </c>
      <c r="B448" s="11" t="str">
        <f t="shared" si="110"/>
        <v>1"63</v>
      </c>
      <c r="C448" s="11" t="s">
        <v>23</v>
      </c>
      <c r="D448" s="3">
        <f t="shared" si="105"/>
        <v>63</v>
      </c>
      <c r="E448" s="11">
        <f t="shared" si="112"/>
        <v>4</v>
      </c>
      <c r="F448" s="11">
        <f t="shared" si="101"/>
        <v>20</v>
      </c>
    </row>
    <row r="449" spans="1:6" x14ac:dyDescent="0.25">
      <c r="A449" s="11" t="s">
        <v>73</v>
      </c>
      <c r="B449" s="11" t="str">
        <f t="shared" si="110"/>
        <v>1"64</v>
      </c>
      <c r="C449" s="11" t="s">
        <v>23</v>
      </c>
      <c r="D449" s="3">
        <f t="shared" si="105"/>
        <v>64</v>
      </c>
      <c r="E449" s="11">
        <f t="shared" si="112"/>
        <v>4</v>
      </c>
      <c r="F449" s="11">
        <f t="shared" si="101"/>
        <v>20</v>
      </c>
    </row>
    <row r="450" spans="1:6" x14ac:dyDescent="0.25">
      <c r="A450" s="11" t="s">
        <v>73</v>
      </c>
      <c r="B450" s="11" t="str">
        <f t="shared" si="110"/>
        <v>1"65</v>
      </c>
      <c r="C450" s="11" t="s">
        <v>23</v>
      </c>
      <c r="D450" s="3">
        <f t="shared" si="105"/>
        <v>65</v>
      </c>
      <c r="E450" s="11">
        <f t="shared" si="112"/>
        <v>4</v>
      </c>
      <c r="F450" s="11">
        <f t="shared" si="101"/>
        <v>20</v>
      </c>
    </row>
    <row r="451" spans="1:6" x14ac:dyDescent="0.25">
      <c r="A451" s="11" t="s">
        <v>73</v>
      </c>
      <c r="B451" s="11" t="str">
        <f t="shared" si="110"/>
        <v>1"66</v>
      </c>
      <c r="C451" s="11" t="s">
        <v>23</v>
      </c>
      <c r="D451" s="3">
        <f t="shared" si="105"/>
        <v>66</v>
      </c>
      <c r="E451" s="11">
        <f t="shared" si="112"/>
        <v>4</v>
      </c>
      <c r="F451" s="11">
        <f t="shared" si="101"/>
        <v>20</v>
      </c>
    </row>
    <row r="452" spans="1:6" x14ac:dyDescent="0.25">
      <c r="A452" s="11" t="s">
        <v>73</v>
      </c>
      <c r="B452" s="11" t="str">
        <f t="shared" si="110"/>
        <v>1"67</v>
      </c>
      <c r="C452" s="11" t="s">
        <v>23</v>
      </c>
      <c r="D452" s="3">
        <f t="shared" si="105"/>
        <v>67</v>
      </c>
      <c r="E452" s="11">
        <f t="shared" si="112"/>
        <v>4</v>
      </c>
      <c r="F452" s="11">
        <f t="shared" si="101"/>
        <v>20</v>
      </c>
    </row>
    <row r="453" spans="1:6" x14ac:dyDescent="0.25">
      <c r="A453" s="11" t="s">
        <v>73</v>
      </c>
      <c r="B453" s="11" t="str">
        <f t="shared" si="110"/>
        <v>1"68</v>
      </c>
      <c r="C453" s="11" t="s">
        <v>23</v>
      </c>
      <c r="D453" s="3">
        <f t="shared" si="105"/>
        <v>68</v>
      </c>
      <c r="E453" s="11">
        <f t="shared" si="112"/>
        <v>4</v>
      </c>
      <c r="F453" s="11">
        <f t="shared" si="101"/>
        <v>20</v>
      </c>
    </row>
    <row r="454" spans="1:6" x14ac:dyDescent="0.25">
      <c r="A454" s="11" t="s">
        <v>73</v>
      </c>
      <c r="B454" s="11" t="str">
        <f t="shared" si="110"/>
        <v>1"69</v>
      </c>
      <c r="C454" s="11" t="s">
        <v>23</v>
      </c>
      <c r="D454" s="3">
        <f t="shared" si="105"/>
        <v>69</v>
      </c>
      <c r="E454" s="11">
        <f t="shared" si="112"/>
        <v>4</v>
      </c>
      <c r="F454" s="11">
        <f t="shared" si="101"/>
        <v>20</v>
      </c>
    </row>
    <row r="455" spans="1:6" x14ac:dyDescent="0.25">
      <c r="A455" s="11" t="s">
        <v>73</v>
      </c>
      <c r="B455" s="11" t="str">
        <f t="shared" si="110"/>
        <v>1"70</v>
      </c>
      <c r="C455" s="11" t="s">
        <v>23</v>
      </c>
      <c r="D455" s="3">
        <f t="shared" si="105"/>
        <v>70</v>
      </c>
      <c r="E455" s="11">
        <f t="shared" si="112"/>
        <v>4</v>
      </c>
      <c r="F455" s="11">
        <f t="shared" si="101"/>
        <v>20</v>
      </c>
    </row>
    <row r="456" spans="1:6" x14ac:dyDescent="0.25">
      <c r="A456" s="11" t="s">
        <v>73</v>
      </c>
      <c r="B456" s="11" t="str">
        <f t="shared" si="110"/>
        <v>1"71</v>
      </c>
      <c r="C456" s="11" t="s">
        <v>23</v>
      </c>
      <c r="D456" s="3">
        <f t="shared" si="105"/>
        <v>71</v>
      </c>
      <c r="E456" s="11">
        <f t="shared" si="112"/>
        <v>4</v>
      </c>
      <c r="F456" s="11">
        <f t="shared" si="101"/>
        <v>20</v>
      </c>
    </row>
    <row r="457" spans="1:6" x14ac:dyDescent="0.25">
      <c r="A457" s="11" t="s">
        <v>73</v>
      </c>
      <c r="B457" s="11" t="str">
        <f t="shared" si="110"/>
        <v>1"72</v>
      </c>
      <c r="C457" s="11" t="s">
        <v>23</v>
      </c>
      <c r="D457" s="3">
        <f t="shared" si="105"/>
        <v>72</v>
      </c>
      <c r="E457" s="11">
        <f t="shared" si="112"/>
        <v>4</v>
      </c>
      <c r="F457" s="11">
        <f t="shared" si="101"/>
        <v>20</v>
      </c>
    </row>
    <row r="458" spans="1:6" x14ac:dyDescent="0.25">
      <c r="A458" s="11" t="s">
        <v>73</v>
      </c>
      <c r="B458" s="11" t="str">
        <f t="shared" si="110"/>
        <v>1"73</v>
      </c>
      <c r="C458" s="11" t="s">
        <v>23</v>
      </c>
      <c r="D458" s="3">
        <f t="shared" si="105"/>
        <v>73</v>
      </c>
      <c r="E458" s="11">
        <f t="shared" si="112"/>
        <v>4</v>
      </c>
      <c r="F458" s="11">
        <f t="shared" si="101"/>
        <v>20</v>
      </c>
    </row>
    <row r="459" spans="1:6" x14ac:dyDescent="0.25">
      <c r="A459" s="11" t="s">
        <v>73</v>
      </c>
      <c r="B459" s="11" t="str">
        <f t="shared" si="110"/>
        <v>1"74</v>
      </c>
      <c r="C459" s="11" t="s">
        <v>23</v>
      </c>
      <c r="D459" s="3">
        <f t="shared" si="105"/>
        <v>74</v>
      </c>
      <c r="E459" s="11">
        <f t="shared" si="112"/>
        <v>4</v>
      </c>
      <c r="F459" s="11">
        <f t="shared" ref="F459:F522" si="113">E459*$F$1</f>
        <v>20</v>
      </c>
    </row>
    <row r="460" spans="1:6" x14ac:dyDescent="0.25">
      <c r="A460" s="11" t="s">
        <v>73</v>
      </c>
      <c r="B460" s="11" t="str">
        <f t="shared" si="110"/>
        <v>1"75</v>
      </c>
      <c r="C460" s="11" t="s">
        <v>23</v>
      </c>
      <c r="D460" s="3">
        <f t="shared" si="105"/>
        <v>75</v>
      </c>
      <c r="E460" s="11">
        <f t="shared" si="112"/>
        <v>4</v>
      </c>
      <c r="F460" s="11">
        <f t="shared" si="113"/>
        <v>20</v>
      </c>
    </row>
    <row r="461" spans="1:6" x14ac:dyDescent="0.25">
      <c r="A461" s="11" t="s">
        <v>73</v>
      </c>
      <c r="B461" s="11" t="str">
        <f t="shared" si="110"/>
        <v>1"76</v>
      </c>
      <c r="C461" s="11" t="s">
        <v>23</v>
      </c>
      <c r="D461" s="3">
        <f t="shared" si="105"/>
        <v>76</v>
      </c>
      <c r="E461" s="11">
        <f t="shared" si="112"/>
        <v>4</v>
      </c>
      <c r="F461" s="11">
        <f t="shared" si="113"/>
        <v>20</v>
      </c>
    </row>
    <row r="462" spans="1:6" x14ac:dyDescent="0.25">
      <c r="A462" s="11" t="s">
        <v>73</v>
      </c>
      <c r="B462" s="11" t="str">
        <f t="shared" si="110"/>
        <v>1"77</v>
      </c>
      <c r="C462" s="11" t="s">
        <v>23</v>
      </c>
      <c r="D462" s="3">
        <f t="shared" si="105"/>
        <v>77</v>
      </c>
      <c r="E462" s="11">
        <f t="shared" si="112"/>
        <v>4</v>
      </c>
      <c r="F462" s="11">
        <f t="shared" si="113"/>
        <v>20</v>
      </c>
    </row>
    <row r="463" spans="1:6" x14ac:dyDescent="0.25">
      <c r="A463" s="11" t="s">
        <v>73</v>
      </c>
      <c r="B463" s="11" t="str">
        <f t="shared" si="110"/>
        <v>1"78</v>
      </c>
      <c r="C463" s="11" t="s">
        <v>23</v>
      </c>
      <c r="D463" s="3">
        <f t="shared" si="105"/>
        <v>78</v>
      </c>
      <c r="E463" s="11">
        <f t="shared" si="112"/>
        <v>4</v>
      </c>
      <c r="F463" s="11">
        <f t="shared" si="113"/>
        <v>20</v>
      </c>
    </row>
    <row r="464" spans="1:6" x14ac:dyDescent="0.25">
      <c r="A464" s="11" t="s">
        <v>73</v>
      </c>
      <c r="B464" s="11" t="str">
        <f t="shared" si="110"/>
        <v>1"79</v>
      </c>
      <c r="C464" s="11" t="s">
        <v>23</v>
      </c>
      <c r="D464" s="3">
        <f t="shared" si="105"/>
        <v>79</v>
      </c>
      <c r="E464" s="11">
        <f t="shared" si="112"/>
        <v>4</v>
      </c>
      <c r="F464" s="11">
        <f t="shared" si="113"/>
        <v>20</v>
      </c>
    </row>
    <row r="465" spans="1:6" x14ac:dyDescent="0.25">
      <c r="A465" s="11" t="s">
        <v>73</v>
      </c>
      <c r="B465" s="11" t="str">
        <f t="shared" si="110"/>
        <v>1"80</v>
      </c>
      <c r="C465" s="11" t="s">
        <v>23</v>
      </c>
      <c r="D465" s="3">
        <f t="shared" si="105"/>
        <v>80</v>
      </c>
      <c r="E465" s="11">
        <f t="shared" si="112"/>
        <v>4</v>
      </c>
      <c r="F465" s="11">
        <f t="shared" si="113"/>
        <v>20</v>
      </c>
    </row>
    <row r="466" spans="1:6" x14ac:dyDescent="0.25">
      <c r="A466" s="11" t="s">
        <v>73</v>
      </c>
      <c r="B466" s="11" t="str">
        <f t="shared" si="110"/>
        <v>1"81</v>
      </c>
      <c r="C466" s="11" t="s">
        <v>23</v>
      </c>
      <c r="D466" s="3">
        <f t="shared" si="105"/>
        <v>81</v>
      </c>
      <c r="E466" s="11">
        <f t="shared" ref="E466" si="114">E465+1</f>
        <v>5</v>
      </c>
      <c r="F466" s="11">
        <f t="shared" si="113"/>
        <v>25</v>
      </c>
    </row>
    <row r="467" spans="1:6" x14ac:dyDescent="0.25">
      <c r="A467" s="11" t="s">
        <v>73</v>
      </c>
      <c r="B467" s="11" t="str">
        <f t="shared" si="110"/>
        <v>1"82</v>
      </c>
      <c r="C467" s="11" t="s">
        <v>23</v>
      </c>
      <c r="D467" s="3">
        <f t="shared" si="105"/>
        <v>82</v>
      </c>
      <c r="E467" s="11">
        <f t="shared" ref="E467:E484" si="115">E466</f>
        <v>5</v>
      </c>
      <c r="F467" s="11">
        <f t="shared" si="113"/>
        <v>25</v>
      </c>
    </row>
    <row r="468" spans="1:6" x14ac:dyDescent="0.25">
      <c r="A468" s="11" t="s">
        <v>73</v>
      </c>
      <c r="B468" s="11" t="str">
        <f t="shared" si="110"/>
        <v>1"83</v>
      </c>
      <c r="C468" s="11" t="s">
        <v>23</v>
      </c>
      <c r="D468" s="3">
        <f t="shared" si="105"/>
        <v>83</v>
      </c>
      <c r="E468" s="11">
        <f t="shared" si="115"/>
        <v>5</v>
      </c>
      <c r="F468" s="11">
        <f t="shared" si="113"/>
        <v>25</v>
      </c>
    </row>
    <row r="469" spans="1:6" x14ac:dyDescent="0.25">
      <c r="A469" s="11" t="s">
        <v>73</v>
      </c>
      <c r="B469" s="11" t="str">
        <f t="shared" si="110"/>
        <v>1"84</v>
      </c>
      <c r="C469" s="11" t="s">
        <v>23</v>
      </c>
      <c r="D469" s="3">
        <f t="shared" si="105"/>
        <v>84</v>
      </c>
      <c r="E469" s="11">
        <f t="shared" si="115"/>
        <v>5</v>
      </c>
      <c r="F469" s="11">
        <f t="shared" si="113"/>
        <v>25</v>
      </c>
    </row>
    <row r="470" spans="1:6" x14ac:dyDescent="0.25">
      <c r="A470" s="11" t="s">
        <v>73</v>
      </c>
      <c r="B470" s="11" t="str">
        <f t="shared" si="110"/>
        <v>1"85</v>
      </c>
      <c r="C470" s="11" t="s">
        <v>23</v>
      </c>
      <c r="D470" s="3">
        <f t="shared" si="105"/>
        <v>85</v>
      </c>
      <c r="E470" s="11">
        <f t="shared" si="115"/>
        <v>5</v>
      </c>
      <c r="F470" s="11">
        <f t="shared" si="113"/>
        <v>25</v>
      </c>
    </row>
    <row r="471" spans="1:6" x14ac:dyDescent="0.25">
      <c r="A471" s="11" t="s">
        <v>73</v>
      </c>
      <c r="B471" s="11" t="str">
        <f t="shared" si="110"/>
        <v>1"86</v>
      </c>
      <c r="C471" s="11" t="s">
        <v>23</v>
      </c>
      <c r="D471" s="3">
        <f t="shared" si="105"/>
        <v>86</v>
      </c>
      <c r="E471" s="11">
        <f t="shared" si="115"/>
        <v>5</v>
      </c>
      <c r="F471" s="11">
        <f t="shared" si="113"/>
        <v>25</v>
      </c>
    </row>
    <row r="472" spans="1:6" x14ac:dyDescent="0.25">
      <c r="A472" s="11" t="s">
        <v>73</v>
      </c>
      <c r="B472" s="11" t="str">
        <f t="shared" si="110"/>
        <v>1"87</v>
      </c>
      <c r="C472" s="11" t="s">
        <v>23</v>
      </c>
      <c r="D472" s="3">
        <f t="shared" si="105"/>
        <v>87</v>
      </c>
      <c r="E472" s="11">
        <f t="shared" si="115"/>
        <v>5</v>
      </c>
      <c r="F472" s="11">
        <f t="shared" si="113"/>
        <v>25</v>
      </c>
    </row>
    <row r="473" spans="1:6" x14ac:dyDescent="0.25">
      <c r="A473" s="11" t="s">
        <v>73</v>
      </c>
      <c r="B473" s="11" t="str">
        <f t="shared" si="110"/>
        <v>1"88</v>
      </c>
      <c r="C473" s="11" t="s">
        <v>23</v>
      </c>
      <c r="D473" s="3">
        <f t="shared" si="105"/>
        <v>88</v>
      </c>
      <c r="E473" s="11">
        <f t="shared" si="115"/>
        <v>5</v>
      </c>
      <c r="F473" s="11">
        <f t="shared" si="113"/>
        <v>25</v>
      </c>
    </row>
    <row r="474" spans="1:6" x14ac:dyDescent="0.25">
      <c r="A474" s="11" t="s">
        <v>73</v>
      </c>
      <c r="B474" s="11" t="str">
        <f t="shared" si="110"/>
        <v>1"89</v>
      </c>
      <c r="C474" s="11" t="s">
        <v>23</v>
      </c>
      <c r="D474" s="3">
        <f t="shared" si="105"/>
        <v>89</v>
      </c>
      <c r="E474" s="11">
        <f t="shared" si="115"/>
        <v>5</v>
      </c>
      <c r="F474" s="11">
        <f t="shared" si="113"/>
        <v>25</v>
      </c>
    </row>
    <row r="475" spans="1:6" x14ac:dyDescent="0.25">
      <c r="A475" s="11" t="s">
        <v>73</v>
      </c>
      <c r="B475" s="11" t="str">
        <f t="shared" si="110"/>
        <v>1"90</v>
      </c>
      <c r="C475" s="11" t="s">
        <v>23</v>
      </c>
      <c r="D475" s="3">
        <f t="shared" si="105"/>
        <v>90</v>
      </c>
      <c r="E475" s="11">
        <f t="shared" si="115"/>
        <v>5</v>
      </c>
      <c r="F475" s="11">
        <f t="shared" si="113"/>
        <v>25</v>
      </c>
    </row>
    <row r="476" spans="1:6" x14ac:dyDescent="0.25">
      <c r="A476" s="11" t="s">
        <v>73</v>
      </c>
      <c r="B476" s="11" t="str">
        <f t="shared" si="110"/>
        <v>1"91</v>
      </c>
      <c r="C476" s="11" t="s">
        <v>23</v>
      </c>
      <c r="D476" s="3">
        <f t="shared" si="105"/>
        <v>91</v>
      </c>
      <c r="E476" s="11">
        <f t="shared" si="115"/>
        <v>5</v>
      </c>
      <c r="F476" s="11">
        <f t="shared" si="113"/>
        <v>25</v>
      </c>
    </row>
    <row r="477" spans="1:6" x14ac:dyDescent="0.25">
      <c r="A477" s="11" t="s">
        <v>73</v>
      </c>
      <c r="B477" s="11" t="str">
        <f t="shared" si="110"/>
        <v>1"92</v>
      </c>
      <c r="C477" s="11" t="s">
        <v>23</v>
      </c>
      <c r="D477" s="3">
        <f t="shared" si="105"/>
        <v>92</v>
      </c>
      <c r="E477" s="11">
        <f t="shared" si="115"/>
        <v>5</v>
      </c>
      <c r="F477" s="11">
        <f t="shared" si="113"/>
        <v>25</v>
      </c>
    </row>
    <row r="478" spans="1:6" x14ac:dyDescent="0.25">
      <c r="A478" s="11" t="s">
        <v>73</v>
      </c>
      <c r="B478" s="11" t="str">
        <f t="shared" si="110"/>
        <v>1"93</v>
      </c>
      <c r="C478" s="11" t="s">
        <v>23</v>
      </c>
      <c r="D478" s="3">
        <f t="shared" si="105"/>
        <v>93</v>
      </c>
      <c r="E478" s="11">
        <f t="shared" si="115"/>
        <v>5</v>
      </c>
      <c r="F478" s="11">
        <f t="shared" si="113"/>
        <v>25</v>
      </c>
    </row>
    <row r="479" spans="1:6" x14ac:dyDescent="0.25">
      <c r="A479" s="11" t="s">
        <v>73</v>
      </c>
      <c r="B479" s="11" t="str">
        <f t="shared" si="110"/>
        <v>1"94</v>
      </c>
      <c r="C479" s="11" t="s">
        <v>23</v>
      </c>
      <c r="D479" s="3">
        <f t="shared" si="105"/>
        <v>94</v>
      </c>
      <c r="E479" s="11">
        <f t="shared" si="115"/>
        <v>5</v>
      </c>
      <c r="F479" s="11">
        <f t="shared" si="113"/>
        <v>25</v>
      </c>
    </row>
    <row r="480" spans="1:6" x14ac:dyDescent="0.25">
      <c r="A480" s="11" t="s">
        <v>73</v>
      </c>
      <c r="B480" s="11" t="str">
        <f t="shared" si="110"/>
        <v>1"95</v>
      </c>
      <c r="C480" s="11" t="s">
        <v>23</v>
      </c>
      <c r="D480" s="3">
        <f t="shared" si="105"/>
        <v>95</v>
      </c>
      <c r="E480" s="11">
        <f t="shared" si="115"/>
        <v>5</v>
      </c>
      <c r="F480" s="11">
        <f t="shared" si="113"/>
        <v>25</v>
      </c>
    </row>
    <row r="481" spans="1:6" x14ac:dyDescent="0.25">
      <c r="A481" s="11" t="s">
        <v>73</v>
      </c>
      <c r="B481" s="11" t="str">
        <f t="shared" si="110"/>
        <v>1"96</v>
      </c>
      <c r="C481" s="11" t="s">
        <v>23</v>
      </c>
      <c r="D481" s="3">
        <f t="shared" si="105"/>
        <v>96</v>
      </c>
      <c r="E481" s="11">
        <f t="shared" si="115"/>
        <v>5</v>
      </c>
      <c r="F481" s="11">
        <f t="shared" si="113"/>
        <v>25</v>
      </c>
    </row>
    <row r="482" spans="1:6" x14ac:dyDescent="0.25">
      <c r="A482" s="11" t="s">
        <v>73</v>
      </c>
      <c r="B482" s="11" t="str">
        <f t="shared" si="110"/>
        <v>1"97</v>
      </c>
      <c r="C482" s="11" t="s">
        <v>23</v>
      </c>
      <c r="D482" s="3">
        <f t="shared" si="105"/>
        <v>97</v>
      </c>
      <c r="E482" s="11">
        <f t="shared" si="115"/>
        <v>5</v>
      </c>
      <c r="F482" s="11">
        <f t="shared" si="113"/>
        <v>25</v>
      </c>
    </row>
    <row r="483" spans="1:6" x14ac:dyDescent="0.25">
      <c r="A483" s="11" t="s">
        <v>73</v>
      </c>
      <c r="B483" s="11" t="str">
        <f t="shared" si="110"/>
        <v>1"98</v>
      </c>
      <c r="C483" s="11" t="s">
        <v>23</v>
      </c>
      <c r="D483" s="3">
        <f t="shared" si="105"/>
        <v>98</v>
      </c>
      <c r="E483" s="11">
        <f t="shared" si="115"/>
        <v>5</v>
      </c>
      <c r="F483" s="11">
        <f t="shared" si="113"/>
        <v>25</v>
      </c>
    </row>
    <row r="484" spans="1:6" x14ac:dyDescent="0.25">
      <c r="A484" s="11" t="s">
        <v>73</v>
      </c>
      <c r="B484" s="11" t="str">
        <f t="shared" si="110"/>
        <v>1"99</v>
      </c>
      <c r="C484" s="11" t="s">
        <v>23</v>
      </c>
      <c r="D484" s="3">
        <f t="shared" si="105"/>
        <v>99</v>
      </c>
      <c r="E484" s="11">
        <f t="shared" si="115"/>
        <v>5</v>
      </c>
      <c r="F484" s="11">
        <f t="shared" si="113"/>
        <v>25</v>
      </c>
    </row>
    <row r="485" spans="1:6" x14ac:dyDescent="0.25">
      <c r="A485" s="11" t="s">
        <v>73</v>
      </c>
      <c r="B485" s="11" t="str">
        <f t="shared" si="110"/>
        <v>1"100</v>
      </c>
      <c r="C485" s="11" t="s">
        <v>23</v>
      </c>
      <c r="D485" s="3">
        <f t="shared" si="105"/>
        <v>100</v>
      </c>
      <c r="E485" s="11">
        <f>E484+1</f>
        <v>6</v>
      </c>
      <c r="F485" s="11">
        <f t="shared" si="113"/>
        <v>30</v>
      </c>
    </row>
    <row r="486" spans="1:6" x14ac:dyDescent="0.25">
      <c r="A486" s="11" t="s">
        <v>73</v>
      </c>
      <c r="B486" s="11" t="str">
        <f t="shared" si="110"/>
        <v>1"101</v>
      </c>
      <c r="C486" s="11" t="s">
        <v>23</v>
      </c>
      <c r="D486" s="3">
        <f t="shared" si="105"/>
        <v>101</v>
      </c>
      <c r="E486" s="11">
        <f t="shared" ref="E486:E492" si="116">E485</f>
        <v>6</v>
      </c>
      <c r="F486" s="11">
        <f t="shared" si="113"/>
        <v>30</v>
      </c>
    </row>
    <row r="487" spans="1:6" x14ac:dyDescent="0.25">
      <c r="A487" s="11" t="s">
        <v>73</v>
      </c>
      <c r="B487" s="11" t="str">
        <f t="shared" si="110"/>
        <v>1"102</v>
      </c>
      <c r="C487" s="11" t="s">
        <v>23</v>
      </c>
      <c r="D487" s="3">
        <f t="shared" si="105"/>
        <v>102</v>
      </c>
      <c r="E487" s="11">
        <f t="shared" si="116"/>
        <v>6</v>
      </c>
      <c r="F487" s="11">
        <f t="shared" si="113"/>
        <v>30</v>
      </c>
    </row>
    <row r="488" spans="1:6" x14ac:dyDescent="0.25">
      <c r="A488" s="11" t="s">
        <v>73</v>
      </c>
      <c r="B488" s="11" t="str">
        <f t="shared" si="110"/>
        <v>1"103</v>
      </c>
      <c r="C488" s="11" t="s">
        <v>23</v>
      </c>
      <c r="D488" s="3">
        <f t="shared" si="105"/>
        <v>103</v>
      </c>
      <c r="E488" s="11">
        <f t="shared" si="116"/>
        <v>6</v>
      </c>
      <c r="F488" s="11">
        <f t="shared" si="113"/>
        <v>30</v>
      </c>
    </row>
    <row r="489" spans="1:6" x14ac:dyDescent="0.25">
      <c r="A489" s="11" t="s">
        <v>73</v>
      </c>
      <c r="B489" s="11" t="str">
        <f t="shared" si="110"/>
        <v>1"104</v>
      </c>
      <c r="C489" s="11" t="s">
        <v>23</v>
      </c>
      <c r="D489" s="3">
        <f t="shared" si="105"/>
        <v>104</v>
      </c>
      <c r="E489" s="11">
        <f t="shared" si="116"/>
        <v>6</v>
      </c>
      <c r="F489" s="11">
        <f t="shared" si="113"/>
        <v>30</v>
      </c>
    </row>
    <row r="490" spans="1:6" x14ac:dyDescent="0.25">
      <c r="A490" s="11" t="s">
        <v>73</v>
      </c>
      <c r="B490" s="11" t="str">
        <f t="shared" si="110"/>
        <v>1"105</v>
      </c>
      <c r="C490" s="11" t="s">
        <v>23</v>
      </c>
      <c r="D490" s="3">
        <f t="shared" ref="D490:D553" si="117">D489+1</f>
        <v>105</v>
      </c>
      <c r="E490" s="11">
        <f t="shared" si="116"/>
        <v>6</v>
      </c>
      <c r="F490" s="11">
        <f t="shared" si="113"/>
        <v>30</v>
      </c>
    </row>
    <row r="491" spans="1:6" x14ac:dyDescent="0.25">
      <c r="A491" s="11" t="s">
        <v>73</v>
      </c>
      <c r="B491" s="11" t="str">
        <f t="shared" si="110"/>
        <v>1"106</v>
      </c>
      <c r="C491" s="11" t="s">
        <v>23</v>
      </c>
      <c r="D491" s="3">
        <f t="shared" si="117"/>
        <v>106</v>
      </c>
      <c r="E491" s="11">
        <f t="shared" si="116"/>
        <v>6</v>
      </c>
      <c r="F491" s="11">
        <f t="shared" si="113"/>
        <v>30</v>
      </c>
    </row>
    <row r="492" spans="1:6" x14ac:dyDescent="0.25">
      <c r="A492" s="11" t="s">
        <v>73</v>
      </c>
      <c r="B492" s="11" t="str">
        <f t="shared" si="110"/>
        <v>1"107</v>
      </c>
      <c r="C492" s="11" t="s">
        <v>23</v>
      </c>
      <c r="D492" s="3">
        <f t="shared" si="117"/>
        <v>107</v>
      </c>
      <c r="E492" s="11">
        <f t="shared" si="116"/>
        <v>6</v>
      </c>
      <c r="F492" s="11">
        <f t="shared" si="113"/>
        <v>30</v>
      </c>
    </row>
    <row r="493" spans="1:6" x14ac:dyDescent="0.25">
      <c r="A493" s="11" t="s">
        <v>73</v>
      </c>
      <c r="B493" s="11" t="str">
        <f t="shared" si="110"/>
        <v>1"108</v>
      </c>
      <c r="C493" s="11" t="s">
        <v>23</v>
      </c>
      <c r="D493" s="3">
        <f t="shared" si="117"/>
        <v>108</v>
      </c>
      <c r="E493" s="11">
        <f t="shared" ref="E493:E504" si="118">E492</f>
        <v>6</v>
      </c>
      <c r="F493" s="11">
        <f t="shared" si="113"/>
        <v>30</v>
      </c>
    </row>
    <row r="494" spans="1:6" x14ac:dyDescent="0.25">
      <c r="A494" s="11" t="s">
        <v>73</v>
      </c>
      <c r="B494" s="11" t="str">
        <f t="shared" si="110"/>
        <v>1"109</v>
      </c>
      <c r="C494" s="11" t="s">
        <v>23</v>
      </c>
      <c r="D494" s="3">
        <f t="shared" si="117"/>
        <v>109</v>
      </c>
      <c r="E494" s="11">
        <f t="shared" si="118"/>
        <v>6</v>
      </c>
      <c r="F494" s="11">
        <f t="shared" si="113"/>
        <v>30</v>
      </c>
    </row>
    <row r="495" spans="1:6" x14ac:dyDescent="0.25">
      <c r="A495" s="11" t="s">
        <v>73</v>
      </c>
      <c r="B495" s="11" t="str">
        <f t="shared" si="110"/>
        <v>1"110</v>
      </c>
      <c r="C495" s="11" t="s">
        <v>23</v>
      </c>
      <c r="D495" s="3">
        <f t="shared" si="117"/>
        <v>110</v>
      </c>
      <c r="E495" s="11">
        <f t="shared" si="118"/>
        <v>6</v>
      </c>
      <c r="F495" s="11">
        <f t="shared" si="113"/>
        <v>30</v>
      </c>
    </row>
    <row r="496" spans="1:6" x14ac:dyDescent="0.25">
      <c r="A496" s="11" t="s">
        <v>73</v>
      </c>
      <c r="B496" s="11" t="str">
        <f t="shared" si="110"/>
        <v>1"111</v>
      </c>
      <c r="C496" s="11" t="s">
        <v>23</v>
      </c>
      <c r="D496" s="3">
        <f t="shared" si="117"/>
        <v>111</v>
      </c>
      <c r="E496" s="11">
        <f t="shared" si="118"/>
        <v>6</v>
      </c>
      <c r="F496" s="11">
        <f t="shared" si="113"/>
        <v>30</v>
      </c>
    </row>
    <row r="497" spans="1:6" x14ac:dyDescent="0.25">
      <c r="A497" s="11" t="s">
        <v>73</v>
      </c>
      <c r="B497" s="11" t="str">
        <f t="shared" si="110"/>
        <v>1"112</v>
      </c>
      <c r="C497" s="11" t="s">
        <v>23</v>
      </c>
      <c r="D497" s="3">
        <f t="shared" si="117"/>
        <v>112</v>
      </c>
      <c r="E497" s="11">
        <f t="shared" si="118"/>
        <v>6</v>
      </c>
      <c r="F497" s="11">
        <f t="shared" si="113"/>
        <v>30</v>
      </c>
    </row>
    <row r="498" spans="1:6" x14ac:dyDescent="0.25">
      <c r="A498" s="11" t="s">
        <v>73</v>
      </c>
      <c r="B498" s="11" t="str">
        <f t="shared" si="110"/>
        <v>1"113</v>
      </c>
      <c r="C498" s="11" t="s">
        <v>23</v>
      </c>
      <c r="D498" s="3">
        <f t="shared" si="117"/>
        <v>113</v>
      </c>
      <c r="E498" s="11">
        <f t="shared" si="118"/>
        <v>6</v>
      </c>
      <c r="F498" s="11">
        <f t="shared" si="113"/>
        <v>30</v>
      </c>
    </row>
    <row r="499" spans="1:6" x14ac:dyDescent="0.25">
      <c r="A499" s="11" t="s">
        <v>73</v>
      </c>
      <c r="B499" s="11" t="str">
        <f t="shared" si="110"/>
        <v>1"114</v>
      </c>
      <c r="C499" s="11" t="s">
        <v>23</v>
      </c>
      <c r="D499" s="3">
        <f t="shared" si="117"/>
        <v>114</v>
      </c>
      <c r="E499" s="11">
        <f t="shared" si="118"/>
        <v>6</v>
      </c>
      <c r="F499" s="11">
        <f t="shared" si="113"/>
        <v>30</v>
      </c>
    </row>
    <row r="500" spans="1:6" x14ac:dyDescent="0.25">
      <c r="A500" s="11" t="s">
        <v>73</v>
      </c>
      <c r="B500" s="11" t="str">
        <f t="shared" si="110"/>
        <v>1"115</v>
      </c>
      <c r="C500" s="11" t="s">
        <v>23</v>
      </c>
      <c r="D500" s="3">
        <f t="shared" si="117"/>
        <v>115</v>
      </c>
      <c r="E500" s="11">
        <f t="shared" si="118"/>
        <v>6</v>
      </c>
      <c r="F500" s="11">
        <f t="shared" si="113"/>
        <v>30</v>
      </c>
    </row>
    <row r="501" spans="1:6" x14ac:dyDescent="0.25">
      <c r="A501" s="11" t="s">
        <v>73</v>
      </c>
      <c r="B501" s="11" t="str">
        <f t="shared" si="110"/>
        <v>1"116</v>
      </c>
      <c r="C501" s="11" t="s">
        <v>23</v>
      </c>
      <c r="D501" s="3">
        <f t="shared" si="117"/>
        <v>116</v>
      </c>
      <c r="E501" s="11">
        <f t="shared" si="118"/>
        <v>6</v>
      </c>
      <c r="F501" s="11">
        <f t="shared" si="113"/>
        <v>30</v>
      </c>
    </row>
    <row r="502" spans="1:6" x14ac:dyDescent="0.25">
      <c r="A502" s="11" t="s">
        <v>73</v>
      </c>
      <c r="B502" s="11" t="str">
        <f t="shared" si="110"/>
        <v>1"117</v>
      </c>
      <c r="C502" s="11" t="s">
        <v>23</v>
      </c>
      <c r="D502" s="3">
        <f t="shared" si="117"/>
        <v>117</v>
      </c>
      <c r="E502" s="11">
        <f t="shared" si="118"/>
        <v>6</v>
      </c>
      <c r="F502" s="11">
        <f t="shared" si="113"/>
        <v>30</v>
      </c>
    </row>
    <row r="503" spans="1:6" x14ac:dyDescent="0.25">
      <c r="A503" s="11" t="s">
        <v>73</v>
      </c>
      <c r="B503" s="11" t="str">
        <f t="shared" si="110"/>
        <v>1"118</v>
      </c>
      <c r="C503" s="11" t="s">
        <v>23</v>
      </c>
      <c r="D503" s="3">
        <f t="shared" si="117"/>
        <v>118</v>
      </c>
      <c r="E503" s="11">
        <f t="shared" si="118"/>
        <v>6</v>
      </c>
      <c r="F503" s="11">
        <f t="shared" si="113"/>
        <v>30</v>
      </c>
    </row>
    <row r="504" spans="1:6" x14ac:dyDescent="0.25">
      <c r="A504" s="11" t="s">
        <v>73</v>
      </c>
      <c r="B504" s="11" t="str">
        <f t="shared" si="110"/>
        <v>1"119</v>
      </c>
      <c r="C504" s="11" t="s">
        <v>23</v>
      </c>
      <c r="D504" s="3">
        <f t="shared" si="117"/>
        <v>119</v>
      </c>
      <c r="E504" s="11">
        <f t="shared" si="118"/>
        <v>6</v>
      </c>
      <c r="F504" s="11">
        <f t="shared" si="113"/>
        <v>30</v>
      </c>
    </row>
    <row r="505" spans="1:6" x14ac:dyDescent="0.25">
      <c r="A505" s="11" t="s">
        <v>73</v>
      </c>
      <c r="B505" s="11" t="str">
        <f t="shared" si="110"/>
        <v>1"120</v>
      </c>
      <c r="C505" s="11" t="s">
        <v>23</v>
      </c>
      <c r="D505" s="3">
        <f t="shared" si="117"/>
        <v>120</v>
      </c>
      <c r="E505" s="11">
        <f t="shared" ref="E505" si="119">E504+1</f>
        <v>7</v>
      </c>
      <c r="F505" s="11">
        <f t="shared" si="113"/>
        <v>35</v>
      </c>
    </row>
    <row r="506" spans="1:6" x14ac:dyDescent="0.25">
      <c r="A506" s="11" t="s">
        <v>73</v>
      </c>
      <c r="B506" s="11" t="str">
        <f t="shared" si="110"/>
        <v>1"121</v>
      </c>
      <c r="C506" s="11" t="s">
        <v>23</v>
      </c>
      <c r="D506" s="3">
        <f t="shared" si="117"/>
        <v>121</v>
      </c>
      <c r="E506" s="11">
        <f t="shared" ref="E506:E524" si="120">E505</f>
        <v>7</v>
      </c>
      <c r="F506" s="11">
        <f t="shared" si="113"/>
        <v>35</v>
      </c>
    </row>
    <row r="507" spans="1:6" x14ac:dyDescent="0.25">
      <c r="A507" s="11" t="s">
        <v>73</v>
      </c>
      <c r="B507" s="11" t="str">
        <f t="shared" ref="B507:B570" si="121">CONCATENATE(C507&amp;D507)</f>
        <v>1"122</v>
      </c>
      <c r="C507" s="11" t="s">
        <v>23</v>
      </c>
      <c r="D507" s="3">
        <f t="shared" si="117"/>
        <v>122</v>
      </c>
      <c r="E507" s="11">
        <f t="shared" si="120"/>
        <v>7</v>
      </c>
      <c r="F507" s="11">
        <f t="shared" si="113"/>
        <v>35</v>
      </c>
    </row>
    <row r="508" spans="1:6" x14ac:dyDescent="0.25">
      <c r="A508" s="11" t="s">
        <v>73</v>
      </c>
      <c r="B508" s="11" t="str">
        <f t="shared" si="121"/>
        <v>1"123</v>
      </c>
      <c r="C508" s="11" t="s">
        <v>23</v>
      </c>
      <c r="D508" s="3">
        <f t="shared" si="117"/>
        <v>123</v>
      </c>
      <c r="E508" s="11">
        <f t="shared" si="120"/>
        <v>7</v>
      </c>
      <c r="F508" s="11">
        <f t="shared" si="113"/>
        <v>35</v>
      </c>
    </row>
    <row r="509" spans="1:6" x14ac:dyDescent="0.25">
      <c r="A509" s="11" t="s">
        <v>73</v>
      </c>
      <c r="B509" s="11" t="str">
        <f t="shared" si="121"/>
        <v>1"124</v>
      </c>
      <c r="C509" s="11" t="s">
        <v>23</v>
      </c>
      <c r="D509" s="3">
        <f t="shared" si="117"/>
        <v>124</v>
      </c>
      <c r="E509" s="11">
        <f t="shared" si="120"/>
        <v>7</v>
      </c>
      <c r="F509" s="11">
        <f t="shared" si="113"/>
        <v>35</v>
      </c>
    </row>
    <row r="510" spans="1:6" x14ac:dyDescent="0.25">
      <c r="A510" s="11" t="s">
        <v>73</v>
      </c>
      <c r="B510" s="11" t="str">
        <f t="shared" si="121"/>
        <v>1"125</v>
      </c>
      <c r="C510" s="11" t="s">
        <v>23</v>
      </c>
      <c r="D510" s="3">
        <f t="shared" si="117"/>
        <v>125</v>
      </c>
      <c r="E510" s="11">
        <f t="shared" si="120"/>
        <v>7</v>
      </c>
      <c r="F510" s="11">
        <f t="shared" si="113"/>
        <v>35</v>
      </c>
    </row>
    <row r="511" spans="1:6" x14ac:dyDescent="0.25">
      <c r="A511" s="11" t="s">
        <v>73</v>
      </c>
      <c r="B511" s="11" t="str">
        <f t="shared" si="121"/>
        <v>1"126</v>
      </c>
      <c r="C511" s="11" t="s">
        <v>23</v>
      </c>
      <c r="D511" s="3">
        <f t="shared" si="117"/>
        <v>126</v>
      </c>
      <c r="E511" s="11">
        <f t="shared" si="120"/>
        <v>7</v>
      </c>
      <c r="F511" s="11">
        <f t="shared" si="113"/>
        <v>35</v>
      </c>
    </row>
    <row r="512" spans="1:6" x14ac:dyDescent="0.25">
      <c r="A512" s="11" t="s">
        <v>73</v>
      </c>
      <c r="B512" s="11" t="str">
        <f t="shared" si="121"/>
        <v>1"127</v>
      </c>
      <c r="C512" s="11" t="s">
        <v>23</v>
      </c>
      <c r="D512" s="3">
        <f t="shared" si="117"/>
        <v>127</v>
      </c>
      <c r="E512" s="11">
        <f t="shared" si="120"/>
        <v>7</v>
      </c>
      <c r="F512" s="11">
        <f t="shared" si="113"/>
        <v>35</v>
      </c>
    </row>
    <row r="513" spans="1:6" x14ac:dyDescent="0.25">
      <c r="A513" s="11" t="s">
        <v>73</v>
      </c>
      <c r="B513" s="11" t="str">
        <f t="shared" si="121"/>
        <v>1"128</v>
      </c>
      <c r="C513" s="11" t="s">
        <v>23</v>
      </c>
      <c r="D513" s="3">
        <f t="shared" si="117"/>
        <v>128</v>
      </c>
      <c r="E513" s="11">
        <f t="shared" si="120"/>
        <v>7</v>
      </c>
      <c r="F513" s="11">
        <f t="shared" si="113"/>
        <v>35</v>
      </c>
    </row>
    <row r="514" spans="1:6" x14ac:dyDescent="0.25">
      <c r="A514" s="11" t="s">
        <v>73</v>
      </c>
      <c r="B514" s="11" t="str">
        <f t="shared" si="121"/>
        <v>1"129</v>
      </c>
      <c r="C514" s="11" t="s">
        <v>23</v>
      </c>
      <c r="D514" s="3">
        <f t="shared" si="117"/>
        <v>129</v>
      </c>
      <c r="E514" s="11">
        <f t="shared" si="120"/>
        <v>7</v>
      </c>
      <c r="F514" s="11">
        <f t="shared" si="113"/>
        <v>35</v>
      </c>
    </row>
    <row r="515" spans="1:6" x14ac:dyDescent="0.25">
      <c r="A515" s="11" t="s">
        <v>73</v>
      </c>
      <c r="B515" s="11" t="str">
        <f t="shared" si="121"/>
        <v>1"130</v>
      </c>
      <c r="C515" s="11" t="s">
        <v>23</v>
      </c>
      <c r="D515" s="3">
        <f t="shared" si="117"/>
        <v>130</v>
      </c>
      <c r="E515" s="11">
        <f t="shared" si="120"/>
        <v>7</v>
      </c>
      <c r="F515" s="11">
        <f t="shared" si="113"/>
        <v>35</v>
      </c>
    </row>
    <row r="516" spans="1:6" x14ac:dyDescent="0.25">
      <c r="A516" s="11" t="s">
        <v>73</v>
      </c>
      <c r="B516" s="11" t="str">
        <f t="shared" si="121"/>
        <v>1"131</v>
      </c>
      <c r="C516" s="11" t="s">
        <v>23</v>
      </c>
      <c r="D516" s="3">
        <f t="shared" si="117"/>
        <v>131</v>
      </c>
      <c r="E516" s="11">
        <f t="shared" si="120"/>
        <v>7</v>
      </c>
      <c r="F516" s="11">
        <f t="shared" si="113"/>
        <v>35</v>
      </c>
    </row>
    <row r="517" spans="1:6" x14ac:dyDescent="0.25">
      <c r="A517" s="11" t="s">
        <v>73</v>
      </c>
      <c r="B517" s="11" t="str">
        <f t="shared" si="121"/>
        <v>1"132</v>
      </c>
      <c r="C517" s="11" t="s">
        <v>23</v>
      </c>
      <c r="D517" s="3">
        <f t="shared" si="117"/>
        <v>132</v>
      </c>
      <c r="E517" s="11">
        <f t="shared" si="120"/>
        <v>7</v>
      </c>
      <c r="F517" s="11">
        <f t="shared" si="113"/>
        <v>35</v>
      </c>
    </row>
    <row r="518" spans="1:6" x14ac:dyDescent="0.25">
      <c r="A518" s="11" t="s">
        <v>73</v>
      </c>
      <c r="B518" s="11" t="str">
        <f t="shared" si="121"/>
        <v>1"133</v>
      </c>
      <c r="C518" s="11" t="s">
        <v>23</v>
      </c>
      <c r="D518" s="3">
        <f t="shared" si="117"/>
        <v>133</v>
      </c>
      <c r="E518" s="11">
        <f t="shared" si="120"/>
        <v>7</v>
      </c>
      <c r="F518" s="11">
        <f t="shared" si="113"/>
        <v>35</v>
      </c>
    </row>
    <row r="519" spans="1:6" x14ac:dyDescent="0.25">
      <c r="A519" s="11" t="s">
        <v>73</v>
      </c>
      <c r="B519" s="11" t="str">
        <f t="shared" si="121"/>
        <v>1"134</v>
      </c>
      <c r="C519" s="11" t="s">
        <v>23</v>
      </c>
      <c r="D519" s="3">
        <f t="shared" si="117"/>
        <v>134</v>
      </c>
      <c r="E519" s="11">
        <f t="shared" si="120"/>
        <v>7</v>
      </c>
      <c r="F519" s="11">
        <f t="shared" si="113"/>
        <v>35</v>
      </c>
    </row>
    <row r="520" spans="1:6" x14ac:dyDescent="0.25">
      <c r="A520" s="11" t="s">
        <v>73</v>
      </c>
      <c r="B520" s="11" t="str">
        <f t="shared" si="121"/>
        <v>1"135</v>
      </c>
      <c r="C520" s="11" t="s">
        <v>23</v>
      </c>
      <c r="D520" s="3">
        <f t="shared" si="117"/>
        <v>135</v>
      </c>
      <c r="E520" s="11">
        <f t="shared" si="120"/>
        <v>7</v>
      </c>
      <c r="F520" s="11">
        <f t="shared" si="113"/>
        <v>35</v>
      </c>
    </row>
    <row r="521" spans="1:6" x14ac:dyDescent="0.25">
      <c r="A521" s="11" t="s">
        <v>73</v>
      </c>
      <c r="B521" s="11" t="str">
        <f t="shared" si="121"/>
        <v>1"136</v>
      </c>
      <c r="C521" s="11" t="s">
        <v>23</v>
      </c>
      <c r="D521" s="3">
        <f t="shared" si="117"/>
        <v>136</v>
      </c>
      <c r="E521" s="11">
        <f t="shared" si="120"/>
        <v>7</v>
      </c>
      <c r="F521" s="11">
        <f t="shared" si="113"/>
        <v>35</v>
      </c>
    </row>
    <row r="522" spans="1:6" x14ac:dyDescent="0.25">
      <c r="A522" s="11" t="s">
        <v>73</v>
      </c>
      <c r="B522" s="11" t="str">
        <f t="shared" si="121"/>
        <v>1"137</v>
      </c>
      <c r="C522" s="11" t="s">
        <v>23</v>
      </c>
      <c r="D522" s="3">
        <f t="shared" si="117"/>
        <v>137</v>
      </c>
      <c r="E522" s="11">
        <f t="shared" si="120"/>
        <v>7</v>
      </c>
      <c r="F522" s="11">
        <f t="shared" si="113"/>
        <v>35</v>
      </c>
    </row>
    <row r="523" spans="1:6" x14ac:dyDescent="0.25">
      <c r="A523" s="11" t="s">
        <v>73</v>
      </c>
      <c r="B523" s="11" t="str">
        <f t="shared" si="121"/>
        <v>1"138</v>
      </c>
      <c r="C523" s="11" t="s">
        <v>23</v>
      </c>
      <c r="D523" s="3">
        <f t="shared" si="117"/>
        <v>138</v>
      </c>
      <c r="E523" s="11">
        <f t="shared" si="120"/>
        <v>7</v>
      </c>
      <c r="F523" s="11">
        <f t="shared" ref="F523:F586" si="122">E523*$F$1</f>
        <v>35</v>
      </c>
    </row>
    <row r="524" spans="1:6" x14ac:dyDescent="0.25">
      <c r="A524" s="11" t="s">
        <v>73</v>
      </c>
      <c r="B524" s="11" t="str">
        <f t="shared" si="121"/>
        <v>1"139</v>
      </c>
      <c r="C524" s="11" t="s">
        <v>23</v>
      </c>
      <c r="D524" s="3">
        <f t="shared" si="117"/>
        <v>139</v>
      </c>
      <c r="E524" s="11">
        <f t="shared" si="120"/>
        <v>7</v>
      </c>
      <c r="F524" s="11">
        <f t="shared" si="122"/>
        <v>35</v>
      </c>
    </row>
    <row r="525" spans="1:6" x14ac:dyDescent="0.25">
      <c r="A525" s="11" t="s">
        <v>73</v>
      </c>
      <c r="B525" s="11" t="str">
        <f t="shared" si="121"/>
        <v>1"140</v>
      </c>
      <c r="C525" s="11" t="s">
        <v>23</v>
      </c>
      <c r="D525" s="3">
        <f t="shared" si="117"/>
        <v>140</v>
      </c>
      <c r="E525" s="11">
        <f t="shared" ref="E525" si="123">E524+1</f>
        <v>8</v>
      </c>
      <c r="F525" s="11">
        <f t="shared" si="122"/>
        <v>40</v>
      </c>
    </row>
    <row r="526" spans="1:6" x14ac:dyDescent="0.25">
      <c r="A526" s="11" t="s">
        <v>73</v>
      </c>
      <c r="B526" s="11" t="str">
        <f t="shared" si="121"/>
        <v>1"141</v>
      </c>
      <c r="C526" s="11" t="s">
        <v>23</v>
      </c>
      <c r="D526" s="3">
        <f t="shared" si="117"/>
        <v>141</v>
      </c>
      <c r="E526" s="11">
        <f t="shared" ref="E526:E544" si="124">E525</f>
        <v>8</v>
      </c>
      <c r="F526" s="11">
        <f t="shared" si="122"/>
        <v>40</v>
      </c>
    </row>
    <row r="527" spans="1:6" x14ac:dyDescent="0.25">
      <c r="A527" s="11" t="s">
        <v>73</v>
      </c>
      <c r="B527" s="11" t="str">
        <f t="shared" si="121"/>
        <v>1"142</v>
      </c>
      <c r="C527" s="11" t="s">
        <v>23</v>
      </c>
      <c r="D527" s="3">
        <f t="shared" si="117"/>
        <v>142</v>
      </c>
      <c r="E527" s="11">
        <f t="shared" si="124"/>
        <v>8</v>
      </c>
      <c r="F527" s="11">
        <f t="shared" si="122"/>
        <v>40</v>
      </c>
    </row>
    <row r="528" spans="1:6" x14ac:dyDescent="0.25">
      <c r="A528" s="11" t="s">
        <v>73</v>
      </c>
      <c r="B528" s="11" t="str">
        <f t="shared" si="121"/>
        <v>1"143</v>
      </c>
      <c r="C528" s="11" t="s">
        <v>23</v>
      </c>
      <c r="D528" s="3">
        <f t="shared" si="117"/>
        <v>143</v>
      </c>
      <c r="E528" s="11">
        <f t="shared" si="124"/>
        <v>8</v>
      </c>
      <c r="F528" s="11">
        <f t="shared" si="122"/>
        <v>40</v>
      </c>
    </row>
    <row r="529" spans="1:6" x14ac:dyDescent="0.25">
      <c r="A529" s="11" t="s">
        <v>73</v>
      </c>
      <c r="B529" s="11" t="str">
        <f t="shared" si="121"/>
        <v>1"144</v>
      </c>
      <c r="C529" s="11" t="s">
        <v>23</v>
      </c>
      <c r="D529" s="3">
        <f t="shared" si="117"/>
        <v>144</v>
      </c>
      <c r="E529" s="11">
        <f t="shared" si="124"/>
        <v>8</v>
      </c>
      <c r="F529" s="11">
        <f t="shared" si="122"/>
        <v>40</v>
      </c>
    </row>
    <row r="530" spans="1:6" x14ac:dyDescent="0.25">
      <c r="A530" s="11" t="s">
        <v>73</v>
      </c>
      <c r="B530" s="11" t="str">
        <f t="shared" si="121"/>
        <v>1"145</v>
      </c>
      <c r="C530" s="11" t="s">
        <v>23</v>
      </c>
      <c r="D530" s="3">
        <f t="shared" si="117"/>
        <v>145</v>
      </c>
      <c r="E530" s="11">
        <f t="shared" si="124"/>
        <v>8</v>
      </c>
      <c r="F530" s="11">
        <f t="shared" si="122"/>
        <v>40</v>
      </c>
    </row>
    <row r="531" spans="1:6" x14ac:dyDescent="0.25">
      <c r="A531" s="11" t="s">
        <v>73</v>
      </c>
      <c r="B531" s="11" t="str">
        <f t="shared" si="121"/>
        <v>1"146</v>
      </c>
      <c r="C531" s="11" t="s">
        <v>23</v>
      </c>
      <c r="D531" s="3">
        <f t="shared" si="117"/>
        <v>146</v>
      </c>
      <c r="E531" s="11">
        <f t="shared" si="124"/>
        <v>8</v>
      </c>
      <c r="F531" s="11">
        <f t="shared" si="122"/>
        <v>40</v>
      </c>
    </row>
    <row r="532" spans="1:6" x14ac:dyDescent="0.25">
      <c r="A532" s="11" t="s">
        <v>73</v>
      </c>
      <c r="B532" s="11" t="str">
        <f t="shared" si="121"/>
        <v>1"147</v>
      </c>
      <c r="C532" s="11" t="s">
        <v>23</v>
      </c>
      <c r="D532" s="3">
        <f t="shared" si="117"/>
        <v>147</v>
      </c>
      <c r="E532" s="11">
        <f t="shared" si="124"/>
        <v>8</v>
      </c>
      <c r="F532" s="11">
        <f t="shared" si="122"/>
        <v>40</v>
      </c>
    </row>
    <row r="533" spans="1:6" x14ac:dyDescent="0.25">
      <c r="A533" s="11" t="s">
        <v>73</v>
      </c>
      <c r="B533" s="11" t="str">
        <f t="shared" si="121"/>
        <v>1"148</v>
      </c>
      <c r="C533" s="11" t="s">
        <v>23</v>
      </c>
      <c r="D533" s="3">
        <f t="shared" si="117"/>
        <v>148</v>
      </c>
      <c r="E533" s="11">
        <f t="shared" si="124"/>
        <v>8</v>
      </c>
      <c r="F533" s="11">
        <f t="shared" si="122"/>
        <v>40</v>
      </c>
    </row>
    <row r="534" spans="1:6" x14ac:dyDescent="0.25">
      <c r="A534" s="11" t="s">
        <v>73</v>
      </c>
      <c r="B534" s="11" t="str">
        <f t="shared" si="121"/>
        <v>1"149</v>
      </c>
      <c r="C534" s="11" t="s">
        <v>23</v>
      </c>
      <c r="D534" s="3">
        <f t="shared" si="117"/>
        <v>149</v>
      </c>
      <c r="E534" s="11">
        <f t="shared" si="124"/>
        <v>8</v>
      </c>
      <c r="F534" s="11">
        <f t="shared" si="122"/>
        <v>40</v>
      </c>
    </row>
    <row r="535" spans="1:6" x14ac:dyDescent="0.25">
      <c r="A535" s="11" t="s">
        <v>73</v>
      </c>
      <c r="B535" s="11" t="str">
        <f t="shared" si="121"/>
        <v>1"150</v>
      </c>
      <c r="C535" s="11" t="s">
        <v>23</v>
      </c>
      <c r="D535" s="3">
        <f t="shared" si="117"/>
        <v>150</v>
      </c>
      <c r="E535" s="11">
        <f t="shared" si="124"/>
        <v>8</v>
      </c>
      <c r="F535" s="11">
        <f t="shared" si="122"/>
        <v>40</v>
      </c>
    </row>
    <row r="536" spans="1:6" x14ac:dyDescent="0.25">
      <c r="A536" s="11" t="s">
        <v>73</v>
      </c>
      <c r="B536" s="11" t="str">
        <f t="shared" si="121"/>
        <v>1"151</v>
      </c>
      <c r="C536" s="11" t="s">
        <v>23</v>
      </c>
      <c r="D536" s="3">
        <f t="shared" si="117"/>
        <v>151</v>
      </c>
      <c r="E536" s="11">
        <f t="shared" si="124"/>
        <v>8</v>
      </c>
      <c r="F536" s="11">
        <f t="shared" si="122"/>
        <v>40</v>
      </c>
    </row>
    <row r="537" spans="1:6" x14ac:dyDescent="0.25">
      <c r="A537" s="11" t="s">
        <v>73</v>
      </c>
      <c r="B537" s="11" t="str">
        <f t="shared" si="121"/>
        <v>1"152</v>
      </c>
      <c r="C537" s="11" t="s">
        <v>23</v>
      </c>
      <c r="D537" s="3">
        <f t="shared" si="117"/>
        <v>152</v>
      </c>
      <c r="E537" s="11">
        <f t="shared" si="124"/>
        <v>8</v>
      </c>
      <c r="F537" s="11">
        <f t="shared" si="122"/>
        <v>40</v>
      </c>
    </row>
    <row r="538" spans="1:6" x14ac:dyDescent="0.25">
      <c r="A538" s="11" t="s">
        <v>73</v>
      </c>
      <c r="B538" s="11" t="str">
        <f t="shared" si="121"/>
        <v>1"153</v>
      </c>
      <c r="C538" s="11" t="s">
        <v>23</v>
      </c>
      <c r="D538" s="3">
        <f t="shared" si="117"/>
        <v>153</v>
      </c>
      <c r="E538" s="11">
        <f t="shared" si="124"/>
        <v>8</v>
      </c>
      <c r="F538" s="11">
        <f t="shared" si="122"/>
        <v>40</v>
      </c>
    </row>
    <row r="539" spans="1:6" x14ac:dyDescent="0.25">
      <c r="A539" s="11" t="s">
        <v>73</v>
      </c>
      <c r="B539" s="11" t="str">
        <f t="shared" si="121"/>
        <v>1"154</v>
      </c>
      <c r="C539" s="11" t="s">
        <v>23</v>
      </c>
      <c r="D539" s="3">
        <f t="shared" si="117"/>
        <v>154</v>
      </c>
      <c r="E539" s="11">
        <f t="shared" si="124"/>
        <v>8</v>
      </c>
      <c r="F539" s="11">
        <f t="shared" si="122"/>
        <v>40</v>
      </c>
    </row>
    <row r="540" spans="1:6" x14ac:dyDescent="0.25">
      <c r="A540" s="11" t="s">
        <v>73</v>
      </c>
      <c r="B540" s="11" t="str">
        <f t="shared" si="121"/>
        <v>1"155</v>
      </c>
      <c r="C540" s="11" t="s">
        <v>23</v>
      </c>
      <c r="D540" s="3">
        <f t="shared" si="117"/>
        <v>155</v>
      </c>
      <c r="E540" s="11">
        <f t="shared" si="124"/>
        <v>8</v>
      </c>
      <c r="F540" s="11">
        <f t="shared" si="122"/>
        <v>40</v>
      </c>
    </row>
    <row r="541" spans="1:6" x14ac:dyDescent="0.25">
      <c r="A541" s="11" t="s">
        <v>73</v>
      </c>
      <c r="B541" s="11" t="str">
        <f t="shared" si="121"/>
        <v>1"156</v>
      </c>
      <c r="C541" s="11" t="s">
        <v>23</v>
      </c>
      <c r="D541" s="3">
        <f t="shared" si="117"/>
        <v>156</v>
      </c>
      <c r="E541" s="11">
        <f t="shared" si="124"/>
        <v>8</v>
      </c>
      <c r="F541" s="11">
        <f t="shared" si="122"/>
        <v>40</v>
      </c>
    </row>
    <row r="542" spans="1:6" x14ac:dyDescent="0.25">
      <c r="A542" s="11" t="s">
        <v>73</v>
      </c>
      <c r="B542" s="11" t="str">
        <f t="shared" si="121"/>
        <v>1"157</v>
      </c>
      <c r="C542" s="11" t="s">
        <v>23</v>
      </c>
      <c r="D542" s="3">
        <f t="shared" si="117"/>
        <v>157</v>
      </c>
      <c r="E542" s="11">
        <f t="shared" si="124"/>
        <v>8</v>
      </c>
      <c r="F542" s="11">
        <f t="shared" si="122"/>
        <v>40</v>
      </c>
    </row>
    <row r="543" spans="1:6" x14ac:dyDescent="0.25">
      <c r="A543" s="11" t="s">
        <v>73</v>
      </c>
      <c r="B543" s="11" t="str">
        <f t="shared" si="121"/>
        <v>1"158</v>
      </c>
      <c r="C543" s="11" t="s">
        <v>23</v>
      </c>
      <c r="D543" s="3">
        <f t="shared" si="117"/>
        <v>158</v>
      </c>
      <c r="E543" s="11">
        <f t="shared" si="124"/>
        <v>8</v>
      </c>
      <c r="F543" s="11">
        <f t="shared" si="122"/>
        <v>40</v>
      </c>
    </row>
    <row r="544" spans="1:6" x14ac:dyDescent="0.25">
      <c r="A544" s="11" t="s">
        <v>73</v>
      </c>
      <c r="B544" s="11" t="str">
        <f t="shared" si="121"/>
        <v>1"159</v>
      </c>
      <c r="C544" s="11" t="s">
        <v>23</v>
      </c>
      <c r="D544" s="3">
        <f t="shared" si="117"/>
        <v>159</v>
      </c>
      <c r="E544" s="11">
        <f t="shared" si="124"/>
        <v>8</v>
      </c>
      <c r="F544" s="11">
        <f t="shared" si="122"/>
        <v>40</v>
      </c>
    </row>
    <row r="545" spans="1:6" x14ac:dyDescent="0.25">
      <c r="A545" s="11" t="s">
        <v>73</v>
      </c>
      <c r="B545" s="11" t="str">
        <f t="shared" si="121"/>
        <v>1"160</v>
      </c>
      <c r="C545" s="11" t="s">
        <v>23</v>
      </c>
      <c r="D545" s="3">
        <f t="shared" si="117"/>
        <v>160</v>
      </c>
      <c r="E545" s="11">
        <f t="shared" ref="E545" si="125">E544+1</f>
        <v>9</v>
      </c>
      <c r="F545" s="11">
        <f t="shared" si="122"/>
        <v>45</v>
      </c>
    </row>
    <row r="546" spans="1:6" x14ac:dyDescent="0.25">
      <c r="A546" s="11" t="s">
        <v>73</v>
      </c>
      <c r="B546" s="11" t="str">
        <f t="shared" si="121"/>
        <v>1"161</v>
      </c>
      <c r="C546" s="11" t="s">
        <v>23</v>
      </c>
      <c r="D546" s="3">
        <f t="shared" si="117"/>
        <v>161</v>
      </c>
      <c r="E546" s="11">
        <f t="shared" ref="E546:E551" si="126">E545</f>
        <v>9</v>
      </c>
      <c r="F546" s="11">
        <f t="shared" si="122"/>
        <v>45</v>
      </c>
    </row>
    <row r="547" spans="1:6" x14ac:dyDescent="0.25">
      <c r="A547" s="11" t="s">
        <v>73</v>
      </c>
      <c r="B547" s="11" t="str">
        <f t="shared" si="121"/>
        <v>1"162</v>
      </c>
      <c r="C547" s="11" t="s">
        <v>23</v>
      </c>
      <c r="D547" s="3">
        <f t="shared" si="117"/>
        <v>162</v>
      </c>
      <c r="E547" s="11">
        <f t="shared" si="126"/>
        <v>9</v>
      </c>
      <c r="F547" s="11">
        <f t="shared" si="122"/>
        <v>45</v>
      </c>
    </row>
    <row r="548" spans="1:6" x14ac:dyDescent="0.25">
      <c r="A548" s="11" t="s">
        <v>73</v>
      </c>
      <c r="B548" s="11" t="str">
        <f t="shared" si="121"/>
        <v>1"163</v>
      </c>
      <c r="C548" s="11" t="s">
        <v>23</v>
      </c>
      <c r="D548" s="3">
        <f t="shared" si="117"/>
        <v>163</v>
      </c>
      <c r="E548" s="11">
        <f t="shared" si="126"/>
        <v>9</v>
      </c>
      <c r="F548" s="11">
        <f t="shared" si="122"/>
        <v>45</v>
      </c>
    </row>
    <row r="549" spans="1:6" x14ac:dyDescent="0.25">
      <c r="A549" s="11" t="s">
        <v>73</v>
      </c>
      <c r="B549" s="11" t="str">
        <f t="shared" si="121"/>
        <v>1"164</v>
      </c>
      <c r="C549" s="11" t="s">
        <v>23</v>
      </c>
      <c r="D549" s="3">
        <f t="shared" si="117"/>
        <v>164</v>
      </c>
      <c r="E549" s="11">
        <f t="shared" si="126"/>
        <v>9</v>
      </c>
      <c r="F549" s="11">
        <f t="shared" si="122"/>
        <v>45</v>
      </c>
    </row>
    <row r="550" spans="1:6" x14ac:dyDescent="0.25">
      <c r="A550" s="11" t="s">
        <v>73</v>
      </c>
      <c r="B550" s="11" t="str">
        <f t="shared" si="121"/>
        <v>1"165</v>
      </c>
      <c r="C550" s="11" t="s">
        <v>23</v>
      </c>
      <c r="D550" s="3">
        <f t="shared" si="117"/>
        <v>165</v>
      </c>
      <c r="E550" s="11">
        <f t="shared" si="126"/>
        <v>9</v>
      </c>
      <c r="F550" s="11">
        <f t="shared" si="122"/>
        <v>45</v>
      </c>
    </row>
    <row r="551" spans="1:6" x14ac:dyDescent="0.25">
      <c r="A551" s="11" t="s">
        <v>73</v>
      </c>
      <c r="B551" s="11" t="str">
        <f t="shared" si="121"/>
        <v>1"166</v>
      </c>
      <c r="C551" s="11" t="s">
        <v>23</v>
      </c>
      <c r="D551" s="3">
        <f t="shared" si="117"/>
        <v>166</v>
      </c>
      <c r="E551" s="11">
        <f t="shared" si="126"/>
        <v>9</v>
      </c>
      <c r="F551" s="11">
        <f t="shared" si="122"/>
        <v>45</v>
      </c>
    </row>
    <row r="552" spans="1:6" x14ac:dyDescent="0.25">
      <c r="A552" s="11" t="s">
        <v>73</v>
      </c>
      <c r="B552" s="11" t="str">
        <f t="shared" si="121"/>
        <v>1"167</v>
      </c>
      <c r="C552" s="11" t="s">
        <v>23</v>
      </c>
      <c r="D552" s="3">
        <f t="shared" si="117"/>
        <v>167</v>
      </c>
      <c r="E552" s="11">
        <f>E551+1</f>
        <v>10</v>
      </c>
      <c r="F552" s="11">
        <f t="shared" si="122"/>
        <v>50</v>
      </c>
    </row>
    <row r="553" spans="1:6" x14ac:dyDescent="0.25">
      <c r="A553" s="11" t="s">
        <v>73</v>
      </c>
      <c r="B553" s="11" t="str">
        <f t="shared" si="121"/>
        <v>1"168</v>
      </c>
      <c r="C553" s="11" t="s">
        <v>23</v>
      </c>
      <c r="D553" s="3">
        <f t="shared" si="117"/>
        <v>168</v>
      </c>
      <c r="E553" s="11">
        <f t="shared" ref="E553:E559" si="127">E552</f>
        <v>10</v>
      </c>
      <c r="F553" s="11">
        <f t="shared" si="122"/>
        <v>50</v>
      </c>
    </row>
    <row r="554" spans="1:6" x14ac:dyDescent="0.25">
      <c r="A554" s="11" t="s">
        <v>73</v>
      </c>
      <c r="B554" s="11" t="str">
        <f t="shared" si="121"/>
        <v>1"169</v>
      </c>
      <c r="C554" s="11" t="s">
        <v>23</v>
      </c>
      <c r="D554" s="3">
        <f t="shared" ref="D554:D617" si="128">D553+1</f>
        <v>169</v>
      </c>
      <c r="E554" s="11">
        <f t="shared" si="127"/>
        <v>10</v>
      </c>
      <c r="F554" s="11">
        <f t="shared" si="122"/>
        <v>50</v>
      </c>
    </row>
    <row r="555" spans="1:6" x14ac:dyDescent="0.25">
      <c r="A555" s="11" t="s">
        <v>73</v>
      </c>
      <c r="B555" s="11" t="str">
        <f t="shared" si="121"/>
        <v>1"170</v>
      </c>
      <c r="C555" s="11" t="s">
        <v>23</v>
      </c>
      <c r="D555" s="3">
        <f t="shared" si="128"/>
        <v>170</v>
      </c>
      <c r="E555" s="11">
        <f t="shared" si="127"/>
        <v>10</v>
      </c>
      <c r="F555" s="11">
        <f t="shared" si="122"/>
        <v>50</v>
      </c>
    </row>
    <row r="556" spans="1:6" x14ac:dyDescent="0.25">
      <c r="A556" s="11" t="s">
        <v>73</v>
      </c>
      <c r="B556" s="11" t="str">
        <f t="shared" si="121"/>
        <v>1"171</v>
      </c>
      <c r="C556" s="11" t="s">
        <v>23</v>
      </c>
      <c r="D556" s="3">
        <f t="shared" si="128"/>
        <v>171</v>
      </c>
      <c r="E556" s="11">
        <f t="shared" si="127"/>
        <v>10</v>
      </c>
      <c r="F556" s="11">
        <f t="shared" si="122"/>
        <v>50</v>
      </c>
    </row>
    <row r="557" spans="1:6" x14ac:dyDescent="0.25">
      <c r="A557" s="11" t="s">
        <v>73</v>
      </c>
      <c r="B557" s="11" t="str">
        <f t="shared" si="121"/>
        <v>1"172</v>
      </c>
      <c r="C557" s="11" t="s">
        <v>23</v>
      </c>
      <c r="D557" s="3">
        <f t="shared" si="128"/>
        <v>172</v>
      </c>
      <c r="E557" s="11">
        <f t="shared" si="127"/>
        <v>10</v>
      </c>
      <c r="F557" s="11">
        <f t="shared" si="122"/>
        <v>50</v>
      </c>
    </row>
    <row r="558" spans="1:6" x14ac:dyDescent="0.25">
      <c r="A558" s="11" t="s">
        <v>73</v>
      </c>
      <c r="B558" s="11" t="str">
        <f t="shared" si="121"/>
        <v>1"173</v>
      </c>
      <c r="C558" s="11" t="s">
        <v>23</v>
      </c>
      <c r="D558" s="3">
        <f t="shared" si="128"/>
        <v>173</v>
      </c>
      <c r="E558" s="11">
        <f t="shared" si="127"/>
        <v>10</v>
      </c>
      <c r="F558" s="11">
        <f t="shared" si="122"/>
        <v>50</v>
      </c>
    </row>
    <row r="559" spans="1:6" x14ac:dyDescent="0.25">
      <c r="A559" s="11" t="s">
        <v>73</v>
      </c>
      <c r="B559" s="11" t="str">
        <f t="shared" si="121"/>
        <v>1"174</v>
      </c>
      <c r="C559" s="11" t="s">
        <v>23</v>
      </c>
      <c r="D559" s="3">
        <f t="shared" si="128"/>
        <v>174</v>
      </c>
      <c r="E559" s="11">
        <f t="shared" si="127"/>
        <v>10</v>
      </c>
      <c r="F559" s="11">
        <f t="shared" si="122"/>
        <v>50</v>
      </c>
    </row>
    <row r="560" spans="1:6" x14ac:dyDescent="0.25">
      <c r="A560" s="11" t="s">
        <v>73</v>
      </c>
      <c r="B560" s="11" t="str">
        <f t="shared" si="121"/>
        <v>1"175</v>
      </c>
      <c r="C560" s="11" t="s">
        <v>23</v>
      </c>
      <c r="D560" s="3">
        <f t="shared" si="128"/>
        <v>175</v>
      </c>
      <c r="E560" s="11">
        <f t="shared" ref="E560:E571" si="129">E559</f>
        <v>10</v>
      </c>
      <c r="F560" s="11">
        <f t="shared" si="122"/>
        <v>50</v>
      </c>
    </row>
    <row r="561" spans="1:6" x14ac:dyDescent="0.25">
      <c r="A561" s="11" t="s">
        <v>73</v>
      </c>
      <c r="B561" s="11" t="str">
        <f t="shared" si="121"/>
        <v>1"176</v>
      </c>
      <c r="C561" s="11" t="s">
        <v>23</v>
      </c>
      <c r="D561" s="3">
        <f t="shared" si="128"/>
        <v>176</v>
      </c>
      <c r="E561" s="11">
        <f t="shared" si="129"/>
        <v>10</v>
      </c>
      <c r="F561" s="11">
        <f t="shared" si="122"/>
        <v>50</v>
      </c>
    </row>
    <row r="562" spans="1:6" x14ac:dyDescent="0.25">
      <c r="A562" s="11" t="s">
        <v>73</v>
      </c>
      <c r="B562" s="11" t="str">
        <f t="shared" si="121"/>
        <v>1"177</v>
      </c>
      <c r="C562" s="11" t="s">
        <v>23</v>
      </c>
      <c r="D562" s="3">
        <f t="shared" si="128"/>
        <v>177</v>
      </c>
      <c r="E562" s="11">
        <f t="shared" si="129"/>
        <v>10</v>
      </c>
      <c r="F562" s="11">
        <f t="shared" si="122"/>
        <v>50</v>
      </c>
    </row>
    <row r="563" spans="1:6" x14ac:dyDescent="0.25">
      <c r="A563" s="11" t="s">
        <v>73</v>
      </c>
      <c r="B563" s="11" t="str">
        <f t="shared" si="121"/>
        <v>1"178</v>
      </c>
      <c r="C563" s="11" t="s">
        <v>23</v>
      </c>
      <c r="D563" s="3">
        <f t="shared" si="128"/>
        <v>178</v>
      </c>
      <c r="E563" s="11">
        <f t="shared" si="129"/>
        <v>10</v>
      </c>
      <c r="F563" s="11">
        <f t="shared" si="122"/>
        <v>50</v>
      </c>
    </row>
    <row r="564" spans="1:6" x14ac:dyDescent="0.25">
      <c r="A564" s="11" t="s">
        <v>73</v>
      </c>
      <c r="B564" s="11" t="str">
        <f t="shared" si="121"/>
        <v>1"179</v>
      </c>
      <c r="C564" s="11" t="s">
        <v>23</v>
      </c>
      <c r="D564" s="3">
        <f t="shared" si="128"/>
        <v>179</v>
      </c>
      <c r="E564" s="11">
        <f t="shared" si="129"/>
        <v>10</v>
      </c>
      <c r="F564" s="11">
        <f t="shared" si="122"/>
        <v>50</v>
      </c>
    </row>
    <row r="565" spans="1:6" x14ac:dyDescent="0.25">
      <c r="A565" s="11" t="s">
        <v>73</v>
      </c>
      <c r="B565" s="11" t="str">
        <f t="shared" si="121"/>
        <v>1"180</v>
      </c>
      <c r="C565" s="11" t="s">
        <v>23</v>
      </c>
      <c r="D565" s="3">
        <f t="shared" si="128"/>
        <v>180</v>
      </c>
      <c r="E565" s="11">
        <f t="shared" si="129"/>
        <v>10</v>
      </c>
      <c r="F565" s="11">
        <f t="shared" si="122"/>
        <v>50</v>
      </c>
    </row>
    <row r="566" spans="1:6" x14ac:dyDescent="0.25">
      <c r="A566" s="11" t="s">
        <v>73</v>
      </c>
      <c r="B566" s="11" t="str">
        <f t="shared" si="121"/>
        <v>1"181</v>
      </c>
      <c r="C566" s="11" t="s">
        <v>23</v>
      </c>
      <c r="D566" s="3">
        <f t="shared" si="128"/>
        <v>181</v>
      </c>
      <c r="E566" s="11">
        <f t="shared" si="129"/>
        <v>10</v>
      </c>
      <c r="F566" s="11">
        <f t="shared" si="122"/>
        <v>50</v>
      </c>
    </row>
    <row r="567" spans="1:6" x14ac:dyDescent="0.25">
      <c r="A567" s="11" t="s">
        <v>73</v>
      </c>
      <c r="B567" s="11" t="str">
        <f t="shared" si="121"/>
        <v>1"182</v>
      </c>
      <c r="C567" s="11" t="s">
        <v>23</v>
      </c>
      <c r="D567" s="3">
        <f t="shared" si="128"/>
        <v>182</v>
      </c>
      <c r="E567" s="11">
        <f t="shared" si="129"/>
        <v>10</v>
      </c>
      <c r="F567" s="11">
        <f t="shared" si="122"/>
        <v>50</v>
      </c>
    </row>
    <row r="568" spans="1:6" x14ac:dyDescent="0.25">
      <c r="A568" s="11" t="s">
        <v>73</v>
      </c>
      <c r="B568" s="11" t="str">
        <f t="shared" si="121"/>
        <v>1"183</v>
      </c>
      <c r="C568" s="11" t="s">
        <v>23</v>
      </c>
      <c r="D568" s="3">
        <f t="shared" si="128"/>
        <v>183</v>
      </c>
      <c r="E568" s="11">
        <f t="shared" si="129"/>
        <v>10</v>
      </c>
      <c r="F568" s="11">
        <f t="shared" si="122"/>
        <v>50</v>
      </c>
    </row>
    <row r="569" spans="1:6" x14ac:dyDescent="0.25">
      <c r="A569" s="11" t="s">
        <v>73</v>
      </c>
      <c r="B569" s="11" t="str">
        <f t="shared" si="121"/>
        <v>1"184</v>
      </c>
      <c r="C569" s="11" t="s">
        <v>23</v>
      </c>
      <c r="D569" s="3">
        <f t="shared" si="128"/>
        <v>184</v>
      </c>
      <c r="E569" s="11">
        <f t="shared" si="129"/>
        <v>10</v>
      </c>
      <c r="F569" s="11">
        <f t="shared" si="122"/>
        <v>50</v>
      </c>
    </row>
    <row r="570" spans="1:6" x14ac:dyDescent="0.25">
      <c r="A570" s="11" t="s">
        <v>73</v>
      </c>
      <c r="B570" s="11" t="str">
        <f t="shared" si="121"/>
        <v>1"185</v>
      </c>
      <c r="C570" s="11" t="s">
        <v>23</v>
      </c>
      <c r="D570" s="3">
        <f t="shared" si="128"/>
        <v>185</v>
      </c>
      <c r="E570" s="11">
        <f t="shared" si="129"/>
        <v>10</v>
      </c>
      <c r="F570" s="11">
        <f t="shared" si="122"/>
        <v>50</v>
      </c>
    </row>
    <row r="571" spans="1:6" x14ac:dyDescent="0.25">
      <c r="A571" s="11" t="s">
        <v>73</v>
      </c>
      <c r="B571" s="11" t="str">
        <f t="shared" ref="B571:B634" si="130">CONCATENATE(C571&amp;D571)</f>
        <v>1"186</v>
      </c>
      <c r="C571" s="11" t="s">
        <v>23</v>
      </c>
      <c r="D571" s="3">
        <f t="shared" si="128"/>
        <v>186</v>
      </c>
      <c r="E571" s="11">
        <f t="shared" si="129"/>
        <v>10</v>
      </c>
      <c r="F571" s="11">
        <f t="shared" si="122"/>
        <v>50</v>
      </c>
    </row>
    <row r="572" spans="1:6" x14ac:dyDescent="0.25">
      <c r="A572" s="11" t="s">
        <v>73</v>
      </c>
      <c r="B572" s="11" t="str">
        <f t="shared" si="130"/>
        <v>1"187</v>
      </c>
      <c r="C572" s="11" t="s">
        <v>23</v>
      </c>
      <c r="D572" s="3">
        <f t="shared" si="128"/>
        <v>187</v>
      </c>
      <c r="E572" s="11">
        <f t="shared" ref="E572" si="131">E571+1</f>
        <v>11</v>
      </c>
      <c r="F572" s="11">
        <f t="shared" si="122"/>
        <v>55</v>
      </c>
    </row>
    <row r="573" spans="1:6" x14ac:dyDescent="0.25">
      <c r="A573" s="11" t="s">
        <v>73</v>
      </c>
      <c r="B573" s="11" t="str">
        <f t="shared" si="130"/>
        <v>1"188</v>
      </c>
      <c r="C573" s="11" t="s">
        <v>23</v>
      </c>
      <c r="D573" s="3">
        <f t="shared" si="128"/>
        <v>188</v>
      </c>
      <c r="E573" s="11">
        <f t="shared" ref="E573:E591" si="132">E572</f>
        <v>11</v>
      </c>
      <c r="F573" s="11">
        <f t="shared" si="122"/>
        <v>55</v>
      </c>
    </row>
    <row r="574" spans="1:6" x14ac:dyDescent="0.25">
      <c r="A574" s="11" t="s">
        <v>73</v>
      </c>
      <c r="B574" s="11" t="str">
        <f t="shared" si="130"/>
        <v>1"189</v>
      </c>
      <c r="C574" s="11" t="s">
        <v>23</v>
      </c>
      <c r="D574" s="3">
        <f t="shared" si="128"/>
        <v>189</v>
      </c>
      <c r="E574" s="11">
        <f t="shared" si="132"/>
        <v>11</v>
      </c>
      <c r="F574" s="11">
        <f t="shared" si="122"/>
        <v>55</v>
      </c>
    </row>
    <row r="575" spans="1:6" x14ac:dyDescent="0.25">
      <c r="A575" s="11" t="s">
        <v>73</v>
      </c>
      <c r="B575" s="11" t="str">
        <f t="shared" si="130"/>
        <v>1"190</v>
      </c>
      <c r="C575" s="11" t="s">
        <v>23</v>
      </c>
      <c r="D575" s="3">
        <f t="shared" si="128"/>
        <v>190</v>
      </c>
      <c r="E575" s="11">
        <f t="shared" si="132"/>
        <v>11</v>
      </c>
      <c r="F575" s="11">
        <f t="shared" si="122"/>
        <v>55</v>
      </c>
    </row>
    <row r="576" spans="1:6" x14ac:dyDescent="0.25">
      <c r="A576" s="11" t="s">
        <v>73</v>
      </c>
      <c r="B576" s="11" t="str">
        <f t="shared" si="130"/>
        <v>1"191</v>
      </c>
      <c r="C576" s="11" t="s">
        <v>23</v>
      </c>
      <c r="D576" s="3">
        <f t="shared" si="128"/>
        <v>191</v>
      </c>
      <c r="E576" s="11">
        <f t="shared" si="132"/>
        <v>11</v>
      </c>
      <c r="F576" s="11">
        <f t="shared" si="122"/>
        <v>55</v>
      </c>
    </row>
    <row r="577" spans="1:6" x14ac:dyDescent="0.25">
      <c r="A577" s="11" t="s">
        <v>73</v>
      </c>
      <c r="B577" s="11" t="str">
        <f t="shared" si="130"/>
        <v>1"192</v>
      </c>
      <c r="C577" s="11" t="s">
        <v>23</v>
      </c>
      <c r="D577" s="3">
        <f t="shared" si="128"/>
        <v>192</v>
      </c>
      <c r="E577" s="11">
        <f t="shared" si="132"/>
        <v>11</v>
      </c>
      <c r="F577" s="11">
        <f t="shared" si="122"/>
        <v>55</v>
      </c>
    </row>
    <row r="578" spans="1:6" x14ac:dyDescent="0.25">
      <c r="A578" s="11" t="s">
        <v>73</v>
      </c>
      <c r="B578" s="11" t="str">
        <f t="shared" si="130"/>
        <v>1"193</v>
      </c>
      <c r="C578" s="11" t="s">
        <v>23</v>
      </c>
      <c r="D578" s="3">
        <f t="shared" si="128"/>
        <v>193</v>
      </c>
      <c r="E578" s="11">
        <f t="shared" si="132"/>
        <v>11</v>
      </c>
      <c r="F578" s="11">
        <f t="shared" si="122"/>
        <v>55</v>
      </c>
    </row>
    <row r="579" spans="1:6" x14ac:dyDescent="0.25">
      <c r="A579" s="11" t="s">
        <v>73</v>
      </c>
      <c r="B579" s="11" t="str">
        <f t="shared" si="130"/>
        <v>1"194</v>
      </c>
      <c r="C579" s="11" t="s">
        <v>23</v>
      </c>
      <c r="D579" s="3">
        <f t="shared" si="128"/>
        <v>194</v>
      </c>
      <c r="E579" s="11">
        <f t="shared" si="132"/>
        <v>11</v>
      </c>
      <c r="F579" s="11">
        <f t="shared" si="122"/>
        <v>55</v>
      </c>
    </row>
    <row r="580" spans="1:6" x14ac:dyDescent="0.25">
      <c r="A580" s="11" t="s">
        <v>73</v>
      </c>
      <c r="B580" s="11" t="str">
        <f t="shared" si="130"/>
        <v>1"195</v>
      </c>
      <c r="C580" s="11" t="s">
        <v>23</v>
      </c>
      <c r="D580" s="3">
        <f t="shared" si="128"/>
        <v>195</v>
      </c>
      <c r="E580" s="11">
        <f t="shared" si="132"/>
        <v>11</v>
      </c>
      <c r="F580" s="11">
        <f t="shared" si="122"/>
        <v>55</v>
      </c>
    </row>
    <row r="581" spans="1:6" x14ac:dyDescent="0.25">
      <c r="A581" s="11" t="s">
        <v>73</v>
      </c>
      <c r="B581" s="11" t="str">
        <f t="shared" si="130"/>
        <v>1"196</v>
      </c>
      <c r="C581" s="11" t="s">
        <v>23</v>
      </c>
      <c r="D581" s="3">
        <f t="shared" si="128"/>
        <v>196</v>
      </c>
      <c r="E581" s="11">
        <f t="shared" si="132"/>
        <v>11</v>
      </c>
      <c r="F581" s="11">
        <f t="shared" si="122"/>
        <v>55</v>
      </c>
    </row>
    <row r="582" spans="1:6" x14ac:dyDescent="0.25">
      <c r="A582" s="11" t="s">
        <v>73</v>
      </c>
      <c r="B582" s="11" t="str">
        <f t="shared" si="130"/>
        <v>1"197</v>
      </c>
      <c r="C582" s="11" t="s">
        <v>23</v>
      </c>
      <c r="D582" s="3">
        <f t="shared" si="128"/>
        <v>197</v>
      </c>
      <c r="E582" s="11">
        <f t="shared" si="132"/>
        <v>11</v>
      </c>
      <c r="F582" s="11">
        <f t="shared" si="122"/>
        <v>55</v>
      </c>
    </row>
    <row r="583" spans="1:6" x14ac:dyDescent="0.25">
      <c r="A583" s="11" t="s">
        <v>73</v>
      </c>
      <c r="B583" s="11" t="str">
        <f t="shared" si="130"/>
        <v>1"198</v>
      </c>
      <c r="C583" s="11" t="s">
        <v>23</v>
      </c>
      <c r="D583" s="3">
        <f t="shared" si="128"/>
        <v>198</v>
      </c>
      <c r="E583" s="11">
        <f t="shared" si="132"/>
        <v>11</v>
      </c>
      <c r="F583" s="11">
        <f t="shared" si="122"/>
        <v>55</v>
      </c>
    </row>
    <row r="584" spans="1:6" x14ac:dyDescent="0.25">
      <c r="A584" s="11" t="s">
        <v>73</v>
      </c>
      <c r="B584" s="11" t="str">
        <f t="shared" si="130"/>
        <v>1"199</v>
      </c>
      <c r="C584" s="11" t="s">
        <v>23</v>
      </c>
      <c r="D584" s="3">
        <f t="shared" si="128"/>
        <v>199</v>
      </c>
      <c r="E584" s="11">
        <f t="shared" si="132"/>
        <v>11</v>
      </c>
      <c r="F584" s="11">
        <f t="shared" si="122"/>
        <v>55</v>
      </c>
    </row>
    <row r="585" spans="1:6" x14ac:dyDescent="0.25">
      <c r="A585" s="11" t="s">
        <v>73</v>
      </c>
      <c r="B585" s="11" t="str">
        <f t="shared" si="130"/>
        <v>1"200</v>
      </c>
      <c r="C585" s="11" t="s">
        <v>23</v>
      </c>
      <c r="D585" s="3">
        <f t="shared" si="128"/>
        <v>200</v>
      </c>
      <c r="E585" s="11">
        <f t="shared" si="132"/>
        <v>11</v>
      </c>
      <c r="F585" s="11">
        <f t="shared" si="122"/>
        <v>55</v>
      </c>
    </row>
    <row r="586" spans="1:6" x14ac:dyDescent="0.25">
      <c r="A586" s="11" t="s">
        <v>73</v>
      </c>
      <c r="B586" s="11" t="str">
        <f t="shared" si="130"/>
        <v>1"201</v>
      </c>
      <c r="C586" s="11" t="s">
        <v>23</v>
      </c>
      <c r="D586" s="3">
        <f t="shared" si="128"/>
        <v>201</v>
      </c>
      <c r="E586" s="11">
        <f t="shared" si="132"/>
        <v>11</v>
      </c>
      <c r="F586" s="11">
        <f t="shared" si="122"/>
        <v>55</v>
      </c>
    </row>
    <row r="587" spans="1:6" x14ac:dyDescent="0.25">
      <c r="A587" s="11" t="s">
        <v>73</v>
      </c>
      <c r="B587" s="11" t="str">
        <f t="shared" si="130"/>
        <v>1"202</v>
      </c>
      <c r="C587" s="11" t="s">
        <v>23</v>
      </c>
      <c r="D587" s="3">
        <f t="shared" si="128"/>
        <v>202</v>
      </c>
      <c r="E587" s="11">
        <f t="shared" si="132"/>
        <v>11</v>
      </c>
      <c r="F587" s="11">
        <f t="shared" ref="F587:F650" si="133">E587*$F$1</f>
        <v>55</v>
      </c>
    </row>
    <row r="588" spans="1:6" x14ac:dyDescent="0.25">
      <c r="A588" s="11" t="s">
        <v>73</v>
      </c>
      <c r="B588" s="11" t="str">
        <f t="shared" si="130"/>
        <v>1"203</v>
      </c>
      <c r="C588" s="11" t="s">
        <v>23</v>
      </c>
      <c r="D588" s="3">
        <f t="shared" si="128"/>
        <v>203</v>
      </c>
      <c r="E588" s="11">
        <f t="shared" si="132"/>
        <v>11</v>
      </c>
      <c r="F588" s="11">
        <f t="shared" si="133"/>
        <v>55</v>
      </c>
    </row>
    <row r="589" spans="1:6" x14ac:dyDescent="0.25">
      <c r="A589" s="11" t="s">
        <v>73</v>
      </c>
      <c r="B589" s="11" t="str">
        <f t="shared" si="130"/>
        <v>1"204</v>
      </c>
      <c r="C589" s="11" t="s">
        <v>23</v>
      </c>
      <c r="D589" s="3">
        <f t="shared" si="128"/>
        <v>204</v>
      </c>
      <c r="E589" s="11">
        <f t="shared" si="132"/>
        <v>11</v>
      </c>
      <c r="F589" s="11">
        <f t="shared" si="133"/>
        <v>55</v>
      </c>
    </row>
    <row r="590" spans="1:6" x14ac:dyDescent="0.25">
      <c r="A590" s="11" t="s">
        <v>73</v>
      </c>
      <c r="B590" s="11" t="str">
        <f t="shared" si="130"/>
        <v>1"205</v>
      </c>
      <c r="C590" s="11" t="s">
        <v>23</v>
      </c>
      <c r="D590" s="3">
        <f t="shared" si="128"/>
        <v>205</v>
      </c>
      <c r="E590" s="11">
        <f t="shared" si="132"/>
        <v>11</v>
      </c>
      <c r="F590" s="11">
        <f t="shared" si="133"/>
        <v>55</v>
      </c>
    </row>
    <row r="591" spans="1:6" x14ac:dyDescent="0.25">
      <c r="A591" s="11" t="s">
        <v>73</v>
      </c>
      <c r="B591" s="11" t="str">
        <f t="shared" si="130"/>
        <v>1"206</v>
      </c>
      <c r="C591" s="11" t="s">
        <v>23</v>
      </c>
      <c r="D591" s="3">
        <f t="shared" si="128"/>
        <v>206</v>
      </c>
      <c r="E591" s="11">
        <f t="shared" si="132"/>
        <v>11</v>
      </c>
      <c r="F591" s="11">
        <f t="shared" si="133"/>
        <v>55</v>
      </c>
    </row>
    <row r="592" spans="1:6" x14ac:dyDescent="0.25">
      <c r="A592" s="11" t="s">
        <v>73</v>
      </c>
      <c r="B592" s="11" t="str">
        <f t="shared" si="130"/>
        <v>1"207</v>
      </c>
      <c r="C592" s="11" t="s">
        <v>23</v>
      </c>
      <c r="D592" s="3">
        <f t="shared" si="128"/>
        <v>207</v>
      </c>
      <c r="E592" s="11">
        <f t="shared" ref="E592" si="134">E591+1</f>
        <v>12</v>
      </c>
      <c r="F592" s="11">
        <f t="shared" si="133"/>
        <v>60</v>
      </c>
    </row>
    <row r="593" spans="1:6" x14ac:dyDescent="0.25">
      <c r="A593" s="11" t="s">
        <v>73</v>
      </c>
      <c r="B593" s="11" t="str">
        <f t="shared" si="130"/>
        <v>1"208</v>
      </c>
      <c r="C593" s="11" t="s">
        <v>23</v>
      </c>
      <c r="D593" s="3">
        <f t="shared" si="128"/>
        <v>208</v>
      </c>
      <c r="E593" s="11">
        <f t="shared" ref="E593:E611" si="135">E592</f>
        <v>12</v>
      </c>
      <c r="F593" s="11">
        <f t="shared" si="133"/>
        <v>60</v>
      </c>
    </row>
    <row r="594" spans="1:6" x14ac:dyDescent="0.25">
      <c r="A594" s="11" t="s">
        <v>73</v>
      </c>
      <c r="B594" s="11" t="str">
        <f t="shared" si="130"/>
        <v>1"209</v>
      </c>
      <c r="C594" s="11" t="s">
        <v>23</v>
      </c>
      <c r="D594" s="3">
        <f t="shared" si="128"/>
        <v>209</v>
      </c>
      <c r="E594" s="11">
        <f t="shared" si="135"/>
        <v>12</v>
      </c>
      <c r="F594" s="11">
        <f t="shared" si="133"/>
        <v>60</v>
      </c>
    </row>
    <row r="595" spans="1:6" x14ac:dyDescent="0.25">
      <c r="A595" s="11" t="s">
        <v>73</v>
      </c>
      <c r="B595" s="11" t="str">
        <f t="shared" si="130"/>
        <v>1"210</v>
      </c>
      <c r="C595" s="11" t="s">
        <v>23</v>
      </c>
      <c r="D595" s="3">
        <f t="shared" si="128"/>
        <v>210</v>
      </c>
      <c r="E595" s="11">
        <f t="shared" si="135"/>
        <v>12</v>
      </c>
      <c r="F595" s="11">
        <f t="shared" si="133"/>
        <v>60</v>
      </c>
    </row>
    <row r="596" spans="1:6" x14ac:dyDescent="0.25">
      <c r="A596" s="11" t="s">
        <v>73</v>
      </c>
      <c r="B596" s="11" t="str">
        <f t="shared" si="130"/>
        <v>1"211</v>
      </c>
      <c r="C596" s="11" t="s">
        <v>23</v>
      </c>
      <c r="D596" s="3">
        <f t="shared" si="128"/>
        <v>211</v>
      </c>
      <c r="E596" s="11">
        <f t="shared" si="135"/>
        <v>12</v>
      </c>
      <c r="F596" s="11">
        <f t="shared" si="133"/>
        <v>60</v>
      </c>
    </row>
    <row r="597" spans="1:6" x14ac:dyDescent="0.25">
      <c r="A597" s="11" t="s">
        <v>73</v>
      </c>
      <c r="B597" s="11" t="str">
        <f t="shared" si="130"/>
        <v>1"212</v>
      </c>
      <c r="C597" s="11" t="s">
        <v>23</v>
      </c>
      <c r="D597" s="3">
        <f t="shared" si="128"/>
        <v>212</v>
      </c>
      <c r="E597" s="11">
        <f t="shared" si="135"/>
        <v>12</v>
      </c>
      <c r="F597" s="11">
        <f t="shared" si="133"/>
        <v>60</v>
      </c>
    </row>
    <row r="598" spans="1:6" x14ac:dyDescent="0.25">
      <c r="A598" s="11" t="s">
        <v>73</v>
      </c>
      <c r="B598" s="11" t="str">
        <f t="shared" si="130"/>
        <v>1"213</v>
      </c>
      <c r="C598" s="11" t="s">
        <v>23</v>
      </c>
      <c r="D598" s="3">
        <f t="shared" si="128"/>
        <v>213</v>
      </c>
      <c r="E598" s="11">
        <f t="shared" si="135"/>
        <v>12</v>
      </c>
      <c r="F598" s="11">
        <f t="shared" si="133"/>
        <v>60</v>
      </c>
    </row>
    <row r="599" spans="1:6" x14ac:dyDescent="0.25">
      <c r="A599" s="11" t="s">
        <v>73</v>
      </c>
      <c r="B599" s="11" t="str">
        <f t="shared" si="130"/>
        <v>1"214</v>
      </c>
      <c r="C599" s="11" t="s">
        <v>23</v>
      </c>
      <c r="D599" s="3">
        <f t="shared" si="128"/>
        <v>214</v>
      </c>
      <c r="E599" s="11">
        <f t="shared" si="135"/>
        <v>12</v>
      </c>
      <c r="F599" s="11">
        <f t="shared" si="133"/>
        <v>60</v>
      </c>
    </row>
    <row r="600" spans="1:6" x14ac:dyDescent="0.25">
      <c r="A600" s="11" t="s">
        <v>73</v>
      </c>
      <c r="B600" s="11" t="str">
        <f t="shared" si="130"/>
        <v>1"215</v>
      </c>
      <c r="C600" s="11" t="s">
        <v>23</v>
      </c>
      <c r="D600" s="3">
        <f t="shared" si="128"/>
        <v>215</v>
      </c>
      <c r="E600" s="11">
        <f t="shared" si="135"/>
        <v>12</v>
      </c>
      <c r="F600" s="11">
        <f t="shared" si="133"/>
        <v>60</v>
      </c>
    </row>
    <row r="601" spans="1:6" x14ac:dyDescent="0.25">
      <c r="A601" s="11" t="s">
        <v>73</v>
      </c>
      <c r="B601" s="11" t="str">
        <f t="shared" si="130"/>
        <v>1"216</v>
      </c>
      <c r="C601" s="11" t="s">
        <v>23</v>
      </c>
      <c r="D601" s="3">
        <f t="shared" si="128"/>
        <v>216</v>
      </c>
      <c r="E601" s="11">
        <f t="shared" si="135"/>
        <v>12</v>
      </c>
      <c r="F601" s="11">
        <f t="shared" si="133"/>
        <v>60</v>
      </c>
    </row>
    <row r="602" spans="1:6" x14ac:dyDescent="0.25">
      <c r="A602" s="11" t="s">
        <v>73</v>
      </c>
      <c r="B602" s="11" t="str">
        <f t="shared" si="130"/>
        <v>1"217</v>
      </c>
      <c r="C602" s="11" t="s">
        <v>23</v>
      </c>
      <c r="D602" s="3">
        <f t="shared" si="128"/>
        <v>217</v>
      </c>
      <c r="E602" s="11">
        <f t="shared" si="135"/>
        <v>12</v>
      </c>
      <c r="F602" s="11">
        <f t="shared" si="133"/>
        <v>60</v>
      </c>
    </row>
    <row r="603" spans="1:6" x14ac:dyDescent="0.25">
      <c r="A603" s="11" t="s">
        <v>73</v>
      </c>
      <c r="B603" s="11" t="str">
        <f t="shared" si="130"/>
        <v>1"218</v>
      </c>
      <c r="C603" s="11" t="s">
        <v>23</v>
      </c>
      <c r="D603" s="3">
        <f t="shared" si="128"/>
        <v>218</v>
      </c>
      <c r="E603" s="11">
        <f t="shared" si="135"/>
        <v>12</v>
      </c>
      <c r="F603" s="11">
        <f t="shared" si="133"/>
        <v>60</v>
      </c>
    </row>
    <row r="604" spans="1:6" x14ac:dyDescent="0.25">
      <c r="A604" s="11" t="s">
        <v>73</v>
      </c>
      <c r="B604" s="11" t="str">
        <f t="shared" si="130"/>
        <v>1"219</v>
      </c>
      <c r="C604" s="11" t="s">
        <v>23</v>
      </c>
      <c r="D604" s="3">
        <f t="shared" si="128"/>
        <v>219</v>
      </c>
      <c r="E604" s="11">
        <f t="shared" si="135"/>
        <v>12</v>
      </c>
      <c r="F604" s="11">
        <f t="shared" si="133"/>
        <v>60</v>
      </c>
    </row>
    <row r="605" spans="1:6" x14ac:dyDescent="0.25">
      <c r="A605" s="11" t="s">
        <v>73</v>
      </c>
      <c r="B605" s="11" t="str">
        <f t="shared" si="130"/>
        <v>1"220</v>
      </c>
      <c r="C605" s="11" t="s">
        <v>23</v>
      </c>
      <c r="D605" s="3">
        <f t="shared" si="128"/>
        <v>220</v>
      </c>
      <c r="E605" s="11">
        <f t="shared" si="135"/>
        <v>12</v>
      </c>
      <c r="F605" s="11">
        <f t="shared" si="133"/>
        <v>60</v>
      </c>
    </row>
    <row r="606" spans="1:6" x14ac:dyDescent="0.25">
      <c r="A606" s="11" t="s">
        <v>73</v>
      </c>
      <c r="B606" s="11" t="str">
        <f t="shared" si="130"/>
        <v>1"221</v>
      </c>
      <c r="C606" s="11" t="s">
        <v>23</v>
      </c>
      <c r="D606" s="3">
        <f t="shared" si="128"/>
        <v>221</v>
      </c>
      <c r="E606" s="11">
        <f t="shared" si="135"/>
        <v>12</v>
      </c>
      <c r="F606" s="11">
        <f t="shared" si="133"/>
        <v>60</v>
      </c>
    </row>
    <row r="607" spans="1:6" x14ac:dyDescent="0.25">
      <c r="A607" s="11" t="s">
        <v>73</v>
      </c>
      <c r="B607" s="11" t="str">
        <f t="shared" si="130"/>
        <v>1"222</v>
      </c>
      <c r="C607" s="11" t="s">
        <v>23</v>
      </c>
      <c r="D607" s="3">
        <f t="shared" si="128"/>
        <v>222</v>
      </c>
      <c r="E607" s="11">
        <f t="shared" si="135"/>
        <v>12</v>
      </c>
      <c r="F607" s="11">
        <f t="shared" si="133"/>
        <v>60</v>
      </c>
    </row>
    <row r="608" spans="1:6" x14ac:dyDescent="0.25">
      <c r="A608" s="11" t="s">
        <v>73</v>
      </c>
      <c r="B608" s="11" t="str">
        <f t="shared" si="130"/>
        <v>1"223</v>
      </c>
      <c r="C608" s="11" t="s">
        <v>23</v>
      </c>
      <c r="D608" s="3">
        <f t="shared" si="128"/>
        <v>223</v>
      </c>
      <c r="E608" s="11">
        <f t="shared" si="135"/>
        <v>12</v>
      </c>
      <c r="F608" s="11">
        <f t="shared" si="133"/>
        <v>60</v>
      </c>
    </row>
    <row r="609" spans="1:6" x14ac:dyDescent="0.25">
      <c r="A609" s="11" t="s">
        <v>73</v>
      </c>
      <c r="B609" s="11" t="str">
        <f t="shared" si="130"/>
        <v>1"224</v>
      </c>
      <c r="C609" s="11" t="s">
        <v>23</v>
      </c>
      <c r="D609" s="3">
        <f t="shared" si="128"/>
        <v>224</v>
      </c>
      <c r="E609" s="11">
        <f t="shared" si="135"/>
        <v>12</v>
      </c>
      <c r="F609" s="11">
        <f t="shared" si="133"/>
        <v>60</v>
      </c>
    </row>
    <row r="610" spans="1:6" x14ac:dyDescent="0.25">
      <c r="A610" s="11" t="s">
        <v>73</v>
      </c>
      <c r="B610" s="11" t="str">
        <f t="shared" si="130"/>
        <v>1"225</v>
      </c>
      <c r="C610" s="11" t="s">
        <v>23</v>
      </c>
      <c r="D610" s="3">
        <f t="shared" si="128"/>
        <v>225</v>
      </c>
      <c r="E610" s="11">
        <f t="shared" si="135"/>
        <v>12</v>
      </c>
      <c r="F610" s="11">
        <f t="shared" si="133"/>
        <v>60</v>
      </c>
    </row>
    <row r="611" spans="1:6" x14ac:dyDescent="0.25">
      <c r="A611" s="11" t="s">
        <v>73</v>
      </c>
      <c r="B611" s="11" t="str">
        <f t="shared" si="130"/>
        <v>1"226</v>
      </c>
      <c r="C611" s="11" t="s">
        <v>23</v>
      </c>
      <c r="D611" s="3">
        <f t="shared" si="128"/>
        <v>226</v>
      </c>
      <c r="E611" s="11">
        <f t="shared" si="135"/>
        <v>12</v>
      </c>
      <c r="F611" s="11">
        <f t="shared" si="133"/>
        <v>60</v>
      </c>
    </row>
    <row r="612" spans="1:6" x14ac:dyDescent="0.25">
      <c r="A612" s="11" t="s">
        <v>73</v>
      </c>
      <c r="B612" s="11" t="str">
        <f t="shared" si="130"/>
        <v>1"227</v>
      </c>
      <c r="C612" s="11" t="s">
        <v>23</v>
      </c>
      <c r="D612" s="3">
        <f t="shared" si="128"/>
        <v>227</v>
      </c>
      <c r="E612" s="11">
        <f t="shared" ref="E612" si="136">E611+1</f>
        <v>13</v>
      </c>
      <c r="F612" s="11">
        <f t="shared" si="133"/>
        <v>65</v>
      </c>
    </row>
    <row r="613" spans="1:6" x14ac:dyDescent="0.25">
      <c r="A613" s="11" t="s">
        <v>73</v>
      </c>
      <c r="B613" s="11" t="str">
        <f t="shared" si="130"/>
        <v>1"228</v>
      </c>
      <c r="C613" s="11" t="s">
        <v>23</v>
      </c>
      <c r="D613" s="3">
        <f t="shared" si="128"/>
        <v>228</v>
      </c>
      <c r="E613" s="11">
        <f t="shared" ref="E613:E630" si="137">E612</f>
        <v>13</v>
      </c>
      <c r="F613" s="11">
        <f t="shared" si="133"/>
        <v>65</v>
      </c>
    </row>
    <row r="614" spans="1:6" x14ac:dyDescent="0.25">
      <c r="A614" s="11" t="s">
        <v>73</v>
      </c>
      <c r="B614" s="11" t="str">
        <f t="shared" si="130"/>
        <v>1"229</v>
      </c>
      <c r="C614" s="11" t="s">
        <v>23</v>
      </c>
      <c r="D614" s="3">
        <f t="shared" si="128"/>
        <v>229</v>
      </c>
      <c r="E614" s="11">
        <f t="shared" si="137"/>
        <v>13</v>
      </c>
      <c r="F614" s="11">
        <f t="shared" si="133"/>
        <v>65</v>
      </c>
    </row>
    <row r="615" spans="1:6" x14ac:dyDescent="0.25">
      <c r="A615" s="11" t="s">
        <v>73</v>
      </c>
      <c r="B615" s="11" t="str">
        <f t="shared" si="130"/>
        <v>1"230</v>
      </c>
      <c r="C615" s="11" t="s">
        <v>23</v>
      </c>
      <c r="D615" s="3">
        <f t="shared" si="128"/>
        <v>230</v>
      </c>
      <c r="E615" s="11">
        <f t="shared" si="137"/>
        <v>13</v>
      </c>
      <c r="F615" s="11">
        <f t="shared" si="133"/>
        <v>65</v>
      </c>
    </row>
    <row r="616" spans="1:6" x14ac:dyDescent="0.25">
      <c r="A616" s="11" t="s">
        <v>73</v>
      </c>
      <c r="B616" s="11" t="str">
        <f t="shared" si="130"/>
        <v>1"231</v>
      </c>
      <c r="C616" s="11" t="s">
        <v>23</v>
      </c>
      <c r="D616" s="3">
        <f t="shared" si="128"/>
        <v>231</v>
      </c>
      <c r="E616" s="11">
        <f t="shared" si="137"/>
        <v>13</v>
      </c>
      <c r="F616" s="11">
        <f t="shared" si="133"/>
        <v>65</v>
      </c>
    </row>
    <row r="617" spans="1:6" x14ac:dyDescent="0.25">
      <c r="A617" s="11" t="s">
        <v>73</v>
      </c>
      <c r="B617" s="11" t="str">
        <f t="shared" si="130"/>
        <v>1"232</v>
      </c>
      <c r="C617" s="11" t="s">
        <v>23</v>
      </c>
      <c r="D617" s="3">
        <f t="shared" si="128"/>
        <v>232</v>
      </c>
      <c r="E617" s="11">
        <f t="shared" si="137"/>
        <v>13</v>
      </c>
      <c r="F617" s="11">
        <f t="shared" si="133"/>
        <v>65</v>
      </c>
    </row>
    <row r="618" spans="1:6" x14ac:dyDescent="0.25">
      <c r="A618" s="11" t="s">
        <v>73</v>
      </c>
      <c r="B618" s="11" t="str">
        <f t="shared" si="130"/>
        <v>1"233</v>
      </c>
      <c r="C618" s="11" t="s">
        <v>23</v>
      </c>
      <c r="D618" s="3">
        <f t="shared" ref="D618:D681" si="138">D617+1</f>
        <v>233</v>
      </c>
      <c r="E618" s="11">
        <f t="shared" si="137"/>
        <v>13</v>
      </c>
      <c r="F618" s="11">
        <f t="shared" si="133"/>
        <v>65</v>
      </c>
    </row>
    <row r="619" spans="1:6" x14ac:dyDescent="0.25">
      <c r="A619" s="11" t="s">
        <v>73</v>
      </c>
      <c r="B619" s="11" t="str">
        <f t="shared" si="130"/>
        <v>1"234</v>
      </c>
      <c r="C619" s="11" t="s">
        <v>23</v>
      </c>
      <c r="D619" s="3">
        <f t="shared" si="138"/>
        <v>234</v>
      </c>
      <c r="E619" s="11">
        <f t="shared" si="137"/>
        <v>13</v>
      </c>
      <c r="F619" s="11">
        <f t="shared" si="133"/>
        <v>65</v>
      </c>
    </row>
    <row r="620" spans="1:6" x14ac:dyDescent="0.25">
      <c r="A620" s="11" t="s">
        <v>73</v>
      </c>
      <c r="B620" s="11" t="str">
        <f t="shared" si="130"/>
        <v>1"235</v>
      </c>
      <c r="C620" s="11" t="s">
        <v>23</v>
      </c>
      <c r="D620" s="3">
        <f t="shared" si="138"/>
        <v>235</v>
      </c>
      <c r="E620" s="11">
        <f t="shared" si="137"/>
        <v>13</v>
      </c>
      <c r="F620" s="11">
        <f t="shared" si="133"/>
        <v>65</v>
      </c>
    </row>
    <row r="621" spans="1:6" x14ac:dyDescent="0.25">
      <c r="A621" s="11" t="s">
        <v>73</v>
      </c>
      <c r="B621" s="11" t="str">
        <f t="shared" si="130"/>
        <v>1"236</v>
      </c>
      <c r="C621" s="11" t="s">
        <v>23</v>
      </c>
      <c r="D621" s="3">
        <f t="shared" si="138"/>
        <v>236</v>
      </c>
      <c r="E621" s="11">
        <f t="shared" si="137"/>
        <v>13</v>
      </c>
      <c r="F621" s="11">
        <f t="shared" si="133"/>
        <v>65</v>
      </c>
    </row>
    <row r="622" spans="1:6" x14ac:dyDescent="0.25">
      <c r="A622" s="11" t="s">
        <v>73</v>
      </c>
      <c r="B622" s="11" t="str">
        <f t="shared" si="130"/>
        <v>1"237</v>
      </c>
      <c r="C622" s="11" t="s">
        <v>23</v>
      </c>
      <c r="D622" s="3">
        <f t="shared" si="138"/>
        <v>237</v>
      </c>
      <c r="E622" s="11">
        <f t="shared" si="137"/>
        <v>13</v>
      </c>
      <c r="F622" s="11">
        <f t="shared" si="133"/>
        <v>65</v>
      </c>
    </row>
    <row r="623" spans="1:6" x14ac:dyDescent="0.25">
      <c r="A623" s="11" t="s">
        <v>73</v>
      </c>
      <c r="B623" s="11" t="str">
        <f t="shared" si="130"/>
        <v>1"238</v>
      </c>
      <c r="C623" s="11" t="s">
        <v>23</v>
      </c>
      <c r="D623" s="3">
        <f t="shared" si="138"/>
        <v>238</v>
      </c>
      <c r="E623" s="11">
        <f t="shared" si="137"/>
        <v>13</v>
      </c>
      <c r="F623" s="11">
        <f t="shared" si="133"/>
        <v>65</v>
      </c>
    </row>
    <row r="624" spans="1:6" x14ac:dyDescent="0.25">
      <c r="A624" s="11" t="s">
        <v>73</v>
      </c>
      <c r="B624" s="11" t="str">
        <f t="shared" si="130"/>
        <v>1"239</v>
      </c>
      <c r="C624" s="11" t="s">
        <v>23</v>
      </c>
      <c r="D624" s="3">
        <f t="shared" si="138"/>
        <v>239</v>
      </c>
      <c r="E624" s="11">
        <f t="shared" si="137"/>
        <v>13</v>
      </c>
      <c r="F624" s="11">
        <f t="shared" si="133"/>
        <v>65</v>
      </c>
    </row>
    <row r="625" spans="1:6" x14ac:dyDescent="0.25">
      <c r="A625" s="11" t="s">
        <v>73</v>
      </c>
      <c r="B625" s="11" t="str">
        <f t="shared" si="130"/>
        <v>1"240</v>
      </c>
      <c r="C625" s="11" t="s">
        <v>23</v>
      </c>
      <c r="D625" s="3">
        <f t="shared" si="138"/>
        <v>240</v>
      </c>
      <c r="E625" s="11">
        <f t="shared" si="137"/>
        <v>13</v>
      </c>
      <c r="F625" s="11">
        <f t="shared" si="133"/>
        <v>65</v>
      </c>
    </row>
    <row r="626" spans="1:6" x14ac:dyDescent="0.25">
      <c r="A626" s="11" t="s">
        <v>73</v>
      </c>
      <c r="B626" s="11" t="str">
        <f t="shared" si="130"/>
        <v>1"241</v>
      </c>
      <c r="C626" s="11" t="s">
        <v>23</v>
      </c>
      <c r="D626" s="3">
        <f t="shared" si="138"/>
        <v>241</v>
      </c>
      <c r="E626" s="11">
        <f t="shared" si="137"/>
        <v>13</v>
      </c>
      <c r="F626" s="11">
        <f t="shared" si="133"/>
        <v>65</v>
      </c>
    </row>
    <row r="627" spans="1:6" x14ac:dyDescent="0.25">
      <c r="A627" s="11" t="s">
        <v>73</v>
      </c>
      <c r="B627" s="11" t="str">
        <f t="shared" si="130"/>
        <v>1"242</v>
      </c>
      <c r="C627" s="11" t="s">
        <v>23</v>
      </c>
      <c r="D627" s="3">
        <f t="shared" si="138"/>
        <v>242</v>
      </c>
      <c r="E627" s="11">
        <f t="shared" si="137"/>
        <v>13</v>
      </c>
      <c r="F627" s="11">
        <f t="shared" si="133"/>
        <v>65</v>
      </c>
    </row>
    <row r="628" spans="1:6" x14ac:dyDescent="0.25">
      <c r="A628" s="11" t="s">
        <v>73</v>
      </c>
      <c r="B628" s="11" t="str">
        <f t="shared" si="130"/>
        <v>1"243</v>
      </c>
      <c r="C628" s="11" t="s">
        <v>23</v>
      </c>
      <c r="D628" s="3">
        <f t="shared" si="138"/>
        <v>243</v>
      </c>
      <c r="E628" s="11">
        <f t="shared" si="137"/>
        <v>13</v>
      </c>
      <c r="F628" s="11">
        <f t="shared" si="133"/>
        <v>65</v>
      </c>
    </row>
    <row r="629" spans="1:6" x14ac:dyDescent="0.25">
      <c r="A629" s="11" t="s">
        <v>73</v>
      </c>
      <c r="B629" s="11" t="str">
        <f t="shared" si="130"/>
        <v>1"244</v>
      </c>
      <c r="C629" s="11" t="s">
        <v>23</v>
      </c>
      <c r="D629" s="3">
        <f t="shared" si="138"/>
        <v>244</v>
      </c>
      <c r="E629" s="11">
        <f t="shared" si="137"/>
        <v>13</v>
      </c>
      <c r="F629" s="11">
        <f t="shared" si="133"/>
        <v>65</v>
      </c>
    </row>
    <row r="630" spans="1:6" x14ac:dyDescent="0.25">
      <c r="A630" s="11" t="s">
        <v>73</v>
      </c>
      <c r="B630" s="11" t="str">
        <f t="shared" si="130"/>
        <v>1"245</v>
      </c>
      <c r="C630" s="11" t="s">
        <v>23</v>
      </c>
      <c r="D630" s="3">
        <f t="shared" si="138"/>
        <v>245</v>
      </c>
      <c r="E630" s="11">
        <f t="shared" si="137"/>
        <v>13</v>
      </c>
      <c r="F630" s="11">
        <f t="shared" si="133"/>
        <v>65</v>
      </c>
    </row>
    <row r="631" spans="1:6" x14ac:dyDescent="0.25">
      <c r="A631" s="11" t="s">
        <v>73</v>
      </c>
      <c r="B631" s="11" t="str">
        <f t="shared" si="130"/>
        <v>1"246</v>
      </c>
      <c r="C631" s="11" t="s">
        <v>23</v>
      </c>
      <c r="D631" s="3">
        <f t="shared" si="138"/>
        <v>246</v>
      </c>
      <c r="E631" s="11">
        <f>E630+1</f>
        <v>14</v>
      </c>
      <c r="F631" s="11">
        <f t="shared" si="133"/>
        <v>70</v>
      </c>
    </row>
    <row r="632" spans="1:6" x14ac:dyDescent="0.25">
      <c r="A632" s="11" t="s">
        <v>73</v>
      </c>
      <c r="B632" s="11" t="str">
        <f t="shared" si="130"/>
        <v>1"247</v>
      </c>
      <c r="C632" s="11" t="s">
        <v>23</v>
      </c>
      <c r="D632" s="3">
        <f t="shared" si="138"/>
        <v>247</v>
      </c>
      <c r="E632" s="11">
        <f>E631</f>
        <v>14</v>
      </c>
      <c r="F632" s="11">
        <f t="shared" si="133"/>
        <v>70</v>
      </c>
    </row>
    <row r="633" spans="1:6" x14ac:dyDescent="0.25">
      <c r="A633" s="11" t="s">
        <v>73</v>
      </c>
      <c r="B633" s="11" t="str">
        <f t="shared" si="130"/>
        <v>1"248</v>
      </c>
      <c r="C633" s="11" t="s">
        <v>23</v>
      </c>
      <c r="D633" s="3">
        <f t="shared" si="138"/>
        <v>248</v>
      </c>
      <c r="E633" s="11">
        <f>E632</f>
        <v>14</v>
      </c>
      <c r="F633" s="11">
        <f t="shared" si="133"/>
        <v>70</v>
      </c>
    </row>
    <row r="634" spans="1:6" x14ac:dyDescent="0.25">
      <c r="A634" s="11" t="s">
        <v>73</v>
      </c>
      <c r="B634" s="11" t="str">
        <f t="shared" si="130"/>
        <v>1"249</v>
      </c>
      <c r="C634" s="11" t="s">
        <v>23</v>
      </c>
      <c r="D634" s="3">
        <f t="shared" si="138"/>
        <v>249</v>
      </c>
      <c r="E634" s="11">
        <f>E633</f>
        <v>14</v>
      </c>
      <c r="F634" s="11">
        <f t="shared" si="133"/>
        <v>70</v>
      </c>
    </row>
    <row r="635" spans="1:6" x14ac:dyDescent="0.25">
      <c r="A635" s="11" t="s">
        <v>73</v>
      </c>
      <c r="B635" s="11" t="str">
        <f t="shared" ref="B635:B698" si="139">CONCATENATE(C635&amp;D635)</f>
        <v>1"250</v>
      </c>
      <c r="C635" s="11" t="s">
        <v>23</v>
      </c>
      <c r="D635" s="3">
        <f t="shared" si="138"/>
        <v>250</v>
      </c>
      <c r="E635" s="11">
        <f>E634</f>
        <v>14</v>
      </c>
      <c r="F635" s="11">
        <f t="shared" si="133"/>
        <v>70</v>
      </c>
    </row>
    <row r="636" spans="1:6" x14ac:dyDescent="0.25">
      <c r="A636" s="11" t="s">
        <v>73</v>
      </c>
      <c r="B636" s="11" t="str">
        <f t="shared" si="139"/>
        <v>1"251</v>
      </c>
      <c r="C636" s="11" t="s">
        <v>23</v>
      </c>
      <c r="D636" s="3">
        <f t="shared" si="138"/>
        <v>251</v>
      </c>
      <c r="E636" s="11">
        <f>E635+1</f>
        <v>15</v>
      </c>
      <c r="F636" s="11">
        <f t="shared" si="133"/>
        <v>75</v>
      </c>
    </row>
    <row r="637" spans="1:6" x14ac:dyDescent="0.25">
      <c r="A637" s="11" t="s">
        <v>73</v>
      </c>
      <c r="B637" s="11" t="str">
        <f t="shared" si="139"/>
        <v>1"252</v>
      </c>
      <c r="C637" s="11" t="s">
        <v>23</v>
      </c>
      <c r="D637" s="3">
        <f t="shared" si="138"/>
        <v>252</v>
      </c>
      <c r="E637" s="11">
        <f t="shared" ref="E637:E643" si="140">E636</f>
        <v>15</v>
      </c>
      <c r="F637" s="11">
        <f t="shared" si="133"/>
        <v>75</v>
      </c>
    </row>
    <row r="638" spans="1:6" x14ac:dyDescent="0.25">
      <c r="A638" s="11" t="s">
        <v>73</v>
      </c>
      <c r="B638" s="11" t="str">
        <f t="shared" si="139"/>
        <v>1"253</v>
      </c>
      <c r="C638" s="11" t="s">
        <v>23</v>
      </c>
      <c r="D638" s="3">
        <f t="shared" si="138"/>
        <v>253</v>
      </c>
      <c r="E638" s="11">
        <f t="shared" si="140"/>
        <v>15</v>
      </c>
      <c r="F638" s="11">
        <f t="shared" si="133"/>
        <v>75</v>
      </c>
    </row>
    <row r="639" spans="1:6" x14ac:dyDescent="0.25">
      <c r="A639" s="11" t="s">
        <v>73</v>
      </c>
      <c r="B639" s="11" t="str">
        <f t="shared" si="139"/>
        <v>1"254</v>
      </c>
      <c r="C639" s="11" t="s">
        <v>23</v>
      </c>
      <c r="D639" s="3">
        <f t="shared" si="138"/>
        <v>254</v>
      </c>
      <c r="E639" s="11">
        <f t="shared" si="140"/>
        <v>15</v>
      </c>
      <c r="F639" s="11">
        <f t="shared" si="133"/>
        <v>75</v>
      </c>
    </row>
    <row r="640" spans="1:6" x14ac:dyDescent="0.25">
      <c r="A640" s="11" t="s">
        <v>73</v>
      </c>
      <c r="B640" s="11" t="str">
        <f t="shared" si="139"/>
        <v>1"255</v>
      </c>
      <c r="C640" s="11" t="s">
        <v>23</v>
      </c>
      <c r="D640" s="3">
        <f t="shared" si="138"/>
        <v>255</v>
      </c>
      <c r="E640" s="11">
        <f t="shared" si="140"/>
        <v>15</v>
      </c>
      <c r="F640" s="11">
        <f t="shared" si="133"/>
        <v>75</v>
      </c>
    </row>
    <row r="641" spans="1:6" x14ac:dyDescent="0.25">
      <c r="A641" s="11" t="s">
        <v>73</v>
      </c>
      <c r="B641" s="11" t="str">
        <f t="shared" si="139"/>
        <v>1"256</v>
      </c>
      <c r="C641" s="11" t="s">
        <v>23</v>
      </c>
      <c r="D641" s="3">
        <f t="shared" si="138"/>
        <v>256</v>
      </c>
      <c r="E641" s="11">
        <f t="shared" si="140"/>
        <v>15</v>
      </c>
      <c r="F641" s="11">
        <f t="shared" si="133"/>
        <v>75</v>
      </c>
    </row>
    <row r="642" spans="1:6" x14ac:dyDescent="0.25">
      <c r="A642" s="11" t="s">
        <v>73</v>
      </c>
      <c r="B642" s="11" t="str">
        <f t="shared" si="139"/>
        <v>1"257</v>
      </c>
      <c r="C642" s="11" t="s">
        <v>23</v>
      </c>
      <c r="D642" s="3">
        <f t="shared" si="138"/>
        <v>257</v>
      </c>
      <c r="E642" s="11">
        <f t="shared" si="140"/>
        <v>15</v>
      </c>
      <c r="F642" s="11">
        <f t="shared" si="133"/>
        <v>75</v>
      </c>
    </row>
    <row r="643" spans="1:6" x14ac:dyDescent="0.25">
      <c r="A643" s="11" t="s">
        <v>73</v>
      </c>
      <c r="B643" s="11" t="str">
        <f t="shared" si="139"/>
        <v>1"258</v>
      </c>
      <c r="C643" s="11" t="s">
        <v>23</v>
      </c>
      <c r="D643" s="3">
        <f t="shared" si="138"/>
        <v>258</v>
      </c>
      <c r="E643" s="11">
        <f t="shared" si="140"/>
        <v>15</v>
      </c>
      <c r="F643" s="11">
        <f t="shared" si="133"/>
        <v>75</v>
      </c>
    </row>
    <row r="644" spans="1:6" x14ac:dyDescent="0.25">
      <c r="A644" s="11" t="s">
        <v>73</v>
      </c>
      <c r="B644" s="11" t="str">
        <f t="shared" si="139"/>
        <v>1"259</v>
      </c>
      <c r="C644" s="11" t="s">
        <v>23</v>
      </c>
      <c r="D644" s="3">
        <f t="shared" si="138"/>
        <v>259</v>
      </c>
      <c r="E644" s="11">
        <f t="shared" ref="E644:E655" si="141">E643</f>
        <v>15</v>
      </c>
      <c r="F644" s="11">
        <f t="shared" si="133"/>
        <v>75</v>
      </c>
    </row>
    <row r="645" spans="1:6" x14ac:dyDescent="0.25">
      <c r="A645" s="11" t="s">
        <v>73</v>
      </c>
      <c r="B645" s="11" t="str">
        <f t="shared" si="139"/>
        <v>1"260</v>
      </c>
      <c r="C645" s="11" t="s">
        <v>23</v>
      </c>
      <c r="D645" s="3">
        <f t="shared" si="138"/>
        <v>260</v>
      </c>
      <c r="E645" s="11">
        <f t="shared" si="141"/>
        <v>15</v>
      </c>
      <c r="F645" s="11">
        <f t="shared" si="133"/>
        <v>75</v>
      </c>
    </row>
    <row r="646" spans="1:6" x14ac:dyDescent="0.25">
      <c r="A646" s="11" t="s">
        <v>73</v>
      </c>
      <c r="B646" s="11" t="str">
        <f t="shared" si="139"/>
        <v>1"261</v>
      </c>
      <c r="C646" s="11" t="s">
        <v>23</v>
      </c>
      <c r="D646" s="3">
        <f t="shared" si="138"/>
        <v>261</v>
      </c>
      <c r="E646" s="11">
        <f t="shared" si="141"/>
        <v>15</v>
      </c>
      <c r="F646" s="11">
        <f t="shared" si="133"/>
        <v>75</v>
      </c>
    </row>
    <row r="647" spans="1:6" x14ac:dyDescent="0.25">
      <c r="A647" s="11" t="s">
        <v>73</v>
      </c>
      <c r="B647" s="11" t="str">
        <f t="shared" si="139"/>
        <v>1"262</v>
      </c>
      <c r="C647" s="11" t="s">
        <v>23</v>
      </c>
      <c r="D647" s="3">
        <f t="shared" si="138"/>
        <v>262</v>
      </c>
      <c r="E647" s="11">
        <f t="shared" si="141"/>
        <v>15</v>
      </c>
      <c r="F647" s="11">
        <f t="shared" si="133"/>
        <v>75</v>
      </c>
    </row>
    <row r="648" spans="1:6" x14ac:dyDescent="0.25">
      <c r="A648" s="11" t="s">
        <v>73</v>
      </c>
      <c r="B648" s="11" t="str">
        <f t="shared" si="139"/>
        <v>1"263</v>
      </c>
      <c r="C648" s="11" t="s">
        <v>23</v>
      </c>
      <c r="D648" s="3">
        <f t="shared" si="138"/>
        <v>263</v>
      </c>
      <c r="E648" s="11">
        <f t="shared" si="141"/>
        <v>15</v>
      </c>
      <c r="F648" s="11">
        <f t="shared" si="133"/>
        <v>75</v>
      </c>
    </row>
    <row r="649" spans="1:6" x14ac:dyDescent="0.25">
      <c r="A649" s="11" t="s">
        <v>73</v>
      </c>
      <c r="B649" s="11" t="str">
        <f t="shared" si="139"/>
        <v>1"264</v>
      </c>
      <c r="C649" s="11" t="s">
        <v>23</v>
      </c>
      <c r="D649" s="3">
        <f t="shared" si="138"/>
        <v>264</v>
      </c>
      <c r="E649" s="11">
        <f t="shared" si="141"/>
        <v>15</v>
      </c>
      <c r="F649" s="11">
        <f t="shared" si="133"/>
        <v>75</v>
      </c>
    </row>
    <row r="650" spans="1:6" x14ac:dyDescent="0.25">
      <c r="A650" s="11" t="s">
        <v>73</v>
      </c>
      <c r="B650" s="11" t="str">
        <f t="shared" si="139"/>
        <v>1"265</v>
      </c>
      <c r="C650" s="11" t="s">
        <v>23</v>
      </c>
      <c r="D650" s="3">
        <f t="shared" si="138"/>
        <v>265</v>
      </c>
      <c r="E650" s="11">
        <f t="shared" si="141"/>
        <v>15</v>
      </c>
      <c r="F650" s="11">
        <f t="shared" si="133"/>
        <v>75</v>
      </c>
    </row>
    <row r="651" spans="1:6" x14ac:dyDescent="0.25">
      <c r="A651" s="11" t="s">
        <v>73</v>
      </c>
      <c r="B651" s="11" t="str">
        <f t="shared" si="139"/>
        <v>1"266</v>
      </c>
      <c r="C651" s="11" t="s">
        <v>23</v>
      </c>
      <c r="D651" s="3">
        <f t="shared" si="138"/>
        <v>266</v>
      </c>
      <c r="E651" s="11">
        <f t="shared" si="141"/>
        <v>15</v>
      </c>
      <c r="F651" s="11">
        <f t="shared" ref="F651:F714" si="142">E651*$F$1</f>
        <v>75</v>
      </c>
    </row>
    <row r="652" spans="1:6" x14ac:dyDescent="0.25">
      <c r="A652" s="11" t="s">
        <v>73</v>
      </c>
      <c r="B652" s="11" t="str">
        <f t="shared" si="139"/>
        <v>1"267</v>
      </c>
      <c r="C652" s="11" t="s">
        <v>23</v>
      </c>
      <c r="D652" s="3">
        <f t="shared" si="138"/>
        <v>267</v>
      </c>
      <c r="E652" s="11">
        <f t="shared" si="141"/>
        <v>15</v>
      </c>
      <c r="F652" s="11">
        <f t="shared" si="142"/>
        <v>75</v>
      </c>
    </row>
    <row r="653" spans="1:6" x14ac:dyDescent="0.25">
      <c r="A653" s="11" t="s">
        <v>73</v>
      </c>
      <c r="B653" s="11" t="str">
        <f t="shared" si="139"/>
        <v>1"268</v>
      </c>
      <c r="C653" s="11" t="s">
        <v>23</v>
      </c>
      <c r="D653" s="3">
        <f t="shared" si="138"/>
        <v>268</v>
      </c>
      <c r="E653" s="11">
        <f t="shared" si="141"/>
        <v>15</v>
      </c>
      <c r="F653" s="11">
        <f t="shared" si="142"/>
        <v>75</v>
      </c>
    </row>
    <row r="654" spans="1:6" x14ac:dyDescent="0.25">
      <c r="A654" s="11" t="s">
        <v>73</v>
      </c>
      <c r="B654" s="11" t="str">
        <f t="shared" si="139"/>
        <v>1"269</v>
      </c>
      <c r="C654" s="11" t="s">
        <v>23</v>
      </c>
      <c r="D654" s="3">
        <f t="shared" si="138"/>
        <v>269</v>
      </c>
      <c r="E654" s="11">
        <f t="shared" si="141"/>
        <v>15</v>
      </c>
      <c r="F654" s="11">
        <f t="shared" si="142"/>
        <v>75</v>
      </c>
    </row>
    <row r="655" spans="1:6" x14ac:dyDescent="0.25">
      <c r="A655" s="11" t="s">
        <v>73</v>
      </c>
      <c r="B655" s="11" t="str">
        <f t="shared" si="139"/>
        <v>1"270</v>
      </c>
      <c r="C655" s="11" t="s">
        <v>23</v>
      </c>
      <c r="D655" s="3">
        <f t="shared" si="138"/>
        <v>270</v>
      </c>
      <c r="E655" s="11">
        <f t="shared" si="141"/>
        <v>15</v>
      </c>
      <c r="F655" s="11">
        <f t="shared" si="142"/>
        <v>75</v>
      </c>
    </row>
    <row r="656" spans="1:6" x14ac:dyDescent="0.25">
      <c r="A656" s="11" t="s">
        <v>73</v>
      </c>
      <c r="B656" s="11" t="str">
        <f t="shared" si="139"/>
        <v>1"271</v>
      </c>
      <c r="C656" s="11" t="s">
        <v>23</v>
      </c>
      <c r="D656" s="3">
        <f t="shared" si="138"/>
        <v>271</v>
      </c>
      <c r="E656" s="11">
        <f t="shared" ref="E656" si="143">E655+1</f>
        <v>16</v>
      </c>
      <c r="F656" s="11">
        <f t="shared" si="142"/>
        <v>80</v>
      </c>
    </row>
    <row r="657" spans="1:6" x14ac:dyDescent="0.25">
      <c r="A657" s="11" t="s">
        <v>73</v>
      </c>
      <c r="B657" s="11" t="str">
        <f t="shared" si="139"/>
        <v>1"272</v>
      </c>
      <c r="C657" s="11" t="s">
        <v>23</v>
      </c>
      <c r="D657" s="3">
        <f t="shared" si="138"/>
        <v>272</v>
      </c>
      <c r="E657" s="11">
        <f t="shared" ref="E657:E675" si="144">E656</f>
        <v>16</v>
      </c>
      <c r="F657" s="11">
        <f t="shared" si="142"/>
        <v>80</v>
      </c>
    </row>
    <row r="658" spans="1:6" x14ac:dyDescent="0.25">
      <c r="A658" s="11" t="s">
        <v>73</v>
      </c>
      <c r="B658" s="11" t="str">
        <f t="shared" si="139"/>
        <v>1"273</v>
      </c>
      <c r="C658" s="11" t="s">
        <v>23</v>
      </c>
      <c r="D658" s="3">
        <f t="shared" si="138"/>
        <v>273</v>
      </c>
      <c r="E658" s="11">
        <f t="shared" si="144"/>
        <v>16</v>
      </c>
      <c r="F658" s="11">
        <f t="shared" si="142"/>
        <v>80</v>
      </c>
    </row>
    <row r="659" spans="1:6" x14ac:dyDescent="0.25">
      <c r="A659" s="11" t="s">
        <v>73</v>
      </c>
      <c r="B659" s="11" t="str">
        <f t="shared" si="139"/>
        <v>1"274</v>
      </c>
      <c r="C659" s="11" t="s">
        <v>23</v>
      </c>
      <c r="D659" s="3">
        <f t="shared" si="138"/>
        <v>274</v>
      </c>
      <c r="E659" s="11">
        <f t="shared" si="144"/>
        <v>16</v>
      </c>
      <c r="F659" s="11">
        <f t="shared" si="142"/>
        <v>80</v>
      </c>
    </row>
    <row r="660" spans="1:6" x14ac:dyDescent="0.25">
      <c r="A660" s="11" t="s">
        <v>73</v>
      </c>
      <c r="B660" s="11" t="str">
        <f t="shared" si="139"/>
        <v>1"275</v>
      </c>
      <c r="C660" s="11" t="s">
        <v>23</v>
      </c>
      <c r="D660" s="3">
        <f t="shared" si="138"/>
        <v>275</v>
      </c>
      <c r="E660" s="11">
        <f t="shared" si="144"/>
        <v>16</v>
      </c>
      <c r="F660" s="11">
        <f t="shared" si="142"/>
        <v>80</v>
      </c>
    </row>
    <row r="661" spans="1:6" x14ac:dyDescent="0.25">
      <c r="A661" s="11" t="s">
        <v>73</v>
      </c>
      <c r="B661" s="11" t="str">
        <f t="shared" si="139"/>
        <v>1"276</v>
      </c>
      <c r="C661" s="11" t="s">
        <v>23</v>
      </c>
      <c r="D661" s="3">
        <f t="shared" si="138"/>
        <v>276</v>
      </c>
      <c r="E661" s="11">
        <f t="shared" si="144"/>
        <v>16</v>
      </c>
      <c r="F661" s="11">
        <f t="shared" si="142"/>
        <v>80</v>
      </c>
    </row>
    <row r="662" spans="1:6" x14ac:dyDescent="0.25">
      <c r="A662" s="11" t="s">
        <v>73</v>
      </c>
      <c r="B662" s="11" t="str">
        <f t="shared" si="139"/>
        <v>1"277</v>
      </c>
      <c r="C662" s="11" t="s">
        <v>23</v>
      </c>
      <c r="D662" s="3">
        <f t="shared" si="138"/>
        <v>277</v>
      </c>
      <c r="E662" s="11">
        <f t="shared" si="144"/>
        <v>16</v>
      </c>
      <c r="F662" s="11">
        <f t="shared" si="142"/>
        <v>80</v>
      </c>
    </row>
    <row r="663" spans="1:6" x14ac:dyDescent="0.25">
      <c r="A663" s="11" t="s">
        <v>73</v>
      </c>
      <c r="B663" s="11" t="str">
        <f t="shared" si="139"/>
        <v>1"278</v>
      </c>
      <c r="C663" s="11" t="s">
        <v>23</v>
      </c>
      <c r="D663" s="3">
        <f t="shared" si="138"/>
        <v>278</v>
      </c>
      <c r="E663" s="11">
        <f t="shared" si="144"/>
        <v>16</v>
      </c>
      <c r="F663" s="11">
        <f t="shared" si="142"/>
        <v>80</v>
      </c>
    </row>
    <row r="664" spans="1:6" x14ac:dyDescent="0.25">
      <c r="A664" s="11" t="s">
        <v>73</v>
      </c>
      <c r="B664" s="11" t="str">
        <f t="shared" si="139"/>
        <v>1"279</v>
      </c>
      <c r="C664" s="11" t="s">
        <v>23</v>
      </c>
      <c r="D664" s="3">
        <f t="shared" si="138"/>
        <v>279</v>
      </c>
      <c r="E664" s="11">
        <f t="shared" si="144"/>
        <v>16</v>
      </c>
      <c r="F664" s="11">
        <f t="shared" si="142"/>
        <v>80</v>
      </c>
    </row>
    <row r="665" spans="1:6" x14ac:dyDescent="0.25">
      <c r="A665" s="11" t="s">
        <v>73</v>
      </c>
      <c r="B665" s="11" t="str">
        <f t="shared" si="139"/>
        <v>1"280</v>
      </c>
      <c r="C665" s="11" t="s">
        <v>23</v>
      </c>
      <c r="D665" s="3">
        <f t="shared" si="138"/>
        <v>280</v>
      </c>
      <c r="E665" s="11">
        <f t="shared" si="144"/>
        <v>16</v>
      </c>
      <c r="F665" s="11">
        <f t="shared" si="142"/>
        <v>80</v>
      </c>
    </row>
    <row r="666" spans="1:6" x14ac:dyDescent="0.25">
      <c r="A666" s="11" t="s">
        <v>73</v>
      </c>
      <c r="B666" s="11" t="str">
        <f t="shared" si="139"/>
        <v>1"281</v>
      </c>
      <c r="C666" s="11" t="s">
        <v>23</v>
      </c>
      <c r="D666" s="3">
        <f t="shared" si="138"/>
        <v>281</v>
      </c>
      <c r="E666" s="11">
        <f t="shared" si="144"/>
        <v>16</v>
      </c>
      <c r="F666" s="11">
        <f t="shared" si="142"/>
        <v>80</v>
      </c>
    </row>
    <row r="667" spans="1:6" x14ac:dyDescent="0.25">
      <c r="A667" s="11" t="s">
        <v>73</v>
      </c>
      <c r="B667" s="11" t="str">
        <f t="shared" si="139"/>
        <v>1"282</v>
      </c>
      <c r="C667" s="11" t="s">
        <v>23</v>
      </c>
      <c r="D667" s="3">
        <f t="shared" si="138"/>
        <v>282</v>
      </c>
      <c r="E667" s="11">
        <f t="shared" si="144"/>
        <v>16</v>
      </c>
      <c r="F667" s="11">
        <f t="shared" si="142"/>
        <v>80</v>
      </c>
    </row>
    <row r="668" spans="1:6" x14ac:dyDescent="0.25">
      <c r="A668" s="11" t="s">
        <v>73</v>
      </c>
      <c r="B668" s="11" t="str">
        <f t="shared" si="139"/>
        <v>1"283</v>
      </c>
      <c r="C668" s="11" t="s">
        <v>23</v>
      </c>
      <c r="D668" s="3">
        <f t="shared" si="138"/>
        <v>283</v>
      </c>
      <c r="E668" s="11">
        <f t="shared" si="144"/>
        <v>16</v>
      </c>
      <c r="F668" s="11">
        <f t="shared" si="142"/>
        <v>80</v>
      </c>
    </row>
    <row r="669" spans="1:6" x14ac:dyDescent="0.25">
      <c r="A669" s="11" t="s">
        <v>73</v>
      </c>
      <c r="B669" s="11" t="str">
        <f t="shared" si="139"/>
        <v>1"284</v>
      </c>
      <c r="C669" s="11" t="s">
        <v>23</v>
      </c>
      <c r="D669" s="3">
        <f t="shared" si="138"/>
        <v>284</v>
      </c>
      <c r="E669" s="11">
        <f t="shared" si="144"/>
        <v>16</v>
      </c>
      <c r="F669" s="11">
        <f t="shared" si="142"/>
        <v>80</v>
      </c>
    </row>
    <row r="670" spans="1:6" x14ac:dyDescent="0.25">
      <c r="A670" s="11" t="s">
        <v>73</v>
      </c>
      <c r="B670" s="11" t="str">
        <f t="shared" si="139"/>
        <v>1"285</v>
      </c>
      <c r="C670" s="11" t="s">
        <v>23</v>
      </c>
      <c r="D670" s="3">
        <f t="shared" si="138"/>
        <v>285</v>
      </c>
      <c r="E670" s="11">
        <f t="shared" si="144"/>
        <v>16</v>
      </c>
      <c r="F670" s="11">
        <f t="shared" si="142"/>
        <v>80</v>
      </c>
    </row>
    <row r="671" spans="1:6" x14ac:dyDescent="0.25">
      <c r="A671" s="11" t="s">
        <v>73</v>
      </c>
      <c r="B671" s="11" t="str">
        <f t="shared" si="139"/>
        <v>1"286</v>
      </c>
      <c r="C671" s="11" t="s">
        <v>23</v>
      </c>
      <c r="D671" s="3">
        <f t="shared" si="138"/>
        <v>286</v>
      </c>
      <c r="E671" s="11">
        <f t="shared" si="144"/>
        <v>16</v>
      </c>
      <c r="F671" s="11">
        <f t="shared" si="142"/>
        <v>80</v>
      </c>
    </row>
    <row r="672" spans="1:6" x14ac:dyDescent="0.25">
      <c r="A672" s="11" t="s">
        <v>73</v>
      </c>
      <c r="B672" s="11" t="str">
        <f t="shared" si="139"/>
        <v>1"287</v>
      </c>
      <c r="C672" s="11" t="s">
        <v>23</v>
      </c>
      <c r="D672" s="3">
        <f t="shared" si="138"/>
        <v>287</v>
      </c>
      <c r="E672" s="11">
        <f t="shared" si="144"/>
        <v>16</v>
      </c>
      <c r="F672" s="11">
        <f t="shared" si="142"/>
        <v>80</v>
      </c>
    </row>
    <row r="673" spans="1:6" x14ac:dyDescent="0.25">
      <c r="A673" s="11" t="s">
        <v>73</v>
      </c>
      <c r="B673" s="11" t="str">
        <f t="shared" si="139"/>
        <v>1"288</v>
      </c>
      <c r="C673" s="11" t="s">
        <v>23</v>
      </c>
      <c r="D673" s="3">
        <f t="shared" si="138"/>
        <v>288</v>
      </c>
      <c r="E673" s="11">
        <f t="shared" si="144"/>
        <v>16</v>
      </c>
      <c r="F673" s="11">
        <f t="shared" si="142"/>
        <v>80</v>
      </c>
    </row>
    <row r="674" spans="1:6" x14ac:dyDescent="0.25">
      <c r="A674" s="11" t="s">
        <v>73</v>
      </c>
      <c r="B674" s="11" t="str">
        <f t="shared" si="139"/>
        <v>1"289</v>
      </c>
      <c r="C674" s="11" t="s">
        <v>23</v>
      </c>
      <c r="D674" s="3">
        <f t="shared" si="138"/>
        <v>289</v>
      </c>
      <c r="E674" s="11">
        <f t="shared" si="144"/>
        <v>16</v>
      </c>
      <c r="F674" s="11">
        <f t="shared" si="142"/>
        <v>80</v>
      </c>
    </row>
    <row r="675" spans="1:6" x14ac:dyDescent="0.25">
      <c r="A675" s="11" t="s">
        <v>73</v>
      </c>
      <c r="B675" s="11" t="str">
        <f t="shared" si="139"/>
        <v>1"290</v>
      </c>
      <c r="C675" s="11" t="s">
        <v>23</v>
      </c>
      <c r="D675" s="3">
        <f t="shared" si="138"/>
        <v>290</v>
      </c>
      <c r="E675" s="11">
        <f t="shared" si="144"/>
        <v>16</v>
      </c>
      <c r="F675" s="11">
        <f t="shared" si="142"/>
        <v>80</v>
      </c>
    </row>
    <row r="676" spans="1:6" x14ac:dyDescent="0.25">
      <c r="A676" s="11" t="s">
        <v>73</v>
      </c>
      <c r="B676" s="11" t="str">
        <f t="shared" si="139"/>
        <v>1"291</v>
      </c>
      <c r="C676" s="11" t="s">
        <v>23</v>
      </c>
      <c r="D676" s="3">
        <f t="shared" si="138"/>
        <v>291</v>
      </c>
      <c r="E676" s="11">
        <f t="shared" ref="E676" si="145">E675+1</f>
        <v>17</v>
      </c>
      <c r="F676" s="11">
        <f t="shared" si="142"/>
        <v>85</v>
      </c>
    </row>
    <row r="677" spans="1:6" x14ac:dyDescent="0.25">
      <c r="A677" s="11" t="s">
        <v>73</v>
      </c>
      <c r="B677" s="11" t="str">
        <f t="shared" si="139"/>
        <v>1"292</v>
      </c>
      <c r="C677" s="11" t="s">
        <v>23</v>
      </c>
      <c r="D677" s="3">
        <f t="shared" si="138"/>
        <v>292</v>
      </c>
      <c r="E677" s="11">
        <f t="shared" ref="E677:E695" si="146">E676</f>
        <v>17</v>
      </c>
      <c r="F677" s="11">
        <f t="shared" si="142"/>
        <v>85</v>
      </c>
    </row>
    <row r="678" spans="1:6" x14ac:dyDescent="0.25">
      <c r="A678" s="11" t="s">
        <v>73</v>
      </c>
      <c r="B678" s="11" t="str">
        <f t="shared" si="139"/>
        <v>1"293</v>
      </c>
      <c r="C678" s="11" t="s">
        <v>23</v>
      </c>
      <c r="D678" s="3">
        <f t="shared" si="138"/>
        <v>293</v>
      </c>
      <c r="E678" s="11">
        <f t="shared" si="146"/>
        <v>17</v>
      </c>
      <c r="F678" s="11">
        <f t="shared" si="142"/>
        <v>85</v>
      </c>
    </row>
    <row r="679" spans="1:6" x14ac:dyDescent="0.25">
      <c r="A679" s="11" t="s">
        <v>73</v>
      </c>
      <c r="B679" s="11" t="str">
        <f t="shared" si="139"/>
        <v>1"294</v>
      </c>
      <c r="C679" s="11" t="s">
        <v>23</v>
      </c>
      <c r="D679" s="3">
        <f t="shared" si="138"/>
        <v>294</v>
      </c>
      <c r="E679" s="11">
        <f t="shared" si="146"/>
        <v>17</v>
      </c>
      <c r="F679" s="11">
        <f t="shared" si="142"/>
        <v>85</v>
      </c>
    </row>
    <row r="680" spans="1:6" x14ac:dyDescent="0.25">
      <c r="A680" s="11" t="s">
        <v>73</v>
      </c>
      <c r="B680" s="11" t="str">
        <f t="shared" si="139"/>
        <v>1"295</v>
      </c>
      <c r="C680" s="11" t="s">
        <v>23</v>
      </c>
      <c r="D680" s="3">
        <f t="shared" si="138"/>
        <v>295</v>
      </c>
      <c r="E680" s="11">
        <f t="shared" si="146"/>
        <v>17</v>
      </c>
      <c r="F680" s="11">
        <f t="shared" si="142"/>
        <v>85</v>
      </c>
    </row>
    <row r="681" spans="1:6" x14ac:dyDescent="0.25">
      <c r="A681" s="11" t="s">
        <v>73</v>
      </c>
      <c r="B681" s="11" t="str">
        <f t="shared" si="139"/>
        <v>1"296</v>
      </c>
      <c r="C681" s="11" t="s">
        <v>23</v>
      </c>
      <c r="D681" s="3">
        <f t="shared" si="138"/>
        <v>296</v>
      </c>
      <c r="E681" s="11">
        <f t="shared" si="146"/>
        <v>17</v>
      </c>
      <c r="F681" s="11">
        <f t="shared" si="142"/>
        <v>85</v>
      </c>
    </row>
    <row r="682" spans="1:6" x14ac:dyDescent="0.25">
      <c r="A682" s="11" t="s">
        <v>73</v>
      </c>
      <c r="B682" s="11" t="str">
        <f t="shared" si="139"/>
        <v>1"297</v>
      </c>
      <c r="C682" s="11" t="s">
        <v>23</v>
      </c>
      <c r="D682" s="3">
        <f t="shared" ref="D682:D745" si="147">D681+1</f>
        <v>297</v>
      </c>
      <c r="E682" s="11">
        <f t="shared" si="146"/>
        <v>17</v>
      </c>
      <c r="F682" s="11">
        <f t="shared" si="142"/>
        <v>85</v>
      </c>
    </row>
    <row r="683" spans="1:6" x14ac:dyDescent="0.25">
      <c r="A683" s="11" t="s">
        <v>73</v>
      </c>
      <c r="B683" s="11" t="str">
        <f t="shared" si="139"/>
        <v>1"298</v>
      </c>
      <c r="C683" s="11" t="s">
        <v>23</v>
      </c>
      <c r="D683" s="3">
        <f t="shared" si="147"/>
        <v>298</v>
      </c>
      <c r="E683" s="11">
        <f t="shared" si="146"/>
        <v>17</v>
      </c>
      <c r="F683" s="11">
        <f t="shared" si="142"/>
        <v>85</v>
      </c>
    </row>
    <row r="684" spans="1:6" x14ac:dyDescent="0.25">
      <c r="A684" s="11" t="s">
        <v>73</v>
      </c>
      <c r="B684" s="11" t="str">
        <f t="shared" si="139"/>
        <v>1"299</v>
      </c>
      <c r="C684" s="11" t="s">
        <v>23</v>
      </c>
      <c r="D684" s="3">
        <f t="shared" si="147"/>
        <v>299</v>
      </c>
      <c r="E684" s="11">
        <f t="shared" si="146"/>
        <v>17</v>
      </c>
      <c r="F684" s="11">
        <f t="shared" si="142"/>
        <v>85</v>
      </c>
    </row>
    <row r="685" spans="1:6" x14ac:dyDescent="0.25">
      <c r="A685" s="11" t="s">
        <v>73</v>
      </c>
      <c r="B685" s="11" t="str">
        <f t="shared" si="139"/>
        <v>1"300</v>
      </c>
      <c r="C685" s="11" t="s">
        <v>23</v>
      </c>
      <c r="D685" s="3">
        <f t="shared" si="147"/>
        <v>300</v>
      </c>
      <c r="E685" s="11">
        <f t="shared" si="146"/>
        <v>17</v>
      </c>
      <c r="F685" s="11">
        <f t="shared" si="142"/>
        <v>85</v>
      </c>
    </row>
    <row r="686" spans="1:6" x14ac:dyDescent="0.25">
      <c r="A686" s="11" t="s">
        <v>73</v>
      </c>
      <c r="B686" s="11" t="str">
        <f t="shared" si="139"/>
        <v>1"301</v>
      </c>
      <c r="C686" s="11" t="s">
        <v>23</v>
      </c>
      <c r="D686" s="3">
        <f t="shared" si="147"/>
        <v>301</v>
      </c>
      <c r="E686" s="11">
        <f t="shared" si="146"/>
        <v>17</v>
      </c>
      <c r="F686" s="11">
        <f t="shared" si="142"/>
        <v>85</v>
      </c>
    </row>
    <row r="687" spans="1:6" x14ac:dyDescent="0.25">
      <c r="A687" s="11" t="s">
        <v>73</v>
      </c>
      <c r="B687" s="11" t="str">
        <f t="shared" si="139"/>
        <v>1"302</v>
      </c>
      <c r="C687" s="11" t="s">
        <v>23</v>
      </c>
      <c r="D687" s="3">
        <f t="shared" si="147"/>
        <v>302</v>
      </c>
      <c r="E687" s="11">
        <f t="shared" si="146"/>
        <v>17</v>
      </c>
      <c r="F687" s="11">
        <f t="shared" si="142"/>
        <v>85</v>
      </c>
    </row>
    <row r="688" spans="1:6" x14ac:dyDescent="0.25">
      <c r="A688" s="11" t="s">
        <v>73</v>
      </c>
      <c r="B688" s="11" t="str">
        <f t="shared" si="139"/>
        <v>1"303</v>
      </c>
      <c r="C688" s="11" t="s">
        <v>23</v>
      </c>
      <c r="D688" s="3">
        <f t="shared" si="147"/>
        <v>303</v>
      </c>
      <c r="E688" s="11">
        <f t="shared" si="146"/>
        <v>17</v>
      </c>
      <c r="F688" s="11">
        <f t="shared" si="142"/>
        <v>85</v>
      </c>
    </row>
    <row r="689" spans="1:6" x14ac:dyDescent="0.25">
      <c r="A689" s="11" t="s">
        <v>73</v>
      </c>
      <c r="B689" s="11" t="str">
        <f t="shared" si="139"/>
        <v>1"304</v>
      </c>
      <c r="C689" s="11" t="s">
        <v>23</v>
      </c>
      <c r="D689" s="3">
        <f t="shared" si="147"/>
        <v>304</v>
      </c>
      <c r="E689" s="11">
        <f t="shared" si="146"/>
        <v>17</v>
      </c>
      <c r="F689" s="11">
        <f t="shared" si="142"/>
        <v>85</v>
      </c>
    </row>
    <row r="690" spans="1:6" x14ac:dyDescent="0.25">
      <c r="A690" s="11" t="s">
        <v>73</v>
      </c>
      <c r="B690" s="11" t="str">
        <f t="shared" si="139"/>
        <v>1"305</v>
      </c>
      <c r="C690" s="11" t="s">
        <v>23</v>
      </c>
      <c r="D690" s="3">
        <f t="shared" si="147"/>
        <v>305</v>
      </c>
      <c r="E690" s="11">
        <f t="shared" si="146"/>
        <v>17</v>
      </c>
      <c r="F690" s="11">
        <f t="shared" si="142"/>
        <v>85</v>
      </c>
    </row>
    <row r="691" spans="1:6" x14ac:dyDescent="0.25">
      <c r="A691" s="11" t="s">
        <v>73</v>
      </c>
      <c r="B691" s="11" t="str">
        <f t="shared" si="139"/>
        <v>1"306</v>
      </c>
      <c r="C691" s="11" t="s">
        <v>23</v>
      </c>
      <c r="D691" s="3">
        <f t="shared" si="147"/>
        <v>306</v>
      </c>
      <c r="E691" s="11">
        <f t="shared" si="146"/>
        <v>17</v>
      </c>
      <c r="F691" s="11">
        <f t="shared" si="142"/>
        <v>85</v>
      </c>
    </row>
    <row r="692" spans="1:6" x14ac:dyDescent="0.25">
      <c r="A692" s="11" t="s">
        <v>73</v>
      </c>
      <c r="B692" s="11" t="str">
        <f t="shared" si="139"/>
        <v>1"307</v>
      </c>
      <c r="C692" s="11" t="s">
        <v>23</v>
      </c>
      <c r="D692" s="3">
        <f t="shared" si="147"/>
        <v>307</v>
      </c>
      <c r="E692" s="11">
        <f t="shared" si="146"/>
        <v>17</v>
      </c>
      <c r="F692" s="11">
        <f t="shared" si="142"/>
        <v>85</v>
      </c>
    </row>
    <row r="693" spans="1:6" x14ac:dyDescent="0.25">
      <c r="A693" s="11" t="s">
        <v>73</v>
      </c>
      <c r="B693" s="11" t="str">
        <f t="shared" si="139"/>
        <v>1"308</v>
      </c>
      <c r="C693" s="11" t="s">
        <v>23</v>
      </c>
      <c r="D693" s="3">
        <f t="shared" si="147"/>
        <v>308</v>
      </c>
      <c r="E693" s="11">
        <f t="shared" si="146"/>
        <v>17</v>
      </c>
      <c r="F693" s="11">
        <f t="shared" si="142"/>
        <v>85</v>
      </c>
    </row>
    <row r="694" spans="1:6" x14ac:dyDescent="0.25">
      <c r="A694" s="11" t="s">
        <v>73</v>
      </c>
      <c r="B694" s="11" t="str">
        <f t="shared" si="139"/>
        <v>1"309</v>
      </c>
      <c r="C694" s="11" t="s">
        <v>23</v>
      </c>
      <c r="D694" s="3">
        <f t="shared" si="147"/>
        <v>309</v>
      </c>
      <c r="E694" s="11">
        <f t="shared" si="146"/>
        <v>17</v>
      </c>
      <c r="F694" s="11">
        <f t="shared" si="142"/>
        <v>85</v>
      </c>
    </row>
    <row r="695" spans="1:6" x14ac:dyDescent="0.25">
      <c r="A695" s="11" t="s">
        <v>73</v>
      </c>
      <c r="B695" s="11" t="str">
        <f t="shared" si="139"/>
        <v>1"310</v>
      </c>
      <c r="C695" s="11" t="s">
        <v>23</v>
      </c>
      <c r="D695" s="3">
        <f t="shared" si="147"/>
        <v>310</v>
      </c>
      <c r="E695" s="11">
        <f t="shared" si="146"/>
        <v>17</v>
      </c>
      <c r="F695" s="11">
        <f t="shared" si="142"/>
        <v>85</v>
      </c>
    </row>
    <row r="696" spans="1:6" x14ac:dyDescent="0.25">
      <c r="A696" s="11" t="s">
        <v>73</v>
      </c>
      <c r="B696" s="11" t="str">
        <f t="shared" si="139"/>
        <v>1"311</v>
      </c>
      <c r="C696" s="11" t="s">
        <v>23</v>
      </c>
      <c r="D696" s="3">
        <f t="shared" si="147"/>
        <v>311</v>
      </c>
      <c r="E696" s="11">
        <f t="shared" ref="E696" si="148">E695+1</f>
        <v>18</v>
      </c>
      <c r="F696" s="11">
        <f t="shared" si="142"/>
        <v>90</v>
      </c>
    </row>
    <row r="697" spans="1:6" x14ac:dyDescent="0.25">
      <c r="A697" s="11" t="s">
        <v>73</v>
      </c>
      <c r="B697" s="11" t="str">
        <f t="shared" si="139"/>
        <v>1"312</v>
      </c>
      <c r="C697" s="11" t="s">
        <v>23</v>
      </c>
      <c r="D697" s="3">
        <f t="shared" si="147"/>
        <v>312</v>
      </c>
      <c r="E697" s="11">
        <f t="shared" ref="E697:E714" si="149">E696</f>
        <v>18</v>
      </c>
      <c r="F697" s="11">
        <f t="shared" si="142"/>
        <v>90</v>
      </c>
    </row>
    <row r="698" spans="1:6" x14ac:dyDescent="0.25">
      <c r="A698" s="11" t="s">
        <v>73</v>
      </c>
      <c r="B698" s="11" t="str">
        <f t="shared" si="139"/>
        <v>1"313</v>
      </c>
      <c r="C698" s="11" t="s">
        <v>23</v>
      </c>
      <c r="D698" s="3">
        <f t="shared" si="147"/>
        <v>313</v>
      </c>
      <c r="E698" s="11">
        <f t="shared" si="149"/>
        <v>18</v>
      </c>
      <c r="F698" s="11">
        <f t="shared" si="142"/>
        <v>90</v>
      </c>
    </row>
    <row r="699" spans="1:6" x14ac:dyDescent="0.25">
      <c r="A699" s="11" t="s">
        <v>73</v>
      </c>
      <c r="B699" s="11" t="str">
        <f t="shared" ref="B699:B762" si="150">CONCATENATE(C699&amp;D699)</f>
        <v>1"314</v>
      </c>
      <c r="C699" s="11" t="s">
        <v>23</v>
      </c>
      <c r="D699" s="3">
        <f t="shared" si="147"/>
        <v>314</v>
      </c>
      <c r="E699" s="11">
        <f t="shared" si="149"/>
        <v>18</v>
      </c>
      <c r="F699" s="11">
        <f t="shared" si="142"/>
        <v>90</v>
      </c>
    </row>
    <row r="700" spans="1:6" x14ac:dyDescent="0.25">
      <c r="A700" s="11" t="s">
        <v>73</v>
      </c>
      <c r="B700" s="11" t="str">
        <f t="shared" si="150"/>
        <v>1"315</v>
      </c>
      <c r="C700" s="11" t="s">
        <v>23</v>
      </c>
      <c r="D700" s="3">
        <f t="shared" si="147"/>
        <v>315</v>
      </c>
      <c r="E700" s="11">
        <f t="shared" si="149"/>
        <v>18</v>
      </c>
      <c r="F700" s="11">
        <f t="shared" si="142"/>
        <v>90</v>
      </c>
    </row>
    <row r="701" spans="1:6" x14ac:dyDescent="0.25">
      <c r="A701" s="11" t="s">
        <v>73</v>
      </c>
      <c r="B701" s="11" t="str">
        <f t="shared" si="150"/>
        <v>1"316</v>
      </c>
      <c r="C701" s="11" t="s">
        <v>23</v>
      </c>
      <c r="D701" s="3">
        <f t="shared" si="147"/>
        <v>316</v>
      </c>
      <c r="E701" s="11">
        <f t="shared" si="149"/>
        <v>18</v>
      </c>
      <c r="F701" s="11">
        <f t="shared" si="142"/>
        <v>90</v>
      </c>
    </row>
    <row r="702" spans="1:6" x14ac:dyDescent="0.25">
      <c r="A702" s="11" t="s">
        <v>73</v>
      </c>
      <c r="B702" s="11" t="str">
        <f t="shared" si="150"/>
        <v>1"317</v>
      </c>
      <c r="C702" s="11" t="s">
        <v>23</v>
      </c>
      <c r="D702" s="3">
        <f t="shared" si="147"/>
        <v>317</v>
      </c>
      <c r="E702" s="11">
        <f t="shared" si="149"/>
        <v>18</v>
      </c>
      <c r="F702" s="11">
        <f t="shared" si="142"/>
        <v>90</v>
      </c>
    </row>
    <row r="703" spans="1:6" x14ac:dyDescent="0.25">
      <c r="A703" s="11" t="s">
        <v>73</v>
      </c>
      <c r="B703" s="11" t="str">
        <f t="shared" si="150"/>
        <v>1"318</v>
      </c>
      <c r="C703" s="11" t="s">
        <v>23</v>
      </c>
      <c r="D703" s="3">
        <f t="shared" si="147"/>
        <v>318</v>
      </c>
      <c r="E703" s="11">
        <f t="shared" si="149"/>
        <v>18</v>
      </c>
      <c r="F703" s="11">
        <f t="shared" si="142"/>
        <v>90</v>
      </c>
    </row>
    <row r="704" spans="1:6" x14ac:dyDescent="0.25">
      <c r="A704" s="11" t="s">
        <v>73</v>
      </c>
      <c r="B704" s="11" t="str">
        <f t="shared" si="150"/>
        <v>1"319</v>
      </c>
      <c r="C704" s="11" t="s">
        <v>23</v>
      </c>
      <c r="D704" s="3">
        <f t="shared" si="147"/>
        <v>319</v>
      </c>
      <c r="E704" s="11">
        <f t="shared" si="149"/>
        <v>18</v>
      </c>
      <c r="F704" s="11">
        <f t="shared" si="142"/>
        <v>90</v>
      </c>
    </row>
    <row r="705" spans="1:6" x14ac:dyDescent="0.25">
      <c r="A705" s="11" t="s">
        <v>73</v>
      </c>
      <c r="B705" s="11" t="str">
        <f t="shared" si="150"/>
        <v>1"320</v>
      </c>
      <c r="C705" s="11" t="s">
        <v>23</v>
      </c>
      <c r="D705" s="3">
        <f t="shared" si="147"/>
        <v>320</v>
      </c>
      <c r="E705" s="11">
        <f t="shared" si="149"/>
        <v>18</v>
      </c>
      <c r="F705" s="11">
        <f t="shared" si="142"/>
        <v>90</v>
      </c>
    </row>
    <row r="706" spans="1:6" x14ac:dyDescent="0.25">
      <c r="A706" s="11" t="s">
        <v>73</v>
      </c>
      <c r="B706" s="11" t="str">
        <f t="shared" si="150"/>
        <v>1"321</v>
      </c>
      <c r="C706" s="11" t="s">
        <v>23</v>
      </c>
      <c r="D706" s="3">
        <f t="shared" si="147"/>
        <v>321</v>
      </c>
      <c r="E706" s="11">
        <f t="shared" si="149"/>
        <v>18</v>
      </c>
      <c r="F706" s="11">
        <f t="shared" si="142"/>
        <v>90</v>
      </c>
    </row>
    <row r="707" spans="1:6" x14ac:dyDescent="0.25">
      <c r="A707" s="11" t="s">
        <v>73</v>
      </c>
      <c r="B707" s="11" t="str">
        <f t="shared" si="150"/>
        <v>1"322</v>
      </c>
      <c r="C707" s="11" t="s">
        <v>23</v>
      </c>
      <c r="D707" s="3">
        <f t="shared" si="147"/>
        <v>322</v>
      </c>
      <c r="E707" s="11">
        <f t="shared" si="149"/>
        <v>18</v>
      </c>
      <c r="F707" s="11">
        <f t="shared" si="142"/>
        <v>90</v>
      </c>
    </row>
    <row r="708" spans="1:6" x14ac:dyDescent="0.25">
      <c r="A708" s="11" t="s">
        <v>73</v>
      </c>
      <c r="B708" s="11" t="str">
        <f t="shared" si="150"/>
        <v>1"323</v>
      </c>
      <c r="C708" s="11" t="s">
        <v>23</v>
      </c>
      <c r="D708" s="3">
        <f t="shared" si="147"/>
        <v>323</v>
      </c>
      <c r="E708" s="11">
        <f t="shared" si="149"/>
        <v>18</v>
      </c>
      <c r="F708" s="11">
        <f t="shared" si="142"/>
        <v>90</v>
      </c>
    </row>
    <row r="709" spans="1:6" x14ac:dyDescent="0.25">
      <c r="A709" s="11" t="s">
        <v>73</v>
      </c>
      <c r="B709" s="11" t="str">
        <f t="shared" si="150"/>
        <v>1"324</v>
      </c>
      <c r="C709" s="11" t="s">
        <v>23</v>
      </c>
      <c r="D709" s="3">
        <f t="shared" si="147"/>
        <v>324</v>
      </c>
      <c r="E709" s="11">
        <f t="shared" si="149"/>
        <v>18</v>
      </c>
      <c r="F709" s="11">
        <f t="shared" si="142"/>
        <v>90</v>
      </c>
    </row>
    <row r="710" spans="1:6" x14ac:dyDescent="0.25">
      <c r="A710" s="11" t="s">
        <v>73</v>
      </c>
      <c r="B710" s="11" t="str">
        <f t="shared" si="150"/>
        <v>1"325</v>
      </c>
      <c r="C710" s="11" t="s">
        <v>23</v>
      </c>
      <c r="D710" s="3">
        <f t="shared" si="147"/>
        <v>325</v>
      </c>
      <c r="E710" s="11">
        <f t="shared" si="149"/>
        <v>18</v>
      </c>
      <c r="F710" s="11">
        <f t="shared" si="142"/>
        <v>90</v>
      </c>
    </row>
    <row r="711" spans="1:6" x14ac:dyDescent="0.25">
      <c r="A711" s="11" t="s">
        <v>73</v>
      </c>
      <c r="B711" s="11" t="str">
        <f t="shared" si="150"/>
        <v>1"326</v>
      </c>
      <c r="C711" s="11" t="s">
        <v>23</v>
      </c>
      <c r="D711" s="3">
        <f t="shared" si="147"/>
        <v>326</v>
      </c>
      <c r="E711" s="11">
        <f t="shared" si="149"/>
        <v>18</v>
      </c>
      <c r="F711" s="11">
        <f t="shared" si="142"/>
        <v>90</v>
      </c>
    </row>
    <row r="712" spans="1:6" x14ac:dyDescent="0.25">
      <c r="A712" s="11" t="s">
        <v>73</v>
      </c>
      <c r="B712" s="11" t="str">
        <f t="shared" si="150"/>
        <v>1"327</v>
      </c>
      <c r="C712" s="11" t="s">
        <v>23</v>
      </c>
      <c r="D712" s="3">
        <f t="shared" si="147"/>
        <v>327</v>
      </c>
      <c r="E712" s="11">
        <f t="shared" si="149"/>
        <v>18</v>
      </c>
      <c r="F712" s="11">
        <f t="shared" si="142"/>
        <v>90</v>
      </c>
    </row>
    <row r="713" spans="1:6" x14ac:dyDescent="0.25">
      <c r="A713" s="11" t="s">
        <v>73</v>
      </c>
      <c r="B713" s="11" t="str">
        <f t="shared" si="150"/>
        <v>1"328</v>
      </c>
      <c r="C713" s="11" t="s">
        <v>23</v>
      </c>
      <c r="D713" s="3">
        <f t="shared" si="147"/>
        <v>328</v>
      </c>
      <c r="E713" s="11">
        <f t="shared" si="149"/>
        <v>18</v>
      </c>
      <c r="F713" s="11">
        <f t="shared" si="142"/>
        <v>90</v>
      </c>
    </row>
    <row r="714" spans="1:6" x14ac:dyDescent="0.25">
      <c r="A714" s="11" t="s">
        <v>73</v>
      </c>
      <c r="B714" s="11" t="str">
        <f t="shared" si="150"/>
        <v>1"329</v>
      </c>
      <c r="C714" s="11" t="s">
        <v>23</v>
      </c>
      <c r="D714" s="3">
        <f t="shared" si="147"/>
        <v>329</v>
      </c>
      <c r="E714" s="11">
        <f t="shared" si="149"/>
        <v>18</v>
      </c>
      <c r="F714" s="11">
        <f t="shared" si="142"/>
        <v>90</v>
      </c>
    </row>
    <row r="715" spans="1:6" x14ac:dyDescent="0.25">
      <c r="A715" s="11" t="s">
        <v>73</v>
      </c>
      <c r="B715" s="11" t="str">
        <f t="shared" si="150"/>
        <v>1"330</v>
      </c>
      <c r="C715" s="11" t="s">
        <v>23</v>
      </c>
      <c r="D715" s="3">
        <f t="shared" si="147"/>
        <v>330</v>
      </c>
      <c r="E715" s="11">
        <f>E714+1</f>
        <v>19</v>
      </c>
      <c r="F715" s="11">
        <f t="shared" ref="F715:F778" si="151">E715*$F$1</f>
        <v>95</v>
      </c>
    </row>
    <row r="716" spans="1:6" x14ac:dyDescent="0.25">
      <c r="A716" s="11" t="s">
        <v>73</v>
      </c>
      <c r="B716" s="11" t="str">
        <f t="shared" si="150"/>
        <v>1"331</v>
      </c>
      <c r="C716" s="11" t="s">
        <v>23</v>
      </c>
      <c r="D716" s="3">
        <f t="shared" si="147"/>
        <v>331</v>
      </c>
      <c r="E716" s="11">
        <f t="shared" ref="E716:E722" si="152">E715</f>
        <v>19</v>
      </c>
      <c r="F716" s="11">
        <f t="shared" si="151"/>
        <v>95</v>
      </c>
    </row>
    <row r="717" spans="1:6" x14ac:dyDescent="0.25">
      <c r="A717" s="11" t="s">
        <v>73</v>
      </c>
      <c r="B717" s="11" t="str">
        <f t="shared" si="150"/>
        <v>1"332</v>
      </c>
      <c r="C717" s="11" t="s">
        <v>23</v>
      </c>
      <c r="D717" s="3">
        <f t="shared" si="147"/>
        <v>332</v>
      </c>
      <c r="E717" s="11">
        <f t="shared" si="152"/>
        <v>19</v>
      </c>
      <c r="F717" s="11">
        <f t="shared" si="151"/>
        <v>95</v>
      </c>
    </row>
    <row r="718" spans="1:6" x14ac:dyDescent="0.25">
      <c r="A718" s="11" t="s">
        <v>73</v>
      </c>
      <c r="B718" s="11" t="str">
        <f t="shared" si="150"/>
        <v>1"333</v>
      </c>
      <c r="C718" s="11" t="s">
        <v>23</v>
      </c>
      <c r="D718" s="3">
        <f t="shared" si="147"/>
        <v>333</v>
      </c>
      <c r="E718" s="11">
        <f t="shared" si="152"/>
        <v>19</v>
      </c>
      <c r="F718" s="11">
        <f t="shared" si="151"/>
        <v>95</v>
      </c>
    </row>
    <row r="719" spans="1:6" x14ac:dyDescent="0.25">
      <c r="A719" s="11" t="s">
        <v>73</v>
      </c>
      <c r="B719" s="11" t="str">
        <f t="shared" si="150"/>
        <v>1"334</v>
      </c>
      <c r="C719" s="11" t="s">
        <v>23</v>
      </c>
      <c r="D719" s="3">
        <f t="shared" si="147"/>
        <v>334</v>
      </c>
      <c r="E719" s="11">
        <f t="shared" si="152"/>
        <v>19</v>
      </c>
      <c r="F719" s="11">
        <f t="shared" si="151"/>
        <v>95</v>
      </c>
    </row>
    <row r="720" spans="1:6" x14ac:dyDescent="0.25">
      <c r="A720" s="11" t="s">
        <v>73</v>
      </c>
      <c r="B720" s="11" t="str">
        <f t="shared" si="150"/>
        <v>1"335</v>
      </c>
      <c r="C720" s="11" t="s">
        <v>23</v>
      </c>
      <c r="D720" s="3">
        <f t="shared" si="147"/>
        <v>335</v>
      </c>
      <c r="E720" s="11">
        <f t="shared" si="152"/>
        <v>19</v>
      </c>
      <c r="F720" s="11">
        <f t="shared" si="151"/>
        <v>95</v>
      </c>
    </row>
    <row r="721" spans="1:6" x14ac:dyDescent="0.25">
      <c r="A721" s="11" t="s">
        <v>73</v>
      </c>
      <c r="B721" s="11" t="str">
        <f t="shared" si="150"/>
        <v>1"336</v>
      </c>
      <c r="C721" s="11" t="s">
        <v>23</v>
      </c>
      <c r="D721" s="3">
        <f t="shared" si="147"/>
        <v>336</v>
      </c>
      <c r="E721" s="11">
        <f t="shared" si="152"/>
        <v>19</v>
      </c>
      <c r="F721" s="11">
        <f t="shared" si="151"/>
        <v>95</v>
      </c>
    </row>
    <row r="722" spans="1:6" x14ac:dyDescent="0.25">
      <c r="A722" s="11" t="s">
        <v>73</v>
      </c>
      <c r="B722" s="11" t="str">
        <f t="shared" si="150"/>
        <v>1"337</v>
      </c>
      <c r="C722" s="11" t="s">
        <v>23</v>
      </c>
      <c r="D722" s="3">
        <f t="shared" si="147"/>
        <v>337</v>
      </c>
      <c r="E722" s="11">
        <f t="shared" si="152"/>
        <v>19</v>
      </c>
      <c r="F722" s="11">
        <f t="shared" si="151"/>
        <v>95</v>
      </c>
    </row>
    <row r="723" spans="1:6" x14ac:dyDescent="0.25">
      <c r="A723" s="11" t="s">
        <v>73</v>
      </c>
      <c r="B723" s="11" t="str">
        <f t="shared" si="150"/>
        <v>1"338</v>
      </c>
      <c r="C723" s="11" t="s">
        <v>23</v>
      </c>
      <c r="D723" s="3">
        <f t="shared" si="147"/>
        <v>338</v>
      </c>
      <c r="E723" s="11">
        <f t="shared" ref="E723:E734" si="153">E722</f>
        <v>19</v>
      </c>
      <c r="F723" s="11">
        <f t="shared" si="151"/>
        <v>95</v>
      </c>
    </row>
    <row r="724" spans="1:6" x14ac:dyDescent="0.25">
      <c r="A724" s="11" t="s">
        <v>73</v>
      </c>
      <c r="B724" s="11" t="str">
        <f t="shared" si="150"/>
        <v>1"339</v>
      </c>
      <c r="C724" s="11" t="s">
        <v>23</v>
      </c>
      <c r="D724" s="3">
        <f t="shared" si="147"/>
        <v>339</v>
      </c>
      <c r="E724" s="11">
        <f t="shared" si="153"/>
        <v>19</v>
      </c>
      <c r="F724" s="11">
        <f t="shared" si="151"/>
        <v>95</v>
      </c>
    </row>
    <row r="725" spans="1:6" x14ac:dyDescent="0.25">
      <c r="A725" s="11" t="s">
        <v>73</v>
      </c>
      <c r="B725" s="11" t="str">
        <f t="shared" si="150"/>
        <v>1"340</v>
      </c>
      <c r="C725" s="11" t="s">
        <v>23</v>
      </c>
      <c r="D725" s="3">
        <f t="shared" si="147"/>
        <v>340</v>
      </c>
      <c r="E725" s="11">
        <f t="shared" si="153"/>
        <v>19</v>
      </c>
      <c r="F725" s="11">
        <f t="shared" si="151"/>
        <v>95</v>
      </c>
    </row>
    <row r="726" spans="1:6" x14ac:dyDescent="0.25">
      <c r="A726" s="11" t="s">
        <v>73</v>
      </c>
      <c r="B726" s="11" t="str">
        <f t="shared" si="150"/>
        <v>1"341</v>
      </c>
      <c r="C726" s="11" t="s">
        <v>23</v>
      </c>
      <c r="D726" s="3">
        <f t="shared" si="147"/>
        <v>341</v>
      </c>
      <c r="E726" s="11">
        <f t="shared" si="153"/>
        <v>19</v>
      </c>
      <c r="F726" s="11">
        <f t="shared" si="151"/>
        <v>95</v>
      </c>
    </row>
    <row r="727" spans="1:6" x14ac:dyDescent="0.25">
      <c r="A727" s="11" t="s">
        <v>73</v>
      </c>
      <c r="B727" s="11" t="str">
        <f t="shared" si="150"/>
        <v>1"342</v>
      </c>
      <c r="C727" s="11" t="s">
        <v>23</v>
      </c>
      <c r="D727" s="3">
        <f t="shared" si="147"/>
        <v>342</v>
      </c>
      <c r="E727" s="11">
        <f t="shared" si="153"/>
        <v>19</v>
      </c>
      <c r="F727" s="11">
        <f t="shared" si="151"/>
        <v>95</v>
      </c>
    </row>
    <row r="728" spans="1:6" x14ac:dyDescent="0.25">
      <c r="A728" s="11" t="s">
        <v>73</v>
      </c>
      <c r="B728" s="11" t="str">
        <f t="shared" si="150"/>
        <v>1"343</v>
      </c>
      <c r="C728" s="11" t="s">
        <v>23</v>
      </c>
      <c r="D728" s="3">
        <f t="shared" si="147"/>
        <v>343</v>
      </c>
      <c r="E728" s="11">
        <f t="shared" si="153"/>
        <v>19</v>
      </c>
      <c r="F728" s="11">
        <f t="shared" si="151"/>
        <v>95</v>
      </c>
    </row>
    <row r="729" spans="1:6" x14ac:dyDescent="0.25">
      <c r="A729" s="11" t="s">
        <v>73</v>
      </c>
      <c r="B729" s="11" t="str">
        <f t="shared" si="150"/>
        <v>1"344</v>
      </c>
      <c r="C729" s="11" t="s">
        <v>23</v>
      </c>
      <c r="D729" s="3">
        <f t="shared" si="147"/>
        <v>344</v>
      </c>
      <c r="E729" s="11">
        <f t="shared" si="153"/>
        <v>19</v>
      </c>
      <c r="F729" s="11">
        <f t="shared" si="151"/>
        <v>95</v>
      </c>
    </row>
    <row r="730" spans="1:6" x14ac:dyDescent="0.25">
      <c r="A730" s="11" t="s">
        <v>73</v>
      </c>
      <c r="B730" s="11" t="str">
        <f t="shared" si="150"/>
        <v>1"345</v>
      </c>
      <c r="C730" s="11" t="s">
        <v>23</v>
      </c>
      <c r="D730" s="3">
        <f t="shared" si="147"/>
        <v>345</v>
      </c>
      <c r="E730" s="11">
        <f t="shared" si="153"/>
        <v>19</v>
      </c>
      <c r="F730" s="11">
        <f t="shared" si="151"/>
        <v>95</v>
      </c>
    </row>
    <row r="731" spans="1:6" x14ac:dyDescent="0.25">
      <c r="A731" s="11" t="s">
        <v>73</v>
      </c>
      <c r="B731" s="11" t="str">
        <f t="shared" si="150"/>
        <v>1"346</v>
      </c>
      <c r="C731" s="11" t="s">
        <v>23</v>
      </c>
      <c r="D731" s="3">
        <f t="shared" si="147"/>
        <v>346</v>
      </c>
      <c r="E731" s="11">
        <f t="shared" si="153"/>
        <v>19</v>
      </c>
      <c r="F731" s="11">
        <f t="shared" si="151"/>
        <v>95</v>
      </c>
    </row>
    <row r="732" spans="1:6" x14ac:dyDescent="0.25">
      <c r="A732" s="11" t="s">
        <v>73</v>
      </c>
      <c r="B732" s="11" t="str">
        <f t="shared" si="150"/>
        <v>1"347</v>
      </c>
      <c r="C732" s="11" t="s">
        <v>23</v>
      </c>
      <c r="D732" s="3">
        <f t="shared" si="147"/>
        <v>347</v>
      </c>
      <c r="E732" s="11">
        <f t="shared" si="153"/>
        <v>19</v>
      </c>
      <c r="F732" s="11">
        <f t="shared" si="151"/>
        <v>95</v>
      </c>
    </row>
    <row r="733" spans="1:6" x14ac:dyDescent="0.25">
      <c r="A733" s="11" t="s">
        <v>73</v>
      </c>
      <c r="B733" s="11" t="str">
        <f t="shared" si="150"/>
        <v>1"348</v>
      </c>
      <c r="C733" s="11" t="s">
        <v>23</v>
      </c>
      <c r="D733" s="3">
        <f t="shared" si="147"/>
        <v>348</v>
      </c>
      <c r="E733" s="11">
        <f t="shared" si="153"/>
        <v>19</v>
      </c>
      <c r="F733" s="11">
        <f t="shared" si="151"/>
        <v>95</v>
      </c>
    </row>
    <row r="734" spans="1:6" x14ac:dyDescent="0.25">
      <c r="A734" s="11" t="s">
        <v>73</v>
      </c>
      <c r="B734" s="11" t="str">
        <f t="shared" si="150"/>
        <v>1"349</v>
      </c>
      <c r="C734" s="11" t="s">
        <v>23</v>
      </c>
      <c r="D734" s="3">
        <f t="shared" si="147"/>
        <v>349</v>
      </c>
      <c r="E734" s="11">
        <f t="shared" si="153"/>
        <v>19</v>
      </c>
      <c r="F734" s="11">
        <f t="shared" si="151"/>
        <v>95</v>
      </c>
    </row>
    <row r="735" spans="1:6" x14ac:dyDescent="0.25">
      <c r="A735" s="11" t="s">
        <v>73</v>
      </c>
      <c r="B735" s="11" t="str">
        <f t="shared" si="150"/>
        <v>1"350</v>
      </c>
      <c r="C735" s="11" t="s">
        <v>23</v>
      </c>
      <c r="D735" s="3">
        <f t="shared" si="147"/>
        <v>350</v>
      </c>
      <c r="E735" s="11">
        <f t="shared" ref="E735" si="154">E734+1</f>
        <v>20</v>
      </c>
      <c r="F735" s="11">
        <f t="shared" si="151"/>
        <v>100</v>
      </c>
    </row>
    <row r="736" spans="1:6" x14ac:dyDescent="0.25">
      <c r="A736" s="11" t="s">
        <v>73</v>
      </c>
      <c r="B736" s="11" t="str">
        <f t="shared" si="150"/>
        <v>1"351</v>
      </c>
      <c r="C736" s="11" t="s">
        <v>23</v>
      </c>
      <c r="D736" s="3">
        <f t="shared" si="147"/>
        <v>351</v>
      </c>
      <c r="E736" s="11">
        <f t="shared" ref="E736:E739" si="155">E735</f>
        <v>20</v>
      </c>
      <c r="F736" s="11">
        <f t="shared" si="151"/>
        <v>100</v>
      </c>
    </row>
    <row r="737" spans="1:6" x14ac:dyDescent="0.25">
      <c r="A737" s="11" t="s">
        <v>73</v>
      </c>
      <c r="B737" s="11" t="str">
        <f t="shared" si="150"/>
        <v>1"352</v>
      </c>
      <c r="C737" s="11" t="s">
        <v>23</v>
      </c>
      <c r="D737" s="3">
        <f t="shared" si="147"/>
        <v>352</v>
      </c>
      <c r="E737" s="11">
        <f t="shared" si="155"/>
        <v>20</v>
      </c>
      <c r="F737" s="11">
        <f t="shared" si="151"/>
        <v>100</v>
      </c>
    </row>
    <row r="738" spans="1:6" x14ac:dyDescent="0.25">
      <c r="A738" s="11" t="s">
        <v>73</v>
      </c>
      <c r="B738" s="11" t="str">
        <f t="shared" si="150"/>
        <v>1"353</v>
      </c>
      <c r="C738" s="11" t="s">
        <v>23</v>
      </c>
      <c r="D738" s="3">
        <f t="shared" si="147"/>
        <v>353</v>
      </c>
      <c r="E738" s="11">
        <f t="shared" si="155"/>
        <v>20</v>
      </c>
      <c r="F738" s="11">
        <f t="shared" si="151"/>
        <v>100</v>
      </c>
    </row>
    <row r="739" spans="1:6" x14ac:dyDescent="0.25">
      <c r="A739" s="11" t="s">
        <v>73</v>
      </c>
      <c r="B739" s="11" t="str">
        <f t="shared" si="150"/>
        <v>1"354</v>
      </c>
      <c r="C739" s="11" t="s">
        <v>23</v>
      </c>
      <c r="D739" s="3">
        <f t="shared" si="147"/>
        <v>354</v>
      </c>
      <c r="E739" s="11">
        <f t="shared" si="155"/>
        <v>20</v>
      </c>
      <c r="F739" s="11">
        <f t="shared" si="151"/>
        <v>100</v>
      </c>
    </row>
    <row r="740" spans="1:6" x14ac:dyDescent="0.25">
      <c r="A740" s="11" t="s">
        <v>73</v>
      </c>
      <c r="B740" s="11" t="str">
        <f t="shared" si="150"/>
        <v>1"355</v>
      </c>
      <c r="C740" s="11" t="s">
        <v>23</v>
      </c>
      <c r="D740" s="3">
        <f t="shared" si="147"/>
        <v>355</v>
      </c>
      <c r="E740" s="11">
        <f>E739+1</f>
        <v>21</v>
      </c>
      <c r="F740" s="11">
        <f t="shared" si="151"/>
        <v>105</v>
      </c>
    </row>
    <row r="741" spans="1:6" x14ac:dyDescent="0.25">
      <c r="A741" s="11" t="s">
        <v>73</v>
      </c>
      <c r="B741" s="11" t="str">
        <f t="shared" si="150"/>
        <v>1"356</v>
      </c>
      <c r="C741" s="11" t="s">
        <v>23</v>
      </c>
      <c r="D741" s="3">
        <f t="shared" si="147"/>
        <v>356</v>
      </c>
      <c r="E741" s="11">
        <f t="shared" ref="E741:E747" si="156">E740</f>
        <v>21</v>
      </c>
      <c r="F741" s="11">
        <f t="shared" si="151"/>
        <v>105</v>
      </c>
    </row>
    <row r="742" spans="1:6" x14ac:dyDescent="0.25">
      <c r="A742" s="11" t="s">
        <v>73</v>
      </c>
      <c r="B742" s="11" t="str">
        <f t="shared" si="150"/>
        <v>1"357</v>
      </c>
      <c r="C742" s="11" t="s">
        <v>23</v>
      </c>
      <c r="D742" s="3">
        <f t="shared" si="147"/>
        <v>357</v>
      </c>
      <c r="E742" s="11">
        <f t="shared" si="156"/>
        <v>21</v>
      </c>
      <c r="F742" s="11">
        <f t="shared" si="151"/>
        <v>105</v>
      </c>
    </row>
    <row r="743" spans="1:6" x14ac:dyDescent="0.25">
      <c r="A743" s="11" t="s">
        <v>73</v>
      </c>
      <c r="B743" s="11" t="str">
        <f t="shared" si="150"/>
        <v>1"358</v>
      </c>
      <c r="C743" s="11" t="s">
        <v>23</v>
      </c>
      <c r="D743" s="3">
        <f t="shared" si="147"/>
        <v>358</v>
      </c>
      <c r="E743" s="11">
        <f t="shared" si="156"/>
        <v>21</v>
      </c>
      <c r="F743" s="11">
        <f t="shared" si="151"/>
        <v>105</v>
      </c>
    </row>
    <row r="744" spans="1:6" x14ac:dyDescent="0.25">
      <c r="A744" s="11" t="s">
        <v>73</v>
      </c>
      <c r="B744" s="11" t="str">
        <f t="shared" si="150"/>
        <v>1"359</v>
      </c>
      <c r="C744" s="11" t="s">
        <v>23</v>
      </c>
      <c r="D744" s="3">
        <f t="shared" si="147"/>
        <v>359</v>
      </c>
      <c r="E744" s="11">
        <f t="shared" si="156"/>
        <v>21</v>
      </c>
      <c r="F744" s="11">
        <f t="shared" si="151"/>
        <v>105</v>
      </c>
    </row>
    <row r="745" spans="1:6" x14ac:dyDescent="0.25">
      <c r="A745" s="11" t="s">
        <v>73</v>
      </c>
      <c r="B745" s="11" t="str">
        <f t="shared" si="150"/>
        <v>1"360</v>
      </c>
      <c r="C745" s="11" t="s">
        <v>23</v>
      </c>
      <c r="D745" s="3">
        <f t="shared" si="147"/>
        <v>360</v>
      </c>
      <c r="E745" s="11">
        <f t="shared" si="156"/>
        <v>21</v>
      </c>
      <c r="F745" s="11">
        <f t="shared" si="151"/>
        <v>105</v>
      </c>
    </row>
    <row r="746" spans="1:6" x14ac:dyDescent="0.25">
      <c r="A746" s="11" t="s">
        <v>73</v>
      </c>
      <c r="B746" s="11" t="str">
        <f t="shared" si="150"/>
        <v>1"361</v>
      </c>
      <c r="C746" s="11" t="s">
        <v>23</v>
      </c>
      <c r="D746" s="3">
        <f t="shared" ref="D746:D809" si="157">D745+1</f>
        <v>361</v>
      </c>
      <c r="E746" s="11">
        <f t="shared" si="156"/>
        <v>21</v>
      </c>
      <c r="F746" s="11">
        <f t="shared" si="151"/>
        <v>105</v>
      </c>
    </row>
    <row r="747" spans="1:6" x14ac:dyDescent="0.25">
      <c r="A747" s="11" t="s">
        <v>73</v>
      </c>
      <c r="B747" s="11" t="str">
        <f t="shared" si="150"/>
        <v>1"362</v>
      </c>
      <c r="C747" s="11" t="s">
        <v>23</v>
      </c>
      <c r="D747" s="3">
        <f t="shared" si="157"/>
        <v>362</v>
      </c>
      <c r="E747" s="11">
        <f t="shared" si="156"/>
        <v>21</v>
      </c>
      <c r="F747" s="11">
        <f t="shared" si="151"/>
        <v>105</v>
      </c>
    </row>
    <row r="748" spans="1:6" x14ac:dyDescent="0.25">
      <c r="A748" s="11" t="s">
        <v>73</v>
      </c>
      <c r="B748" s="11" t="str">
        <f t="shared" si="150"/>
        <v>1"363</v>
      </c>
      <c r="C748" s="11" t="s">
        <v>23</v>
      </c>
      <c r="D748" s="3">
        <f t="shared" si="157"/>
        <v>363</v>
      </c>
      <c r="E748" s="11">
        <f t="shared" ref="E748:E759" si="158">E747</f>
        <v>21</v>
      </c>
      <c r="F748" s="11">
        <f t="shared" si="151"/>
        <v>105</v>
      </c>
    </row>
    <row r="749" spans="1:6" x14ac:dyDescent="0.25">
      <c r="A749" s="11" t="s">
        <v>73</v>
      </c>
      <c r="B749" s="11" t="str">
        <f t="shared" si="150"/>
        <v>1"364</v>
      </c>
      <c r="C749" s="11" t="s">
        <v>23</v>
      </c>
      <c r="D749" s="3">
        <f t="shared" si="157"/>
        <v>364</v>
      </c>
      <c r="E749" s="11">
        <f t="shared" si="158"/>
        <v>21</v>
      </c>
      <c r="F749" s="11">
        <f t="shared" si="151"/>
        <v>105</v>
      </c>
    </row>
    <row r="750" spans="1:6" x14ac:dyDescent="0.25">
      <c r="A750" s="11" t="s">
        <v>73</v>
      </c>
      <c r="B750" s="11" t="str">
        <f t="shared" si="150"/>
        <v>1"365</v>
      </c>
      <c r="C750" s="11" t="s">
        <v>23</v>
      </c>
      <c r="D750" s="3">
        <f t="shared" si="157"/>
        <v>365</v>
      </c>
      <c r="E750" s="11">
        <f t="shared" si="158"/>
        <v>21</v>
      </c>
      <c r="F750" s="11">
        <f t="shared" si="151"/>
        <v>105</v>
      </c>
    </row>
    <row r="751" spans="1:6" x14ac:dyDescent="0.25">
      <c r="A751" s="11" t="s">
        <v>73</v>
      </c>
      <c r="B751" s="11" t="str">
        <f t="shared" si="150"/>
        <v>1"366</v>
      </c>
      <c r="C751" s="11" t="s">
        <v>23</v>
      </c>
      <c r="D751" s="3">
        <f t="shared" si="157"/>
        <v>366</v>
      </c>
      <c r="E751" s="11">
        <f t="shared" si="158"/>
        <v>21</v>
      </c>
      <c r="F751" s="11">
        <f t="shared" si="151"/>
        <v>105</v>
      </c>
    </row>
    <row r="752" spans="1:6" x14ac:dyDescent="0.25">
      <c r="A752" s="11" t="s">
        <v>73</v>
      </c>
      <c r="B752" s="11" t="str">
        <f t="shared" si="150"/>
        <v>1"367</v>
      </c>
      <c r="C752" s="11" t="s">
        <v>23</v>
      </c>
      <c r="D752" s="3">
        <f t="shared" si="157"/>
        <v>367</v>
      </c>
      <c r="E752" s="11">
        <f t="shared" si="158"/>
        <v>21</v>
      </c>
      <c r="F752" s="11">
        <f t="shared" si="151"/>
        <v>105</v>
      </c>
    </row>
    <row r="753" spans="1:6" x14ac:dyDescent="0.25">
      <c r="A753" s="11" t="s">
        <v>73</v>
      </c>
      <c r="B753" s="11" t="str">
        <f t="shared" si="150"/>
        <v>1"368</v>
      </c>
      <c r="C753" s="11" t="s">
        <v>23</v>
      </c>
      <c r="D753" s="3">
        <f t="shared" si="157"/>
        <v>368</v>
      </c>
      <c r="E753" s="11">
        <f t="shared" si="158"/>
        <v>21</v>
      </c>
      <c r="F753" s="11">
        <f t="shared" si="151"/>
        <v>105</v>
      </c>
    </row>
    <row r="754" spans="1:6" x14ac:dyDescent="0.25">
      <c r="A754" s="11" t="s">
        <v>73</v>
      </c>
      <c r="B754" s="11" t="str">
        <f t="shared" si="150"/>
        <v>1"369</v>
      </c>
      <c r="C754" s="11" t="s">
        <v>23</v>
      </c>
      <c r="D754" s="3">
        <f t="shared" si="157"/>
        <v>369</v>
      </c>
      <c r="E754" s="11">
        <f t="shared" si="158"/>
        <v>21</v>
      </c>
      <c r="F754" s="11">
        <f t="shared" si="151"/>
        <v>105</v>
      </c>
    </row>
    <row r="755" spans="1:6" x14ac:dyDescent="0.25">
      <c r="A755" s="11" t="s">
        <v>73</v>
      </c>
      <c r="B755" s="11" t="str">
        <f t="shared" si="150"/>
        <v>1"370</v>
      </c>
      <c r="C755" s="11" t="s">
        <v>23</v>
      </c>
      <c r="D755" s="3">
        <f t="shared" si="157"/>
        <v>370</v>
      </c>
      <c r="E755" s="11">
        <f t="shared" si="158"/>
        <v>21</v>
      </c>
      <c r="F755" s="11">
        <f t="shared" si="151"/>
        <v>105</v>
      </c>
    </row>
    <row r="756" spans="1:6" x14ac:dyDescent="0.25">
      <c r="A756" s="11" t="s">
        <v>73</v>
      </c>
      <c r="B756" s="11" t="str">
        <f t="shared" si="150"/>
        <v>1"371</v>
      </c>
      <c r="C756" s="11" t="s">
        <v>23</v>
      </c>
      <c r="D756" s="3">
        <f t="shared" si="157"/>
        <v>371</v>
      </c>
      <c r="E756" s="11">
        <f t="shared" si="158"/>
        <v>21</v>
      </c>
      <c r="F756" s="11">
        <f t="shared" si="151"/>
        <v>105</v>
      </c>
    </row>
    <row r="757" spans="1:6" x14ac:dyDescent="0.25">
      <c r="A757" s="11" t="s">
        <v>73</v>
      </c>
      <c r="B757" s="11" t="str">
        <f t="shared" si="150"/>
        <v>1"372</v>
      </c>
      <c r="C757" s="11" t="s">
        <v>23</v>
      </c>
      <c r="D757" s="3">
        <f t="shared" si="157"/>
        <v>372</v>
      </c>
      <c r="E757" s="11">
        <f t="shared" si="158"/>
        <v>21</v>
      </c>
      <c r="F757" s="11">
        <f t="shared" si="151"/>
        <v>105</v>
      </c>
    </row>
    <row r="758" spans="1:6" x14ac:dyDescent="0.25">
      <c r="A758" s="11" t="s">
        <v>73</v>
      </c>
      <c r="B758" s="11" t="str">
        <f t="shared" si="150"/>
        <v>1"373</v>
      </c>
      <c r="C758" s="11" t="s">
        <v>23</v>
      </c>
      <c r="D758" s="3">
        <f t="shared" si="157"/>
        <v>373</v>
      </c>
      <c r="E758" s="11">
        <f t="shared" si="158"/>
        <v>21</v>
      </c>
      <c r="F758" s="11">
        <f t="shared" si="151"/>
        <v>105</v>
      </c>
    </row>
    <row r="759" spans="1:6" x14ac:dyDescent="0.25">
      <c r="A759" s="11" t="s">
        <v>73</v>
      </c>
      <c r="B759" s="11" t="str">
        <f t="shared" si="150"/>
        <v>1"374</v>
      </c>
      <c r="C759" s="11" t="s">
        <v>23</v>
      </c>
      <c r="D759" s="3">
        <f t="shared" si="157"/>
        <v>374</v>
      </c>
      <c r="E759" s="11">
        <f t="shared" si="158"/>
        <v>21</v>
      </c>
      <c r="F759" s="11">
        <f t="shared" si="151"/>
        <v>105</v>
      </c>
    </row>
    <row r="760" spans="1:6" x14ac:dyDescent="0.25">
      <c r="A760" s="11" t="s">
        <v>73</v>
      </c>
      <c r="B760" s="11" t="str">
        <f t="shared" si="150"/>
        <v>1"375</v>
      </c>
      <c r="C760" s="11" t="s">
        <v>23</v>
      </c>
      <c r="D760" s="3">
        <f t="shared" si="157"/>
        <v>375</v>
      </c>
      <c r="E760" s="11">
        <f t="shared" ref="E760" si="159">E759+1</f>
        <v>22</v>
      </c>
      <c r="F760" s="11">
        <f t="shared" si="151"/>
        <v>110</v>
      </c>
    </row>
    <row r="761" spans="1:6" x14ac:dyDescent="0.25">
      <c r="A761" s="11" t="s">
        <v>73</v>
      </c>
      <c r="B761" s="11" t="str">
        <f t="shared" si="150"/>
        <v>1"376</v>
      </c>
      <c r="C761" s="11" t="s">
        <v>23</v>
      </c>
      <c r="D761" s="3">
        <f t="shared" si="157"/>
        <v>376</v>
      </c>
      <c r="E761" s="11">
        <f t="shared" ref="E761:E779" si="160">E760</f>
        <v>22</v>
      </c>
      <c r="F761" s="11">
        <f t="shared" si="151"/>
        <v>110</v>
      </c>
    </row>
    <row r="762" spans="1:6" x14ac:dyDescent="0.25">
      <c r="A762" s="11" t="s">
        <v>73</v>
      </c>
      <c r="B762" s="11" t="str">
        <f t="shared" si="150"/>
        <v>1"377</v>
      </c>
      <c r="C762" s="11" t="s">
        <v>23</v>
      </c>
      <c r="D762" s="3">
        <f t="shared" si="157"/>
        <v>377</v>
      </c>
      <c r="E762" s="11">
        <f t="shared" si="160"/>
        <v>22</v>
      </c>
      <c r="F762" s="11">
        <f t="shared" si="151"/>
        <v>110</v>
      </c>
    </row>
    <row r="763" spans="1:6" x14ac:dyDescent="0.25">
      <c r="A763" s="11" t="s">
        <v>73</v>
      </c>
      <c r="B763" s="11" t="str">
        <f t="shared" ref="B763:B826" si="161">CONCATENATE(C763&amp;D763)</f>
        <v>1"378</v>
      </c>
      <c r="C763" s="11" t="s">
        <v>23</v>
      </c>
      <c r="D763" s="3">
        <f t="shared" si="157"/>
        <v>378</v>
      </c>
      <c r="E763" s="11">
        <f t="shared" si="160"/>
        <v>22</v>
      </c>
      <c r="F763" s="11">
        <f t="shared" si="151"/>
        <v>110</v>
      </c>
    </row>
    <row r="764" spans="1:6" x14ac:dyDescent="0.25">
      <c r="A764" s="11" t="s">
        <v>73</v>
      </c>
      <c r="B764" s="11" t="str">
        <f t="shared" si="161"/>
        <v>1"379</v>
      </c>
      <c r="C764" s="11" t="s">
        <v>23</v>
      </c>
      <c r="D764" s="3">
        <f t="shared" si="157"/>
        <v>379</v>
      </c>
      <c r="E764" s="11">
        <f t="shared" si="160"/>
        <v>22</v>
      </c>
      <c r="F764" s="11">
        <f t="shared" si="151"/>
        <v>110</v>
      </c>
    </row>
    <row r="765" spans="1:6" x14ac:dyDescent="0.25">
      <c r="A765" s="11" t="s">
        <v>73</v>
      </c>
      <c r="B765" s="11" t="str">
        <f t="shared" si="161"/>
        <v>1"380</v>
      </c>
      <c r="C765" s="11" t="s">
        <v>23</v>
      </c>
      <c r="D765" s="3">
        <f t="shared" si="157"/>
        <v>380</v>
      </c>
      <c r="E765" s="11">
        <f t="shared" si="160"/>
        <v>22</v>
      </c>
      <c r="F765" s="11">
        <f t="shared" si="151"/>
        <v>110</v>
      </c>
    </row>
    <row r="766" spans="1:6" x14ac:dyDescent="0.25">
      <c r="A766" s="11" t="s">
        <v>73</v>
      </c>
      <c r="B766" s="11" t="str">
        <f t="shared" si="161"/>
        <v>1"381</v>
      </c>
      <c r="C766" s="11" t="s">
        <v>23</v>
      </c>
      <c r="D766" s="3">
        <f t="shared" si="157"/>
        <v>381</v>
      </c>
      <c r="E766" s="11">
        <f t="shared" si="160"/>
        <v>22</v>
      </c>
      <c r="F766" s="11">
        <f t="shared" si="151"/>
        <v>110</v>
      </c>
    </row>
    <row r="767" spans="1:6" x14ac:dyDescent="0.25">
      <c r="A767" s="11" t="s">
        <v>73</v>
      </c>
      <c r="B767" s="11" t="str">
        <f t="shared" si="161"/>
        <v>1"382</v>
      </c>
      <c r="C767" s="11" t="s">
        <v>23</v>
      </c>
      <c r="D767" s="3">
        <f t="shared" si="157"/>
        <v>382</v>
      </c>
      <c r="E767" s="11">
        <f t="shared" si="160"/>
        <v>22</v>
      </c>
      <c r="F767" s="11">
        <f t="shared" si="151"/>
        <v>110</v>
      </c>
    </row>
    <row r="768" spans="1:6" x14ac:dyDescent="0.25">
      <c r="A768" s="11" t="s">
        <v>73</v>
      </c>
      <c r="B768" s="11" t="str">
        <f t="shared" si="161"/>
        <v>1"383</v>
      </c>
      <c r="C768" s="11" t="s">
        <v>23</v>
      </c>
      <c r="D768" s="3">
        <f t="shared" si="157"/>
        <v>383</v>
      </c>
      <c r="E768" s="11">
        <f t="shared" si="160"/>
        <v>22</v>
      </c>
      <c r="F768" s="11">
        <f t="shared" si="151"/>
        <v>110</v>
      </c>
    </row>
    <row r="769" spans="1:6" x14ac:dyDescent="0.25">
      <c r="A769" s="11" t="s">
        <v>73</v>
      </c>
      <c r="B769" s="11" t="str">
        <f t="shared" si="161"/>
        <v>1"384</v>
      </c>
      <c r="C769" s="11" t="s">
        <v>23</v>
      </c>
      <c r="D769" s="3">
        <f t="shared" si="157"/>
        <v>384</v>
      </c>
      <c r="E769" s="11">
        <f t="shared" si="160"/>
        <v>22</v>
      </c>
      <c r="F769" s="11">
        <f t="shared" si="151"/>
        <v>110</v>
      </c>
    </row>
    <row r="770" spans="1:6" x14ac:dyDescent="0.25">
      <c r="A770" s="11" t="s">
        <v>73</v>
      </c>
      <c r="B770" s="11" t="str">
        <f t="shared" si="161"/>
        <v>1"385</v>
      </c>
      <c r="C770" s="11" t="s">
        <v>23</v>
      </c>
      <c r="D770" s="3">
        <f t="shared" si="157"/>
        <v>385</v>
      </c>
      <c r="E770" s="11">
        <f t="shared" si="160"/>
        <v>22</v>
      </c>
      <c r="F770" s="11">
        <f t="shared" si="151"/>
        <v>110</v>
      </c>
    </row>
    <row r="771" spans="1:6" x14ac:dyDescent="0.25">
      <c r="A771" s="11" t="s">
        <v>73</v>
      </c>
      <c r="B771" s="11" t="str">
        <f t="shared" si="161"/>
        <v>1"386</v>
      </c>
      <c r="C771" s="11" t="s">
        <v>23</v>
      </c>
      <c r="D771" s="3">
        <f t="shared" si="157"/>
        <v>386</v>
      </c>
      <c r="E771" s="11">
        <f t="shared" si="160"/>
        <v>22</v>
      </c>
      <c r="F771" s="11">
        <f t="shared" si="151"/>
        <v>110</v>
      </c>
    </row>
    <row r="772" spans="1:6" x14ac:dyDescent="0.25">
      <c r="A772" s="11" t="s">
        <v>73</v>
      </c>
      <c r="B772" s="11" t="str">
        <f t="shared" si="161"/>
        <v>1"387</v>
      </c>
      <c r="C772" s="11" t="s">
        <v>23</v>
      </c>
      <c r="D772" s="3">
        <f t="shared" si="157"/>
        <v>387</v>
      </c>
      <c r="E772" s="11">
        <f t="shared" si="160"/>
        <v>22</v>
      </c>
      <c r="F772" s="11">
        <f t="shared" si="151"/>
        <v>110</v>
      </c>
    </row>
    <row r="773" spans="1:6" x14ac:dyDescent="0.25">
      <c r="A773" s="11" t="s">
        <v>73</v>
      </c>
      <c r="B773" s="11" t="str">
        <f t="shared" si="161"/>
        <v>1"388</v>
      </c>
      <c r="C773" s="11" t="s">
        <v>23</v>
      </c>
      <c r="D773" s="3">
        <f t="shared" si="157"/>
        <v>388</v>
      </c>
      <c r="E773" s="11">
        <f t="shared" si="160"/>
        <v>22</v>
      </c>
      <c r="F773" s="11">
        <f t="shared" si="151"/>
        <v>110</v>
      </c>
    </row>
    <row r="774" spans="1:6" x14ac:dyDescent="0.25">
      <c r="A774" s="11" t="s">
        <v>73</v>
      </c>
      <c r="B774" s="11" t="str">
        <f t="shared" si="161"/>
        <v>1"389</v>
      </c>
      <c r="C774" s="11" t="s">
        <v>23</v>
      </c>
      <c r="D774" s="3">
        <f t="shared" si="157"/>
        <v>389</v>
      </c>
      <c r="E774" s="11">
        <f t="shared" si="160"/>
        <v>22</v>
      </c>
      <c r="F774" s="11">
        <f t="shared" si="151"/>
        <v>110</v>
      </c>
    </row>
    <row r="775" spans="1:6" x14ac:dyDescent="0.25">
      <c r="A775" s="11" t="s">
        <v>73</v>
      </c>
      <c r="B775" s="11" t="str">
        <f t="shared" si="161"/>
        <v>1"390</v>
      </c>
      <c r="C775" s="11" t="s">
        <v>23</v>
      </c>
      <c r="D775" s="3">
        <f t="shared" si="157"/>
        <v>390</v>
      </c>
      <c r="E775" s="11">
        <f t="shared" si="160"/>
        <v>22</v>
      </c>
      <c r="F775" s="11">
        <f t="shared" si="151"/>
        <v>110</v>
      </c>
    </row>
    <row r="776" spans="1:6" x14ac:dyDescent="0.25">
      <c r="A776" s="11" t="s">
        <v>73</v>
      </c>
      <c r="B776" s="11" t="str">
        <f t="shared" si="161"/>
        <v>1"391</v>
      </c>
      <c r="C776" s="11" t="s">
        <v>23</v>
      </c>
      <c r="D776" s="3">
        <f t="shared" si="157"/>
        <v>391</v>
      </c>
      <c r="E776" s="11">
        <f t="shared" si="160"/>
        <v>22</v>
      </c>
      <c r="F776" s="11">
        <f t="shared" si="151"/>
        <v>110</v>
      </c>
    </row>
    <row r="777" spans="1:6" x14ac:dyDescent="0.25">
      <c r="A777" s="11" t="s">
        <v>73</v>
      </c>
      <c r="B777" s="11" t="str">
        <f t="shared" si="161"/>
        <v>1"392</v>
      </c>
      <c r="C777" s="11" t="s">
        <v>23</v>
      </c>
      <c r="D777" s="3">
        <f t="shared" si="157"/>
        <v>392</v>
      </c>
      <c r="E777" s="11">
        <f t="shared" si="160"/>
        <v>22</v>
      </c>
      <c r="F777" s="11">
        <f t="shared" si="151"/>
        <v>110</v>
      </c>
    </row>
    <row r="778" spans="1:6" x14ac:dyDescent="0.25">
      <c r="A778" s="11" t="s">
        <v>73</v>
      </c>
      <c r="B778" s="11" t="str">
        <f t="shared" si="161"/>
        <v>1"393</v>
      </c>
      <c r="C778" s="11" t="s">
        <v>23</v>
      </c>
      <c r="D778" s="3">
        <f t="shared" si="157"/>
        <v>393</v>
      </c>
      <c r="E778" s="11">
        <f t="shared" si="160"/>
        <v>22</v>
      </c>
      <c r="F778" s="11">
        <f t="shared" si="151"/>
        <v>110</v>
      </c>
    </row>
    <row r="779" spans="1:6" x14ac:dyDescent="0.25">
      <c r="A779" s="11" t="s">
        <v>73</v>
      </c>
      <c r="B779" s="11" t="str">
        <f t="shared" si="161"/>
        <v>1"394</v>
      </c>
      <c r="C779" s="11" t="s">
        <v>23</v>
      </c>
      <c r="D779" s="3">
        <f t="shared" si="157"/>
        <v>394</v>
      </c>
      <c r="E779" s="11">
        <f t="shared" si="160"/>
        <v>22</v>
      </c>
      <c r="F779" s="11">
        <f t="shared" ref="F779:F842" si="162">E779*$F$1</f>
        <v>110</v>
      </c>
    </row>
    <row r="780" spans="1:6" x14ac:dyDescent="0.25">
      <c r="A780" s="11" t="s">
        <v>73</v>
      </c>
      <c r="B780" s="11" t="str">
        <f t="shared" si="161"/>
        <v>1"395</v>
      </c>
      <c r="C780" s="11" t="s">
        <v>23</v>
      </c>
      <c r="D780" s="3">
        <f t="shared" si="157"/>
        <v>395</v>
      </c>
      <c r="E780" s="11">
        <f t="shared" ref="E780" si="163">E779+1</f>
        <v>23</v>
      </c>
      <c r="F780" s="11">
        <f t="shared" si="162"/>
        <v>115</v>
      </c>
    </row>
    <row r="781" spans="1:6" x14ac:dyDescent="0.25">
      <c r="A781" s="11" t="s">
        <v>73</v>
      </c>
      <c r="B781" s="11" t="str">
        <f t="shared" si="161"/>
        <v>1"396</v>
      </c>
      <c r="C781" s="11" t="s">
        <v>23</v>
      </c>
      <c r="D781" s="3">
        <f t="shared" si="157"/>
        <v>396</v>
      </c>
      <c r="E781" s="11">
        <f t="shared" ref="E781:E799" si="164">E780</f>
        <v>23</v>
      </c>
      <c r="F781" s="11">
        <f t="shared" si="162"/>
        <v>115</v>
      </c>
    </row>
    <row r="782" spans="1:6" x14ac:dyDescent="0.25">
      <c r="A782" s="11" t="s">
        <v>73</v>
      </c>
      <c r="B782" s="11" t="str">
        <f t="shared" si="161"/>
        <v>1"397</v>
      </c>
      <c r="C782" s="11" t="s">
        <v>23</v>
      </c>
      <c r="D782" s="3">
        <f t="shared" si="157"/>
        <v>397</v>
      </c>
      <c r="E782" s="11">
        <f t="shared" si="164"/>
        <v>23</v>
      </c>
      <c r="F782" s="11">
        <f t="shared" si="162"/>
        <v>115</v>
      </c>
    </row>
    <row r="783" spans="1:6" x14ac:dyDescent="0.25">
      <c r="A783" s="11" t="s">
        <v>73</v>
      </c>
      <c r="B783" s="11" t="str">
        <f t="shared" si="161"/>
        <v>1"398</v>
      </c>
      <c r="C783" s="11" t="s">
        <v>23</v>
      </c>
      <c r="D783" s="3">
        <f t="shared" si="157"/>
        <v>398</v>
      </c>
      <c r="E783" s="11">
        <f t="shared" si="164"/>
        <v>23</v>
      </c>
      <c r="F783" s="11">
        <f t="shared" si="162"/>
        <v>115</v>
      </c>
    </row>
    <row r="784" spans="1:6" x14ac:dyDescent="0.25">
      <c r="A784" s="11" t="s">
        <v>73</v>
      </c>
      <c r="B784" s="11" t="str">
        <f t="shared" si="161"/>
        <v>1"399</v>
      </c>
      <c r="C784" s="11" t="s">
        <v>23</v>
      </c>
      <c r="D784" s="3">
        <f t="shared" si="157"/>
        <v>399</v>
      </c>
      <c r="E784" s="11">
        <f t="shared" si="164"/>
        <v>23</v>
      </c>
      <c r="F784" s="11">
        <f t="shared" si="162"/>
        <v>115</v>
      </c>
    </row>
    <row r="785" spans="1:6" x14ac:dyDescent="0.25">
      <c r="A785" s="11" t="s">
        <v>73</v>
      </c>
      <c r="B785" s="11" t="str">
        <f t="shared" si="161"/>
        <v>1"400</v>
      </c>
      <c r="C785" s="11" t="s">
        <v>23</v>
      </c>
      <c r="D785" s="3">
        <f t="shared" si="157"/>
        <v>400</v>
      </c>
      <c r="E785" s="11">
        <f t="shared" si="164"/>
        <v>23</v>
      </c>
      <c r="F785" s="11">
        <f t="shared" si="162"/>
        <v>115</v>
      </c>
    </row>
    <row r="786" spans="1:6" x14ac:dyDescent="0.25">
      <c r="A786" s="11" t="s">
        <v>73</v>
      </c>
      <c r="B786" s="11" t="str">
        <f t="shared" si="161"/>
        <v>1"401</v>
      </c>
      <c r="C786" s="11" t="s">
        <v>23</v>
      </c>
      <c r="D786" s="3">
        <f t="shared" si="157"/>
        <v>401</v>
      </c>
      <c r="E786" s="11">
        <f t="shared" si="164"/>
        <v>23</v>
      </c>
      <c r="F786" s="11">
        <f t="shared" si="162"/>
        <v>115</v>
      </c>
    </row>
    <row r="787" spans="1:6" x14ac:dyDescent="0.25">
      <c r="A787" s="11" t="s">
        <v>73</v>
      </c>
      <c r="B787" s="11" t="str">
        <f t="shared" si="161"/>
        <v>1"402</v>
      </c>
      <c r="C787" s="11" t="s">
        <v>23</v>
      </c>
      <c r="D787" s="3">
        <f t="shared" si="157"/>
        <v>402</v>
      </c>
      <c r="E787" s="11">
        <f t="shared" si="164"/>
        <v>23</v>
      </c>
      <c r="F787" s="11">
        <f t="shared" si="162"/>
        <v>115</v>
      </c>
    </row>
    <row r="788" spans="1:6" x14ac:dyDescent="0.25">
      <c r="A788" s="11" t="s">
        <v>73</v>
      </c>
      <c r="B788" s="11" t="str">
        <f t="shared" si="161"/>
        <v>1"403</v>
      </c>
      <c r="C788" s="11" t="s">
        <v>23</v>
      </c>
      <c r="D788" s="3">
        <f t="shared" si="157"/>
        <v>403</v>
      </c>
      <c r="E788" s="11">
        <f t="shared" si="164"/>
        <v>23</v>
      </c>
      <c r="F788" s="11">
        <f t="shared" si="162"/>
        <v>115</v>
      </c>
    </row>
    <row r="789" spans="1:6" x14ac:dyDescent="0.25">
      <c r="A789" s="11" t="s">
        <v>73</v>
      </c>
      <c r="B789" s="11" t="str">
        <f t="shared" si="161"/>
        <v>1"404</v>
      </c>
      <c r="C789" s="11" t="s">
        <v>23</v>
      </c>
      <c r="D789" s="3">
        <f t="shared" si="157"/>
        <v>404</v>
      </c>
      <c r="E789" s="11">
        <f t="shared" si="164"/>
        <v>23</v>
      </c>
      <c r="F789" s="11">
        <f t="shared" si="162"/>
        <v>115</v>
      </c>
    </row>
    <row r="790" spans="1:6" x14ac:dyDescent="0.25">
      <c r="A790" s="11" t="s">
        <v>73</v>
      </c>
      <c r="B790" s="11" t="str">
        <f t="shared" si="161"/>
        <v>1"405</v>
      </c>
      <c r="C790" s="11" t="s">
        <v>23</v>
      </c>
      <c r="D790" s="3">
        <f t="shared" si="157"/>
        <v>405</v>
      </c>
      <c r="E790" s="11">
        <f t="shared" si="164"/>
        <v>23</v>
      </c>
      <c r="F790" s="11">
        <f t="shared" si="162"/>
        <v>115</v>
      </c>
    </row>
    <row r="791" spans="1:6" x14ac:dyDescent="0.25">
      <c r="A791" s="11" t="s">
        <v>73</v>
      </c>
      <c r="B791" s="11" t="str">
        <f t="shared" si="161"/>
        <v>1"406</v>
      </c>
      <c r="C791" s="11" t="s">
        <v>23</v>
      </c>
      <c r="D791" s="3">
        <f t="shared" si="157"/>
        <v>406</v>
      </c>
      <c r="E791" s="11">
        <f t="shared" si="164"/>
        <v>23</v>
      </c>
      <c r="F791" s="11">
        <f t="shared" si="162"/>
        <v>115</v>
      </c>
    </row>
    <row r="792" spans="1:6" x14ac:dyDescent="0.25">
      <c r="A792" s="11" t="s">
        <v>73</v>
      </c>
      <c r="B792" s="11" t="str">
        <f t="shared" si="161"/>
        <v>1"407</v>
      </c>
      <c r="C792" s="11" t="s">
        <v>23</v>
      </c>
      <c r="D792" s="3">
        <f t="shared" si="157"/>
        <v>407</v>
      </c>
      <c r="E792" s="11">
        <f t="shared" si="164"/>
        <v>23</v>
      </c>
      <c r="F792" s="11">
        <f t="shared" si="162"/>
        <v>115</v>
      </c>
    </row>
    <row r="793" spans="1:6" x14ac:dyDescent="0.25">
      <c r="A793" s="11" t="s">
        <v>73</v>
      </c>
      <c r="B793" s="11" t="str">
        <f t="shared" si="161"/>
        <v>1"408</v>
      </c>
      <c r="C793" s="11" t="s">
        <v>23</v>
      </c>
      <c r="D793" s="3">
        <f t="shared" si="157"/>
        <v>408</v>
      </c>
      <c r="E793" s="11">
        <f t="shared" si="164"/>
        <v>23</v>
      </c>
      <c r="F793" s="11">
        <f t="shared" si="162"/>
        <v>115</v>
      </c>
    </row>
    <row r="794" spans="1:6" x14ac:dyDescent="0.25">
      <c r="A794" s="11" t="s">
        <v>73</v>
      </c>
      <c r="B794" s="11" t="str">
        <f t="shared" si="161"/>
        <v>1"409</v>
      </c>
      <c r="C794" s="11" t="s">
        <v>23</v>
      </c>
      <c r="D794" s="3">
        <f t="shared" si="157"/>
        <v>409</v>
      </c>
      <c r="E794" s="11">
        <f t="shared" si="164"/>
        <v>23</v>
      </c>
      <c r="F794" s="11">
        <f t="shared" si="162"/>
        <v>115</v>
      </c>
    </row>
    <row r="795" spans="1:6" x14ac:dyDescent="0.25">
      <c r="A795" s="11" t="s">
        <v>73</v>
      </c>
      <c r="B795" s="11" t="str">
        <f t="shared" si="161"/>
        <v>1"410</v>
      </c>
      <c r="C795" s="11" t="s">
        <v>23</v>
      </c>
      <c r="D795" s="3">
        <f t="shared" si="157"/>
        <v>410</v>
      </c>
      <c r="E795" s="11">
        <f t="shared" si="164"/>
        <v>23</v>
      </c>
      <c r="F795" s="11">
        <f t="shared" si="162"/>
        <v>115</v>
      </c>
    </row>
    <row r="796" spans="1:6" x14ac:dyDescent="0.25">
      <c r="A796" s="11" t="s">
        <v>73</v>
      </c>
      <c r="B796" s="11" t="str">
        <f t="shared" si="161"/>
        <v>1"411</v>
      </c>
      <c r="C796" s="11" t="s">
        <v>23</v>
      </c>
      <c r="D796" s="3">
        <f t="shared" si="157"/>
        <v>411</v>
      </c>
      <c r="E796" s="11">
        <f t="shared" si="164"/>
        <v>23</v>
      </c>
      <c r="F796" s="11">
        <f t="shared" si="162"/>
        <v>115</v>
      </c>
    </row>
    <row r="797" spans="1:6" x14ac:dyDescent="0.25">
      <c r="A797" s="11" t="s">
        <v>73</v>
      </c>
      <c r="B797" s="11" t="str">
        <f t="shared" si="161"/>
        <v>1"412</v>
      </c>
      <c r="C797" s="11" t="s">
        <v>23</v>
      </c>
      <c r="D797" s="3">
        <f t="shared" si="157"/>
        <v>412</v>
      </c>
      <c r="E797" s="11">
        <f t="shared" si="164"/>
        <v>23</v>
      </c>
      <c r="F797" s="11">
        <f t="shared" si="162"/>
        <v>115</v>
      </c>
    </row>
    <row r="798" spans="1:6" x14ac:dyDescent="0.25">
      <c r="A798" s="11" t="s">
        <v>73</v>
      </c>
      <c r="B798" s="11" t="str">
        <f t="shared" si="161"/>
        <v>1"413</v>
      </c>
      <c r="C798" s="11" t="s">
        <v>23</v>
      </c>
      <c r="D798" s="3">
        <f t="shared" si="157"/>
        <v>413</v>
      </c>
      <c r="E798" s="11">
        <f t="shared" si="164"/>
        <v>23</v>
      </c>
      <c r="F798" s="11">
        <f t="shared" si="162"/>
        <v>115</v>
      </c>
    </row>
    <row r="799" spans="1:6" x14ac:dyDescent="0.25">
      <c r="A799" s="11" t="s">
        <v>73</v>
      </c>
      <c r="B799" s="11" t="str">
        <f t="shared" si="161"/>
        <v>1"414</v>
      </c>
      <c r="C799" s="11" t="s">
        <v>23</v>
      </c>
      <c r="D799" s="3">
        <f t="shared" si="157"/>
        <v>414</v>
      </c>
      <c r="E799" s="11">
        <f t="shared" si="164"/>
        <v>23</v>
      </c>
      <c r="F799" s="11">
        <f t="shared" si="162"/>
        <v>115</v>
      </c>
    </row>
    <row r="800" spans="1:6" x14ac:dyDescent="0.25">
      <c r="A800" s="11" t="s">
        <v>73</v>
      </c>
      <c r="B800" s="11" t="str">
        <f t="shared" si="161"/>
        <v>1"415</v>
      </c>
      <c r="C800" s="11" t="s">
        <v>23</v>
      </c>
      <c r="D800" s="3">
        <f t="shared" si="157"/>
        <v>415</v>
      </c>
      <c r="E800" s="11">
        <f t="shared" ref="E800" si="165">E799+1</f>
        <v>24</v>
      </c>
      <c r="F800" s="11">
        <f t="shared" si="162"/>
        <v>120</v>
      </c>
    </row>
    <row r="801" spans="1:6" x14ac:dyDescent="0.25">
      <c r="A801" s="11" t="s">
        <v>73</v>
      </c>
      <c r="B801" s="11" t="str">
        <f t="shared" si="161"/>
        <v>1"416</v>
      </c>
      <c r="C801" s="11" t="s">
        <v>23</v>
      </c>
      <c r="D801" s="3">
        <f t="shared" si="157"/>
        <v>416</v>
      </c>
      <c r="E801" s="11">
        <f t="shared" ref="E801:E818" si="166">E800</f>
        <v>24</v>
      </c>
      <c r="F801" s="11">
        <f t="shared" si="162"/>
        <v>120</v>
      </c>
    </row>
    <row r="802" spans="1:6" x14ac:dyDescent="0.25">
      <c r="A802" s="11" t="s">
        <v>73</v>
      </c>
      <c r="B802" s="11" t="str">
        <f t="shared" si="161"/>
        <v>1"417</v>
      </c>
      <c r="C802" s="11" t="s">
        <v>23</v>
      </c>
      <c r="D802" s="3">
        <f t="shared" si="157"/>
        <v>417</v>
      </c>
      <c r="E802" s="11">
        <f t="shared" si="166"/>
        <v>24</v>
      </c>
      <c r="F802" s="11">
        <f t="shared" si="162"/>
        <v>120</v>
      </c>
    </row>
    <row r="803" spans="1:6" x14ac:dyDescent="0.25">
      <c r="A803" s="11" t="s">
        <v>73</v>
      </c>
      <c r="B803" s="11" t="str">
        <f t="shared" si="161"/>
        <v>1"418</v>
      </c>
      <c r="C803" s="11" t="s">
        <v>23</v>
      </c>
      <c r="D803" s="3">
        <f t="shared" si="157"/>
        <v>418</v>
      </c>
      <c r="E803" s="11">
        <f t="shared" si="166"/>
        <v>24</v>
      </c>
      <c r="F803" s="11">
        <f t="shared" si="162"/>
        <v>120</v>
      </c>
    </row>
    <row r="804" spans="1:6" x14ac:dyDescent="0.25">
      <c r="A804" s="11" t="s">
        <v>73</v>
      </c>
      <c r="B804" s="11" t="str">
        <f t="shared" si="161"/>
        <v>1"419</v>
      </c>
      <c r="C804" s="11" t="s">
        <v>23</v>
      </c>
      <c r="D804" s="3">
        <f t="shared" si="157"/>
        <v>419</v>
      </c>
      <c r="E804" s="11">
        <f t="shared" si="166"/>
        <v>24</v>
      </c>
      <c r="F804" s="11">
        <f t="shared" si="162"/>
        <v>120</v>
      </c>
    </row>
    <row r="805" spans="1:6" x14ac:dyDescent="0.25">
      <c r="A805" s="11" t="s">
        <v>73</v>
      </c>
      <c r="B805" s="11" t="str">
        <f t="shared" si="161"/>
        <v>1"420</v>
      </c>
      <c r="C805" s="11" t="s">
        <v>23</v>
      </c>
      <c r="D805" s="3">
        <f t="shared" si="157"/>
        <v>420</v>
      </c>
      <c r="E805" s="11">
        <f t="shared" si="166"/>
        <v>24</v>
      </c>
      <c r="F805" s="11">
        <f t="shared" si="162"/>
        <v>120</v>
      </c>
    </row>
    <row r="806" spans="1:6" x14ac:dyDescent="0.25">
      <c r="A806" s="11" t="s">
        <v>73</v>
      </c>
      <c r="B806" s="11" t="str">
        <f t="shared" si="161"/>
        <v>1"421</v>
      </c>
      <c r="C806" s="11" t="s">
        <v>23</v>
      </c>
      <c r="D806" s="3">
        <f t="shared" si="157"/>
        <v>421</v>
      </c>
      <c r="E806" s="11">
        <f t="shared" si="166"/>
        <v>24</v>
      </c>
      <c r="F806" s="11">
        <f t="shared" si="162"/>
        <v>120</v>
      </c>
    </row>
    <row r="807" spans="1:6" x14ac:dyDescent="0.25">
      <c r="A807" s="11" t="s">
        <v>73</v>
      </c>
      <c r="B807" s="11" t="str">
        <f t="shared" si="161"/>
        <v>1"422</v>
      </c>
      <c r="C807" s="11" t="s">
        <v>23</v>
      </c>
      <c r="D807" s="3">
        <f t="shared" si="157"/>
        <v>422</v>
      </c>
      <c r="E807" s="11">
        <f t="shared" si="166"/>
        <v>24</v>
      </c>
      <c r="F807" s="11">
        <f t="shared" si="162"/>
        <v>120</v>
      </c>
    </row>
    <row r="808" spans="1:6" x14ac:dyDescent="0.25">
      <c r="A808" s="11" t="s">
        <v>73</v>
      </c>
      <c r="B808" s="11" t="str">
        <f t="shared" si="161"/>
        <v>1"423</v>
      </c>
      <c r="C808" s="11" t="s">
        <v>23</v>
      </c>
      <c r="D808" s="3">
        <f t="shared" si="157"/>
        <v>423</v>
      </c>
      <c r="E808" s="11">
        <f t="shared" si="166"/>
        <v>24</v>
      </c>
      <c r="F808" s="11">
        <f t="shared" si="162"/>
        <v>120</v>
      </c>
    </row>
    <row r="809" spans="1:6" x14ac:dyDescent="0.25">
      <c r="A809" s="11" t="s">
        <v>73</v>
      </c>
      <c r="B809" s="11" t="str">
        <f t="shared" si="161"/>
        <v>1"424</v>
      </c>
      <c r="C809" s="11" t="s">
        <v>23</v>
      </c>
      <c r="D809" s="3">
        <f t="shared" si="157"/>
        <v>424</v>
      </c>
      <c r="E809" s="11">
        <f t="shared" si="166"/>
        <v>24</v>
      </c>
      <c r="F809" s="11">
        <f t="shared" si="162"/>
        <v>120</v>
      </c>
    </row>
    <row r="810" spans="1:6" x14ac:dyDescent="0.25">
      <c r="A810" s="11" t="s">
        <v>73</v>
      </c>
      <c r="B810" s="11" t="str">
        <f t="shared" si="161"/>
        <v>1"425</v>
      </c>
      <c r="C810" s="11" t="s">
        <v>23</v>
      </c>
      <c r="D810" s="3">
        <f t="shared" ref="D810:D873" si="167">D809+1</f>
        <v>425</v>
      </c>
      <c r="E810" s="11">
        <f t="shared" si="166"/>
        <v>24</v>
      </c>
      <c r="F810" s="11">
        <f t="shared" si="162"/>
        <v>120</v>
      </c>
    </row>
    <row r="811" spans="1:6" x14ac:dyDescent="0.25">
      <c r="A811" s="11" t="s">
        <v>73</v>
      </c>
      <c r="B811" s="11" t="str">
        <f t="shared" si="161"/>
        <v>1"426</v>
      </c>
      <c r="C811" s="11" t="s">
        <v>23</v>
      </c>
      <c r="D811" s="3">
        <f t="shared" si="167"/>
        <v>426</v>
      </c>
      <c r="E811" s="11">
        <f t="shared" si="166"/>
        <v>24</v>
      </c>
      <c r="F811" s="11">
        <f t="shared" si="162"/>
        <v>120</v>
      </c>
    </row>
    <row r="812" spans="1:6" x14ac:dyDescent="0.25">
      <c r="A812" s="11" t="s">
        <v>73</v>
      </c>
      <c r="B812" s="11" t="str">
        <f t="shared" si="161"/>
        <v>1"427</v>
      </c>
      <c r="C812" s="11" t="s">
        <v>23</v>
      </c>
      <c r="D812" s="3">
        <f t="shared" si="167"/>
        <v>427</v>
      </c>
      <c r="E812" s="11">
        <f t="shared" si="166"/>
        <v>24</v>
      </c>
      <c r="F812" s="11">
        <f t="shared" si="162"/>
        <v>120</v>
      </c>
    </row>
    <row r="813" spans="1:6" x14ac:dyDescent="0.25">
      <c r="A813" s="11" t="s">
        <v>73</v>
      </c>
      <c r="B813" s="11" t="str">
        <f t="shared" si="161"/>
        <v>1"428</v>
      </c>
      <c r="C813" s="11" t="s">
        <v>23</v>
      </c>
      <c r="D813" s="3">
        <f t="shared" si="167"/>
        <v>428</v>
      </c>
      <c r="E813" s="11">
        <f t="shared" si="166"/>
        <v>24</v>
      </c>
      <c r="F813" s="11">
        <f t="shared" si="162"/>
        <v>120</v>
      </c>
    </row>
    <row r="814" spans="1:6" x14ac:dyDescent="0.25">
      <c r="A814" s="11" t="s">
        <v>73</v>
      </c>
      <c r="B814" s="11" t="str">
        <f t="shared" si="161"/>
        <v>1"429</v>
      </c>
      <c r="C814" s="11" t="s">
        <v>23</v>
      </c>
      <c r="D814" s="3">
        <f t="shared" si="167"/>
        <v>429</v>
      </c>
      <c r="E814" s="11">
        <f t="shared" si="166"/>
        <v>24</v>
      </c>
      <c r="F814" s="11">
        <f t="shared" si="162"/>
        <v>120</v>
      </c>
    </row>
    <row r="815" spans="1:6" x14ac:dyDescent="0.25">
      <c r="A815" s="11" t="s">
        <v>73</v>
      </c>
      <c r="B815" s="11" t="str">
        <f t="shared" si="161"/>
        <v>1"430</v>
      </c>
      <c r="C815" s="11" t="s">
        <v>23</v>
      </c>
      <c r="D815" s="3">
        <f t="shared" si="167"/>
        <v>430</v>
      </c>
      <c r="E815" s="11">
        <f t="shared" si="166"/>
        <v>24</v>
      </c>
      <c r="F815" s="11">
        <f t="shared" si="162"/>
        <v>120</v>
      </c>
    </row>
    <row r="816" spans="1:6" x14ac:dyDescent="0.25">
      <c r="A816" s="11" t="s">
        <v>73</v>
      </c>
      <c r="B816" s="11" t="str">
        <f t="shared" si="161"/>
        <v>1"431</v>
      </c>
      <c r="C816" s="11" t="s">
        <v>23</v>
      </c>
      <c r="D816" s="3">
        <f t="shared" si="167"/>
        <v>431</v>
      </c>
      <c r="E816" s="11">
        <f t="shared" si="166"/>
        <v>24</v>
      </c>
      <c r="F816" s="11">
        <f t="shared" si="162"/>
        <v>120</v>
      </c>
    </row>
    <row r="817" spans="1:6" x14ac:dyDescent="0.25">
      <c r="A817" s="11" t="s">
        <v>73</v>
      </c>
      <c r="B817" s="11" t="str">
        <f t="shared" si="161"/>
        <v>1"432</v>
      </c>
      <c r="C817" s="11" t="s">
        <v>23</v>
      </c>
      <c r="D817" s="3">
        <f t="shared" si="167"/>
        <v>432</v>
      </c>
      <c r="E817" s="11">
        <f t="shared" si="166"/>
        <v>24</v>
      </c>
      <c r="F817" s="11">
        <f t="shared" si="162"/>
        <v>120</v>
      </c>
    </row>
    <row r="818" spans="1:6" x14ac:dyDescent="0.25">
      <c r="A818" s="11" t="s">
        <v>73</v>
      </c>
      <c r="B818" s="11" t="str">
        <f t="shared" si="161"/>
        <v>1"433</v>
      </c>
      <c r="C818" s="11" t="s">
        <v>23</v>
      </c>
      <c r="D818" s="3">
        <f t="shared" si="167"/>
        <v>433</v>
      </c>
      <c r="E818" s="11">
        <f t="shared" si="166"/>
        <v>24</v>
      </c>
      <c r="F818" s="11">
        <f t="shared" si="162"/>
        <v>120</v>
      </c>
    </row>
    <row r="819" spans="1:6" x14ac:dyDescent="0.25">
      <c r="A819" s="11" t="s">
        <v>73</v>
      </c>
      <c r="B819" s="11" t="str">
        <f t="shared" si="161"/>
        <v>1"434</v>
      </c>
      <c r="C819" s="11" t="s">
        <v>23</v>
      </c>
      <c r="D819" s="3">
        <f t="shared" si="167"/>
        <v>434</v>
      </c>
      <c r="E819" s="11">
        <f>E818+1</f>
        <v>25</v>
      </c>
      <c r="F819" s="11">
        <f t="shared" si="162"/>
        <v>125</v>
      </c>
    </row>
    <row r="820" spans="1:6" x14ac:dyDescent="0.25">
      <c r="A820" s="11" t="s">
        <v>73</v>
      </c>
      <c r="B820" s="11" t="str">
        <f t="shared" si="161"/>
        <v>1"435</v>
      </c>
      <c r="C820" s="11" t="s">
        <v>23</v>
      </c>
      <c r="D820" s="3">
        <f t="shared" si="167"/>
        <v>435</v>
      </c>
      <c r="E820" s="11">
        <f t="shared" ref="E820:E826" si="168">E819</f>
        <v>25</v>
      </c>
      <c r="F820" s="11">
        <f t="shared" si="162"/>
        <v>125</v>
      </c>
    </row>
    <row r="821" spans="1:6" x14ac:dyDescent="0.25">
      <c r="A821" s="11" t="s">
        <v>73</v>
      </c>
      <c r="B821" s="11" t="str">
        <f t="shared" si="161"/>
        <v>1"436</v>
      </c>
      <c r="C821" s="11" t="s">
        <v>23</v>
      </c>
      <c r="D821" s="3">
        <f t="shared" si="167"/>
        <v>436</v>
      </c>
      <c r="E821" s="11">
        <f t="shared" si="168"/>
        <v>25</v>
      </c>
      <c r="F821" s="11">
        <f t="shared" si="162"/>
        <v>125</v>
      </c>
    </row>
    <row r="822" spans="1:6" x14ac:dyDescent="0.25">
      <c r="A822" s="11" t="s">
        <v>73</v>
      </c>
      <c r="B822" s="11" t="str">
        <f t="shared" si="161"/>
        <v>1"437</v>
      </c>
      <c r="C822" s="11" t="s">
        <v>23</v>
      </c>
      <c r="D822" s="3">
        <f t="shared" si="167"/>
        <v>437</v>
      </c>
      <c r="E822" s="11">
        <f t="shared" si="168"/>
        <v>25</v>
      </c>
      <c r="F822" s="11">
        <f t="shared" si="162"/>
        <v>125</v>
      </c>
    </row>
    <row r="823" spans="1:6" x14ac:dyDescent="0.25">
      <c r="A823" s="11" t="s">
        <v>73</v>
      </c>
      <c r="B823" s="11" t="str">
        <f t="shared" si="161"/>
        <v>1"438</v>
      </c>
      <c r="C823" s="11" t="s">
        <v>23</v>
      </c>
      <c r="D823" s="3">
        <f t="shared" si="167"/>
        <v>438</v>
      </c>
      <c r="E823" s="11">
        <f t="shared" si="168"/>
        <v>25</v>
      </c>
      <c r="F823" s="11">
        <f t="shared" si="162"/>
        <v>125</v>
      </c>
    </row>
    <row r="824" spans="1:6" x14ac:dyDescent="0.25">
      <c r="A824" s="11" t="s">
        <v>73</v>
      </c>
      <c r="B824" s="11" t="str">
        <f t="shared" si="161"/>
        <v>1"439</v>
      </c>
      <c r="C824" s="11" t="s">
        <v>23</v>
      </c>
      <c r="D824" s="3">
        <f t="shared" si="167"/>
        <v>439</v>
      </c>
      <c r="E824" s="11">
        <f t="shared" si="168"/>
        <v>25</v>
      </c>
      <c r="F824" s="11">
        <f t="shared" si="162"/>
        <v>125</v>
      </c>
    </row>
    <row r="825" spans="1:6" x14ac:dyDescent="0.25">
      <c r="A825" s="11" t="s">
        <v>73</v>
      </c>
      <c r="B825" s="11" t="str">
        <f t="shared" si="161"/>
        <v>1"440</v>
      </c>
      <c r="C825" s="11" t="s">
        <v>23</v>
      </c>
      <c r="D825" s="3">
        <f t="shared" si="167"/>
        <v>440</v>
      </c>
      <c r="E825" s="11">
        <f t="shared" si="168"/>
        <v>25</v>
      </c>
      <c r="F825" s="11">
        <f t="shared" si="162"/>
        <v>125</v>
      </c>
    </row>
    <row r="826" spans="1:6" x14ac:dyDescent="0.25">
      <c r="A826" s="11" t="s">
        <v>73</v>
      </c>
      <c r="B826" s="11" t="str">
        <f t="shared" si="161"/>
        <v>1"441</v>
      </c>
      <c r="C826" s="11" t="s">
        <v>23</v>
      </c>
      <c r="D826" s="3">
        <f t="shared" si="167"/>
        <v>441</v>
      </c>
      <c r="E826" s="11">
        <f t="shared" si="168"/>
        <v>25</v>
      </c>
      <c r="F826" s="11">
        <f t="shared" si="162"/>
        <v>125</v>
      </c>
    </row>
    <row r="827" spans="1:6" x14ac:dyDescent="0.25">
      <c r="A827" s="11" t="s">
        <v>73</v>
      </c>
      <c r="B827" s="11" t="str">
        <f t="shared" ref="B827:B890" si="169">CONCATENATE(C827&amp;D827)</f>
        <v>1"442</v>
      </c>
      <c r="C827" s="11" t="s">
        <v>23</v>
      </c>
      <c r="D827" s="3">
        <f t="shared" si="167"/>
        <v>442</v>
      </c>
      <c r="E827" s="11">
        <f t="shared" ref="E827:E838" si="170">E826</f>
        <v>25</v>
      </c>
      <c r="F827" s="11">
        <f t="shared" si="162"/>
        <v>125</v>
      </c>
    </row>
    <row r="828" spans="1:6" x14ac:dyDescent="0.25">
      <c r="A828" s="11" t="s">
        <v>73</v>
      </c>
      <c r="B828" s="11" t="str">
        <f t="shared" si="169"/>
        <v>1"443</v>
      </c>
      <c r="C828" s="11" t="s">
        <v>23</v>
      </c>
      <c r="D828" s="3">
        <f t="shared" si="167"/>
        <v>443</v>
      </c>
      <c r="E828" s="11">
        <f t="shared" si="170"/>
        <v>25</v>
      </c>
      <c r="F828" s="11">
        <f t="shared" si="162"/>
        <v>125</v>
      </c>
    </row>
    <row r="829" spans="1:6" x14ac:dyDescent="0.25">
      <c r="A829" s="11" t="s">
        <v>73</v>
      </c>
      <c r="B829" s="11" t="str">
        <f t="shared" si="169"/>
        <v>1"444</v>
      </c>
      <c r="C829" s="11" t="s">
        <v>23</v>
      </c>
      <c r="D829" s="3">
        <f t="shared" si="167"/>
        <v>444</v>
      </c>
      <c r="E829" s="11">
        <f t="shared" si="170"/>
        <v>25</v>
      </c>
      <c r="F829" s="11">
        <f t="shared" si="162"/>
        <v>125</v>
      </c>
    </row>
    <row r="830" spans="1:6" x14ac:dyDescent="0.25">
      <c r="A830" s="11" t="s">
        <v>73</v>
      </c>
      <c r="B830" s="11" t="str">
        <f t="shared" si="169"/>
        <v>1"445</v>
      </c>
      <c r="C830" s="11" t="s">
        <v>23</v>
      </c>
      <c r="D830" s="3">
        <f t="shared" si="167"/>
        <v>445</v>
      </c>
      <c r="E830" s="11">
        <f t="shared" si="170"/>
        <v>25</v>
      </c>
      <c r="F830" s="11">
        <f t="shared" si="162"/>
        <v>125</v>
      </c>
    </row>
    <row r="831" spans="1:6" x14ac:dyDescent="0.25">
      <c r="A831" s="11" t="s">
        <v>73</v>
      </c>
      <c r="B831" s="11" t="str">
        <f t="shared" si="169"/>
        <v>1"446</v>
      </c>
      <c r="C831" s="11" t="s">
        <v>23</v>
      </c>
      <c r="D831" s="3">
        <f t="shared" si="167"/>
        <v>446</v>
      </c>
      <c r="E831" s="11">
        <f t="shared" si="170"/>
        <v>25</v>
      </c>
      <c r="F831" s="11">
        <f t="shared" si="162"/>
        <v>125</v>
      </c>
    </row>
    <row r="832" spans="1:6" x14ac:dyDescent="0.25">
      <c r="A832" s="11" t="s">
        <v>73</v>
      </c>
      <c r="B832" s="11" t="str">
        <f t="shared" si="169"/>
        <v>1"447</v>
      </c>
      <c r="C832" s="11" t="s">
        <v>23</v>
      </c>
      <c r="D832" s="3">
        <f t="shared" si="167"/>
        <v>447</v>
      </c>
      <c r="E832" s="11">
        <f t="shared" si="170"/>
        <v>25</v>
      </c>
      <c r="F832" s="11">
        <f t="shared" si="162"/>
        <v>125</v>
      </c>
    </row>
    <row r="833" spans="1:6" x14ac:dyDescent="0.25">
      <c r="A833" s="11" t="s">
        <v>73</v>
      </c>
      <c r="B833" s="11" t="str">
        <f t="shared" si="169"/>
        <v>1"448</v>
      </c>
      <c r="C833" s="11" t="s">
        <v>23</v>
      </c>
      <c r="D833" s="3">
        <f t="shared" si="167"/>
        <v>448</v>
      </c>
      <c r="E833" s="11">
        <f t="shared" si="170"/>
        <v>25</v>
      </c>
      <c r="F833" s="11">
        <f t="shared" si="162"/>
        <v>125</v>
      </c>
    </row>
    <row r="834" spans="1:6" x14ac:dyDescent="0.25">
      <c r="A834" s="11" t="s">
        <v>73</v>
      </c>
      <c r="B834" s="11" t="str">
        <f t="shared" si="169"/>
        <v>1"449</v>
      </c>
      <c r="C834" s="11" t="s">
        <v>23</v>
      </c>
      <c r="D834" s="3">
        <f t="shared" si="167"/>
        <v>449</v>
      </c>
      <c r="E834" s="11">
        <f t="shared" si="170"/>
        <v>25</v>
      </c>
      <c r="F834" s="11">
        <f t="shared" si="162"/>
        <v>125</v>
      </c>
    </row>
    <row r="835" spans="1:6" x14ac:dyDescent="0.25">
      <c r="A835" s="11" t="s">
        <v>73</v>
      </c>
      <c r="B835" s="11" t="str">
        <f t="shared" si="169"/>
        <v>1"450</v>
      </c>
      <c r="C835" s="11" t="s">
        <v>23</v>
      </c>
      <c r="D835" s="3">
        <f t="shared" si="167"/>
        <v>450</v>
      </c>
      <c r="E835" s="11">
        <f t="shared" si="170"/>
        <v>25</v>
      </c>
      <c r="F835" s="11">
        <f t="shared" si="162"/>
        <v>125</v>
      </c>
    </row>
    <row r="836" spans="1:6" x14ac:dyDescent="0.25">
      <c r="A836" s="11" t="s">
        <v>73</v>
      </c>
      <c r="B836" s="11" t="str">
        <f t="shared" si="169"/>
        <v>1"451</v>
      </c>
      <c r="C836" s="11" t="s">
        <v>23</v>
      </c>
      <c r="D836" s="3">
        <f t="shared" si="167"/>
        <v>451</v>
      </c>
      <c r="E836" s="11">
        <f t="shared" si="170"/>
        <v>25</v>
      </c>
      <c r="F836" s="11">
        <f t="shared" si="162"/>
        <v>125</v>
      </c>
    </row>
    <row r="837" spans="1:6" x14ac:dyDescent="0.25">
      <c r="A837" s="11" t="s">
        <v>73</v>
      </c>
      <c r="B837" s="11" t="str">
        <f t="shared" si="169"/>
        <v>1"452</v>
      </c>
      <c r="C837" s="11" t="s">
        <v>23</v>
      </c>
      <c r="D837" s="3">
        <f t="shared" si="167"/>
        <v>452</v>
      </c>
      <c r="E837" s="11">
        <f t="shared" si="170"/>
        <v>25</v>
      </c>
      <c r="F837" s="11">
        <f t="shared" si="162"/>
        <v>125</v>
      </c>
    </row>
    <row r="838" spans="1:6" x14ac:dyDescent="0.25">
      <c r="A838" s="11" t="s">
        <v>73</v>
      </c>
      <c r="B838" s="11" t="str">
        <f t="shared" si="169"/>
        <v>1"453</v>
      </c>
      <c r="C838" s="11" t="s">
        <v>23</v>
      </c>
      <c r="D838" s="3">
        <f t="shared" si="167"/>
        <v>453</v>
      </c>
      <c r="E838" s="11">
        <f t="shared" si="170"/>
        <v>25</v>
      </c>
      <c r="F838" s="11">
        <f t="shared" si="162"/>
        <v>125</v>
      </c>
    </row>
    <row r="839" spans="1:6" x14ac:dyDescent="0.25">
      <c r="A839" s="11" t="s">
        <v>73</v>
      </c>
      <c r="B839" s="11" t="str">
        <f t="shared" si="169"/>
        <v>1"454</v>
      </c>
      <c r="C839" s="11" t="s">
        <v>23</v>
      </c>
      <c r="D839" s="3">
        <f t="shared" si="167"/>
        <v>454</v>
      </c>
      <c r="E839" s="11">
        <f t="shared" ref="E839" si="171">E838+1</f>
        <v>26</v>
      </c>
      <c r="F839" s="11">
        <f t="shared" si="162"/>
        <v>130</v>
      </c>
    </row>
    <row r="840" spans="1:6" x14ac:dyDescent="0.25">
      <c r="A840" s="11" t="s">
        <v>73</v>
      </c>
      <c r="B840" s="11" t="str">
        <f t="shared" si="169"/>
        <v>1"455</v>
      </c>
      <c r="C840" s="11" t="s">
        <v>23</v>
      </c>
      <c r="D840" s="3">
        <f t="shared" si="167"/>
        <v>455</v>
      </c>
      <c r="E840" s="11">
        <f t="shared" ref="E840:E841" si="172">E839</f>
        <v>26</v>
      </c>
      <c r="F840" s="11">
        <f t="shared" si="162"/>
        <v>130</v>
      </c>
    </row>
    <row r="841" spans="1:6" x14ac:dyDescent="0.25">
      <c r="A841" s="11" t="s">
        <v>73</v>
      </c>
      <c r="B841" s="11" t="str">
        <f t="shared" si="169"/>
        <v>1"456</v>
      </c>
      <c r="C841" s="11" t="s">
        <v>23</v>
      </c>
      <c r="D841" s="3">
        <f t="shared" si="167"/>
        <v>456</v>
      </c>
      <c r="E841" s="11">
        <f t="shared" si="172"/>
        <v>26</v>
      </c>
      <c r="F841" s="11">
        <f t="shared" si="162"/>
        <v>130</v>
      </c>
    </row>
    <row r="842" spans="1:6" x14ac:dyDescent="0.25">
      <c r="A842" s="11" t="s">
        <v>73</v>
      </c>
      <c r="B842" s="11" t="str">
        <f t="shared" si="169"/>
        <v>1"457</v>
      </c>
      <c r="C842" s="11" t="s">
        <v>23</v>
      </c>
      <c r="D842" s="3">
        <f t="shared" si="167"/>
        <v>457</v>
      </c>
      <c r="E842" s="11">
        <f>E841+1</f>
        <v>27</v>
      </c>
      <c r="F842" s="11">
        <f t="shared" si="162"/>
        <v>135</v>
      </c>
    </row>
    <row r="843" spans="1:6" x14ac:dyDescent="0.25">
      <c r="A843" s="11" t="s">
        <v>73</v>
      </c>
      <c r="B843" s="11" t="str">
        <f t="shared" si="169"/>
        <v>1"458</v>
      </c>
      <c r="C843" s="11" t="s">
        <v>23</v>
      </c>
      <c r="D843" s="3">
        <f t="shared" si="167"/>
        <v>458</v>
      </c>
      <c r="E843" s="11">
        <f t="shared" ref="E843:E849" si="173">E842</f>
        <v>27</v>
      </c>
      <c r="F843" s="11">
        <f t="shared" ref="F843:F906" si="174">E843*$F$1</f>
        <v>135</v>
      </c>
    </row>
    <row r="844" spans="1:6" x14ac:dyDescent="0.25">
      <c r="A844" s="11" t="s">
        <v>73</v>
      </c>
      <c r="B844" s="11" t="str">
        <f t="shared" si="169"/>
        <v>1"459</v>
      </c>
      <c r="C844" s="11" t="s">
        <v>23</v>
      </c>
      <c r="D844" s="3">
        <f t="shared" si="167"/>
        <v>459</v>
      </c>
      <c r="E844" s="11">
        <f t="shared" si="173"/>
        <v>27</v>
      </c>
      <c r="F844" s="11">
        <f t="shared" si="174"/>
        <v>135</v>
      </c>
    </row>
    <row r="845" spans="1:6" x14ac:dyDescent="0.25">
      <c r="A845" s="11" t="s">
        <v>73</v>
      </c>
      <c r="B845" s="11" t="str">
        <f t="shared" si="169"/>
        <v>1"460</v>
      </c>
      <c r="C845" s="11" t="s">
        <v>23</v>
      </c>
      <c r="D845" s="3">
        <f t="shared" si="167"/>
        <v>460</v>
      </c>
      <c r="E845" s="11">
        <f t="shared" si="173"/>
        <v>27</v>
      </c>
      <c r="F845" s="11">
        <f t="shared" si="174"/>
        <v>135</v>
      </c>
    </row>
    <row r="846" spans="1:6" x14ac:dyDescent="0.25">
      <c r="A846" s="11" t="s">
        <v>73</v>
      </c>
      <c r="B846" s="11" t="str">
        <f t="shared" si="169"/>
        <v>1"461</v>
      </c>
      <c r="C846" s="11" t="s">
        <v>23</v>
      </c>
      <c r="D846" s="3">
        <f t="shared" si="167"/>
        <v>461</v>
      </c>
      <c r="E846" s="11">
        <f t="shared" si="173"/>
        <v>27</v>
      </c>
      <c r="F846" s="11">
        <f t="shared" si="174"/>
        <v>135</v>
      </c>
    </row>
    <row r="847" spans="1:6" x14ac:dyDescent="0.25">
      <c r="A847" s="11" t="s">
        <v>73</v>
      </c>
      <c r="B847" s="11" t="str">
        <f t="shared" si="169"/>
        <v>1"462</v>
      </c>
      <c r="C847" s="11" t="s">
        <v>23</v>
      </c>
      <c r="D847" s="3">
        <f t="shared" si="167"/>
        <v>462</v>
      </c>
      <c r="E847" s="11">
        <f t="shared" si="173"/>
        <v>27</v>
      </c>
      <c r="F847" s="11">
        <f t="shared" si="174"/>
        <v>135</v>
      </c>
    </row>
    <row r="848" spans="1:6" x14ac:dyDescent="0.25">
      <c r="A848" s="11" t="s">
        <v>73</v>
      </c>
      <c r="B848" s="11" t="str">
        <f t="shared" si="169"/>
        <v>1"463</v>
      </c>
      <c r="C848" s="11" t="s">
        <v>23</v>
      </c>
      <c r="D848" s="3">
        <f t="shared" si="167"/>
        <v>463</v>
      </c>
      <c r="E848" s="11">
        <f t="shared" si="173"/>
        <v>27</v>
      </c>
      <c r="F848" s="11">
        <f t="shared" si="174"/>
        <v>135</v>
      </c>
    </row>
    <row r="849" spans="1:6" x14ac:dyDescent="0.25">
      <c r="A849" s="11" t="s">
        <v>73</v>
      </c>
      <c r="B849" s="11" t="str">
        <f t="shared" si="169"/>
        <v>1"464</v>
      </c>
      <c r="C849" s="11" t="s">
        <v>23</v>
      </c>
      <c r="D849" s="3">
        <f t="shared" si="167"/>
        <v>464</v>
      </c>
      <c r="E849" s="11">
        <f t="shared" si="173"/>
        <v>27</v>
      </c>
      <c r="F849" s="11">
        <f t="shared" si="174"/>
        <v>135</v>
      </c>
    </row>
    <row r="850" spans="1:6" x14ac:dyDescent="0.25">
      <c r="A850" s="11" t="s">
        <v>73</v>
      </c>
      <c r="B850" s="11" t="str">
        <f t="shared" si="169"/>
        <v>1"465</v>
      </c>
      <c r="C850" s="11" t="s">
        <v>23</v>
      </c>
      <c r="D850" s="3">
        <f t="shared" si="167"/>
        <v>465</v>
      </c>
      <c r="E850" s="11">
        <f t="shared" ref="E850:E861" si="175">E849</f>
        <v>27</v>
      </c>
      <c r="F850" s="11">
        <f t="shared" si="174"/>
        <v>135</v>
      </c>
    </row>
    <row r="851" spans="1:6" x14ac:dyDescent="0.25">
      <c r="A851" s="11" t="s">
        <v>73</v>
      </c>
      <c r="B851" s="11" t="str">
        <f t="shared" si="169"/>
        <v>1"466</v>
      </c>
      <c r="C851" s="11" t="s">
        <v>23</v>
      </c>
      <c r="D851" s="3">
        <f t="shared" si="167"/>
        <v>466</v>
      </c>
      <c r="E851" s="11">
        <f t="shared" si="175"/>
        <v>27</v>
      </c>
      <c r="F851" s="11">
        <f t="shared" si="174"/>
        <v>135</v>
      </c>
    </row>
    <row r="852" spans="1:6" x14ac:dyDescent="0.25">
      <c r="A852" s="11" t="s">
        <v>73</v>
      </c>
      <c r="B852" s="11" t="str">
        <f t="shared" si="169"/>
        <v>1"467</v>
      </c>
      <c r="C852" s="11" t="s">
        <v>23</v>
      </c>
      <c r="D852" s="3">
        <f t="shared" si="167"/>
        <v>467</v>
      </c>
      <c r="E852" s="11">
        <f t="shared" si="175"/>
        <v>27</v>
      </c>
      <c r="F852" s="11">
        <f t="shared" si="174"/>
        <v>135</v>
      </c>
    </row>
    <row r="853" spans="1:6" x14ac:dyDescent="0.25">
      <c r="A853" s="11" t="s">
        <v>73</v>
      </c>
      <c r="B853" s="11" t="str">
        <f t="shared" si="169"/>
        <v>1"468</v>
      </c>
      <c r="C853" s="11" t="s">
        <v>23</v>
      </c>
      <c r="D853" s="3">
        <f t="shared" si="167"/>
        <v>468</v>
      </c>
      <c r="E853" s="11">
        <f t="shared" si="175"/>
        <v>27</v>
      </c>
      <c r="F853" s="11">
        <f t="shared" si="174"/>
        <v>135</v>
      </c>
    </row>
    <row r="854" spans="1:6" x14ac:dyDescent="0.25">
      <c r="A854" s="11" t="s">
        <v>73</v>
      </c>
      <c r="B854" s="11" t="str">
        <f t="shared" si="169"/>
        <v>1"469</v>
      </c>
      <c r="C854" s="11" t="s">
        <v>23</v>
      </c>
      <c r="D854" s="3">
        <f t="shared" si="167"/>
        <v>469</v>
      </c>
      <c r="E854" s="11">
        <f t="shared" si="175"/>
        <v>27</v>
      </c>
      <c r="F854" s="11">
        <f t="shared" si="174"/>
        <v>135</v>
      </c>
    </row>
    <row r="855" spans="1:6" x14ac:dyDescent="0.25">
      <c r="A855" s="11" t="s">
        <v>73</v>
      </c>
      <c r="B855" s="11" t="str">
        <f t="shared" si="169"/>
        <v>1"470</v>
      </c>
      <c r="C855" s="11" t="s">
        <v>23</v>
      </c>
      <c r="D855" s="3">
        <f t="shared" si="167"/>
        <v>470</v>
      </c>
      <c r="E855" s="11">
        <f t="shared" si="175"/>
        <v>27</v>
      </c>
      <c r="F855" s="11">
        <f t="shared" si="174"/>
        <v>135</v>
      </c>
    </row>
    <row r="856" spans="1:6" x14ac:dyDescent="0.25">
      <c r="A856" s="11" t="s">
        <v>73</v>
      </c>
      <c r="B856" s="11" t="str">
        <f t="shared" si="169"/>
        <v>1"471</v>
      </c>
      <c r="C856" s="11" t="s">
        <v>23</v>
      </c>
      <c r="D856" s="3">
        <f t="shared" si="167"/>
        <v>471</v>
      </c>
      <c r="E856" s="11">
        <f t="shared" si="175"/>
        <v>27</v>
      </c>
      <c r="F856" s="11">
        <f t="shared" si="174"/>
        <v>135</v>
      </c>
    </row>
    <row r="857" spans="1:6" x14ac:dyDescent="0.25">
      <c r="A857" s="11" t="s">
        <v>73</v>
      </c>
      <c r="B857" s="11" t="str">
        <f t="shared" si="169"/>
        <v>1"472</v>
      </c>
      <c r="C857" s="11" t="s">
        <v>23</v>
      </c>
      <c r="D857" s="3">
        <f t="shared" si="167"/>
        <v>472</v>
      </c>
      <c r="E857" s="11">
        <f t="shared" si="175"/>
        <v>27</v>
      </c>
      <c r="F857" s="11">
        <f t="shared" si="174"/>
        <v>135</v>
      </c>
    </row>
    <row r="858" spans="1:6" x14ac:dyDescent="0.25">
      <c r="A858" s="11" t="s">
        <v>73</v>
      </c>
      <c r="B858" s="11" t="str">
        <f t="shared" si="169"/>
        <v>1"473</v>
      </c>
      <c r="C858" s="11" t="s">
        <v>23</v>
      </c>
      <c r="D858" s="3">
        <f t="shared" si="167"/>
        <v>473</v>
      </c>
      <c r="E858" s="11">
        <f t="shared" si="175"/>
        <v>27</v>
      </c>
      <c r="F858" s="11">
        <f t="shared" si="174"/>
        <v>135</v>
      </c>
    </row>
    <row r="859" spans="1:6" x14ac:dyDescent="0.25">
      <c r="A859" s="11" t="s">
        <v>73</v>
      </c>
      <c r="B859" s="11" t="str">
        <f t="shared" si="169"/>
        <v>1"474</v>
      </c>
      <c r="C859" s="11" t="s">
        <v>23</v>
      </c>
      <c r="D859" s="3">
        <f t="shared" si="167"/>
        <v>474</v>
      </c>
      <c r="E859" s="11">
        <f t="shared" si="175"/>
        <v>27</v>
      </c>
      <c r="F859" s="11">
        <f t="shared" si="174"/>
        <v>135</v>
      </c>
    </row>
    <row r="860" spans="1:6" x14ac:dyDescent="0.25">
      <c r="A860" s="11" t="s">
        <v>73</v>
      </c>
      <c r="B860" s="11" t="str">
        <f t="shared" si="169"/>
        <v>1"475</v>
      </c>
      <c r="C860" s="11" t="s">
        <v>23</v>
      </c>
      <c r="D860" s="3">
        <f t="shared" si="167"/>
        <v>475</v>
      </c>
      <c r="E860" s="11">
        <f t="shared" si="175"/>
        <v>27</v>
      </c>
      <c r="F860" s="11">
        <f t="shared" si="174"/>
        <v>135</v>
      </c>
    </row>
    <row r="861" spans="1:6" x14ac:dyDescent="0.25">
      <c r="A861" s="11" t="s">
        <v>73</v>
      </c>
      <c r="B861" s="11" t="str">
        <f t="shared" si="169"/>
        <v>1"476</v>
      </c>
      <c r="C861" s="11" t="s">
        <v>23</v>
      </c>
      <c r="D861" s="3">
        <f t="shared" si="167"/>
        <v>476</v>
      </c>
      <c r="E861" s="11">
        <f t="shared" si="175"/>
        <v>27</v>
      </c>
      <c r="F861" s="11">
        <f t="shared" si="174"/>
        <v>135</v>
      </c>
    </row>
    <row r="862" spans="1:6" x14ac:dyDescent="0.25">
      <c r="A862" s="11" t="s">
        <v>73</v>
      </c>
      <c r="B862" s="11" t="str">
        <f t="shared" si="169"/>
        <v>1"477</v>
      </c>
      <c r="C862" s="11" t="s">
        <v>23</v>
      </c>
      <c r="D862" s="3">
        <f t="shared" si="167"/>
        <v>477</v>
      </c>
      <c r="E862" s="11">
        <f t="shared" ref="E862" si="176">E861+1</f>
        <v>28</v>
      </c>
      <c r="F862" s="11">
        <f t="shared" si="174"/>
        <v>140</v>
      </c>
    </row>
    <row r="863" spans="1:6" x14ac:dyDescent="0.25">
      <c r="A863" s="11" t="s">
        <v>73</v>
      </c>
      <c r="B863" s="11" t="str">
        <f t="shared" si="169"/>
        <v>1"478</v>
      </c>
      <c r="C863" s="11" t="s">
        <v>23</v>
      </c>
      <c r="D863" s="3">
        <f t="shared" si="167"/>
        <v>478</v>
      </c>
      <c r="E863" s="11">
        <f t="shared" ref="E863:E881" si="177">E862</f>
        <v>28</v>
      </c>
      <c r="F863" s="11">
        <f t="shared" si="174"/>
        <v>140</v>
      </c>
    </row>
    <row r="864" spans="1:6" x14ac:dyDescent="0.25">
      <c r="A864" s="11" t="s">
        <v>73</v>
      </c>
      <c r="B864" s="11" t="str">
        <f t="shared" si="169"/>
        <v>1"479</v>
      </c>
      <c r="C864" s="11" t="s">
        <v>23</v>
      </c>
      <c r="D864" s="3">
        <f t="shared" si="167"/>
        <v>479</v>
      </c>
      <c r="E864" s="11">
        <f t="shared" si="177"/>
        <v>28</v>
      </c>
      <c r="F864" s="11">
        <f t="shared" si="174"/>
        <v>140</v>
      </c>
    </row>
    <row r="865" spans="1:6" x14ac:dyDescent="0.25">
      <c r="A865" s="11" t="s">
        <v>73</v>
      </c>
      <c r="B865" s="11" t="str">
        <f t="shared" si="169"/>
        <v>1"480</v>
      </c>
      <c r="C865" s="11" t="s">
        <v>23</v>
      </c>
      <c r="D865" s="3">
        <f t="shared" si="167"/>
        <v>480</v>
      </c>
      <c r="E865" s="11">
        <f t="shared" si="177"/>
        <v>28</v>
      </c>
      <c r="F865" s="11">
        <f t="shared" si="174"/>
        <v>140</v>
      </c>
    </row>
    <row r="866" spans="1:6" x14ac:dyDescent="0.25">
      <c r="A866" s="11" t="s">
        <v>73</v>
      </c>
      <c r="B866" s="11" t="str">
        <f t="shared" si="169"/>
        <v>1"481</v>
      </c>
      <c r="C866" s="11" t="s">
        <v>23</v>
      </c>
      <c r="D866" s="3">
        <f t="shared" si="167"/>
        <v>481</v>
      </c>
      <c r="E866" s="11">
        <f t="shared" si="177"/>
        <v>28</v>
      </c>
      <c r="F866" s="11">
        <f t="shared" si="174"/>
        <v>140</v>
      </c>
    </row>
    <row r="867" spans="1:6" x14ac:dyDescent="0.25">
      <c r="A867" s="11" t="s">
        <v>73</v>
      </c>
      <c r="B867" s="11" t="str">
        <f t="shared" si="169"/>
        <v>1"482</v>
      </c>
      <c r="C867" s="11" t="s">
        <v>23</v>
      </c>
      <c r="D867" s="3">
        <f t="shared" si="167"/>
        <v>482</v>
      </c>
      <c r="E867" s="11">
        <f t="shared" si="177"/>
        <v>28</v>
      </c>
      <c r="F867" s="11">
        <f t="shared" si="174"/>
        <v>140</v>
      </c>
    </row>
    <row r="868" spans="1:6" x14ac:dyDescent="0.25">
      <c r="A868" s="11" t="s">
        <v>73</v>
      </c>
      <c r="B868" s="11" t="str">
        <f t="shared" si="169"/>
        <v>1"483</v>
      </c>
      <c r="C868" s="11" t="s">
        <v>23</v>
      </c>
      <c r="D868" s="3">
        <f t="shared" si="167"/>
        <v>483</v>
      </c>
      <c r="E868" s="11">
        <f t="shared" si="177"/>
        <v>28</v>
      </c>
      <c r="F868" s="11">
        <f t="shared" si="174"/>
        <v>140</v>
      </c>
    </row>
    <row r="869" spans="1:6" x14ac:dyDescent="0.25">
      <c r="A869" s="11" t="s">
        <v>73</v>
      </c>
      <c r="B869" s="11" t="str">
        <f t="shared" si="169"/>
        <v>1"484</v>
      </c>
      <c r="C869" s="11" t="s">
        <v>23</v>
      </c>
      <c r="D869" s="3">
        <f t="shared" si="167"/>
        <v>484</v>
      </c>
      <c r="E869" s="11">
        <f t="shared" si="177"/>
        <v>28</v>
      </c>
      <c r="F869" s="11">
        <f t="shared" si="174"/>
        <v>140</v>
      </c>
    </row>
    <row r="870" spans="1:6" x14ac:dyDescent="0.25">
      <c r="A870" s="11" t="s">
        <v>73</v>
      </c>
      <c r="B870" s="11" t="str">
        <f t="shared" si="169"/>
        <v>1"485</v>
      </c>
      <c r="C870" s="11" t="s">
        <v>23</v>
      </c>
      <c r="D870" s="3">
        <f t="shared" si="167"/>
        <v>485</v>
      </c>
      <c r="E870" s="11">
        <f t="shared" si="177"/>
        <v>28</v>
      </c>
      <c r="F870" s="11">
        <f t="shared" si="174"/>
        <v>140</v>
      </c>
    </row>
    <row r="871" spans="1:6" x14ac:dyDescent="0.25">
      <c r="A871" s="11" t="s">
        <v>73</v>
      </c>
      <c r="B871" s="11" t="str">
        <f t="shared" si="169"/>
        <v>1"486</v>
      </c>
      <c r="C871" s="11" t="s">
        <v>23</v>
      </c>
      <c r="D871" s="3">
        <f t="shared" si="167"/>
        <v>486</v>
      </c>
      <c r="E871" s="11">
        <f t="shared" si="177"/>
        <v>28</v>
      </c>
      <c r="F871" s="11">
        <f t="shared" si="174"/>
        <v>140</v>
      </c>
    </row>
    <row r="872" spans="1:6" x14ac:dyDescent="0.25">
      <c r="A872" s="11" t="s">
        <v>73</v>
      </c>
      <c r="B872" s="11" t="str">
        <f t="shared" si="169"/>
        <v>1"487</v>
      </c>
      <c r="C872" s="11" t="s">
        <v>23</v>
      </c>
      <c r="D872" s="3">
        <f t="shared" si="167"/>
        <v>487</v>
      </c>
      <c r="E872" s="11">
        <f t="shared" si="177"/>
        <v>28</v>
      </c>
      <c r="F872" s="11">
        <f t="shared" si="174"/>
        <v>140</v>
      </c>
    </row>
    <row r="873" spans="1:6" x14ac:dyDescent="0.25">
      <c r="A873" s="11" t="s">
        <v>73</v>
      </c>
      <c r="B873" s="11" t="str">
        <f t="shared" si="169"/>
        <v>1"488</v>
      </c>
      <c r="C873" s="11" t="s">
        <v>23</v>
      </c>
      <c r="D873" s="3">
        <f t="shared" si="167"/>
        <v>488</v>
      </c>
      <c r="E873" s="11">
        <f t="shared" si="177"/>
        <v>28</v>
      </c>
      <c r="F873" s="11">
        <f t="shared" si="174"/>
        <v>140</v>
      </c>
    </row>
    <row r="874" spans="1:6" x14ac:dyDescent="0.25">
      <c r="A874" s="11" t="s">
        <v>73</v>
      </c>
      <c r="B874" s="11" t="str">
        <f t="shared" si="169"/>
        <v>1"489</v>
      </c>
      <c r="C874" s="11" t="s">
        <v>23</v>
      </c>
      <c r="D874" s="3">
        <f t="shared" ref="D874:D937" si="178">D873+1</f>
        <v>489</v>
      </c>
      <c r="E874" s="11">
        <f t="shared" si="177"/>
        <v>28</v>
      </c>
      <c r="F874" s="11">
        <f t="shared" si="174"/>
        <v>140</v>
      </c>
    </row>
    <row r="875" spans="1:6" x14ac:dyDescent="0.25">
      <c r="A875" s="11" t="s">
        <v>73</v>
      </c>
      <c r="B875" s="11" t="str">
        <f t="shared" si="169"/>
        <v>1"490</v>
      </c>
      <c r="C875" s="11" t="s">
        <v>23</v>
      </c>
      <c r="D875" s="3">
        <f t="shared" si="178"/>
        <v>490</v>
      </c>
      <c r="E875" s="11">
        <f t="shared" si="177"/>
        <v>28</v>
      </c>
      <c r="F875" s="11">
        <f t="shared" si="174"/>
        <v>140</v>
      </c>
    </row>
    <row r="876" spans="1:6" x14ac:dyDescent="0.25">
      <c r="A876" s="11" t="s">
        <v>73</v>
      </c>
      <c r="B876" s="11" t="str">
        <f t="shared" si="169"/>
        <v>1"491</v>
      </c>
      <c r="C876" s="11" t="s">
        <v>23</v>
      </c>
      <c r="D876" s="3">
        <f t="shared" si="178"/>
        <v>491</v>
      </c>
      <c r="E876" s="11">
        <f t="shared" si="177"/>
        <v>28</v>
      </c>
      <c r="F876" s="11">
        <f t="shared" si="174"/>
        <v>140</v>
      </c>
    </row>
    <row r="877" spans="1:6" x14ac:dyDescent="0.25">
      <c r="A877" s="11" t="s">
        <v>73</v>
      </c>
      <c r="B877" s="11" t="str">
        <f t="shared" si="169"/>
        <v>1"492</v>
      </c>
      <c r="C877" s="11" t="s">
        <v>23</v>
      </c>
      <c r="D877" s="3">
        <f t="shared" si="178"/>
        <v>492</v>
      </c>
      <c r="E877" s="11">
        <f t="shared" si="177"/>
        <v>28</v>
      </c>
      <c r="F877" s="11">
        <f t="shared" si="174"/>
        <v>140</v>
      </c>
    </row>
    <row r="878" spans="1:6" x14ac:dyDescent="0.25">
      <c r="A878" s="11" t="s">
        <v>73</v>
      </c>
      <c r="B878" s="11" t="str">
        <f t="shared" si="169"/>
        <v>1"493</v>
      </c>
      <c r="C878" s="11" t="s">
        <v>23</v>
      </c>
      <c r="D878" s="3">
        <f t="shared" si="178"/>
        <v>493</v>
      </c>
      <c r="E878" s="11">
        <f t="shared" si="177"/>
        <v>28</v>
      </c>
      <c r="F878" s="11">
        <f t="shared" si="174"/>
        <v>140</v>
      </c>
    </row>
    <row r="879" spans="1:6" x14ac:dyDescent="0.25">
      <c r="A879" s="11" t="s">
        <v>73</v>
      </c>
      <c r="B879" s="11" t="str">
        <f t="shared" si="169"/>
        <v>1"494</v>
      </c>
      <c r="C879" s="11" t="s">
        <v>23</v>
      </c>
      <c r="D879" s="3">
        <f t="shared" si="178"/>
        <v>494</v>
      </c>
      <c r="E879" s="11">
        <f t="shared" si="177"/>
        <v>28</v>
      </c>
      <c r="F879" s="11">
        <f t="shared" si="174"/>
        <v>140</v>
      </c>
    </row>
    <row r="880" spans="1:6" x14ac:dyDescent="0.25">
      <c r="A880" s="11" t="s">
        <v>73</v>
      </c>
      <c r="B880" s="11" t="str">
        <f t="shared" si="169"/>
        <v>1"495</v>
      </c>
      <c r="C880" s="11" t="s">
        <v>23</v>
      </c>
      <c r="D880" s="3">
        <f t="shared" si="178"/>
        <v>495</v>
      </c>
      <c r="E880" s="11">
        <f t="shared" si="177"/>
        <v>28</v>
      </c>
      <c r="F880" s="11">
        <f t="shared" si="174"/>
        <v>140</v>
      </c>
    </row>
    <row r="881" spans="1:6" x14ac:dyDescent="0.25">
      <c r="A881" s="11" t="s">
        <v>73</v>
      </c>
      <c r="B881" s="11" t="str">
        <f t="shared" si="169"/>
        <v>1"496</v>
      </c>
      <c r="C881" s="11" t="s">
        <v>23</v>
      </c>
      <c r="D881" s="3">
        <f t="shared" si="178"/>
        <v>496</v>
      </c>
      <c r="E881" s="11">
        <f t="shared" si="177"/>
        <v>28</v>
      </c>
      <c r="F881" s="11">
        <f t="shared" si="174"/>
        <v>140</v>
      </c>
    </row>
    <row r="882" spans="1:6" x14ac:dyDescent="0.25">
      <c r="A882" s="11" t="s">
        <v>73</v>
      </c>
      <c r="B882" s="11" t="str">
        <f t="shared" si="169"/>
        <v>1"497</v>
      </c>
      <c r="C882" s="11" t="s">
        <v>23</v>
      </c>
      <c r="D882" s="3">
        <f t="shared" si="178"/>
        <v>497</v>
      </c>
      <c r="E882" s="11">
        <f t="shared" ref="E882" si="179">E881+1</f>
        <v>29</v>
      </c>
      <c r="F882" s="11">
        <f t="shared" si="174"/>
        <v>145</v>
      </c>
    </row>
    <row r="883" spans="1:6" x14ac:dyDescent="0.25">
      <c r="A883" s="11" t="s">
        <v>73</v>
      </c>
      <c r="B883" s="11" t="str">
        <f t="shared" si="169"/>
        <v>1"498</v>
      </c>
      <c r="C883" s="11" t="s">
        <v>23</v>
      </c>
      <c r="D883" s="3">
        <f t="shared" si="178"/>
        <v>498</v>
      </c>
      <c r="E883" s="11">
        <f t="shared" ref="E883:E901" si="180">E882</f>
        <v>29</v>
      </c>
      <c r="F883" s="11">
        <f t="shared" si="174"/>
        <v>145</v>
      </c>
    </row>
    <row r="884" spans="1:6" x14ac:dyDescent="0.25">
      <c r="A884" s="11" t="s">
        <v>73</v>
      </c>
      <c r="B884" s="11" t="str">
        <f t="shared" si="169"/>
        <v>1"499</v>
      </c>
      <c r="C884" s="11" t="s">
        <v>23</v>
      </c>
      <c r="D884" s="3">
        <f t="shared" si="178"/>
        <v>499</v>
      </c>
      <c r="E884" s="11">
        <f t="shared" si="180"/>
        <v>29</v>
      </c>
      <c r="F884" s="11">
        <f t="shared" si="174"/>
        <v>145</v>
      </c>
    </row>
    <row r="885" spans="1:6" x14ac:dyDescent="0.25">
      <c r="A885" s="11" t="s">
        <v>73</v>
      </c>
      <c r="B885" s="11" t="str">
        <f t="shared" si="169"/>
        <v>1"500</v>
      </c>
      <c r="C885" s="11" t="s">
        <v>23</v>
      </c>
      <c r="D885" s="3">
        <f t="shared" si="178"/>
        <v>500</v>
      </c>
      <c r="E885" s="11">
        <f t="shared" si="180"/>
        <v>29</v>
      </c>
      <c r="F885" s="11">
        <f t="shared" si="174"/>
        <v>145</v>
      </c>
    </row>
    <row r="886" spans="1:6" x14ac:dyDescent="0.25">
      <c r="A886" s="11" t="s">
        <v>73</v>
      </c>
      <c r="B886" s="11" t="str">
        <f t="shared" si="169"/>
        <v>1"501</v>
      </c>
      <c r="C886" s="11" t="s">
        <v>23</v>
      </c>
      <c r="D886" s="3">
        <f t="shared" si="178"/>
        <v>501</v>
      </c>
      <c r="E886" s="11">
        <f t="shared" si="180"/>
        <v>29</v>
      </c>
      <c r="F886" s="11">
        <f t="shared" si="174"/>
        <v>145</v>
      </c>
    </row>
    <row r="887" spans="1:6" x14ac:dyDescent="0.25">
      <c r="A887" s="11" t="s">
        <v>73</v>
      </c>
      <c r="B887" s="11" t="str">
        <f t="shared" si="169"/>
        <v>1"502</v>
      </c>
      <c r="C887" s="11" t="s">
        <v>23</v>
      </c>
      <c r="D887" s="3">
        <f t="shared" si="178"/>
        <v>502</v>
      </c>
      <c r="E887" s="11">
        <f t="shared" si="180"/>
        <v>29</v>
      </c>
      <c r="F887" s="11">
        <f t="shared" si="174"/>
        <v>145</v>
      </c>
    </row>
    <row r="888" spans="1:6" x14ac:dyDescent="0.25">
      <c r="A888" s="11" t="s">
        <v>73</v>
      </c>
      <c r="B888" s="11" t="str">
        <f t="shared" si="169"/>
        <v>1"503</v>
      </c>
      <c r="C888" s="11" t="s">
        <v>23</v>
      </c>
      <c r="D888" s="3">
        <f t="shared" si="178"/>
        <v>503</v>
      </c>
      <c r="E888" s="11">
        <f t="shared" si="180"/>
        <v>29</v>
      </c>
      <c r="F888" s="11">
        <f t="shared" si="174"/>
        <v>145</v>
      </c>
    </row>
    <row r="889" spans="1:6" x14ac:dyDescent="0.25">
      <c r="A889" s="11" t="s">
        <v>73</v>
      </c>
      <c r="B889" s="11" t="str">
        <f t="shared" si="169"/>
        <v>1"504</v>
      </c>
      <c r="C889" s="11" t="s">
        <v>23</v>
      </c>
      <c r="D889" s="3">
        <f t="shared" si="178"/>
        <v>504</v>
      </c>
      <c r="E889" s="11">
        <f t="shared" si="180"/>
        <v>29</v>
      </c>
      <c r="F889" s="11">
        <f t="shared" si="174"/>
        <v>145</v>
      </c>
    </row>
    <row r="890" spans="1:6" x14ac:dyDescent="0.25">
      <c r="A890" s="11" t="s">
        <v>73</v>
      </c>
      <c r="B890" s="11" t="str">
        <f t="shared" si="169"/>
        <v>1"505</v>
      </c>
      <c r="C890" s="11" t="s">
        <v>23</v>
      </c>
      <c r="D890" s="3">
        <f t="shared" si="178"/>
        <v>505</v>
      </c>
      <c r="E890" s="11">
        <f t="shared" si="180"/>
        <v>29</v>
      </c>
      <c r="F890" s="11">
        <f t="shared" si="174"/>
        <v>145</v>
      </c>
    </row>
    <row r="891" spans="1:6" x14ac:dyDescent="0.25">
      <c r="A891" s="11" t="s">
        <v>73</v>
      </c>
      <c r="B891" s="11" t="str">
        <f t="shared" ref="B891:B954" si="181">CONCATENATE(C891&amp;D891)</f>
        <v>1"506</v>
      </c>
      <c r="C891" s="11" t="s">
        <v>23</v>
      </c>
      <c r="D891" s="3">
        <f t="shared" si="178"/>
        <v>506</v>
      </c>
      <c r="E891" s="11">
        <f t="shared" si="180"/>
        <v>29</v>
      </c>
      <c r="F891" s="11">
        <f t="shared" si="174"/>
        <v>145</v>
      </c>
    </row>
    <row r="892" spans="1:6" x14ac:dyDescent="0.25">
      <c r="A892" s="11" t="s">
        <v>73</v>
      </c>
      <c r="B892" s="11" t="str">
        <f t="shared" si="181"/>
        <v>1"507</v>
      </c>
      <c r="C892" s="11" t="s">
        <v>23</v>
      </c>
      <c r="D892" s="3">
        <f t="shared" si="178"/>
        <v>507</v>
      </c>
      <c r="E892" s="11">
        <f t="shared" si="180"/>
        <v>29</v>
      </c>
      <c r="F892" s="11">
        <f t="shared" si="174"/>
        <v>145</v>
      </c>
    </row>
    <row r="893" spans="1:6" x14ac:dyDescent="0.25">
      <c r="A893" s="11" t="s">
        <v>73</v>
      </c>
      <c r="B893" s="11" t="str">
        <f t="shared" si="181"/>
        <v>1"508</v>
      </c>
      <c r="C893" s="11" t="s">
        <v>23</v>
      </c>
      <c r="D893" s="3">
        <f t="shared" si="178"/>
        <v>508</v>
      </c>
      <c r="E893" s="11">
        <f t="shared" si="180"/>
        <v>29</v>
      </c>
      <c r="F893" s="11">
        <f t="shared" si="174"/>
        <v>145</v>
      </c>
    </row>
    <row r="894" spans="1:6" x14ac:dyDescent="0.25">
      <c r="A894" s="11" t="s">
        <v>73</v>
      </c>
      <c r="B894" s="11" t="str">
        <f t="shared" si="181"/>
        <v>1"509</v>
      </c>
      <c r="C894" s="11" t="s">
        <v>23</v>
      </c>
      <c r="D894" s="3">
        <f t="shared" si="178"/>
        <v>509</v>
      </c>
      <c r="E894" s="11">
        <f t="shared" si="180"/>
        <v>29</v>
      </c>
      <c r="F894" s="11">
        <f t="shared" si="174"/>
        <v>145</v>
      </c>
    </row>
    <row r="895" spans="1:6" x14ac:dyDescent="0.25">
      <c r="A895" s="11" t="s">
        <v>73</v>
      </c>
      <c r="B895" s="11" t="str">
        <f t="shared" si="181"/>
        <v>1"510</v>
      </c>
      <c r="C895" s="11" t="s">
        <v>23</v>
      </c>
      <c r="D895" s="3">
        <f t="shared" si="178"/>
        <v>510</v>
      </c>
      <c r="E895" s="11">
        <f t="shared" si="180"/>
        <v>29</v>
      </c>
      <c r="F895" s="11">
        <f t="shared" si="174"/>
        <v>145</v>
      </c>
    </row>
    <row r="896" spans="1:6" x14ac:dyDescent="0.25">
      <c r="A896" s="11" t="s">
        <v>73</v>
      </c>
      <c r="B896" s="11" t="str">
        <f t="shared" si="181"/>
        <v>1"511</v>
      </c>
      <c r="C896" s="11" t="s">
        <v>23</v>
      </c>
      <c r="D896" s="3">
        <f t="shared" si="178"/>
        <v>511</v>
      </c>
      <c r="E896" s="11">
        <f t="shared" si="180"/>
        <v>29</v>
      </c>
      <c r="F896" s="11">
        <f t="shared" si="174"/>
        <v>145</v>
      </c>
    </row>
    <row r="897" spans="1:6" x14ac:dyDescent="0.25">
      <c r="A897" s="11" t="s">
        <v>73</v>
      </c>
      <c r="B897" s="11" t="str">
        <f t="shared" si="181"/>
        <v>1"512</v>
      </c>
      <c r="C897" s="11" t="s">
        <v>23</v>
      </c>
      <c r="D897" s="3">
        <f t="shared" si="178"/>
        <v>512</v>
      </c>
      <c r="E897" s="11">
        <f t="shared" si="180"/>
        <v>29</v>
      </c>
      <c r="F897" s="11">
        <f t="shared" si="174"/>
        <v>145</v>
      </c>
    </row>
    <row r="898" spans="1:6" x14ac:dyDescent="0.25">
      <c r="A898" s="11" t="s">
        <v>73</v>
      </c>
      <c r="B898" s="11" t="str">
        <f t="shared" si="181"/>
        <v>1"513</v>
      </c>
      <c r="C898" s="11" t="s">
        <v>23</v>
      </c>
      <c r="D898" s="3">
        <f t="shared" si="178"/>
        <v>513</v>
      </c>
      <c r="E898" s="11">
        <f t="shared" si="180"/>
        <v>29</v>
      </c>
      <c r="F898" s="11">
        <f t="shared" si="174"/>
        <v>145</v>
      </c>
    </row>
    <row r="899" spans="1:6" x14ac:dyDescent="0.25">
      <c r="A899" s="11" t="s">
        <v>73</v>
      </c>
      <c r="B899" s="11" t="str">
        <f t="shared" si="181"/>
        <v>1"514</v>
      </c>
      <c r="C899" s="11" t="s">
        <v>23</v>
      </c>
      <c r="D899" s="3">
        <f t="shared" si="178"/>
        <v>514</v>
      </c>
      <c r="E899" s="11">
        <f t="shared" si="180"/>
        <v>29</v>
      </c>
      <c r="F899" s="11">
        <f t="shared" si="174"/>
        <v>145</v>
      </c>
    </row>
    <row r="900" spans="1:6" x14ac:dyDescent="0.25">
      <c r="A900" s="11" t="s">
        <v>73</v>
      </c>
      <c r="B900" s="11" t="str">
        <f t="shared" si="181"/>
        <v>1"515</v>
      </c>
      <c r="C900" s="11" t="s">
        <v>23</v>
      </c>
      <c r="D900" s="3">
        <f t="shared" si="178"/>
        <v>515</v>
      </c>
      <c r="E900" s="11">
        <f t="shared" si="180"/>
        <v>29</v>
      </c>
      <c r="F900" s="11">
        <f t="shared" si="174"/>
        <v>145</v>
      </c>
    </row>
    <row r="901" spans="1:6" x14ac:dyDescent="0.25">
      <c r="A901" s="11" t="s">
        <v>73</v>
      </c>
      <c r="B901" s="11" t="str">
        <f t="shared" si="181"/>
        <v>1"516</v>
      </c>
      <c r="C901" s="11" t="s">
        <v>23</v>
      </c>
      <c r="D901" s="3">
        <f t="shared" si="178"/>
        <v>516</v>
      </c>
      <c r="E901" s="11">
        <f t="shared" si="180"/>
        <v>29</v>
      </c>
      <c r="F901" s="11">
        <f t="shared" si="174"/>
        <v>145</v>
      </c>
    </row>
    <row r="902" spans="1:6" x14ac:dyDescent="0.25">
      <c r="A902" s="11" t="s">
        <v>73</v>
      </c>
      <c r="B902" s="11" t="str">
        <f t="shared" si="181"/>
        <v>1"517</v>
      </c>
      <c r="C902" s="11" t="s">
        <v>23</v>
      </c>
      <c r="D902" s="3">
        <f t="shared" si="178"/>
        <v>517</v>
      </c>
      <c r="E902" s="11">
        <f t="shared" ref="E902" si="182">E901+1</f>
        <v>30</v>
      </c>
      <c r="F902" s="11">
        <f t="shared" si="174"/>
        <v>150</v>
      </c>
    </row>
    <row r="903" spans="1:6" x14ac:dyDescent="0.25">
      <c r="A903" s="11" t="s">
        <v>73</v>
      </c>
      <c r="B903" s="11" t="str">
        <f t="shared" si="181"/>
        <v>1"518</v>
      </c>
      <c r="C903" s="11" t="s">
        <v>23</v>
      </c>
      <c r="D903" s="3">
        <f t="shared" si="178"/>
        <v>518</v>
      </c>
      <c r="E903" s="11">
        <f t="shared" ref="E903:E920" si="183">E902</f>
        <v>30</v>
      </c>
      <c r="F903" s="11">
        <f t="shared" si="174"/>
        <v>150</v>
      </c>
    </row>
    <row r="904" spans="1:6" x14ac:dyDescent="0.25">
      <c r="A904" s="11" t="s">
        <v>73</v>
      </c>
      <c r="B904" s="11" t="str">
        <f t="shared" si="181"/>
        <v>1"519</v>
      </c>
      <c r="C904" s="11" t="s">
        <v>23</v>
      </c>
      <c r="D904" s="3">
        <f t="shared" si="178"/>
        <v>519</v>
      </c>
      <c r="E904" s="11">
        <f t="shared" si="183"/>
        <v>30</v>
      </c>
      <c r="F904" s="11">
        <f t="shared" si="174"/>
        <v>150</v>
      </c>
    </row>
    <row r="905" spans="1:6" x14ac:dyDescent="0.25">
      <c r="A905" s="11" t="s">
        <v>73</v>
      </c>
      <c r="B905" s="11" t="str">
        <f t="shared" si="181"/>
        <v>1"520</v>
      </c>
      <c r="C905" s="11" t="s">
        <v>23</v>
      </c>
      <c r="D905" s="3">
        <f t="shared" si="178"/>
        <v>520</v>
      </c>
      <c r="E905" s="11">
        <f t="shared" si="183"/>
        <v>30</v>
      </c>
      <c r="F905" s="11">
        <f t="shared" si="174"/>
        <v>150</v>
      </c>
    </row>
    <row r="906" spans="1:6" x14ac:dyDescent="0.25">
      <c r="A906" s="11" t="s">
        <v>73</v>
      </c>
      <c r="B906" s="11" t="str">
        <f t="shared" si="181"/>
        <v>1"521</v>
      </c>
      <c r="C906" s="11" t="s">
        <v>23</v>
      </c>
      <c r="D906" s="3">
        <f t="shared" si="178"/>
        <v>521</v>
      </c>
      <c r="E906" s="11">
        <f t="shared" si="183"/>
        <v>30</v>
      </c>
      <c r="F906" s="11">
        <f t="shared" si="174"/>
        <v>150</v>
      </c>
    </row>
    <row r="907" spans="1:6" x14ac:dyDescent="0.25">
      <c r="A907" s="11" t="s">
        <v>73</v>
      </c>
      <c r="B907" s="11" t="str">
        <f t="shared" si="181"/>
        <v>1"522</v>
      </c>
      <c r="C907" s="11" t="s">
        <v>23</v>
      </c>
      <c r="D907" s="3">
        <f t="shared" si="178"/>
        <v>522</v>
      </c>
      <c r="E907" s="11">
        <f t="shared" si="183"/>
        <v>30</v>
      </c>
      <c r="F907" s="11">
        <f t="shared" ref="F907:F970" si="184">E907*$F$1</f>
        <v>150</v>
      </c>
    </row>
    <row r="908" spans="1:6" x14ac:dyDescent="0.25">
      <c r="A908" s="11" t="s">
        <v>73</v>
      </c>
      <c r="B908" s="11" t="str">
        <f t="shared" si="181"/>
        <v>1"523</v>
      </c>
      <c r="C908" s="11" t="s">
        <v>23</v>
      </c>
      <c r="D908" s="3">
        <f t="shared" si="178"/>
        <v>523</v>
      </c>
      <c r="E908" s="11">
        <f t="shared" si="183"/>
        <v>30</v>
      </c>
      <c r="F908" s="11">
        <f t="shared" si="184"/>
        <v>150</v>
      </c>
    </row>
    <row r="909" spans="1:6" x14ac:dyDescent="0.25">
      <c r="A909" s="11" t="s">
        <v>73</v>
      </c>
      <c r="B909" s="11" t="str">
        <f t="shared" si="181"/>
        <v>1"524</v>
      </c>
      <c r="C909" s="11" t="s">
        <v>23</v>
      </c>
      <c r="D909" s="3">
        <f t="shared" si="178"/>
        <v>524</v>
      </c>
      <c r="E909" s="11">
        <f t="shared" si="183"/>
        <v>30</v>
      </c>
      <c r="F909" s="11">
        <f t="shared" si="184"/>
        <v>150</v>
      </c>
    </row>
    <row r="910" spans="1:6" x14ac:dyDescent="0.25">
      <c r="A910" s="11" t="s">
        <v>73</v>
      </c>
      <c r="B910" s="11" t="str">
        <f t="shared" si="181"/>
        <v>1"525</v>
      </c>
      <c r="C910" s="11" t="s">
        <v>23</v>
      </c>
      <c r="D910" s="3">
        <f t="shared" si="178"/>
        <v>525</v>
      </c>
      <c r="E910" s="11">
        <f t="shared" si="183"/>
        <v>30</v>
      </c>
      <c r="F910" s="11">
        <f t="shared" si="184"/>
        <v>150</v>
      </c>
    </row>
    <row r="911" spans="1:6" x14ac:dyDescent="0.25">
      <c r="A911" s="11" t="s">
        <v>73</v>
      </c>
      <c r="B911" s="11" t="str">
        <f t="shared" si="181"/>
        <v>1"526</v>
      </c>
      <c r="C911" s="11" t="s">
        <v>23</v>
      </c>
      <c r="D911" s="3">
        <f t="shared" si="178"/>
        <v>526</v>
      </c>
      <c r="E911" s="11">
        <f t="shared" si="183"/>
        <v>30</v>
      </c>
      <c r="F911" s="11">
        <f t="shared" si="184"/>
        <v>150</v>
      </c>
    </row>
    <row r="912" spans="1:6" x14ac:dyDescent="0.25">
      <c r="A912" s="11" t="s">
        <v>73</v>
      </c>
      <c r="B912" s="11" t="str">
        <f t="shared" si="181"/>
        <v>1"527</v>
      </c>
      <c r="C912" s="11" t="s">
        <v>23</v>
      </c>
      <c r="D912" s="3">
        <f t="shared" si="178"/>
        <v>527</v>
      </c>
      <c r="E912" s="11">
        <f t="shared" si="183"/>
        <v>30</v>
      </c>
      <c r="F912" s="11">
        <f t="shared" si="184"/>
        <v>150</v>
      </c>
    </row>
    <row r="913" spans="1:6" x14ac:dyDescent="0.25">
      <c r="A913" s="11" t="s">
        <v>73</v>
      </c>
      <c r="B913" s="11" t="str">
        <f t="shared" si="181"/>
        <v>1"528</v>
      </c>
      <c r="C913" s="11" t="s">
        <v>23</v>
      </c>
      <c r="D913" s="3">
        <f t="shared" si="178"/>
        <v>528</v>
      </c>
      <c r="E913" s="11">
        <f t="shared" si="183"/>
        <v>30</v>
      </c>
      <c r="F913" s="11">
        <f t="shared" si="184"/>
        <v>150</v>
      </c>
    </row>
    <row r="914" spans="1:6" x14ac:dyDescent="0.25">
      <c r="A914" s="11" t="s">
        <v>73</v>
      </c>
      <c r="B914" s="11" t="str">
        <f t="shared" si="181"/>
        <v>1"529</v>
      </c>
      <c r="C914" s="11" t="s">
        <v>23</v>
      </c>
      <c r="D914" s="3">
        <f t="shared" si="178"/>
        <v>529</v>
      </c>
      <c r="E914" s="11">
        <f t="shared" si="183"/>
        <v>30</v>
      </c>
      <c r="F914" s="11">
        <f t="shared" si="184"/>
        <v>150</v>
      </c>
    </row>
    <row r="915" spans="1:6" x14ac:dyDescent="0.25">
      <c r="A915" s="11" t="s">
        <v>73</v>
      </c>
      <c r="B915" s="11" t="str">
        <f t="shared" si="181"/>
        <v>1"530</v>
      </c>
      <c r="C915" s="11" t="s">
        <v>23</v>
      </c>
      <c r="D915" s="3">
        <f t="shared" si="178"/>
        <v>530</v>
      </c>
      <c r="E915" s="11">
        <f t="shared" si="183"/>
        <v>30</v>
      </c>
      <c r="F915" s="11">
        <f t="shared" si="184"/>
        <v>150</v>
      </c>
    </row>
    <row r="916" spans="1:6" x14ac:dyDescent="0.25">
      <c r="A916" s="11" t="s">
        <v>73</v>
      </c>
      <c r="B916" s="11" t="str">
        <f t="shared" si="181"/>
        <v>1"531</v>
      </c>
      <c r="C916" s="11" t="s">
        <v>23</v>
      </c>
      <c r="D916" s="3">
        <f t="shared" si="178"/>
        <v>531</v>
      </c>
      <c r="E916" s="11">
        <f t="shared" si="183"/>
        <v>30</v>
      </c>
      <c r="F916" s="11">
        <f t="shared" si="184"/>
        <v>150</v>
      </c>
    </row>
    <row r="917" spans="1:6" x14ac:dyDescent="0.25">
      <c r="A917" s="11" t="s">
        <v>73</v>
      </c>
      <c r="B917" s="11" t="str">
        <f t="shared" si="181"/>
        <v>1"532</v>
      </c>
      <c r="C917" s="11" t="s">
        <v>23</v>
      </c>
      <c r="D917" s="3">
        <f t="shared" si="178"/>
        <v>532</v>
      </c>
      <c r="E917" s="11">
        <f t="shared" si="183"/>
        <v>30</v>
      </c>
      <c r="F917" s="11">
        <f t="shared" si="184"/>
        <v>150</v>
      </c>
    </row>
    <row r="918" spans="1:6" x14ac:dyDescent="0.25">
      <c r="A918" s="11" t="s">
        <v>73</v>
      </c>
      <c r="B918" s="11" t="str">
        <f t="shared" si="181"/>
        <v>1"533</v>
      </c>
      <c r="C918" s="11" t="s">
        <v>23</v>
      </c>
      <c r="D918" s="3">
        <f t="shared" si="178"/>
        <v>533</v>
      </c>
      <c r="E918" s="11">
        <f t="shared" si="183"/>
        <v>30</v>
      </c>
      <c r="F918" s="11">
        <f t="shared" si="184"/>
        <v>150</v>
      </c>
    </row>
    <row r="919" spans="1:6" x14ac:dyDescent="0.25">
      <c r="A919" s="11" t="s">
        <v>73</v>
      </c>
      <c r="B919" s="11" t="str">
        <f t="shared" si="181"/>
        <v>1"534</v>
      </c>
      <c r="C919" s="11" t="s">
        <v>23</v>
      </c>
      <c r="D919" s="3">
        <f t="shared" si="178"/>
        <v>534</v>
      </c>
      <c r="E919" s="11">
        <f t="shared" si="183"/>
        <v>30</v>
      </c>
      <c r="F919" s="11">
        <f t="shared" si="184"/>
        <v>150</v>
      </c>
    </row>
    <row r="920" spans="1:6" x14ac:dyDescent="0.25">
      <c r="A920" s="11" t="s">
        <v>73</v>
      </c>
      <c r="B920" s="11" t="str">
        <f t="shared" si="181"/>
        <v>1"535</v>
      </c>
      <c r="C920" s="11" t="s">
        <v>23</v>
      </c>
      <c r="D920" s="3">
        <f t="shared" si="178"/>
        <v>535</v>
      </c>
      <c r="E920" s="11">
        <f t="shared" si="183"/>
        <v>30</v>
      </c>
      <c r="F920" s="11">
        <f t="shared" si="184"/>
        <v>150</v>
      </c>
    </row>
    <row r="921" spans="1:6" x14ac:dyDescent="0.25">
      <c r="A921" s="11" t="s">
        <v>73</v>
      </c>
      <c r="B921" s="11" t="str">
        <f t="shared" si="181"/>
        <v>1"536</v>
      </c>
      <c r="C921" s="11" t="s">
        <v>23</v>
      </c>
      <c r="D921" s="3">
        <f t="shared" si="178"/>
        <v>536</v>
      </c>
      <c r="E921" s="11">
        <f>E920+1</f>
        <v>31</v>
      </c>
      <c r="F921" s="11">
        <f t="shared" si="184"/>
        <v>155</v>
      </c>
    </row>
    <row r="922" spans="1:6" x14ac:dyDescent="0.25">
      <c r="A922" s="11" t="s">
        <v>73</v>
      </c>
      <c r="B922" s="11" t="str">
        <f t="shared" si="181"/>
        <v>1"537</v>
      </c>
      <c r="C922" s="11" t="s">
        <v>23</v>
      </c>
      <c r="D922" s="3">
        <f t="shared" si="178"/>
        <v>537</v>
      </c>
      <c r="E922" s="11">
        <f t="shared" ref="E922:E928" si="185">E921</f>
        <v>31</v>
      </c>
      <c r="F922" s="11">
        <f t="shared" si="184"/>
        <v>155</v>
      </c>
    </row>
    <row r="923" spans="1:6" x14ac:dyDescent="0.25">
      <c r="A923" s="11" t="s">
        <v>73</v>
      </c>
      <c r="B923" s="11" t="str">
        <f t="shared" si="181"/>
        <v>1"538</v>
      </c>
      <c r="C923" s="11" t="s">
        <v>23</v>
      </c>
      <c r="D923" s="3">
        <f t="shared" si="178"/>
        <v>538</v>
      </c>
      <c r="E923" s="11">
        <f t="shared" si="185"/>
        <v>31</v>
      </c>
      <c r="F923" s="11">
        <f t="shared" si="184"/>
        <v>155</v>
      </c>
    </row>
    <row r="924" spans="1:6" x14ac:dyDescent="0.25">
      <c r="A924" s="11" t="s">
        <v>73</v>
      </c>
      <c r="B924" s="11" t="str">
        <f t="shared" si="181"/>
        <v>1"539</v>
      </c>
      <c r="C924" s="11" t="s">
        <v>23</v>
      </c>
      <c r="D924" s="3">
        <f t="shared" si="178"/>
        <v>539</v>
      </c>
      <c r="E924" s="11">
        <f t="shared" si="185"/>
        <v>31</v>
      </c>
      <c r="F924" s="11">
        <f t="shared" si="184"/>
        <v>155</v>
      </c>
    </row>
    <row r="925" spans="1:6" x14ac:dyDescent="0.25">
      <c r="A925" s="11" t="s">
        <v>73</v>
      </c>
      <c r="B925" s="11" t="str">
        <f t="shared" si="181"/>
        <v>1"540</v>
      </c>
      <c r="C925" s="11" t="s">
        <v>23</v>
      </c>
      <c r="D925" s="3">
        <f t="shared" si="178"/>
        <v>540</v>
      </c>
      <c r="E925" s="11">
        <f t="shared" si="185"/>
        <v>31</v>
      </c>
      <c r="F925" s="11">
        <f t="shared" si="184"/>
        <v>155</v>
      </c>
    </row>
    <row r="926" spans="1:6" x14ac:dyDescent="0.25">
      <c r="A926" s="11" t="s">
        <v>73</v>
      </c>
      <c r="B926" s="11" t="str">
        <f t="shared" si="181"/>
        <v>1"541</v>
      </c>
      <c r="C926" s="11" t="s">
        <v>23</v>
      </c>
      <c r="D926" s="3">
        <f t="shared" si="178"/>
        <v>541</v>
      </c>
      <c r="E926" s="11">
        <f t="shared" si="185"/>
        <v>31</v>
      </c>
      <c r="F926" s="11">
        <f t="shared" si="184"/>
        <v>155</v>
      </c>
    </row>
    <row r="927" spans="1:6" x14ac:dyDescent="0.25">
      <c r="A927" s="11" t="s">
        <v>73</v>
      </c>
      <c r="B927" s="11" t="str">
        <f t="shared" si="181"/>
        <v>1"542</v>
      </c>
      <c r="C927" s="11" t="s">
        <v>23</v>
      </c>
      <c r="D927" s="3">
        <f t="shared" si="178"/>
        <v>542</v>
      </c>
      <c r="E927" s="11">
        <f t="shared" si="185"/>
        <v>31</v>
      </c>
      <c r="F927" s="11">
        <f t="shared" si="184"/>
        <v>155</v>
      </c>
    </row>
    <row r="928" spans="1:6" x14ac:dyDescent="0.25">
      <c r="A928" s="11" t="s">
        <v>73</v>
      </c>
      <c r="B928" s="11" t="str">
        <f t="shared" si="181"/>
        <v>1"543</v>
      </c>
      <c r="C928" s="11" t="s">
        <v>23</v>
      </c>
      <c r="D928" s="3">
        <f t="shared" si="178"/>
        <v>543</v>
      </c>
      <c r="E928" s="11">
        <f t="shared" si="185"/>
        <v>31</v>
      </c>
      <c r="F928" s="11">
        <f t="shared" si="184"/>
        <v>155</v>
      </c>
    </row>
    <row r="929" spans="1:6" x14ac:dyDescent="0.25">
      <c r="A929" s="11" t="s">
        <v>73</v>
      </c>
      <c r="B929" s="11" t="str">
        <f t="shared" si="181"/>
        <v>1"544</v>
      </c>
      <c r="C929" s="11" t="s">
        <v>23</v>
      </c>
      <c r="D929" s="3">
        <f t="shared" si="178"/>
        <v>544</v>
      </c>
      <c r="E929" s="11">
        <f t="shared" ref="E929:E940" si="186">E928</f>
        <v>31</v>
      </c>
      <c r="F929" s="11">
        <f t="shared" si="184"/>
        <v>155</v>
      </c>
    </row>
    <row r="930" spans="1:6" x14ac:dyDescent="0.25">
      <c r="A930" s="11" t="s">
        <v>73</v>
      </c>
      <c r="B930" s="11" t="str">
        <f t="shared" si="181"/>
        <v>1"545</v>
      </c>
      <c r="C930" s="11" t="s">
        <v>23</v>
      </c>
      <c r="D930" s="3">
        <f t="shared" si="178"/>
        <v>545</v>
      </c>
      <c r="E930" s="11">
        <f t="shared" si="186"/>
        <v>31</v>
      </c>
      <c r="F930" s="11">
        <f t="shared" si="184"/>
        <v>155</v>
      </c>
    </row>
    <row r="931" spans="1:6" x14ac:dyDescent="0.25">
      <c r="A931" s="11" t="s">
        <v>73</v>
      </c>
      <c r="B931" s="11" t="str">
        <f t="shared" si="181"/>
        <v>1"546</v>
      </c>
      <c r="C931" s="11" t="s">
        <v>23</v>
      </c>
      <c r="D931" s="3">
        <f t="shared" si="178"/>
        <v>546</v>
      </c>
      <c r="E931" s="11">
        <f t="shared" si="186"/>
        <v>31</v>
      </c>
      <c r="F931" s="11">
        <f t="shared" si="184"/>
        <v>155</v>
      </c>
    </row>
    <row r="932" spans="1:6" x14ac:dyDescent="0.25">
      <c r="A932" s="11" t="s">
        <v>73</v>
      </c>
      <c r="B932" s="11" t="str">
        <f t="shared" si="181"/>
        <v>1"547</v>
      </c>
      <c r="C932" s="11" t="s">
        <v>23</v>
      </c>
      <c r="D932" s="3">
        <f t="shared" si="178"/>
        <v>547</v>
      </c>
      <c r="E932" s="11">
        <f t="shared" si="186"/>
        <v>31</v>
      </c>
      <c r="F932" s="11">
        <f t="shared" si="184"/>
        <v>155</v>
      </c>
    </row>
    <row r="933" spans="1:6" x14ac:dyDescent="0.25">
      <c r="A933" s="11" t="s">
        <v>73</v>
      </c>
      <c r="B933" s="11" t="str">
        <f t="shared" si="181"/>
        <v>1"548</v>
      </c>
      <c r="C933" s="11" t="s">
        <v>23</v>
      </c>
      <c r="D933" s="3">
        <f t="shared" si="178"/>
        <v>548</v>
      </c>
      <c r="E933" s="11">
        <f t="shared" si="186"/>
        <v>31</v>
      </c>
      <c r="F933" s="11">
        <f t="shared" si="184"/>
        <v>155</v>
      </c>
    </row>
    <row r="934" spans="1:6" x14ac:dyDescent="0.25">
      <c r="A934" s="11" t="s">
        <v>73</v>
      </c>
      <c r="B934" s="11" t="str">
        <f t="shared" si="181"/>
        <v>1"549</v>
      </c>
      <c r="C934" s="11" t="s">
        <v>23</v>
      </c>
      <c r="D934" s="3">
        <f t="shared" si="178"/>
        <v>549</v>
      </c>
      <c r="E934" s="11">
        <f t="shared" si="186"/>
        <v>31</v>
      </c>
      <c r="F934" s="11">
        <f t="shared" si="184"/>
        <v>155</v>
      </c>
    </row>
    <row r="935" spans="1:6" x14ac:dyDescent="0.25">
      <c r="A935" s="11" t="s">
        <v>73</v>
      </c>
      <c r="B935" s="11" t="str">
        <f t="shared" si="181"/>
        <v>1"550</v>
      </c>
      <c r="C935" s="11" t="s">
        <v>23</v>
      </c>
      <c r="D935" s="3">
        <f t="shared" si="178"/>
        <v>550</v>
      </c>
      <c r="E935" s="11">
        <f t="shared" si="186"/>
        <v>31</v>
      </c>
      <c r="F935" s="11">
        <f t="shared" si="184"/>
        <v>155</v>
      </c>
    </row>
    <row r="936" spans="1:6" x14ac:dyDescent="0.25">
      <c r="A936" s="11" t="s">
        <v>73</v>
      </c>
      <c r="B936" s="11" t="str">
        <f t="shared" si="181"/>
        <v>1"551</v>
      </c>
      <c r="C936" s="11" t="s">
        <v>23</v>
      </c>
      <c r="D936" s="3">
        <f t="shared" si="178"/>
        <v>551</v>
      </c>
      <c r="E936" s="11">
        <f t="shared" si="186"/>
        <v>31</v>
      </c>
      <c r="F936" s="11">
        <f t="shared" si="184"/>
        <v>155</v>
      </c>
    </row>
    <row r="937" spans="1:6" x14ac:dyDescent="0.25">
      <c r="A937" s="11" t="s">
        <v>73</v>
      </c>
      <c r="B937" s="11" t="str">
        <f t="shared" si="181"/>
        <v>1"552</v>
      </c>
      <c r="C937" s="11" t="s">
        <v>23</v>
      </c>
      <c r="D937" s="3">
        <f t="shared" si="178"/>
        <v>552</v>
      </c>
      <c r="E937" s="11">
        <f t="shared" si="186"/>
        <v>31</v>
      </c>
      <c r="F937" s="11">
        <f t="shared" si="184"/>
        <v>155</v>
      </c>
    </row>
    <row r="938" spans="1:6" x14ac:dyDescent="0.25">
      <c r="A938" s="11" t="s">
        <v>73</v>
      </c>
      <c r="B938" s="11" t="str">
        <f t="shared" si="181"/>
        <v>1"553</v>
      </c>
      <c r="C938" s="11" t="s">
        <v>23</v>
      </c>
      <c r="D938" s="3">
        <f t="shared" ref="D938:D1001" si="187">D937+1</f>
        <v>553</v>
      </c>
      <c r="E938" s="11">
        <f t="shared" si="186"/>
        <v>31</v>
      </c>
      <c r="F938" s="11">
        <f t="shared" si="184"/>
        <v>155</v>
      </c>
    </row>
    <row r="939" spans="1:6" x14ac:dyDescent="0.25">
      <c r="A939" s="11" t="s">
        <v>73</v>
      </c>
      <c r="B939" s="11" t="str">
        <f t="shared" si="181"/>
        <v>1"554</v>
      </c>
      <c r="C939" s="11" t="s">
        <v>23</v>
      </c>
      <c r="D939" s="3">
        <f t="shared" si="187"/>
        <v>554</v>
      </c>
      <c r="E939" s="11">
        <f t="shared" si="186"/>
        <v>31</v>
      </c>
      <c r="F939" s="11">
        <f t="shared" si="184"/>
        <v>155</v>
      </c>
    </row>
    <row r="940" spans="1:6" x14ac:dyDescent="0.25">
      <c r="A940" s="11" t="s">
        <v>73</v>
      </c>
      <c r="B940" s="11" t="str">
        <f t="shared" si="181"/>
        <v>1"555</v>
      </c>
      <c r="C940" s="11" t="s">
        <v>23</v>
      </c>
      <c r="D940" s="3">
        <f t="shared" si="187"/>
        <v>555</v>
      </c>
      <c r="E940" s="11">
        <f t="shared" si="186"/>
        <v>31</v>
      </c>
      <c r="F940" s="11">
        <f t="shared" si="184"/>
        <v>155</v>
      </c>
    </row>
    <row r="941" spans="1:6" x14ac:dyDescent="0.25">
      <c r="A941" s="11" t="s">
        <v>73</v>
      </c>
      <c r="B941" s="11" t="str">
        <f t="shared" si="181"/>
        <v>1"556</v>
      </c>
      <c r="C941" s="11" t="s">
        <v>23</v>
      </c>
      <c r="D941" s="3">
        <f t="shared" si="187"/>
        <v>556</v>
      </c>
      <c r="E941" s="11">
        <f t="shared" ref="E941" si="188">E940+1</f>
        <v>32</v>
      </c>
      <c r="F941" s="11">
        <f t="shared" si="184"/>
        <v>160</v>
      </c>
    </row>
    <row r="942" spans="1:6" x14ac:dyDescent="0.25">
      <c r="A942" s="11" t="s">
        <v>73</v>
      </c>
      <c r="B942" s="11" t="str">
        <f t="shared" si="181"/>
        <v>1"557</v>
      </c>
      <c r="C942" s="11" t="s">
        <v>23</v>
      </c>
      <c r="D942" s="3">
        <f t="shared" si="187"/>
        <v>557</v>
      </c>
      <c r="E942" s="11">
        <f t="shared" ref="E942:E960" si="189">E941</f>
        <v>32</v>
      </c>
      <c r="F942" s="11">
        <f t="shared" si="184"/>
        <v>160</v>
      </c>
    </row>
    <row r="943" spans="1:6" x14ac:dyDescent="0.25">
      <c r="A943" s="11" t="s">
        <v>73</v>
      </c>
      <c r="B943" s="11" t="str">
        <f t="shared" si="181"/>
        <v>1"558</v>
      </c>
      <c r="C943" s="11" t="s">
        <v>23</v>
      </c>
      <c r="D943" s="3">
        <f t="shared" si="187"/>
        <v>558</v>
      </c>
      <c r="E943" s="11">
        <f t="shared" si="189"/>
        <v>32</v>
      </c>
      <c r="F943" s="11">
        <f t="shared" si="184"/>
        <v>160</v>
      </c>
    </row>
    <row r="944" spans="1:6" x14ac:dyDescent="0.25">
      <c r="A944" s="11" t="s">
        <v>73</v>
      </c>
      <c r="B944" s="11" t="str">
        <f t="shared" si="181"/>
        <v>1"559</v>
      </c>
      <c r="C944" s="11" t="s">
        <v>23</v>
      </c>
      <c r="D944" s="3">
        <f t="shared" si="187"/>
        <v>559</v>
      </c>
      <c r="E944" s="11">
        <f t="shared" si="189"/>
        <v>32</v>
      </c>
      <c r="F944" s="11">
        <f t="shared" si="184"/>
        <v>160</v>
      </c>
    </row>
    <row r="945" spans="1:6" x14ac:dyDescent="0.25">
      <c r="A945" s="11" t="s">
        <v>73</v>
      </c>
      <c r="B945" s="11" t="str">
        <f t="shared" si="181"/>
        <v>1"560</v>
      </c>
      <c r="C945" s="11" t="s">
        <v>23</v>
      </c>
      <c r="D945" s="3">
        <f t="shared" si="187"/>
        <v>560</v>
      </c>
      <c r="E945" s="11">
        <f t="shared" si="189"/>
        <v>32</v>
      </c>
      <c r="F945" s="11">
        <f t="shared" si="184"/>
        <v>160</v>
      </c>
    </row>
    <row r="946" spans="1:6" x14ac:dyDescent="0.25">
      <c r="A946" s="11" t="s">
        <v>73</v>
      </c>
      <c r="B946" s="11" t="str">
        <f t="shared" si="181"/>
        <v>1"561</v>
      </c>
      <c r="C946" s="11" t="s">
        <v>23</v>
      </c>
      <c r="D946" s="3">
        <f t="shared" si="187"/>
        <v>561</v>
      </c>
      <c r="E946" s="11">
        <f t="shared" si="189"/>
        <v>32</v>
      </c>
      <c r="F946" s="11">
        <f t="shared" si="184"/>
        <v>160</v>
      </c>
    </row>
    <row r="947" spans="1:6" x14ac:dyDescent="0.25">
      <c r="A947" s="11" t="s">
        <v>73</v>
      </c>
      <c r="B947" s="11" t="str">
        <f t="shared" si="181"/>
        <v>1"562</v>
      </c>
      <c r="C947" s="11" t="s">
        <v>23</v>
      </c>
      <c r="D947" s="3">
        <f t="shared" si="187"/>
        <v>562</v>
      </c>
      <c r="E947" s="11">
        <f t="shared" si="189"/>
        <v>32</v>
      </c>
      <c r="F947" s="11">
        <f t="shared" si="184"/>
        <v>160</v>
      </c>
    </row>
    <row r="948" spans="1:6" x14ac:dyDescent="0.25">
      <c r="A948" s="11" t="s">
        <v>73</v>
      </c>
      <c r="B948" s="11" t="str">
        <f t="shared" si="181"/>
        <v>1"563</v>
      </c>
      <c r="C948" s="11" t="s">
        <v>23</v>
      </c>
      <c r="D948" s="3">
        <f t="shared" si="187"/>
        <v>563</v>
      </c>
      <c r="E948" s="11">
        <f t="shared" si="189"/>
        <v>32</v>
      </c>
      <c r="F948" s="11">
        <f t="shared" si="184"/>
        <v>160</v>
      </c>
    </row>
    <row r="949" spans="1:6" x14ac:dyDescent="0.25">
      <c r="A949" s="11" t="s">
        <v>73</v>
      </c>
      <c r="B949" s="11" t="str">
        <f t="shared" si="181"/>
        <v>1"564</v>
      </c>
      <c r="C949" s="11" t="s">
        <v>23</v>
      </c>
      <c r="D949" s="3">
        <f t="shared" si="187"/>
        <v>564</v>
      </c>
      <c r="E949" s="11">
        <f t="shared" si="189"/>
        <v>32</v>
      </c>
      <c r="F949" s="11">
        <f t="shared" si="184"/>
        <v>160</v>
      </c>
    </row>
    <row r="950" spans="1:6" x14ac:dyDescent="0.25">
      <c r="A950" s="11" t="s">
        <v>73</v>
      </c>
      <c r="B950" s="11" t="str">
        <f t="shared" si="181"/>
        <v>1"565</v>
      </c>
      <c r="C950" s="11" t="s">
        <v>23</v>
      </c>
      <c r="D950" s="3">
        <f t="shared" si="187"/>
        <v>565</v>
      </c>
      <c r="E950" s="11">
        <f t="shared" si="189"/>
        <v>32</v>
      </c>
      <c r="F950" s="11">
        <f t="shared" si="184"/>
        <v>160</v>
      </c>
    </row>
    <row r="951" spans="1:6" x14ac:dyDescent="0.25">
      <c r="A951" s="11" t="s">
        <v>73</v>
      </c>
      <c r="B951" s="11" t="str">
        <f t="shared" si="181"/>
        <v>1"566</v>
      </c>
      <c r="C951" s="11" t="s">
        <v>23</v>
      </c>
      <c r="D951" s="3">
        <f t="shared" si="187"/>
        <v>566</v>
      </c>
      <c r="E951" s="11">
        <f t="shared" si="189"/>
        <v>32</v>
      </c>
      <c r="F951" s="11">
        <f t="shared" si="184"/>
        <v>160</v>
      </c>
    </row>
    <row r="952" spans="1:6" x14ac:dyDescent="0.25">
      <c r="A952" s="11" t="s">
        <v>73</v>
      </c>
      <c r="B952" s="11" t="str">
        <f t="shared" si="181"/>
        <v>1"567</v>
      </c>
      <c r="C952" s="11" t="s">
        <v>23</v>
      </c>
      <c r="D952" s="3">
        <f t="shared" si="187"/>
        <v>567</v>
      </c>
      <c r="E952" s="11">
        <f t="shared" si="189"/>
        <v>32</v>
      </c>
      <c r="F952" s="11">
        <f t="shared" si="184"/>
        <v>160</v>
      </c>
    </row>
    <row r="953" spans="1:6" x14ac:dyDescent="0.25">
      <c r="A953" s="11" t="s">
        <v>73</v>
      </c>
      <c r="B953" s="11" t="str">
        <f t="shared" si="181"/>
        <v>1"568</v>
      </c>
      <c r="C953" s="11" t="s">
        <v>23</v>
      </c>
      <c r="D953" s="3">
        <f t="shared" si="187"/>
        <v>568</v>
      </c>
      <c r="E953" s="11">
        <f t="shared" si="189"/>
        <v>32</v>
      </c>
      <c r="F953" s="11">
        <f t="shared" si="184"/>
        <v>160</v>
      </c>
    </row>
    <row r="954" spans="1:6" x14ac:dyDescent="0.25">
      <c r="A954" s="11" t="s">
        <v>73</v>
      </c>
      <c r="B954" s="11" t="str">
        <f t="shared" si="181"/>
        <v>1"569</v>
      </c>
      <c r="C954" s="11" t="s">
        <v>23</v>
      </c>
      <c r="D954" s="3">
        <f t="shared" si="187"/>
        <v>569</v>
      </c>
      <c r="E954" s="11">
        <f t="shared" si="189"/>
        <v>32</v>
      </c>
      <c r="F954" s="11">
        <f t="shared" si="184"/>
        <v>160</v>
      </c>
    </row>
    <row r="955" spans="1:6" x14ac:dyDescent="0.25">
      <c r="A955" s="11" t="s">
        <v>73</v>
      </c>
      <c r="B955" s="11" t="str">
        <f t="shared" ref="B955:B1018" si="190">CONCATENATE(C955&amp;D955)</f>
        <v>1"570</v>
      </c>
      <c r="C955" s="11" t="s">
        <v>23</v>
      </c>
      <c r="D955" s="3">
        <f t="shared" si="187"/>
        <v>570</v>
      </c>
      <c r="E955" s="11">
        <f t="shared" si="189"/>
        <v>32</v>
      </c>
      <c r="F955" s="11">
        <f t="shared" si="184"/>
        <v>160</v>
      </c>
    </row>
    <row r="956" spans="1:6" x14ac:dyDescent="0.25">
      <c r="A956" s="11" t="s">
        <v>73</v>
      </c>
      <c r="B956" s="11" t="str">
        <f t="shared" si="190"/>
        <v>1"571</v>
      </c>
      <c r="C956" s="11" t="s">
        <v>23</v>
      </c>
      <c r="D956" s="3">
        <f t="shared" si="187"/>
        <v>571</v>
      </c>
      <c r="E956" s="11">
        <f t="shared" si="189"/>
        <v>32</v>
      </c>
      <c r="F956" s="11">
        <f t="shared" si="184"/>
        <v>160</v>
      </c>
    </row>
    <row r="957" spans="1:6" x14ac:dyDescent="0.25">
      <c r="A957" s="11" t="s">
        <v>73</v>
      </c>
      <c r="B957" s="11" t="str">
        <f t="shared" si="190"/>
        <v>1"572</v>
      </c>
      <c r="C957" s="11" t="s">
        <v>23</v>
      </c>
      <c r="D957" s="3">
        <f t="shared" si="187"/>
        <v>572</v>
      </c>
      <c r="E957" s="11">
        <f t="shared" si="189"/>
        <v>32</v>
      </c>
      <c r="F957" s="11">
        <f t="shared" si="184"/>
        <v>160</v>
      </c>
    </row>
    <row r="958" spans="1:6" x14ac:dyDescent="0.25">
      <c r="A958" s="11" t="s">
        <v>73</v>
      </c>
      <c r="B958" s="11" t="str">
        <f t="shared" si="190"/>
        <v>1"573</v>
      </c>
      <c r="C958" s="11" t="s">
        <v>23</v>
      </c>
      <c r="D958" s="3">
        <f t="shared" si="187"/>
        <v>573</v>
      </c>
      <c r="E958" s="11">
        <f t="shared" si="189"/>
        <v>32</v>
      </c>
      <c r="F958" s="11">
        <f t="shared" si="184"/>
        <v>160</v>
      </c>
    </row>
    <row r="959" spans="1:6" x14ac:dyDescent="0.25">
      <c r="A959" s="11" t="s">
        <v>73</v>
      </c>
      <c r="B959" s="11" t="str">
        <f t="shared" si="190"/>
        <v>1"574</v>
      </c>
      <c r="C959" s="11" t="s">
        <v>23</v>
      </c>
      <c r="D959" s="3">
        <f t="shared" si="187"/>
        <v>574</v>
      </c>
      <c r="E959" s="11">
        <f t="shared" si="189"/>
        <v>32</v>
      </c>
      <c r="F959" s="11">
        <f t="shared" si="184"/>
        <v>160</v>
      </c>
    </row>
    <row r="960" spans="1:6" x14ac:dyDescent="0.25">
      <c r="A960" s="11" t="s">
        <v>73</v>
      </c>
      <c r="B960" s="11" t="str">
        <f t="shared" si="190"/>
        <v>1"575</v>
      </c>
      <c r="C960" s="11" t="s">
        <v>23</v>
      </c>
      <c r="D960" s="3">
        <f t="shared" si="187"/>
        <v>575</v>
      </c>
      <c r="E960" s="11">
        <f t="shared" si="189"/>
        <v>32</v>
      </c>
      <c r="F960" s="11">
        <f t="shared" si="184"/>
        <v>160</v>
      </c>
    </row>
    <row r="961" spans="1:6" x14ac:dyDescent="0.25">
      <c r="A961" s="11" t="s">
        <v>73</v>
      </c>
      <c r="B961" s="11" t="str">
        <f t="shared" si="190"/>
        <v>1"576</v>
      </c>
      <c r="C961" s="11" t="s">
        <v>23</v>
      </c>
      <c r="D961" s="3">
        <f t="shared" si="187"/>
        <v>576</v>
      </c>
      <c r="E961" s="11">
        <f t="shared" ref="E961" si="191">E960+1</f>
        <v>33</v>
      </c>
      <c r="F961" s="11">
        <f t="shared" si="184"/>
        <v>165</v>
      </c>
    </row>
    <row r="962" spans="1:6" x14ac:dyDescent="0.25">
      <c r="A962" s="11" t="s">
        <v>73</v>
      </c>
      <c r="B962" s="11" t="str">
        <f t="shared" si="190"/>
        <v>1"577</v>
      </c>
      <c r="C962" s="11" t="s">
        <v>23</v>
      </c>
      <c r="D962" s="3">
        <f t="shared" si="187"/>
        <v>577</v>
      </c>
      <c r="E962" s="11">
        <f t="shared" ref="E962:E980" si="192">E961</f>
        <v>33</v>
      </c>
      <c r="F962" s="11">
        <f t="shared" si="184"/>
        <v>165</v>
      </c>
    </row>
    <row r="963" spans="1:6" x14ac:dyDescent="0.25">
      <c r="A963" s="11" t="s">
        <v>73</v>
      </c>
      <c r="B963" s="11" t="str">
        <f t="shared" si="190"/>
        <v>1"578</v>
      </c>
      <c r="C963" s="11" t="s">
        <v>23</v>
      </c>
      <c r="D963" s="3">
        <f t="shared" si="187"/>
        <v>578</v>
      </c>
      <c r="E963" s="11">
        <f t="shared" si="192"/>
        <v>33</v>
      </c>
      <c r="F963" s="11">
        <f t="shared" si="184"/>
        <v>165</v>
      </c>
    </row>
    <row r="964" spans="1:6" x14ac:dyDescent="0.25">
      <c r="A964" s="11" t="s">
        <v>73</v>
      </c>
      <c r="B964" s="11" t="str">
        <f t="shared" si="190"/>
        <v>1"579</v>
      </c>
      <c r="C964" s="11" t="s">
        <v>23</v>
      </c>
      <c r="D964" s="3">
        <f t="shared" si="187"/>
        <v>579</v>
      </c>
      <c r="E964" s="11">
        <f t="shared" si="192"/>
        <v>33</v>
      </c>
      <c r="F964" s="11">
        <f t="shared" si="184"/>
        <v>165</v>
      </c>
    </row>
    <row r="965" spans="1:6" x14ac:dyDescent="0.25">
      <c r="A965" s="11" t="s">
        <v>73</v>
      </c>
      <c r="B965" s="11" t="str">
        <f t="shared" si="190"/>
        <v>1"580</v>
      </c>
      <c r="C965" s="11" t="s">
        <v>23</v>
      </c>
      <c r="D965" s="3">
        <f t="shared" si="187"/>
        <v>580</v>
      </c>
      <c r="E965" s="11">
        <f t="shared" si="192"/>
        <v>33</v>
      </c>
      <c r="F965" s="11">
        <f t="shared" si="184"/>
        <v>165</v>
      </c>
    </row>
    <row r="966" spans="1:6" x14ac:dyDescent="0.25">
      <c r="A966" s="11" t="s">
        <v>73</v>
      </c>
      <c r="B966" s="11" t="str">
        <f t="shared" si="190"/>
        <v>1"581</v>
      </c>
      <c r="C966" s="11" t="s">
        <v>23</v>
      </c>
      <c r="D966" s="3">
        <f t="shared" si="187"/>
        <v>581</v>
      </c>
      <c r="E966" s="11">
        <f t="shared" si="192"/>
        <v>33</v>
      </c>
      <c r="F966" s="11">
        <f t="shared" si="184"/>
        <v>165</v>
      </c>
    </row>
    <row r="967" spans="1:6" x14ac:dyDescent="0.25">
      <c r="A967" s="11" t="s">
        <v>73</v>
      </c>
      <c r="B967" s="11" t="str">
        <f t="shared" si="190"/>
        <v>1"582</v>
      </c>
      <c r="C967" s="11" t="s">
        <v>23</v>
      </c>
      <c r="D967" s="3">
        <f t="shared" si="187"/>
        <v>582</v>
      </c>
      <c r="E967" s="11">
        <f t="shared" si="192"/>
        <v>33</v>
      </c>
      <c r="F967" s="11">
        <f t="shared" si="184"/>
        <v>165</v>
      </c>
    </row>
    <row r="968" spans="1:6" x14ac:dyDescent="0.25">
      <c r="A968" s="11" t="s">
        <v>73</v>
      </c>
      <c r="B968" s="11" t="str">
        <f t="shared" si="190"/>
        <v>1"583</v>
      </c>
      <c r="C968" s="11" t="s">
        <v>23</v>
      </c>
      <c r="D968" s="3">
        <f t="shared" si="187"/>
        <v>583</v>
      </c>
      <c r="E968" s="11">
        <f t="shared" si="192"/>
        <v>33</v>
      </c>
      <c r="F968" s="11">
        <f t="shared" si="184"/>
        <v>165</v>
      </c>
    </row>
    <row r="969" spans="1:6" x14ac:dyDescent="0.25">
      <c r="A969" s="11" t="s">
        <v>73</v>
      </c>
      <c r="B969" s="11" t="str">
        <f t="shared" si="190"/>
        <v>1"584</v>
      </c>
      <c r="C969" s="11" t="s">
        <v>23</v>
      </c>
      <c r="D969" s="3">
        <f t="shared" si="187"/>
        <v>584</v>
      </c>
      <c r="E969" s="11">
        <f t="shared" si="192"/>
        <v>33</v>
      </c>
      <c r="F969" s="11">
        <f t="shared" si="184"/>
        <v>165</v>
      </c>
    </row>
    <row r="970" spans="1:6" x14ac:dyDescent="0.25">
      <c r="A970" s="11" t="s">
        <v>73</v>
      </c>
      <c r="B970" s="11" t="str">
        <f t="shared" si="190"/>
        <v>1"585</v>
      </c>
      <c r="C970" s="11" t="s">
        <v>23</v>
      </c>
      <c r="D970" s="3">
        <f t="shared" si="187"/>
        <v>585</v>
      </c>
      <c r="E970" s="11">
        <f t="shared" si="192"/>
        <v>33</v>
      </c>
      <c r="F970" s="11">
        <f t="shared" si="184"/>
        <v>165</v>
      </c>
    </row>
    <row r="971" spans="1:6" x14ac:dyDescent="0.25">
      <c r="A971" s="11" t="s">
        <v>73</v>
      </c>
      <c r="B971" s="11" t="str">
        <f t="shared" si="190"/>
        <v>1"586</v>
      </c>
      <c r="C971" s="11" t="s">
        <v>23</v>
      </c>
      <c r="D971" s="3">
        <f t="shared" si="187"/>
        <v>586</v>
      </c>
      <c r="E971" s="11">
        <f t="shared" si="192"/>
        <v>33</v>
      </c>
      <c r="F971" s="11">
        <f t="shared" ref="F971:F1034" si="193">E971*$F$1</f>
        <v>165</v>
      </c>
    </row>
    <row r="972" spans="1:6" x14ac:dyDescent="0.25">
      <c r="A972" s="11" t="s">
        <v>73</v>
      </c>
      <c r="B972" s="11" t="str">
        <f t="shared" si="190"/>
        <v>1"587</v>
      </c>
      <c r="C972" s="11" t="s">
        <v>23</v>
      </c>
      <c r="D972" s="3">
        <f t="shared" si="187"/>
        <v>587</v>
      </c>
      <c r="E972" s="11">
        <f t="shared" si="192"/>
        <v>33</v>
      </c>
      <c r="F972" s="11">
        <f t="shared" si="193"/>
        <v>165</v>
      </c>
    </row>
    <row r="973" spans="1:6" x14ac:dyDescent="0.25">
      <c r="A973" s="11" t="s">
        <v>73</v>
      </c>
      <c r="B973" s="11" t="str">
        <f t="shared" si="190"/>
        <v>1"588</v>
      </c>
      <c r="C973" s="11" t="s">
        <v>23</v>
      </c>
      <c r="D973" s="3">
        <f t="shared" si="187"/>
        <v>588</v>
      </c>
      <c r="E973" s="11">
        <f t="shared" si="192"/>
        <v>33</v>
      </c>
      <c r="F973" s="11">
        <f t="shared" si="193"/>
        <v>165</v>
      </c>
    </row>
    <row r="974" spans="1:6" x14ac:dyDescent="0.25">
      <c r="A974" s="11" t="s">
        <v>73</v>
      </c>
      <c r="B974" s="11" t="str">
        <f t="shared" si="190"/>
        <v>1"589</v>
      </c>
      <c r="C974" s="11" t="s">
        <v>23</v>
      </c>
      <c r="D974" s="3">
        <f t="shared" si="187"/>
        <v>589</v>
      </c>
      <c r="E974" s="11">
        <f t="shared" si="192"/>
        <v>33</v>
      </c>
      <c r="F974" s="11">
        <f t="shared" si="193"/>
        <v>165</v>
      </c>
    </row>
    <row r="975" spans="1:6" x14ac:dyDescent="0.25">
      <c r="A975" s="11" t="s">
        <v>73</v>
      </c>
      <c r="B975" s="11" t="str">
        <f t="shared" si="190"/>
        <v>1"590</v>
      </c>
      <c r="C975" s="11" t="s">
        <v>23</v>
      </c>
      <c r="D975" s="3">
        <f t="shared" si="187"/>
        <v>590</v>
      </c>
      <c r="E975" s="11">
        <f t="shared" si="192"/>
        <v>33</v>
      </c>
      <c r="F975" s="11">
        <f t="shared" si="193"/>
        <v>165</v>
      </c>
    </row>
    <row r="976" spans="1:6" x14ac:dyDescent="0.25">
      <c r="A976" s="11" t="s">
        <v>73</v>
      </c>
      <c r="B976" s="11" t="str">
        <f t="shared" si="190"/>
        <v>1"591</v>
      </c>
      <c r="C976" s="11" t="s">
        <v>23</v>
      </c>
      <c r="D976" s="3">
        <f t="shared" si="187"/>
        <v>591</v>
      </c>
      <c r="E976" s="11">
        <f t="shared" si="192"/>
        <v>33</v>
      </c>
      <c r="F976" s="11">
        <f t="shared" si="193"/>
        <v>165</v>
      </c>
    </row>
    <row r="977" spans="1:6" x14ac:dyDescent="0.25">
      <c r="A977" s="11" t="s">
        <v>73</v>
      </c>
      <c r="B977" s="11" t="str">
        <f t="shared" si="190"/>
        <v>1"592</v>
      </c>
      <c r="C977" s="11" t="s">
        <v>23</v>
      </c>
      <c r="D977" s="3">
        <f t="shared" si="187"/>
        <v>592</v>
      </c>
      <c r="E977" s="11">
        <f t="shared" si="192"/>
        <v>33</v>
      </c>
      <c r="F977" s="11">
        <f t="shared" si="193"/>
        <v>165</v>
      </c>
    </row>
    <row r="978" spans="1:6" x14ac:dyDescent="0.25">
      <c r="A978" s="11" t="s">
        <v>73</v>
      </c>
      <c r="B978" s="11" t="str">
        <f t="shared" si="190"/>
        <v>1"593</v>
      </c>
      <c r="C978" s="11" t="s">
        <v>23</v>
      </c>
      <c r="D978" s="3">
        <f t="shared" si="187"/>
        <v>593</v>
      </c>
      <c r="E978" s="11">
        <f t="shared" si="192"/>
        <v>33</v>
      </c>
      <c r="F978" s="11">
        <f t="shared" si="193"/>
        <v>165</v>
      </c>
    </row>
    <row r="979" spans="1:6" x14ac:dyDescent="0.25">
      <c r="A979" s="11" t="s">
        <v>73</v>
      </c>
      <c r="B979" s="11" t="str">
        <f t="shared" si="190"/>
        <v>1"594</v>
      </c>
      <c r="C979" s="11" t="s">
        <v>23</v>
      </c>
      <c r="D979" s="3">
        <f t="shared" si="187"/>
        <v>594</v>
      </c>
      <c r="E979" s="11">
        <f t="shared" si="192"/>
        <v>33</v>
      </c>
      <c r="F979" s="11">
        <f t="shared" si="193"/>
        <v>165</v>
      </c>
    </row>
    <row r="980" spans="1:6" x14ac:dyDescent="0.25">
      <c r="A980" s="11" t="s">
        <v>73</v>
      </c>
      <c r="B980" s="11" t="str">
        <f t="shared" si="190"/>
        <v>1"595</v>
      </c>
      <c r="C980" s="11" t="s">
        <v>23</v>
      </c>
      <c r="D980" s="3">
        <f t="shared" si="187"/>
        <v>595</v>
      </c>
      <c r="E980" s="11">
        <f t="shared" si="192"/>
        <v>33</v>
      </c>
      <c r="F980" s="11">
        <f t="shared" si="193"/>
        <v>165</v>
      </c>
    </row>
    <row r="981" spans="1:6" x14ac:dyDescent="0.25">
      <c r="A981" s="11" t="s">
        <v>73</v>
      </c>
      <c r="B981" s="11" t="str">
        <f t="shared" si="190"/>
        <v>1"596</v>
      </c>
      <c r="C981" s="11" t="s">
        <v>23</v>
      </c>
      <c r="D981" s="3">
        <f t="shared" si="187"/>
        <v>596</v>
      </c>
      <c r="E981" s="11">
        <f t="shared" ref="E981" si="194">E980+1</f>
        <v>34</v>
      </c>
      <c r="F981" s="11">
        <f t="shared" si="193"/>
        <v>170</v>
      </c>
    </row>
    <row r="982" spans="1:6" x14ac:dyDescent="0.25">
      <c r="A982" s="11" t="s">
        <v>73</v>
      </c>
      <c r="B982" s="11" t="str">
        <f t="shared" si="190"/>
        <v>1"597</v>
      </c>
      <c r="C982" s="11" t="s">
        <v>23</v>
      </c>
      <c r="D982" s="3">
        <f t="shared" si="187"/>
        <v>597</v>
      </c>
      <c r="E982" s="11">
        <f t="shared" ref="E982:E987" si="195">E981</f>
        <v>34</v>
      </c>
      <c r="F982" s="11">
        <f t="shared" si="193"/>
        <v>170</v>
      </c>
    </row>
    <row r="983" spans="1:6" x14ac:dyDescent="0.25">
      <c r="A983" s="11" t="s">
        <v>73</v>
      </c>
      <c r="B983" s="11" t="str">
        <f t="shared" si="190"/>
        <v>1"598</v>
      </c>
      <c r="C983" s="11" t="s">
        <v>23</v>
      </c>
      <c r="D983" s="3">
        <f t="shared" si="187"/>
        <v>598</v>
      </c>
      <c r="E983" s="11">
        <f t="shared" si="195"/>
        <v>34</v>
      </c>
      <c r="F983" s="11">
        <f t="shared" si="193"/>
        <v>170</v>
      </c>
    </row>
    <row r="984" spans="1:6" x14ac:dyDescent="0.25">
      <c r="A984" s="11" t="s">
        <v>73</v>
      </c>
      <c r="B984" s="11" t="str">
        <f t="shared" si="190"/>
        <v>1"599</v>
      </c>
      <c r="C984" s="11" t="s">
        <v>23</v>
      </c>
      <c r="D984" s="3">
        <f t="shared" si="187"/>
        <v>599</v>
      </c>
      <c r="E984" s="11">
        <f t="shared" si="195"/>
        <v>34</v>
      </c>
      <c r="F984" s="11">
        <f t="shared" si="193"/>
        <v>170</v>
      </c>
    </row>
    <row r="985" spans="1:6" x14ac:dyDescent="0.25">
      <c r="A985" s="11" t="s">
        <v>73</v>
      </c>
      <c r="B985" s="11" t="str">
        <f t="shared" si="190"/>
        <v>1"600</v>
      </c>
      <c r="C985" s="11" t="s">
        <v>23</v>
      </c>
      <c r="D985" s="3">
        <f t="shared" si="187"/>
        <v>600</v>
      </c>
      <c r="E985" s="11">
        <f t="shared" si="195"/>
        <v>34</v>
      </c>
      <c r="F985" s="11">
        <f t="shared" si="193"/>
        <v>170</v>
      </c>
    </row>
    <row r="986" spans="1:6" x14ac:dyDescent="0.25">
      <c r="A986" s="11" t="s">
        <v>73</v>
      </c>
      <c r="B986" s="11" t="str">
        <f t="shared" si="190"/>
        <v>1"601</v>
      </c>
      <c r="C986" s="11" t="s">
        <v>23</v>
      </c>
      <c r="D986" s="3">
        <f t="shared" si="187"/>
        <v>601</v>
      </c>
      <c r="E986" s="11">
        <f t="shared" si="195"/>
        <v>34</v>
      </c>
      <c r="F986" s="11">
        <f t="shared" si="193"/>
        <v>170</v>
      </c>
    </row>
    <row r="987" spans="1:6" x14ac:dyDescent="0.25">
      <c r="A987" s="11" t="s">
        <v>73</v>
      </c>
      <c r="B987" s="11" t="str">
        <f t="shared" si="190"/>
        <v>1"602</v>
      </c>
      <c r="C987" s="11" t="s">
        <v>23</v>
      </c>
      <c r="D987" s="3">
        <f t="shared" si="187"/>
        <v>602</v>
      </c>
      <c r="E987" s="11">
        <f t="shared" si="195"/>
        <v>34</v>
      </c>
      <c r="F987" s="11">
        <f t="shared" si="193"/>
        <v>170</v>
      </c>
    </row>
    <row r="988" spans="1:6" x14ac:dyDescent="0.25">
      <c r="A988" s="11" t="s">
        <v>73</v>
      </c>
      <c r="B988" s="11" t="str">
        <f t="shared" si="190"/>
        <v>1"603</v>
      </c>
      <c r="C988" s="11" t="s">
        <v>23</v>
      </c>
      <c r="D988" s="3">
        <f t="shared" si="187"/>
        <v>603</v>
      </c>
      <c r="E988" s="11">
        <f>E987+1</f>
        <v>35</v>
      </c>
      <c r="F988" s="11">
        <f t="shared" si="193"/>
        <v>175</v>
      </c>
    </row>
    <row r="989" spans="1:6" x14ac:dyDescent="0.25">
      <c r="A989" s="11" t="s">
        <v>73</v>
      </c>
      <c r="B989" s="11" t="str">
        <f t="shared" si="190"/>
        <v>1"604</v>
      </c>
      <c r="C989" s="11" t="s">
        <v>23</v>
      </c>
      <c r="D989" s="3">
        <f t="shared" si="187"/>
        <v>604</v>
      </c>
      <c r="E989" s="11">
        <f t="shared" ref="E989:E995" si="196">E988</f>
        <v>35</v>
      </c>
      <c r="F989" s="11">
        <f t="shared" si="193"/>
        <v>175</v>
      </c>
    </row>
    <row r="990" spans="1:6" x14ac:dyDescent="0.25">
      <c r="A990" s="11" t="s">
        <v>73</v>
      </c>
      <c r="B990" s="11" t="str">
        <f t="shared" si="190"/>
        <v>1"605</v>
      </c>
      <c r="C990" s="11" t="s">
        <v>23</v>
      </c>
      <c r="D990" s="3">
        <f t="shared" si="187"/>
        <v>605</v>
      </c>
      <c r="E990" s="11">
        <f t="shared" si="196"/>
        <v>35</v>
      </c>
      <c r="F990" s="11">
        <f t="shared" si="193"/>
        <v>175</v>
      </c>
    </row>
    <row r="991" spans="1:6" x14ac:dyDescent="0.25">
      <c r="A991" s="11" t="s">
        <v>73</v>
      </c>
      <c r="B991" s="11" t="str">
        <f t="shared" si="190"/>
        <v>1"606</v>
      </c>
      <c r="C991" s="11" t="s">
        <v>23</v>
      </c>
      <c r="D991" s="3">
        <f t="shared" si="187"/>
        <v>606</v>
      </c>
      <c r="E991" s="11">
        <f t="shared" si="196"/>
        <v>35</v>
      </c>
      <c r="F991" s="11">
        <f t="shared" si="193"/>
        <v>175</v>
      </c>
    </row>
    <row r="992" spans="1:6" x14ac:dyDescent="0.25">
      <c r="A992" s="11" t="s">
        <v>73</v>
      </c>
      <c r="B992" s="11" t="str">
        <f t="shared" si="190"/>
        <v>1"607</v>
      </c>
      <c r="C992" s="11" t="s">
        <v>23</v>
      </c>
      <c r="D992" s="3">
        <f t="shared" si="187"/>
        <v>607</v>
      </c>
      <c r="E992" s="11">
        <f t="shared" si="196"/>
        <v>35</v>
      </c>
      <c r="F992" s="11">
        <f t="shared" si="193"/>
        <v>175</v>
      </c>
    </row>
    <row r="993" spans="1:6" x14ac:dyDescent="0.25">
      <c r="A993" s="11" t="s">
        <v>73</v>
      </c>
      <c r="B993" s="11" t="str">
        <f t="shared" si="190"/>
        <v>1"608</v>
      </c>
      <c r="C993" s="11" t="s">
        <v>23</v>
      </c>
      <c r="D993" s="3">
        <f t="shared" si="187"/>
        <v>608</v>
      </c>
      <c r="E993" s="11">
        <f t="shared" si="196"/>
        <v>35</v>
      </c>
      <c r="F993" s="11">
        <f t="shared" si="193"/>
        <v>175</v>
      </c>
    </row>
    <row r="994" spans="1:6" x14ac:dyDescent="0.25">
      <c r="A994" s="11" t="s">
        <v>73</v>
      </c>
      <c r="B994" s="11" t="str">
        <f t="shared" si="190"/>
        <v>1"609</v>
      </c>
      <c r="C994" s="11" t="s">
        <v>23</v>
      </c>
      <c r="D994" s="3">
        <f t="shared" si="187"/>
        <v>609</v>
      </c>
      <c r="E994" s="11">
        <f t="shared" si="196"/>
        <v>35</v>
      </c>
      <c r="F994" s="11">
        <f t="shared" si="193"/>
        <v>175</v>
      </c>
    </row>
    <row r="995" spans="1:6" x14ac:dyDescent="0.25">
      <c r="A995" s="11" t="s">
        <v>73</v>
      </c>
      <c r="B995" s="11" t="str">
        <f t="shared" si="190"/>
        <v>1"610</v>
      </c>
      <c r="C995" s="11" t="s">
        <v>23</v>
      </c>
      <c r="D995" s="3">
        <f t="shared" si="187"/>
        <v>610</v>
      </c>
      <c r="E995" s="11">
        <f t="shared" si="196"/>
        <v>35</v>
      </c>
      <c r="F995" s="11">
        <f t="shared" si="193"/>
        <v>175</v>
      </c>
    </row>
    <row r="996" spans="1:6" x14ac:dyDescent="0.25">
      <c r="A996" s="11" t="s">
        <v>73</v>
      </c>
      <c r="B996" s="11" t="str">
        <f t="shared" si="190"/>
        <v>1"611</v>
      </c>
      <c r="C996" s="11" t="s">
        <v>23</v>
      </c>
      <c r="D996" s="3">
        <f t="shared" si="187"/>
        <v>611</v>
      </c>
      <c r="E996" s="11">
        <f t="shared" ref="E996:E1007" si="197">E995</f>
        <v>35</v>
      </c>
      <c r="F996" s="11">
        <f t="shared" si="193"/>
        <v>175</v>
      </c>
    </row>
    <row r="997" spans="1:6" x14ac:dyDescent="0.25">
      <c r="A997" s="11" t="s">
        <v>73</v>
      </c>
      <c r="B997" s="11" t="str">
        <f t="shared" si="190"/>
        <v>1"612</v>
      </c>
      <c r="C997" s="11" t="s">
        <v>23</v>
      </c>
      <c r="D997" s="3">
        <f t="shared" si="187"/>
        <v>612</v>
      </c>
      <c r="E997" s="11">
        <f t="shared" si="197"/>
        <v>35</v>
      </c>
      <c r="F997" s="11">
        <f t="shared" si="193"/>
        <v>175</v>
      </c>
    </row>
    <row r="998" spans="1:6" x14ac:dyDescent="0.25">
      <c r="A998" s="11" t="s">
        <v>73</v>
      </c>
      <c r="B998" s="11" t="str">
        <f t="shared" si="190"/>
        <v>1"613</v>
      </c>
      <c r="C998" s="11" t="s">
        <v>23</v>
      </c>
      <c r="D998" s="3">
        <f t="shared" si="187"/>
        <v>613</v>
      </c>
      <c r="E998" s="11">
        <f t="shared" si="197"/>
        <v>35</v>
      </c>
      <c r="F998" s="11">
        <f t="shared" si="193"/>
        <v>175</v>
      </c>
    </row>
    <row r="999" spans="1:6" x14ac:dyDescent="0.25">
      <c r="A999" s="11" t="s">
        <v>73</v>
      </c>
      <c r="B999" s="11" t="str">
        <f t="shared" si="190"/>
        <v>1"614</v>
      </c>
      <c r="C999" s="11" t="s">
        <v>23</v>
      </c>
      <c r="D999" s="3">
        <f t="shared" si="187"/>
        <v>614</v>
      </c>
      <c r="E999" s="11">
        <f t="shared" si="197"/>
        <v>35</v>
      </c>
      <c r="F999" s="11">
        <f t="shared" si="193"/>
        <v>175</v>
      </c>
    </row>
    <row r="1000" spans="1:6" x14ac:dyDescent="0.25">
      <c r="A1000" s="11" t="s">
        <v>73</v>
      </c>
      <c r="B1000" s="11" t="str">
        <f t="shared" si="190"/>
        <v>1"615</v>
      </c>
      <c r="C1000" s="11" t="s">
        <v>23</v>
      </c>
      <c r="D1000" s="3">
        <f t="shared" si="187"/>
        <v>615</v>
      </c>
      <c r="E1000" s="11">
        <f t="shared" si="197"/>
        <v>35</v>
      </c>
      <c r="F1000" s="11">
        <f t="shared" si="193"/>
        <v>175</v>
      </c>
    </row>
    <row r="1001" spans="1:6" x14ac:dyDescent="0.25">
      <c r="A1001" s="11" t="s">
        <v>73</v>
      </c>
      <c r="B1001" s="11" t="str">
        <f t="shared" si="190"/>
        <v>1"616</v>
      </c>
      <c r="C1001" s="11" t="s">
        <v>23</v>
      </c>
      <c r="D1001" s="3">
        <f t="shared" si="187"/>
        <v>616</v>
      </c>
      <c r="E1001" s="11">
        <f t="shared" si="197"/>
        <v>35</v>
      </c>
      <c r="F1001" s="11">
        <f t="shared" si="193"/>
        <v>175</v>
      </c>
    </row>
    <row r="1002" spans="1:6" x14ac:dyDescent="0.25">
      <c r="A1002" s="11" t="s">
        <v>73</v>
      </c>
      <c r="B1002" s="11" t="str">
        <f t="shared" si="190"/>
        <v>1"617</v>
      </c>
      <c r="C1002" s="11" t="s">
        <v>23</v>
      </c>
      <c r="D1002" s="3">
        <f t="shared" ref="D1002:D1065" si="198">D1001+1</f>
        <v>617</v>
      </c>
      <c r="E1002" s="11">
        <f t="shared" si="197"/>
        <v>35</v>
      </c>
      <c r="F1002" s="11">
        <f t="shared" si="193"/>
        <v>175</v>
      </c>
    </row>
    <row r="1003" spans="1:6" x14ac:dyDescent="0.25">
      <c r="A1003" s="11" t="s">
        <v>73</v>
      </c>
      <c r="B1003" s="11" t="str">
        <f t="shared" si="190"/>
        <v>1"618</v>
      </c>
      <c r="C1003" s="11" t="s">
        <v>23</v>
      </c>
      <c r="D1003" s="3">
        <f t="shared" si="198"/>
        <v>618</v>
      </c>
      <c r="E1003" s="11">
        <f t="shared" si="197"/>
        <v>35</v>
      </c>
      <c r="F1003" s="11">
        <f t="shared" si="193"/>
        <v>175</v>
      </c>
    </row>
    <row r="1004" spans="1:6" x14ac:dyDescent="0.25">
      <c r="A1004" s="11" t="s">
        <v>73</v>
      </c>
      <c r="B1004" s="11" t="str">
        <f t="shared" si="190"/>
        <v>1"619</v>
      </c>
      <c r="C1004" s="11" t="s">
        <v>23</v>
      </c>
      <c r="D1004" s="3">
        <f t="shared" si="198"/>
        <v>619</v>
      </c>
      <c r="E1004" s="11">
        <f t="shared" si="197"/>
        <v>35</v>
      </c>
      <c r="F1004" s="11">
        <f t="shared" si="193"/>
        <v>175</v>
      </c>
    </row>
    <row r="1005" spans="1:6" x14ac:dyDescent="0.25">
      <c r="A1005" s="11" t="s">
        <v>73</v>
      </c>
      <c r="B1005" s="11" t="str">
        <f t="shared" si="190"/>
        <v>1"620</v>
      </c>
      <c r="C1005" s="11" t="s">
        <v>23</v>
      </c>
      <c r="D1005" s="3">
        <f t="shared" si="198"/>
        <v>620</v>
      </c>
      <c r="E1005" s="11">
        <f t="shared" si="197"/>
        <v>35</v>
      </c>
      <c r="F1005" s="11">
        <f t="shared" si="193"/>
        <v>175</v>
      </c>
    </row>
    <row r="1006" spans="1:6" x14ac:dyDescent="0.25">
      <c r="A1006" s="11" t="s">
        <v>73</v>
      </c>
      <c r="B1006" s="11" t="str">
        <f t="shared" si="190"/>
        <v>1"621</v>
      </c>
      <c r="C1006" s="11" t="s">
        <v>23</v>
      </c>
      <c r="D1006" s="3">
        <f t="shared" si="198"/>
        <v>621</v>
      </c>
      <c r="E1006" s="11">
        <f t="shared" si="197"/>
        <v>35</v>
      </c>
      <c r="F1006" s="11">
        <f t="shared" si="193"/>
        <v>175</v>
      </c>
    </row>
    <row r="1007" spans="1:6" x14ac:dyDescent="0.25">
      <c r="A1007" s="11" t="s">
        <v>73</v>
      </c>
      <c r="B1007" s="11" t="str">
        <f t="shared" si="190"/>
        <v>1"622</v>
      </c>
      <c r="C1007" s="11" t="s">
        <v>23</v>
      </c>
      <c r="D1007" s="3">
        <f t="shared" si="198"/>
        <v>622</v>
      </c>
      <c r="E1007" s="11">
        <f t="shared" si="197"/>
        <v>35</v>
      </c>
      <c r="F1007" s="11">
        <f t="shared" si="193"/>
        <v>175</v>
      </c>
    </row>
    <row r="1008" spans="1:6" x14ac:dyDescent="0.25">
      <c r="A1008" s="11" t="s">
        <v>73</v>
      </c>
      <c r="B1008" s="11" t="str">
        <f t="shared" si="190"/>
        <v>1"623</v>
      </c>
      <c r="C1008" s="11" t="s">
        <v>23</v>
      </c>
      <c r="D1008" s="3">
        <f t="shared" si="198"/>
        <v>623</v>
      </c>
      <c r="E1008" s="11">
        <f t="shared" ref="E1008" si="199">E1007+1</f>
        <v>36</v>
      </c>
      <c r="F1008" s="11">
        <f t="shared" si="193"/>
        <v>180</v>
      </c>
    </row>
    <row r="1009" spans="1:6" x14ac:dyDescent="0.25">
      <c r="A1009" s="11" t="s">
        <v>73</v>
      </c>
      <c r="B1009" s="11" t="str">
        <f t="shared" si="190"/>
        <v>1"624</v>
      </c>
      <c r="C1009" s="11" t="s">
        <v>23</v>
      </c>
      <c r="D1009" s="3">
        <f t="shared" si="198"/>
        <v>624</v>
      </c>
      <c r="E1009" s="11">
        <f t="shared" ref="E1009:E1027" si="200">E1008</f>
        <v>36</v>
      </c>
      <c r="F1009" s="11">
        <f t="shared" si="193"/>
        <v>180</v>
      </c>
    </row>
    <row r="1010" spans="1:6" x14ac:dyDescent="0.25">
      <c r="A1010" s="11" t="s">
        <v>73</v>
      </c>
      <c r="B1010" s="11" t="str">
        <f t="shared" si="190"/>
        <v>1"625</v>
      </c>
      <c r="C1010" s="11" t="s">
        <v>23</v>
      </c>
      <c r="D1010" s="3">
        <f t="shared" si="198"/>
        <v>625</v>
      </c>
      <c r="E1010" s="11">
        <f t="shared" si="200"/>
        <v>36</v>
      </c>
      <c r="F1010" s="11">
        <f t="shared" si="193"/>
        <v>180</v>
      </c>
    </row>
    <row r="1011" spans="1:6" x14ac:dyDescent="0.25">
      <c r="A1011" s="11" t="s">
        <v>73</v>
      </c>
      <c r="B1011" s="11" t="str">
        <f t="shared" si="190"/>
        <v>1"626</v>
      </c>
      <c r="C1011" s="11" t="s">
        <v>23</v>
      </c>
      <c r="D1011" s="3">
        <f t="shared" si="198"/>
        <v>626</v>
      </c>
      <c r="E1011" s="11">
        <f t="shared" si="200"/>
        <v>36</v>
      </c>
      <c r="F1011" s="11">
        <f t="shared" si="193"/>
        <v>180</v>
      </c>
    </row>
    <row r="1012" spans="1:6" x14ac:dyDescent="0.25">
      <c r="A1012" s="11" t="s">
        <v>73</v>
      </c>
      <c r="B1012" s="11" t="str">
        <f t="shared" si="190"/>
        <v>1"627</v>
      </c>
      <c r="C1012" s="11" t="s">
        <v>23</v>
      </c>
      <c r="D1012" s="3">
        <f t="shared" si="198"/>
        <v>627</v>
      </c>
      <c r="E1012" s="11">
        <f t="shared" si="200"/>
        <v>36</v>
      </c>
      <c r="F1012" s="11">
        <f t="shared" si="193"/>
        <v>180</v>
      </c>
    </row>
    <row r="1013" spans="1:6" x14ac:dyDescent="0.25">
      <c r="A1013" s="11" t="s">
        <v>73</v>
      </c>
      <c r="B1013" s="11" t="str">
        <f t="shared" si="190"/>
        <v>1"628</v>
      </c>
      <c r="C1013" s="11" t="s">
        <v>23</v>
      </c>
      <c r="D1013" s="3">
        <f t="shared" si="198"/>
        <v>628</v>
      </c>
      <c r="E1013" s="11">
        <f t="shared" si="200"/>
        <v>36</v>
      </c>
      <c r="F1013" s="11">
        <f t="shared" si="193"/>
        <v>180</v>
      </c>
    </row>
    <row r="1014" spans="1:6" x14ac:dyDescent="0.25">
      <c r="A1014" s="11" t="s">
        <v>73</v>
      </c>
      <c r="B1014" s="11" t="str">
        <f t="shared" si="190"/>
        <v>1"629</v>
      </c>
      <c r="C1014" s="11" t="s">
        <v>23</v>
      </c>
      <c r="D1014" s="3">
        <f t="shared" si="198"/>
        <v>629</v>
      </c>
      <c r="E1014" s="11">
        <f t="shared" si="200"/>
        <v>36</v>
      </c>
      <c r="F1014" s="11">
        <f t="shared" si="193"/>
        <v>180</v>
      </c>
    </row>
    <row r="1015" spans="1:6" x14ac:dyDescent="0.25">
      <c r="A1015" s="11" t="s">
        <v>73</v>
      </c>
      <c r="B1015" s="11" t="str">
        <f t="shared" si="190"/>
        <v>1"630</v>
      </c>
      <c r="C1015" s="11" t="s">
        <v>23</v>
      </c>
      <c r="D1015" s="3">
        <f t="shared" si="198"/>
        <v>630</v>
      </c>
      <c r="E1015" s="11">
        <f t="shared" si="200"/>
        <v>36</v>
      </c>
      <c r="F1015" s="11">
        <f t="shared" si="193"/>
        <v>180</v>
      </c>
    </row>
    <row r="1016" spans="1:6" x14ac:dyDescent="0.25">
      <c r="A1016" s="11" t="s">
        <v>73</v>
      </c>
      <c r="B1016" s="11" t="str">
        <f t="shared" si="190"/>
        <v>1"631</v>
      </c>
      <c r="C1016" s="11" t="s">
        <v>23</v>
      </c>
      <c r="D1016" s="3">
        <f t="shared" si="198"/>
        <v>631</v>
      </c>
      <c r="E1016" s="11">
        <f t="shared" si="200"/>
        <v>36</v>
      </c>
      <c r="F1016" s="11">
        <f t="shared" si="193"/>
        <v>180</v>
      </c>
    </row>
    <row r="1017" spans="1:6" x14ac:dyDescent="0.25">
      <c r="A1017" s="11" t="s">
        <v>73</v>
      </c>
      <c r="B1017" s="11" t="str">
        <f t="shared" si="190"/>
        <v>1"632</v>
      </c>
      <c r="C1017" s="11" t="s">
        <v>23</v>
      </c>
      <c r="D1017" s="3">
        <f t="shared" si="198"/>
        <v>632</v>
      </c>
      <c r="E1017" s="11">
        <f t="shared" si="200"/>
        <v>36</v>
      </c>
      <c r="F1017" s="11">
        <f t="shared" si="193"/>
        <v>180</v>
      </c>
    </row>
    <row r="1018" spans="1:6" x14ac:dyDescent="0.25">
      <c r="A1018" s="11" t="s">
        <v>73</v>
      </c>
      <c r="B1018" s="11" t="str">
        <f t="shared" si="190"/>
        <v>1"633</v>
      </c>
      <c r="C1018" s="11" t="s">
        <v>23</v>
      </c>
      <c r="D1018" s="3">
        <f t="shared" si="198"/>
        <v>633</v>
      </c>
      <c r="E1018" s="11">
        <f t="shared" si="200"/>
        <v>36</v>
      </c>
      <c r="F1018" s="11">
        <f t="shared" si="193"/>
        <v>180</v>
      </c>
    </row>
    <row r="1019" spans="1:6" x14ac:dyDescent="0.25">
      <c r="A1019" s="11" t="s">
        <v>73</v>
      </c>
      <c r="B1019" s="11" t="str">
        <f t="shared" ref="B1019:B1082" si="201">CONCATENATE(C1019&amp;D1019)</f>
        <v>1"634</v>
      </c>
      <c r="C1019" s="11" t="s">
        <v>23</v>
      </c>
      <c r="D1019" s="3">
        <f t="shared" si="198"/>
        <v>634</v>
      </c>
      <c r="E1019" s="11">
        <f t="shared" si="200"/>
        <v>36</v>
      </c>
      <c r="F1019" s="11">
        <f t="shared" si="193"/>
        <v>180</v>
      </c>
    </row>
    <row r="1020" spans="1:6" x14ac:dyDescent="0.25">
      <c r="A1020" s="11" t="s">
        <v>73</v>
      </c>
      <c r="B1020" s="11" t="str">
        <f t="shared" si="201"/>
        <v>1"635</v>
      </c>
      <c r="C1020" s="11" t="s">
        <v>23</v>
      </c>
      <c r="D1020" s="3">
        <f t="shared" si="198"/>
        <v>635</v>
      </c>
      <c r="E1020" s="11">
        <f t="shared" si="200"/>
        <v>36</v>
      </c>
      <c r="F1020" s="11">
        <f t="shared" si="193"/>
        <v>180</v>
      </c>
    </row>
    <row r="1021" spans="1:6" x14ac:dyDescent="0.25">
      <c r="A1021" s="11" t="s">
        <v>73</v>
      </c>
      <c r="B1021" s="11" t="str">
        <f t="shared" si="201"/>
        <v>1"636</v>
      </c>
      <c r="C1021" s="11" t="s">
        <v>23</v>
      </c>
      <c r="D1021" s="3">
        <f t="shared" si="198"/>
        <v>636</v>
      </c>
      <c r="E1021" s="11">
        <f t="shared" si="200"/>
        <v>36</v>
      </c>
      <c r="F1021" s="11">
        <f t="shared" si="193"/>
        <v>180</v>
      </c>
    </row>
    <row r="1022" spans="1:6" x14ac:dyDescent="0.25">
      <c r="A1022" s="11" t="s">
        <v>73</v>
      </c>
      <c r="B1022" s="11" t="str">
        <f t="shared" si="201"/>
        <v>1"637</v>
      </c>
      <c r="C1022" s="11" t="s">
        <v>23</v>
      </c>
      <c r="D1022" s="3">
        <f t="shared" si="198"/>
        <v>637</v>
      </c>
      <c r="E1022" s="11">
        <f t="shared" si="200"/>
        <v>36</v>
      </c>
      <c r="F1022" s="11">
        <f t="shared" si="193"/>
        <v>180</v>
      </c>
    </row>
    <row r="1023" spans="1:6" x14ac:dyDescent="0.25">
      <c r="A1023" s="11" t="s">
        <v>73</v>
      </c>
      <c r="B1023" s="11" t="str">
        <f t="shared" si="201"/>
        <v>1"638</v>
      </c>
      <c r="C1023" s="11" t="s">
        <v>23</v>
      </c>
      <c r="D1023" s="3">
        <f t="shared" si="198"/>
        <v>638</v>
      </c>
      <c r="E1023" s="11">
        <f t="shared" si="200"/>
        <v>36</v>
      </c>
      <c r="F1023" s="11">
        <f t="shared" si="193"/>
        <v>180</v>
      </c>
    </row>
    <row r="1024" spans="1:6" x14ac:dyDescent="0.25">
      <c r="A1024" s="11" t="s">
        <v>73</v>
      </c>
      <c r="B1024" s="11" t="str">
        <f t="shared" si="201"/>
        <v>1"639</v>
      </c>
      <c r="C1024" s="11" t="s">
        <v>23</v>
      </c>
      <c r="D1024" s="3">
        <f t="shared" si="198"/>
        <v>639</v>
      </c>
      <c r="E1024" s="11">
        <f t="shared" si="200"/>
        <v>36</v>
      </c>
      <c r="F1024" s="11">
        <f t="shared" si="193"/>
        <v>180</v>
      </c>
    </row>
    <row r="1025" spans="1:6" x14ac:dyDescent="0.25">
      <c r="A1025" s="11" t="s">
        <v>73</v>
      </c>
      <c r="B1025" s="11" t="str">
        <f t="shared" si="201"/>
        <v>1"640</v>
      </c>
      <c r="C1025" s="11" t="s">
        <v>23</v>
      </c>
      <c r="D1025" s="3">
        <f t="shared" si="198"/>
        <v>640</v>
      </c>
      <c r="E1025" s="11">
        <f t="shared" si="200"/>
        <v>36</v>
      </c>
      <c r="F1025" s="11">
        <f t="shared" si="193"/>
        <v>180</v>
      </c>
    </row>
    <row r="1026" spans="1:6" x14ac:dyDescent="0.25">
      <c r="A1026" s="11" t="s">
        <v>73</v>
      </c>
      <c r="B1026" s="11" t="str">
        <f t="shared" si="201"/>
        <v>1"641</v>
      </c>
      <c r="C1026" s="11" t="s">
        <v>23</v>
      </c>
      <c r="D1026" s="3">
        <f t="shared" si="198"/>
        <v>641</v>
      </c>
      <c r="E1026" s="11">
        <f t="shared" si="200"/>
        <v>36</v>
      </c>
      <c r="F1026" s="11">
        <f t="shared" si="193"/>
        <v>180</v>
      </c>
    </row>
    <row r="1027" spans="1:6" x14ac:dyDescent="0.25">
      <c r="A1027" s="11" t="s">
        <v>73</v>
      </c>
      <c r="B1027" s="11" t="str">
        <f t="shared" si="201"/>
        <v>1"642</v>
      </c>
      <c r="C1027" s="11" t="s">
        <v>23</v>
      </c>
      <c r="D1027" s="3">
        <f t="shared" si="198"/>
        <v>642</v>
      </c>
      <c r="E1027" s="11">
        <f t="shared" si="200"/>
        <v>36</v>
      </c>
      <c r="F1027" s="11">
        <f t="shared" si="193"/>
        <v>180</v>
      </c>
    </row>
    <row r="1028" spans="1:6" x14ac:dyDescent="0.25">
      <c r="A1028" s="11" t="s">
        <v>73</v>
      </c>
      <c r="B1028" s="11" t="str">
        <f t="shared" si="201"/>
        <v>1"643</v>
      </c>
      <c r="C1028" s="11" t="s">
        <v>23</v>
      </c>
      <c r="D1028" s="3">
        <f t="shared" si="198"/>
        <v>643</v>
      </c>
      <c r="E1028" s="11">
        <f t="shared" ref="E1028" si="202">E1027+1</f>
        <v>37</v>
      </c>
      <c r="F1028" s="11">
        <f t="shared" si="193"/>
        <v>185</v>
      </c>
    </row>
    <row r="1029" spans="1:6" x14ac:dyDescent="0.25">
      <c r="A1029" s="11" t="s">
        <v>73</v>
      </c>
      <c r="B1029" s="11" t="str">
        <f t="shared" si="201"/>
        <v>1"644</v>
      </c>
      <c r="C1029" s="11" t="s">
        <v>23</v>
      </c>
      <c r="D1029" s="3">
        <f t="shared" si="198"/>
        <v>644</v>
      </c>
      <c r="E1029" s="11">
        <f t="shared" ref="E1029:E1047" si="203">E1028</f>
        <v>37</v>
      </c>
      <c r="F1029" s="11">
        <f t="shared" si="193"/>
        <v>185</v>
      </c>
    </row>
    <row r="1030" spans="1:6" x14ac:dyDescent="0.25">
      <c r="A1030" s="11" t="s">
        <v>73</v>
      </c>
      <c r="B1030" s="11" t="str">
        <f t="shared" si="201"/>
        <v>1"645</v>
      </c>
      <c r="C1030" s="11" t="s">
        <v>23</v>
      </c>
      <c r="D1030" s="3">
        <f t="shared" si="198"/>
        <v>645</v>
      </c>
      <c r="E1030" s="11">
        <f t="shared" si="203"/>
        <v>37</v>
      </c>
      <c r="F1030" s="11">
        <f t="shared" si="193"/>
        <v>185</v>
      </c>
    </row>
    <row r="1031" spans="1:6" x14ac:dyDescent="0.25">
      <c r="A1031" s="11" t="s">
        <v>73</v>
      </c>
      <c r="B1031" s="11" t="str">
        <f t="shared" si="201"/>
        <v>1"646</v>
      </c>
      <c r="C1031" s="11" t="s">
        <v>23</v>
      </c>
      <c r="D1031" s="3">
        <f t="shared" si="198"/>
        <v>646</v>
      </c>
      <c r="E1031" s="11">
        <f t="shared" si="203"/>
        <v>37</v>
      </c>
      <c r="F1031" s="11">
        <f t="shared" si="193"/>
        <v>185</v>
      </c>
    </row>
    <row r="1032" spans="1:6" x14ac:dyDescent="0.25">
      <c r="A1032" s="11" t="s">
        <v>73</v>
      </c>
      <c r="B1032" s="11" t="str">
        <f t="shared" si="201"/>
        <v>1"647</v>
      </c>
      <c r="C1032" s="11" t="s">
        <v>23</v>
      </c>
      <c r="D1032" s="3">
        <f t="shared" si="198"/>
        <v>647</v>
      </c>
      <c r="E1032" s="11">
        <f t="shared" si="203"/>
        <v>37</v>
      </c>
      <c r="F1032" s="11">
        <f t="shared" si="193"/>
        <v>185</v>
      </c>
    </row>
    <row r="1033" spans="1:6" x14ac:dyDescent="0.25">
      <c r="A1033" s="11" t="s">
        <v>73</v>
      </c>
      <c r="B1033" s="11" t="str">
        <f t="shared" si="201"/>
        <v>1"648</v>
      </c>
      <c r="C1033" s="11" t="s">
        <v>23</v>
      </c>
      <c r="D1033" s="3">
        <f t="shared" si="198"/>
        <v>648</v>
      </c>
      <c r="E1033" s="11">
        <f t="shared" si="203"/>
        <v>37</v>
      </c>
      <c r="F1033" s="11">
        <f t="shared" si="193"/>
        <v>185</v>
      </c>
    </row>
    <row r="1034" spans="1:6" x14ac:dyDescent="0.25">
      <c r="A1034" s="11" t="s">
        <v>73</v>
      </c>
      <c r="B1034" s="11" t="str">
        <f t="shared" si="201"/>
        <v>1"649</v>
      </c>
      <c r="C1034" s="11" t="s">
        <v>23</v>
      </c>
      <c r="D1034" s="3">
        <f t="shared" si="198"/>
        <v>649</v>
      </c>
      <c r="E1034" s="11">
        <f t="shared" si="203"/>
        <v>37</v>
      </c>
      <c r="F1034" s="11">
        <f t="shared" si="193"/>
        <v>185</v>
      </c>
    </row>
    <row r="1035" spans="1:6" x14ac:dyDescent="0.25">
      <c r="A1035" s="11" t="s">
        <v>73</v>
      </c>
      <c r="B1035" s="11" t="str">
        <f t="shared" si="201"/>
        <v>1"650</v>
      </c>
      <c r="C1035" s="11" t="s">
        <v>23</v>
      </c>
      <c r="D1035" s="3">
        <f t="shared" si="198"/>
        <v>650</v>
      </c>
      <c r="E1035" s="11">
        <f t="shared" si="203"/>
        <v>37</v>
      </c>
      <c r="F1035" s="11">
        <f t="shared" ref="F1035:F1098" si="204">E1035*$F$1</f>
        <v>185</v>
      </c>
    </row>
    <row r="1036" spans="1:6" x14ac:dyDescent="0.25">
      <c r="A1036" s="11" t="s">
        <v>73</v>
      </c>
      <c r="B1036" s="11" t="str">
        <f t="shared" si="201"/>
        <v>1"651</v>
      </c>
      <c r="C1036" s="11" t="s">
        <v>23</v>
      </c>
      <c r="D1036" s="3">
        <f t="shared" si="198"/>
        <v>651</v>
      </c>
      <c r="E1036" s="11">
        <f t="shared" si="203"/>
        <v>37</v>
      </c>
      <c r="F1036" s="11">
        <f t="shared" si="204"/>
        <v>185</v>
      </c>
    </row>
    <row r="1037" spans="1:6" x14ac:dyDescent="0.25">
      <c r="A1037" s="11" t="s">
        <v>73</v>
      </c>
      <c r="B1037" s="11" t="str">
        <f t="shared" si="201"/>
        <v>1"652</v>
      </c>
      <c r="C1037" s="11" t="s">
        <v>23</v>
      </c>
      <c r="D1037" s="3">
        <f t="shared" si="198"/>
        <v>652</v>
      </c>
      <c r="E1037" s="11">
        <f t="shared" si="203"/>
        <v>37</v>
      </c>
      <c r="F1037" s="11">
        <f t="shared" si="204"/>
        <v>185</v>
      </c>
    </row>
    <row r="1038" spans="1:6" x14ac:dyDescent="0.25">
      <c r="A1038" s="11" t="s">
        <v>73</v>
      </c>
      <c r="B1038" s="11" t="str">
        <f t="shared" si="201"/>
        <v>1"653</v>
      </c>
      <c r="C1038" s="11" t="s">
        <v>23</v>
      </c>
      <c r="D1038" s="3">
        <f t="shared" si="198"/>
        <v>653</v>
      </c>
      <c r="E1038" s="11">
        <f t="shared" si="203"/>
        <v>37</v>
      </c>
      <c r="F1038" s="11">
        <f t="shared" si="204"/>
        <v>185</v>
      </c>
    </row>
    <row r="1039" spans="1:6" x14ac:dyDescent="0.25">
      <c r="A1039" s="11" t="s">
        <v>73</v>
      </c>
      <c r="B1039" s="11" t="str">
        <f t="shared" si="201"/>
        <v>1"654</v>
      </c>
      <c r="C1039" s="11" t="s">
        <v>23</v>
      </c>
      <c r="D1039" s="3">
        <f t="shared" si="198"/>
        <v>654</v>
      </c>
      <c r="E1039" s="11">
        <f t="shared" si="203"/>
        <v>37</v>
      </c>
      <c r="F1039" s="11">
        <f t="shared" si="204"/>
        <v>185</v>
      </c>
    </row>
    <row r="1040" spans="1:6" x14ac:dyDescent="0.25">
      <c r="A1040" s="11" t="s">
        <v>73</v>
      </c>
      <c r="B1040" s="11" t="str">
        <f t="shared" si="201"/>
        <v>1"655</v>
      </c>
      <c r="C1040" s="11" t="s">
        <v>23</v>
      </c>
      <c r="D1040" s="3">
        <f t="shared" si="198"/>
        <v>655</v>
      </c>
      <c r="E1040" s="11">
        <f t="shared" si="203"/>
        <v>37</v>
      </c>
      <c r="F1040" s="11">
        <f t="shared" si="204"/>
        <v>185</v>
      </c>
    </row>
    <row r="1041" spans="1:6" x14ac:dyDescent="0.25">
      <c r="A1041" s="11" t="s">
        <v>73</v>
      </c>
      <c r="B1041" s="11" t="str">
        <f t="shared" si="201"/>
        <v>1"656</v>
      </c>
      <c r="C1041" s="11" t="s">
        <v>23</v>
      </c>
      <c r="D1041" s="3">
        <f t="shared" si="198"/>
        <v>656</v>
      </c>
      <c r="E1041" s="11">
        <f t="shared" si="203"/>
        <v>37</v>
      </c>
      <c r="F1041" s="11">
        <f t="shared" si="204"/>
        <v>185</v>
      </c>
    </row>
    <row r="1042" spans="1:6" x14ac:dyDescent="0.25">
      <c r="A1042" s="11" t="s">
        <v>73</v>
      </c>
      <c r="B1042" s="11" t="str">
        <f t="shared" si="201"/>
        <v>1"657</v>
      </c>
      <c r="C1042" s="11" t="s">
        <v>23</v>
      </c>
      <c r="D1042" s="3">
        <f t="shared" si="198"/>
        <v>657</v>
      </c>
      <c r="E1042" s="11">
        <f t="shared" si="203"/>
        <v>37</v>
      </c>
      <c r="F1042" s="11">
        <f t="shared" si="204"/>
        <v>185</v>
      </c>
    </row>
    <row r="1043" spans="1:6" x14ac:dyDescent="0.25">
      <c r="A1043" s="11" t="s">
        <v>73</v>
      </c>
      <c r="B1043" s="11" t="str">
        <f t="shared" si="201"/>
        <v>1"658</v>
      </c>
      <c r="C1043" s="11" t="s">
        <v>23</v>
      </c>
      <c r="D1043" s="3">
        <f t="shared" si="198"/>
        <v>658</v>
      </c>
      <c r="E1043" s="11">
        <f t="shared" si="203"/>
        <v>37</v>
      </c>
      <c r="F1043" s="11">
        <f t="shared" si="204"/>
        <v>185</v>
      </c>
    </row>
    <row r="1044" spans="1:6" x14ac:dyDescent="0.25">
      <c r="A1044" s="11" t="s">
        <v>73</v>
      </c>
      <c r="B1044" s="11" t="str">
        <f t="shared" si="201"/>
        <v>1"659</v>
      </c>
      <c r="C1044" s="11" t="s">
        <v>23</v>
      </c>
      <c r="D1044" s="3">
        <f t="shared" si="198"/>
        <v>659</v>
      </c>
      <c r="E1044" s="11">
        <f t="shared" si="203"/>
        <v>37</v>
      </c>
      <c r="F1044" s="11">
        <f t="shared" si="204"/>
        <v>185</v>
      </c>
    </row>
    <row r="1045" spans="1:6" x14ac:dyDescent="0.25">
      <c r="A1045" s="11" t="s">
        <v>73</v>
      </c>
      <c r="B1045" s="11" t="str">
        <f t="shared" si="201"/>
        <v>1"660</v>
      </c>
      <c r="C1045" s="11" t="s">
        <v>23</v>
      </c>
      <c r="D1045" s="3">
        <f t="shared" si="198"/>
        <v>660</v>
      </c>
      <c r="E1045" s="11">
        <f t="shared" si="203"/>
        <v>37</v>
      </c>
      <c r="F1045" s="11">
        <f t="shared" si="204"/>
        <v>185</v>
      </c>
    </row>
    <row r="1046" spans="1:6" x14ac:dyDescent="0.25">
      <c r="A1046" s="11" t="s">
        <v>73</v>
      </c>
      <c r="B1046" s="11" t="str">
        <f t="shared" si="201"/>
        <v>1"661</v>
      </c>
      <c r="C1046" s="11" t="s">
        <v>23</v>
      </c>
      <c r="D1046" s="3">
        <f t="shared" si="198"/>
        <v>661</v>
      </c>
      <c r="E1046" s="11">
        <f t="shared" si="203"/>
        <v>37</v>
      </c>
      <c r="F1046" s="11">
        <f t="shared" si="204"/>
        <v>185</v>
      </c>
    </row>
    <row r="1047" spans="1:6" x14ac:dyDescent="0.25">
      <c r="A1047" s="11" t="s">
        <v>73</v>
      </c>
      <c r="B1047" s="11" t="str">
        <f t="shared" si="201"/>
        <v>1"662</v>
      </c>
      <c r="C1047" s="11" t="s">
        <v>23</v>
      </c>
      <c r="D1047" s="3">
        <f t="shared" si="198"/>
        <v>662</v>
      </c>
      <c r="E1047" s="11">
        <f t="shared" si="203"/>
        <v>37</v>
      </c>
      <c r="F1047" s="11">
        <f t="shared" si="204"/>
        <v>185</v>
      </c>
    </row>
    <row r="1048" spans="1:6" x14ac:dyDescent="0.25">
      <c r="A1048" s="11" t="s">
        <v>73</v>
      </c>
      <c r="B1048" s="11" t="str">
        <f t="shared" si="201"/>
        <v>1"663</v>
      </c>
      <c r="C1048" s="11" t="s">
        <v>23</v>
      </c>
      <c r="D1048" s="3">
        <f t="shared" si="198"/>
        <v>663</v>
      </c>
      <c r="E1048" s="11">
        <f t="shared" ref="E1048" si="205">E1047+1</f>
        <v>38</v>
      </c>
      <c r="F1048" s="11">
        <f t="shared" si="204"/>
        <v>190</v>
      </c>
    </row>
    <row r="1049" spans="1:6" x14ac:dyDescent="0.25">
      <c r="A1049" s="11" t="s">
        <v>73</v>
      </c>
      <c r="B1049" s="11" t="str">
        <f t="shared" si="201"/>
        <v>1"664</v>
      </c>
      <c r="C1049" s="11" t="s">
        <v>23</v>
      </c>
      <c r="D1049" s="3">
        <f t="shared" si="198"/>
        <v>664</v>
      </c>
      <c r="E1049" s="11">
        <f t="shared" ref="E1049:E1062" si="206">E1048</f>
        <v>38</v>
      </c>
      <c r="F1049" s="11">
        <f t="shared" si="204"/>
        <v>190</v>
      </c>
    </row>
    <row r="1050" spans="1:6" x14ac:dyDescent="0.25">
      <c r="A1050" s="11" t="s">
        <v>73</v>
      </c>
      <c r="B1050" s="11" t="str">
        <f t="shared" si="201"/>
        <v>1"665</v>
      </c>
      <c r="C1050" s="11" t="s">
        <v>23</v>
      </c>
      <c r="D1050" s="3">
        <f t="shared" si="198"/>
        <v>665</v>
      </c>
      <c r="E1050" s="11">
        <f t="shared" si="206"/>
        <v>38</v>
      </c>
      <c r="F1050" s="11">
        <f t="shared" si="204"/>
        <v>190</v>
      </c>
    </row>
    <row r="1051" spans="1:6" x14ac:dyDescent="0.25">
      <c r="A1051" s="11" t="s">
        <v>73</v>
      </c>
      <c r="B1051" s="11" t="str">
        <f t="shared" si="201"/>
        <v>1"666</v>
      </c>
      <c r="C1051" s="11" t="s">
        <v>23</v>
      </c>
      <c r="D1051" s="3">
        <f t="shared" si="198"/>
        <v>666</v>
      </c>
      <c r="E1051" s="11">
        <f t="shared" si="206"/>
        <v>38</v>
      </c>
      <c r="F1051" s="11">
        <f t="shared" si="204"/>
        <v>190</v>
      </c>
    </row>
    <row r="1052" spans="1:6" x14ac:dyDescent="0.25">
      <c r="A1052" s="11" t="s">
        <v>73</v>
      </c>
      <c r="B1052" s="11" t="str">
        <f t="shared" si="201"/>
        <v>1"667</v>
      </c>
      <c r="C1052" s="11" t="s">
        <v>23</v>
      </c>
      <c r="D1052" s="3">
        <f t="shared" si="198"/>
        <v>667</v>
      </c>
      <c r="E1052" s="11">
        <f t="shared" si="206"/>
        <v>38</v>
      </c>
      <c r="F1052" s="11">
        <f t="shared" si="204"/>
        <v>190</v>
      </c>
    </row>
    <row r="1053" spans="1:6" x14ac:dyDescent="0.25">
      <c r="A1053" s="11" t="s">
        <v>73</v>
      </c>
      <c r="B1053" s="11" t="str">
        <f t="shared" si="201"/>
        <v>1"668</v>
      </c>
      <c r="C1053" s="11" t="s">
        <v>23</v>
      </c>
      <c r="D1053" s="3">
        <f t="shared" si="198"/>
        <v>668</v>
      </c>
      <c r="E1053" s="11">
        <f t="shared" si="206"/>
        <v>38</v>
      </c>
      <c r="F1053" s="11">
        <f t="shared" si="204"/>
        <v>190</v>
      </c>
    </row>
    <row r="1054" spans="1:6" x14ac:dyDescent="0.25">
      <c r="A1054" s="11" t="s">
        <v>73</v>
      </c>
      <c r="B1054" s="11" t="str">
        <f t="shared" si="201"/>
        <v>1"669</v>
      </c>
      <c r="C1054" s="11" t="s">
        <v>23</v>
      </c>
      <c r="D1054" s="3">
        <f t="shared" si="198"/>
        <v>669</v>
      </c>
      <c r="E1054" s="11">
        <f t="shared" si="206"/>
        <v>38</v>
      </c>
      <c r="F1054" s="11">
        <f t="shared" si="204"/>
        <v>190</v>
      </c>
    </row>
    <row r="1055" spans="1:6" x14ac:dyDescent="0.25">
      <c r="A1055" s="11" t="s">
        <v>73</v>
      </c>
      <c r="B1055" s="11" t="str">
        <f t="shared" si="201"/>
        <v>1"670</v>
      </c>
      <c r="C1055" s="11" t="s">
        <v>23</v>
      </c>
      <c r="D1055" s="3">
        <f t="shared" si="198"/>
        <v>670</v>
      </c>
      <c r="E1055" s="11">
        <f t="shared" si="206"/>
        <v>38</v>
      </c>
      <c r="F1055" s="11">
        <f t="shared" si="204"/>
        <v>190</v>
      </c>
    </row>
    <row r="1056" spans="1:6" x14ac:dyDescent="0.25">
      <c r="A1056" s="11" t="s">
        <v>73</v>
      </c>
      <c r="B1056" s="11" t="str">
        <f t="shared" si="201"/>
        <v>1"671</v>
      </c>
      <c r="C1056" s="11" t="s">
        <v>23</v>
      </c>
      <c r="D1056" s="3">
        <f t="shared" si="198"/>
        <v>671</v>
      </c>
      <c r="E1056" s="11">
        <f t="shared" si="206"/>
        <v>38</v>
      </c>
      <c r="F1056" s="11">
        <f t="shared" si="204"/>
        <v>190</v>
      </c>
    </row>
    <row r="1057" spans="1:6" x14ac:dyDescent="0.25">
      <c r="A1057" s="11" t="s">
        <v>73</v>
      </c>
      <c r="B1057" s="11" t="str">
        <f t="shared" si="201"/>
        <v>1"672</v>
      </c>
      <c r="C1057" s="11" t="s">
        <v>23</v>
      </c>
      <c r="D1057" s="3">
        <f t="shared" si="198"/>
        <v>672</v>
      </c>
      <c r="E1057" s="11">
        <f t="shared" si="206"/>
        <v>38</v>
      </c>
      <c r="F1057" s="11">
        <f t="shared" si="204"/>
        <v>190</v>
      </c>
    </row>
    <row r="1058" spans="1:6" x14ac:dyDescent="0.25">
      <c r="A1058" s="11" t="s">
        <v>73</v>
      </c>
      <c r="B1058" s="11" t="str">
        <f t="shared" si="201"/>
        <v>1"673</v>
      </c>
      <c r="C1058" s="11" t="s">
        <v>23</v>
      </c>
      <c r="D1058" s="3">
        <f t="shared" si="198"/>
        <v>673</v>
      </c>
      <c r="E1058" s="11">
        <f t="shared" si="206"/>
        <v>38</v>
      </c>
      <c r="F1058" s="11">
        <f t="shared" si="204"/>
        <v>190</v>
      </c>
    </row>
    <row r="1059" spans="1:6" x14ac:dyDescent="0.25">
      <c r="A1059" s="11" t="s">
        <v>73</v>
      </c>
      <c r="B1059" s="11" t="str">
        <f t="shared" si="201"/>
        <v>1"674</v>
      </c>
      <c r="C1059" s="11" t="s">
        <v>23</v>
      </c>
      <c r="D1059" s="3">
        <f t="shared" si="198"/>
        <v>674</v>
      </c>
      <c r="E1059" s="11">
        <f t="shared" si="206"/>
        <v>38</v>
      </c>
      <c r="F1059" s="11">
        <f t="shared" si="204"/>
        <v>190</v>
      </c>
    </row>
    <row r="1060" spans="1:6" x14ac:dyDescent="0.25">
      <c r="A1060" s="11" t="s">
        <v>73</v>
      </c>
      <c r="B1060" s="11" t="str">
        <f t="shared" si="201"/>
        <v>1"675</v>
      </c>
      <c r="C1060" s="11" t="s">
        <v>23</v>
      </c>
      <c r="D1060" s="3">
        <f t="shared" si="198"/>
        <v>675</v>
      </c>
      <c r="E1060" s="11">
        <f t="shared" si="206"/>
        <v>38</v>
      </c>
      <c r="F1060" s="11">
        <f t="shared" si="204"/>
        <v>190</v>
      </c>
    </row>
    <row r="1061" spans="1:6" x14ac:dyDescent="0.25">
      <c r="A1061" s="11" t="s">
        <v>73</v>
      </c>
      <c r="B1061" s="11" t="str">
        <f t="shared" si="201"/>
        <v>1"676</v>
      </c>
      <c r="C1061" s="11" t="s">
        <v>23</v>
      </c>
      <c r="D1061" s="3">
        <f t="shared" si="198"/>
        <v>676</v>
      </c>
      <c r="E1061" s="11">
        <f t="shared" si="206"/>
        <v>38</v>
      </c>
      <c r="F1061" s="11">
        <f t="shared" si="204"/>
        <v>190</v>
      </c>
    </row>
    <row r="1062" spans="1:6" x14ac:dyDescent="0.25">
      <c r="A1062" s="11" t="s">
        <v>73</v>
      </c>
      <c r="B1062" s="11" t="str">
        <f t="shared" si="201"/>
        <v>1"677</v>
      </c>
      <c r="C1062" s="11" t="s">
        <v>23</v>
      </c>
      <c r="D1062" s="3">
        <f t="shared" si="198"/>
        <v>677</v>
      </c>
      <c r="E1062" s="11">
        <f t="shared" si="206"/>
        <v>38</v>
      </c>
      <c r="F1062" s="11">
        <f t="shared" si="204"/>
        <v>190</v>
      </c>
    </row>
    <row r="1063" spans="1:6" x14ac:dyDescent="0.25">
      <c r="A1063" s="11" t="s">
        <v>73</v>
      </c>
      <c r="B1063" s="11" t="str">
        <f t="shared" si="201"/>
        <v>1"678</v>
      </c>
      <c r="C1063" s="11" t="s">
        <v>23</v>
      </c>
      <c r="D1063" s="3">
        <f t="shared" si="198"/>
        <v>678</v>
      </c>
      <c r="E1063" s="11">
        <f>E1062+1</f>
        <v>39</v>
      </c>
      <c r="F1063" s="11">
        <f t="shared" si="204"/>
        <v>195</v>
      </c>
    </row>
    <row r="1064" spans="1:6" x14ac:dyDescent="0.25">
      <c r="A1064" s="11" t="s">
        <v>73</v>
      </c>
      <c r="B1064" s="11" t="str">
        <f t="shared" si="201"/>
        <v>1"679</v>
      </c>
      <c r="C1064" s="11" t="s">
        <v>23</v>
      </c>
      <c r="D1064" s="3">
        <f t="shared" si="198"/>
        <v>679</v>
      </c>
      <c r="E1064" s="11">
        <f t="shared" ref="E1064:E1070" si="207">E1063</f>
        <v>39</v>
      </c>
      <c r="F1064" s="11">
        <f t="shared" si="204"/>
        <v>195</v>
      </c>
    </row>
    <row r="1065" spans="1:6" x14ac:dyDescent="0.25">
      <c r="A1065" s="11" t="s">
        <v>73</v>
      </c>
      <c r="B1065" s="11" t="str">
        <f t="shared" si="201"/>
        <v>1"680</v>
      </c>
      <c r="C1065" s="11" t="s">
        <v>23</v>
      </c>
      <c r="D1065" s="3">
        <f t="shared" si="198"/>
        <v>680</v>
      </c>
      <c r="E1065" s="11">
        <f t="shared" si="207"/>
        <v>39</v>
      </c>
      <c r="F1065" s="11">
        <f t="shared" si="204"/>
        <v>195</v>
      </c>
    </row>
    <row r="1066" spans="1:6" x14ac:dyDescent="0.25">
      <c r="A1066" s="11" t="s">
        <v>73</v>
      </c>
      <c r="B1066" s="11" t="str">
        <f t="shared" si="201"/>
        <v>1"681</v>
      </c>
      <c r="C1066" s="11" t="s">
        <v>23</v>
      </c>
      <c r="D1066" s="3">
        <f t="shared" ref="D1066:D1129" si="208">D1065+1</f>
        <v>681</v>
      </c>
      <c r="E1066" s="11">
        <f t="shared" si="207"/>
        <v>39</v>
      </c>
      <c r="F1066" s="11">
        <f t="shared" si="204"/>
        <v>195</v>
      </c>
    </row>
    <row r="1067" spans="1:6" x14ac:dyDescent="0.25">
      <c r="A1067" s="11" t="s">
        <v>73</v>
      </c>
      <c r="B1067" s="11" t="str">
        <f t="shared" si="201"/>
        <v>1"682</v>
      </c>
      <c r="C1067" s="11" t="s">
        <v>23</v>
      </c>
      <c r="D1067" s="3">
        <f t="shared" si="208"/>
        <v>682</v>
      </c>
      <c r="E1067" s="11">
        <f t="shared" si="207"/>
        <v>39</v>
      </c>
      <c r="F1067" s="11">
        <f t="shared" si="204"/>
        <v>195</v>
      </c>
    </row>
    <row r="1068" spans="1:6" x14ac:dyDescent="0.25">
      <c r="A1068" s="11" t="s">
        <v>73</v>
      </c>
      <c r="B1068" s="11" t="str">
        <f t="shared" si="201"/>
        <v>1"683</v>
      </c>
      <c r="C1068" s="11" t="s">
        <v>23</v>
      </c>
      <c r="D1068" s="3">
        <f t="shared" si="208"/>
        <v>683</v>
      </c>
      <c r="E1068" s="11">
        <f t="shared" si="207"/>
        <v>39</v>
      </c>
      <c r="F1068" s="11">
        <f t="shared" si="204"/>
        <v>195</v>
      </c>
    </row>
    <row r="1069" spans="1:6" x14ac:dyDescent="0.25">
      <c r="A1069" s="11" t="s">
        <v>73</v>
      </c>
      <c r="B1069" s="11" t="str">
        <f t="shared" si="201"/>
        <v>1"684</v>
      </c>
      <c r="C1069" s="11" t="s">
        <v>23</v>
      </c>
      <c r="D1069" s="3">
        <f t="shared" si="208"/>
        <v>684</v>
      </c>
      <c r="E1069" s="11">
        <f t="shared" si="207"/>
        <v>39</v>
      </c>
      <c r="F1069" s="11">
        <f t="shared" si="204"/>
        <v>195</v>
      </c>
    </row>
    <row r="1070" spans="1:6" x14ac:dyDescent="0.25">
      <c r="A1070" s="11" t="s">
        <v>73</v>
      </c>
      <c r="B1070" s="11" t="str">
        <f t="shared" si="201"/>
        <v>1"685</v>
      </c>
      <c r="C1070" s="11" t="s">
        <v>23</v>
      </c>
      <c r="D1070" s="3">
        <f t="shared" si="208"/>
        <v>685</v>
      </c>
      <c r="E1070" s="11">
        <f t="shared" si="207"/>
        <v>39</v>
      </c>
      <c r="F1070" s="11">
        <f t="shared" si="204"/>
        <v>195</v>
      </c>
    </row>
    <row r="1071" spans="1:6" x14ac:dyDescent="0.25">
      <c r="A1071" s="11" t="s">
        <v>73</v>
      </c>
      <c r="B1071" s="11" t="str">
        <f t="shared" si="201"/>
        <v>1"686</v>
      </c>
      <c r="C1071" s="11" t="s">
        <v>23</v>
      </c>
      <c r="D1071" s="3">
        <f t="shared" si="208"/>
        <v>686</v>
      </c>
      <c r="E1071" s="11">
        <f t="shared" ref="E1071:E1082" si="209">E1070</f>
        <v>39</v>
      </c>
      <c r="F1071" s="11">
        <f t="shared" si="204"/>
        <v>195</v>
      </c>
    </row>
    <row r="1072" spans="1:6" x14ac:dyDescent="0.25">
      <c r="A1072" s="11" t="s">
        <v>73</v>
      </c>
      <c r="B1072" s="11" t="str">
        <f t="shared" si="201"/>
        <v>1"687</v>
      </c>
      <c r="C1072" s="11" t="s">
        <v>23</v>
      </c>
      <c r="D1072" s="3">
        <f t="shared" si="208"/>
        <v>687</v>
      </c>
      <c r="E1072" s="11">
        <f t="shared" si="209"/>
        <v>39</v>
      </c>
      <c r="F1072" s="11">
        <f t="shared" si="204"/>
        <v>195</v>
      </c>
    </row>
    <row r="1073" spans="1:6" x14ac:dyDescent="0.25">
      <c r="A1073" s="11" t="s">
        <v>73</v>
      </c>
      <c r="B1073" s="11" t="str">
        <f t="shared" si="201"/>
        <v>1"688</v>
      </c>
      <c r="C1073" s="11" t="s">
        <v>23</v>
      </c>
      <c r="D1073" s="3">
        <f t="shared" si="208"/>
        <v>688</v>
      </c>
      <c r="E1073" s="11">
        <f t="shared" si="209"/>
        <v>39</v>
      </c>
      <c r="F1073" s="11">
        <f t="shared" si="204"/>
        <v>195</v>
      </c>
    </row>
    <row r="1074" spans="1:6" x14ac:dyDescent="0.25">
      <c r="A1074" s="11" t="s">
        <v>73</v>
      </c>
      <c r="B1074" s="11" t="str">
        <f t="shared" si="201"/>
        <v>1"689</v>
      </c>
      <c r="C1074" s="11" t="s">
        <v>23</v>
      </c>
      <c r="D1074" s="3">
        <f t="shared" si="208"/>
        <v>689</v>
      </c>
      <c r="E1074" s="11">
        <f t="shared" si="209"/>
        <v>39</v>
      </c>
      <c r="F1074" s="11">
        <f t="shared" si="204"/>
        <v>195</v>
      </c>
    </row>
    <row r="1075" spans="1:6" x14ac:dyDescent="0.25">
      <c r="A1075" s="11" t="s">
        <v>73</v>
      </c>
      <c r="B1075" s="11" t="str">
        <f t="shared" si="201"/>
        <v>1"690</v>
      </c>
      <c r="C1075" s="11" t="s">
        <v>23</v>
      </c>
      <c r="D1075" s="3">
        <f t="shared" si="208"/>
        <v>690</v>
      </c>
      <c r="E1075" s="11">
        <f t="shared" si="209"/>
        <v>39</v>
      </c>
      <c r="F1075" s="11">
        <f t="shared" si="204"/>
        <v>195</v>
      </c>
    </row>
    <row r="1076" spans="1:6" x14ac:dyDescent="0.25">
      <c r="A1076" s="11" t="s">
        <v>73</v>
      </c>
      <c r="B1076" s="11" t="str">
        <f t="shared" si="201"/>
        <v>1"691</v>
      </c>
      <c r="C1076" s="11" t="s">
        <v>23</v>
      </c>
      <c r="D1076" s="3">
        <f t="shared" si="208"/>
        <v>691</v>
      </c>
      <c r="E1076" s="11">
        <f t="shared" si="209"/>
        <v>39</v>
      </c>
      <c r="F1076" s="11">
        <f t="shared" si="204"/>
        <v>195</v>
      </c>
    </row>
    <row r="1077" spans="1:6" x14ac:dyDescent="0.25">
      <c r="A1077" s="11" t="s">
        <v>73</v>
      </c>
      <c r="B1077" s="11" t="str">
        <f t="shared" si="201"/>
        <v>1"692</v>
      </c>
      <c r="C1077" s="11" t="s">
        <v>23</v>
      </c>
      <c r="D1077" s="3">
        <f t="shared" si="208"/>
        <v>692</v>
      </c>
      <c r="E1077" s="11">
        <f t="shared" si="209"/>
        <v>39</v>
      </c>
      <c r="F1077" s="11">
        <f t="shared" si="204"/>
        <v>195</v>
      </c>
    </row>
    <row r="1078" spans="1:6" x14ac:dyDescent="0.25">
      <c r="A1078" s="11" t="s">
        <v>73</v>
      </c>
      <c r="B1078" s="11" t="str">
        <f t="shared" si="201"/>
        <v>1"693</v>
      </c>
      <c r="C1078" s="11" t="s">
        <v>23</v>
      </c>
      <c r="D1078" s="3">
        <f t="shared" si="208"/>
        <v>693</v>
      </c>
      <c r="E1078" s="11">
        <f t="shared" si="209"/>
        <v>39</v>
      </c>
      <c r="F1078" s="11">
        <f t="shared" si="204"/>
        <v>195</v>
      </c>
    </row>
    <row r="1079" spans="1:6" x14ac:dyDescent="0.25">
      <c r="A1079" s="11" t="s">
        <v>73</v>
      </c>
      <c r="B1079" s="11" t="str">
        <f t="shared" si="201"/>
        <v>1"694</v>
      </c>
      <c r="C1079" s="11" t="s">
        <v>23</v>
      </c>
      <c r="D1079" s="3">
        <f t="shared" si="208"/>
        <v>694</v>
      </c>
      <c r="E1079" s="11">
        <f t="shared" si="209"/>
        <v>39</v>
      </c>
      <c r="F1079" s="11">
        <f t="shared" si="204"/>
        <v>195</v>
      </c>
    </row>
    <row r="1080" spans="1:6" x14ac:dyDescent="0.25">
      <c r="A1080" s="11" t="s">
        <v>73</v>
      </c>
      <c r="B1080" s="11" t="str">
        <f t="shared" si="201"/>
        <v>1"695</v>
      </c>
      <c r="C1080" s="11" t="s">
        <v>23</v>
      </c>
      <c r="D1080" s="3">
        <f t="shared" si="208"/>
        <v>695</v>
      </c>
      <c r="E1080" s="11">
        <f t="shared" si="209"/>
        <v>39</v>
      </c>
      <c r="F1080" s="11">
        <f t="shared" si="204"/>
        <v>195</v>
      </c>
    </row>
    <row r="1081" spans="1:6" x14ac:dyDescent="0.25">
      <c r="A1081" s="11" t="s">
        <v>73</v>
      </c>
      <c r="B1081" s="11" t="str">
        <f t="shared" si="201"/>
        <v>1"696</v>
      </c>
      <c r="C1081" s="11" t="s">
        <v>23</v>
      </c>
      <c r="D1081" s="3">
        <f t="shared" si="208"/>
        <v>696</v>
      </c>
      <c r="E1081" s="11">
        <f t="shared" si="209"/>
        <v>39</v>
      </c>
      <c r="F1081" s="11">
        <f t="shared" si="204"/>
        <v>195</v>
      </c>
    </row>
    <row r="1082" spans="1:6" x14ac:dyDescent="0.25">
      <c r="A1082" s="11" t="s">
        <v>73</v>
      </c>
      <c r="B1082" s="11" t="str">
        <f t="shared" si="201"/>
        <v>1"697</v>
      </c>
      <c r="C1082" s="11" t="s">
        <v>23</v>
      </c>
      <c r="D1082" s="3">
        <f t="shared" si="208"/>
        <v>697</v>
      </c>
      <c r="E1082" s="11">
        <f t="shared" si="209"/>
        <v>39</v>
      </c>
      <c r="F1082" s="11">
        <f t="shared" si="204"/>
        <v>195</v>
      </c>
    </row>
    <row r="1083" spans="1:6" x14ac:dyDescent="0.25">
      <c r="A1083" s="11" t="s">
        <v>73</v>
      </c>
      <c r="B1083" s="11" t="str">
        <f t="shared" ref="B1083:B1146" si="210">CONCATENATE(C1083&amp;D1083)</f>
        <v>1"698</v>
      </c>
      <c r="C1083" s="11" t="s">
        <v>23</v>
      </c>
      <c r="D1083" s="3">
        <f t="shared" si="208"/>
        <v>698</v>
      </c>
      <c r="E1083" s="11">
        <f t="shared" ref="E1083" si="211">E1082+1</f>
        <v>40</v>
      </c>
      <c r="F1083" s="11">
        <f t="shared" si="204"/>
        <v>200</v>
      </c>
    </row>
    <row r="1084" spans="1:6" x14ac:dyDescent="0.25">
      <c r="A1084" s="11" t="s">
        <v>73</v>
      </c>
      <c r="B1084" s="11" t="str">
        <f t="shared" si="210"/>
        <v>1"699</v>
      </c>
      <c r="C1084" s="11" t="s">
        <v>23</v>
      </c>
      <c r="D1084" s="3">
        <f t="shared" si="208"/>
        <v>699</v>
      </c>
      <c r="E1084" s="11">
        <f t="shared" ref="E1084:E1102" si="212">E1083</f>
        <v>40</v>
      </c>
      <c r="F1084" s="11">
        <f t="shared" si="204"/>
        <v>200</v>
      </c>
    </row>
    <row r="1085" spans="1:6" x14ac:dyDescent="0.25">
      <c r="A1085" s="11" t="s">
        <v>73</v>
      </c>
      <c r="B1085" s="11" t="str">
        <f t="shared" si="210"/>
        <v>1"700</v>
      </c>
      <c r="C1085" s="11" t="s">
        <v>23</v>
      </c>
      <c r="D1085" s="3">
        <f t="shared" si="208"/>
        <v>700</v>
      </c>
      <c r="E1085" s="11">
        <f t="shared" si="212"/>
        <v>40</v>
      </c>
      <c r="F1085" s="11">
        <f t="shared" si="204"/>
        <v>200</v>
      </c>
    </row>
    <row r="1086" spans="1:6" x14ac:dyDescent="0.25">
      <c r="A1086" s="11" t="s">
        <v>73</v>
      </c>
      <c r="B1086" s="11" t="str">
        <f t="shared" si="210"/>
        <v>1"701</v>
      </c>
      <c r="C1086" s="11" t="s">
        <v>23</v>
      </c>
      <c r="D1086" s="3">
        <f t="shared" si="208"/>
        <v>701</v>
      </c>
      <c r="E1086" s="11">
        <f t="shared" si="212"/>
        <v>40</v>
      </c>
      <c r="F1086" s="11">
        <f t="shared" si="204"/>
        <v>200</v>
      </c>
    </row>
    <row r="1087" spans="1:6" x14ac:dyDescent="0.25">
      <c r="A1087" s="11" t="s">
        <v>73</v>
      </c>
      <c r="B1087" s="11" t="str">
        <f t="shared" si="210"/>
        <v>1"702</v>
      </c>
      <c r="C1087" s="11" t="s">
        <v>23</v>
      </c>
      <c r="D1087" s="3">
        <f t="shared" si="208"/>
        <v>702</v>
      </c>
      <c r="E1087" s="11">
        <f t="shared" si="212"/>
        <v>40</v>
      </c>
      <c r="F1087" s="11">
        <f t="shared" si="204"/>
        <v>200</v>
      </c>
    </row>
    <row r="1088" spans="1:6" x14ac:dyDescent="0.25">
      <c r="A1088" s="11" t="s">
        <v>73</v>
      </c>
      <c r="B1088" s="11" t="str">
        <f t="shared" si="210"/>
        <v>1"703</v>
      </c>
      <c r="C1088" s="11" t="s">
        <v>23</v>
      </c>
      <c r="D1088" s="3">
        <f t="shared" si="208"/>
        <v>703</v>
      </c>
      <c r="E1088" s="11">
        <f t="shared" si="212"/>
        <v>40</v>
      </c>
      <c r="F1088" s="11">
        <f t="shared" si="204"/>
        <v>200</v>
      </c>
    </row>
    <row r="1089" spans="1:6" x14ac:dyDescent="0.25">
      <c r="A1089" s="11" t="s">
        <v>73</v>
      </c>
      <c r="B1089" s="11" t="str">
        <f t="shared" si="210"/>
        <v>1"704</v>
      </c>
      <c r="C1089" s="11" t="s">
        <v>23</v>
      </c>
      <c r="D1089" s="3">
        <f t="shared" si="208"/>
        <v>704</v>
      </c>
      <c r="E1089" s="11">
        <f t="shared" si="212"/>
        <v>40</v>
      </c>
      <c r="F1089" s="11">
        <f t="shared" si="204"/>
        <v>200</v>
      </c>
    </row>
    <row r="1090" spans="1:6" x14ac:dyDescent="0.25">
      <c r="A1090" s="11" t="s">
        <v>73</v>
      </c>
      <c r="B1090" s="11" t="str">
        <f t="shared" si="210"/>
        <v>1"705</v>
      </c>
      <c r="C1090" s="11" t="s">
        <v>23</v>
      </c>
      <c r="D1090" s="3">
        <f t="shared" si="208"/>
        <v>705</v>
      </c>
      <c r="E1090" s="11">
        <f t="shared" si="212"/>
        <v>40</v>
      </c>
      <c r="F1090" s="11">
        <f t="shared" si="204"/>
        <v>200</v>
      </c>
    </row>
    <row r="1091" spans="1:6" x14ac:dyDescent="0.25">
      <c r="A1091" s="11" t="s">
        <v>73</v>
      </c>
      <c r="B1091" s="11" t="str">
        <f t="shared" si="210"/>
        <v>1"706</v>
      </c>
      <c r="C1091" s="11" t="s">
        <v>23</v>
      </c>
      <c r="D1091" s="3">
        <f t="shared" si="208"/>
        <v>706</v>
      </c>
      <c r="E1091" s="11">
        <f t="shared" si="212"/>
        <v>40</v>
      </c>
      <c r="F1091" s="11">
        <f t="shared" si="204"/>
        <v>200</v>
      </c>
    </row>
    <row r="1092" spans="1:6" x14ac:dyDescent="0.25">
      <c r="A1092" s="11" t="s">
        <v>73</v>
      </c>
      <c r="B1092" s="11" t="str">
        <f t="shared" si="210"/>
        <v>1"707</v>
      </c>
      <c r="C1092" s="11" t="s">
        <v>23</v>
      </c>
      <c r="D1092" s="3">
        <f t="shared" si="208"/>
        <v>707</v>
      </c>
      <c r="E1092" s="11">
        <f t="shared" si="212"/>
        <v>40</v>
      </c>
      <c r="F1092" s="11">
        <f t="shared" si="204"/>
        <v>200</v>
      </c>
    </row>
    <row r="1093" spans="1:6" x14ac:dyDescent="0.25">
      <c r="A1093" s="11" t="s">
        <v>73</v>
      </c>
      <c r="B1093" s="11" t="str">
        <f t="shared" si="210"/>
        <v>1"708</v>
      </c>
      <c r="C1093" s="11" t="s">
        <v>23</v>
      </c>
      <c r="D1093" s="3">
        <f t="shared" si="208"/>
        <v>708</v>
      </c>
      <c r="E1093" s="11">
        <f t="shared" si="212"/>
        <v>40</v>
      </c>
      <c r="F1093" s="11">
        <f t="shared" si="204"/>
        <v>200</v>
      </c>
    </row>
    <row r="1094" spans="1:6" x14ac:dyDescent="0.25">
      <c r="A1094" s="11" t="s">
        <v>73</v>
      </c>
      <c r="B1094" s="11" t="str">
        <f t="shared" si="210"/>
        <v>1"709</v>
      </c>
      <c r="C1094" s="11" t="s">
        <v>23</v>
      </c>
      <c r="D1094" s="3">
        <f t="shared" si="208"/>
        <v>709</v>
      </c>
      <c r="E1094" s="11">
        <f t="shared" si="212"/>
        <v>40</v>
      </c>
      <c r="F1094" s="11">
        <f t="shared" si="204"/>
        <v>200</v>
      </c>
    </row>
    <row r="1095" spans="1:6" x14ac:dyDescent="0.25">
      <c r="A1095" s="11" t="s">
        <v>73</v>
      </c>
      <c r="B1095" s="11" t="str">
        <f t="shared" si="210"/>
        <v>1"710</v>
      </c>
      <c r="C1095" s="11" t="s">
        <v>23</v>
      </c>
      <c r="D1095" s="3">
        <f t="shared" si="208"/>
        <v>710</v>
      </c>
      <c r="E1095" s="11">
        <f t="shared" si="212"/>
        <v>40</v>
      </c>
      <c r="F1095" s="11">
        <f t="shared" si="204"/>
        <v>200</v>
      </c>
    </row>
    <row r="1096" spans="1:6" x14ac:dyDescent="0.25">
      <c r="A1096" s="11" t="s">
        <v>73</v>
      </c>
      <c r="B1096" s="11" t="str">
        <f t="shared" si="210"/>
        <v>1"711</v>
      </c>
      <c r="C1096" s="11" t="s">
        <v>23</v>
      </c>
      <c r="D1096" s="3">
        <f t="shared" si="208"/>
        <v>711</v>
      </c>
      <c r="E1096" s="11">
        <f t="shared" si="212"/>
        <v>40</v>
      </c>
      <c r="F1096" s="11">
        <f t="shared" si="204"/>
        <v>200</v>
      </c>
    </row>
    <row r="1097" spans="1:6" x14ac:dyDescent="0.25">
      <c r="A1097" s="11" t="s">
        <v>73</v>
      </c>
      <c r="B1097" s="11" t="str">
        <f t="shared" si="210"/>
        <v>1"712</v>
      </c>
      <c r="C1097" s="11" t="s">
        <v>23</v>
      </c>
      <c r="D1097" s="3">
        <f t="shared" si="208"/>
        <v>712</v>
      </c>
      <c r="E1097" s="11">
        <f t="shared" si="212"/>
        <v>40</v>
      </c>
      <c r="F1097" s="11">
        <f t="shared" si="204"/>
        <v>200</v>
      </c>
    </row>
    <row r="1098" spans="1:6" x14ac:dyDescent="0.25">
      <c r="A1098" s="11" t="s">
        <v>73</v>
      </c>
      <c r="B1098" s="11" t="str">
        <f t="shared" si="210"/>
        <v>1"713</v>
      </c>
      <c r="C1098" s="11" t="s">
        <v>23</v>
      </c>
      <c r="D1098" s="3">
        <f t="shared" si="208"/>
        <v>713</v>
      </c>
      <c r="E1098" s="11">
        <f t="shared" si="212"/>
        <v>40</v>
      </c>
      <c r="F1098" s="11">
        <f t="shared" si="204"/>
        <v>200</v>
      </c>
    </row>
    <row r="1099" spans="1:6" x14ac:dyDescent="0.25">
      <c r="A1099" s="11" t="s">
        <v>73</v>
      </c>
      <c r="B1099" s="11" t="str">
        <f t="shared" si="210"/>
        <v>1"714</v>
      </c>
      <c r="C1099" s="11" t="s">
        <v>23</v>
      </c>
      <c r="D1099" s="3">
        <f t="shared" si="208"/>
        <v>714</v>
      </c>
      <c r="E1099" s="11">
        <f t="shared" si="212"/>
        <v>40</v>
      </c>
      <c r="F1099" s="11">
        <f t="shared" ref="F1099:F1162" si="213">E1099*$F$1</f>
        <v>200</v>
      </c>
    </row>
    <row r="1100" spans="1:6" x14ac:dyDescent="0.25">
      <c r="A1100" s="11" t="s">
        <v>73</v>
      </c>
      <c r="B1100" s="11" t="str">
        <f t="shared" si="210"/>
        <v>1"715</v>
      </c>
      <c r="C1100" s="11" t="s">
        <v>23</v>
      </c>
      <c r="D1100" s="3">
        <f t="shared" si="208"/>
        <v>715</v>
      </c>
      <c r="E1100" s="11">
        <f t="shared" si="212"/>
        <v>40</v>
      </c>
      <c r="F1100" s="11">
        <f t="shared" si="213"/>
        <v>200</v>
      </c>
    </row>
    <row r="1101" spans="1:6" x14ac:dyDescent="0.25">
      <c r="A1101" s="11" t="s">
        <v>73</v>
      </c>
      <c r="B1101" s="11" t="str">
        <f t="shared" si="210"/>
        <v>1"716</v>
      </c>
      <c r="C1101" s="11" t="s">
        <v>23</v>
      </c>
      <c r="D1101" s="3">
        <f t="shared" si="208"/>
        <v>716</v>
      </c>
      <c r="E1101" s="11">
        <f t="shared" si="212"/>
        <v>40</v>
      </c>
      <c r="F1101" s="11">
        <f t="shared" si="213"/>
        <v>200</v>
      </c>
    </row>
    <row r="1102" spans="1:6" x14ac:dyDescent="0.25">
      <c r="A1102" s="11" t="s">
        <v>73</v>
      </c>
      <c r="B1102" s="11" t="str">
        <f t="shared" si="210"/>
        <v>1"717</v>
      </c>
      <c r="C1102" s="11" t="s">
        <v>23</v>
      </c>
      <c r="D1102" s="3">
        <f t="shared" si="208"/>
        <v>717</v>
      </c>
      <c r="E1102" s="11">
        <f t="shared" si="212"/>
        <v>40</v>
      </c>
      <c r="F1102" s="11">
        <f t="shared" si="213"/>
        <v>200</v>
      </c>
    </row>
    <row r="1103" spans="1:6" x14ac:dyDescent="0.25">
      <c r="A1103" s="11" t="s">
        <v>73</v>
      </c>
      <c r="B1103" s="11" t="str">
        <f t="shared" si="210"/>
        <v>1"718</v>
      </c>
      <c r="C1103" s="11" t="s">
        <v>23</v>
      </c>
      <c r="D1103" s="3">
        <f t="shared" si="208"/>
        <v>718</v>
      </c>
      <c r="E1103" s="11">
        <f t="shared" ref="E1103" si="214">E1102+1</f>
        <v>41</v>
      </c>
      <c r="F1103" s="11">
        <f t="shared" si="213"/>
        <v>205</v>
      </c>
    </row>
    <row r="1104" spans="1:6" x14ac:dyDescent="0.25">
      <c r="A1104" s="11" t="s">
        <v>73</v>
      </c>
      <c r="B1104" s="11" t="str">
        <f t="shared" si="210"/>
        <v>1"719</v>
      </c>
      <c r="C1104" s="11" t="s">
        <v>23</v>
      </c>
      <c r="D1104" s="3">
        <f t="shared" si="208"/>
        <v>719</v>
      </c>
      <c r="E1104" s="11">
        <f t="shared" ref="E1104:E1122" si="215">E1103</f>
        <v>41</v>
      </c>
      <c r="F1104" s="11">
        <f t="shared" si="213"/>
        <v>205</v>
      </c>
    </row>
    <row r="1105" spans="1:6" x14ac:dyDescent="0.25">
      <c r="A1105" s="11" t="s">
        <v>73</v>
      </c>
      <c r="B1105" s="11" t="str">
        <f t="shared" si="210"/>
        <v>1"720</v>
      </c>
      <c r="C1105" s="11" t="s">
        <v>23</v>
      </c>
      <c r="D1105" s="3">
        <f t="shared" si="208"/>
        <v>720</v>
      </c>
      <c r="E1105" s="11">
        <f t="shared" si="215"/>
        <v>41</v>
      </c>
      <c r="F1105" s="11">
        <f t="shared" si="213"/>
        <v>205</v>
      </c>
    </row>
    <row r="1106" spans="1:6" x14ac:dyDescent="0.25">
      <c r="A1106" s="11" t="s">
        <v>73</v>
      </c>
      <c r="B1106" s="11" t="str">
        <f t="shared" si="210"/>
        <v>1"721</v>
      </c>
      <c r="C1106" s="11" t="s">
        <v>23</v>
      </c>
      <c r="D1106" s="3">
        <f t="shared" si="208"/>
        <v>721</v>
      </c>
      <c r="E1106" s="11">
        <f t="shared" si="215"/>
        <v>41</v>
      </c>
      <c r="F1106" s="11">
        <f t="shared" si="213"/>
        <v>205</v>
      </c>
    </row>
    <row r="1107" spans="1:6" x14ac:dyDescent="0.25">
      <c r="A1107" s="11" t="s">
        <v>73</v>
      </c>
      <c r="B1107" s="11" t="str">
        <f t="shared" si="210"/>
        <v>1"722</v>
      </c>
      <c r="C1107" s="11" t="s">
        <v>23</v>
      </c>
      <c r="D1107" s="3">
        <f t="shared" si="208"/>
        <v>722</v>
      </c>
      <c r="E1107" s="11">
        <f t="shared" si="215"/>
        <v>41</v>
      </c>
      <c r="F1107" s="11">
        <f t="shared" si="213"/>
        <v>205</v>
      </c>
    </row>
    <row r="1108" spans="1:6" x14ac:dyDescent="0.25">
      <c r="A1108" s="11" t="s">
        <v>73</v>
      </c>
      <c r="B1108" s="11" t="str">
        <f t="shared" si="210"/>
        <v>1"723</v>
      </c>
      <c r="C1108" s="11" t="s">
        <v>23</v>
      </c>
      <c r="D1108" s="3">
        <f t="shared" si="208"/>
        <v>723</v>
      </c>
      <c r="E1108" s="11">
        <f t="shared" si="215"/>
        <v>41</v>
      </c>
      <c r="F1108" s="11">
        <f t="shared" si="213"/>
        <v>205</v>
      </c>
    </row>
    <row r="1109" spans="1:6" x14ac:dyDescent="0.25">
      <c r="A1109" s="11" t="s">
        <v>73</v>
      </c>
      <c r="B1109" s="11" t="str">
        <f t="shared" si="210"/>
        <v>1"724</v>
      </c>
      <c r="C1109" s="11" t="s">
        <v>23</v>
      </c>
      <c r="D1109" s="3">
        <f t="shared" si="208"/>
        <v>724</v>
      </c>
      <c r="E1109" s="11">
        <f t="shared" si="215"/>
        <v>41</v>
      </c>
      <c r="F1109" s="11">
        <f t="shared" si="213"/>
        <v>205</v>
      </c>
    </row>
    <row r="1110" spans="1:6" x14ac:dyDescent="0.25">
      <c r="A1110" s="11" t="s">
        <v>73</v>
      </c>
      <c r="B1110" s="11" t="str">
        <f t="shared" si="210"/>
        <v>1"725</v>
      </c>
      <c r="C1110" s="11" t="s">
        <v>23</v>
      </c>
      <c r="D1110" s="3">
        <f t="shared" si="208"/>
        <v>725</v>
      </c>
      <c r="E1110" s="11">
        <f t="shared" si="215"/>
        <v>41</v>
      </c>
      <c r="F1110" s="11">
        <f t="shared" si="213"/>
        <v>205</v>
      </c>
    </row>
    <row r="1111" spans="1:6" x14ac:dyDescent="0.25">
      <c r="A1111" s="11" t="s">
        <v>73</v>
      </c>
      <c r="B1111" s="11" t="str">
        <f t="shared" si="210"/>
        <v>1"726</v>
      </c>
      <c r="C1111" s="11" t="s">
        <v>23</v>
      </c>
      <c r="D1111" s="3">
        <f t="shared" si="208"/>
        <v>726</v>
      </c>
      <c r="E1111" s="11">
        <f t="shared" si="215"/>
        <v>41</v>
      </c>
      <c r="F1111" s="11">
        <f t="shared" si="213"/>
        <v>205</v>
      </c>
    </row>
    <row r="1112" spans="1:6" x14ac:dyDescent="0.25">
      <c r="A1112" s="11" t="s">
        <v>73</v>
      </c>
      <c r="B1112" s="11" t="str">
        <f t="shared" si="210"/>
        <v>1"727</v>
      </c>
      <c r="C1112" s="11" t="s">
        <v>23</v>
      </c>
      <c r="D1112" s="3">
        <f t="shared" si="208"/>
        <v>727</v>
      </c>
      <c r="E1112" s="11">
        <f t="shared" si="215"/>
        <v>41</v>
      </c>
      <c r="F1112" s="11">
        <f t="shared" si="213"/>
        <v>205</v>
      </c>
    </row>
    <row r="1113" spans="1:6" x14ac:dyDescent="0.25">
      <c r="A1113" s="11" t="s">
        <v>73</v>
      </c>
      <c r="B1113" s="11" t="str">
        <f t="shared" si="210"/>
        <v>1"728</v>
      </c>
      <c r="C1113" s="11" t="s">
        <v>23</v>
      </c>
      <c r="D1113" s="3">
        <f t="shared" si="208"/>
        <v>728</v>
      </c>
      <c r="E1113" s="11">
        <f t="shared" si="215"/>
        <v>41</v>
      </c>
      <c r="F1113" s="11">
        <f t="shared" si="213"/>
        <v>205</v>
      </c>
    </row>
    <row r="1114" spans="1:6" x14ac:dyDescent="0.25">
      <c r="A1114" s="11" t="s">
        <v>73</v>
      </c>
      <c r="B1114" s="11" t="str">
        <f t="shared" si="210"/>
        <v>1"729</v>
      </c>
      <c r="C1114" s="11" t="s">
        <v>23</v>
      </c>
      <c r="D1114" s="3">
        <f t="shared" si="208"/>
        <v>729</v>
      </c>
      <c r="E1114" s="11">
        <f t="shared" si="215"/>
        <v>41</v>
      </c>
      <c r="F1114" s="11">
        <f t="shared" si="213"/>
        <v>205</v>
      </c>
    </row>
    <row r="1115" spans="1:6" x14ac:dyDescent="0.25">
      <c r="A1115" s="11" t="s">
        <v>73</v>
      </c>
      <c r="B1115" s="11" t="str">
        <f t="shared" si="210"/>
        <v>1"730</v>
      </c>
      <c r="C1115" s="11" t="s">
        <v>23</v>
      </c>
      <c r="D1115" s="3">
        <f t="shared" si="208"/>
        <v>730</v>
      </c>
      <c r="E1115" s="11">
        <f t="shared" si="215"/>
        <v>41</v>
      </c>
      <c r="F1115" s="11">
        <f t="shared" si="213"/>
        <v>205</v>
      </c>
    </row>
    <row r="1116" spans="1:6" x14ac:dyDescent="0.25">
      <c r="A1116" s="11" t="s">
        <v>73</v>
      </c>
      <c r="B1116" s="11" t="str">
        <f t="shared" si="210"/>
        <v>1"731</v>
      </c>
      <c r="C1116" s="11" t="s">
        <v>23</v>
      </c>
      <c r="D1116" s="3">
        <f t="shared" si="208"/>
        <v>731</v>
      </c>
      <c r="E1116" s="11">
        <f t="shared" si="215"/>
        <v>41</v>
      </c>
      <c r="F1116" s="11">
        <f t="shared" si="213"/>
        <v>205</v>
      </c>
    </row>
    <row r="1117" spans="1:6" x14ac:dyDescent="0.25">
      <c r="A1117" s="11" t="s">
        <v>73</v>
      </c>
      <c r="B1117" s="11" t="str">
        <f t="shared" si="210"/>
        <v>1"732</v>
      </c>
      <c r="C1117" s="11" t="s">
        <v>23</v>
      </c>
      <c r="D1117" s="3">
        <f t="shared" si="208"/>
        <v>732</v>
      </c>
      <c r="E1117" s="11">
        <f t="shared" si="215"/>
        <v>41</v>
      </c>
      <c r="F1117" s="11">
        <f t="shared" si="213"/>
        <v>205</v>
      </c>
    </row>
    <row r="1118" spans="1:6" x14ac:dyDescent="0.25">
      <c r="A1118" s="11" t="s">
        <v>73</v>
      </c>
      <c r="B1118" s="11" t="str">
        <f t="shared" si="210"/>
        <v>1"733</v>
      </c>
      <c r="C1118" s="11" t="s">
        <v>23</v>
      </c>
      <c r="D1118" s="3">
        <f t="shared" si="208"/>
        <v>733</v>
      </c>
      <c r="E1118" s="11">
        <f t="shared" si="215"/>
        <v>41</v>
      </c>
      <c r="F1118" s="11">
        <f t="shared" si="213"/>
        <v>205</v>
      </c>
    </row>
    <row r="1119" spans="1:6" x14ac:dyDescent="0.25">
      <c r="A1119" s="11" t="s">
        <v>73</v>
      </c>
      <c r="B1119" s="11" t="str">
        <f t="shared" si="210"/>
        <v>1"734</v>
      </c>
      <c r="C1119" s="11" t="s">
        <v>23</v>
      </c>
      <c r="D1119" s="3">
        <f t="shared" si="208"/>
        <v>734</v>
      </c>
      <c r="E1119" s="11">
        <f t="shared" si="215"/>
        <v>41</v>
      </c>
      <c r="F1119" s="11">
        <f t="shared" si="213"/>
        <v>205</v>
      </c>
    </row>
    <row r="1120" spans="1:6" x14ac:dyDescent="0.25">
      <c r="A1120" s="11" t="s">
        <v>73</v>
      </c>
      <c r="B1120" s="11" t="str">
        <f t="shared" si="210"/>
        <v>1"735</v>
      </c>
      <c r="C1120" s="11" t="s">
        <v>23</v>
      </c>
      <c r="D1120" s="3">
        <f t="shared" si="208"/>
        <v>735</v>
      </c>
      <c r="E1120" s="11">
        <f t="shared" si="215"/>
        <v>41</v>
      </c>
      <c r="F1120" s="11">
        <f t="shared" si="213"/>
        <v>205</v>
      </c>
    </row>
    <row r="1121" spans="1:6" x14ac:dyDescent="0.25">
      <c r="A1121" s="11" t="s">
        <v>73</v>
      </c>
      <c r="B1121" s="11" t="str">
        <f t="shared" si="210"/>
        <v>1"736</v>
      </c>
      <c r="C1121" s="11" t="s">
        <v>23</v>
      </c>
      <c r="D1121" s="3">
        <f t="shared" si="208"/>
        <v>736</v>
      </c>
      <c r="E1121" s="11">
        <f t="shared" si="215"/>
        <v>41</v>
      </c>
      <c r="F1121" s="11">
        <f t="shared" si="213"/>
        <v>205</v>
      </c>
    </row>
    <row r="1122" spans="1:6" x14ac:dyDescent="0.25">
      <c r="A1122" s="11" t="s">
        <v>73</v>
      </c>
      <c r="B1122" s="11" t="str">
        <f t="shared" si="210"/>
        <v>1"737</v>
      </c>
      <c r="C1122" s="11" t="s">
        <v>23</v>
      </c>
      <c r="D1122" s="3">
        <f t="shared" si="208"/>
        <v>737</v>
      </c>
      <c r="E1122" s="11">
        <f t="shared" si="215"/>
        <v>41</v>
      </c>
      <c r="F1122" s="11">
        <f t="shared" si="213"/>
        <v>205</v>
      </c>
    </row>
    <row r="1123" spans="1:6" x14ac:dyDescent="0.25">
      <c r="A1123" s="11" t="s">
        <v>73</v>
      </c>
      <c r="B1123" s="11" t="str">
        <f t="shared" si="210"/>
        <v>1"738</v>
      </c>
      <c r="C1123" s="11" t="s">
        <v>23</v>
      </c>
      <c r="D1123" s="3">
        <f t="shared" si="208"/>
        <v>738</v>
      </c>
      <c r="E1123" s="11">
        <f t="shared" ref="E1123" si="216">E1122+1</f>
        <v>42</v>
      </c>
      <c r="F1123" s="11">
        <f t="shared" si="213"/>
        <v>210</v>
      </c>
    </row>
    <row r="1124" spans="1:6" x14ac:dyDescent="0.25">
      <c r="A1124" s="11" t="s">
        <v>73</v>
      </c>
      <c r="B1124" s="11" t="str">
        <f t="shared" si="210"/>
        <v>1"739</v>
      </c>
      <c r="C1124" s="11" t="s">
        <v>23</v>
      </c>
      <c r="D1124" s="3">
        <f t="shared" si="208"/>
        <v>739</v>
      </c>
      <c r="E1124" s="11">
        <f t="shared" ref="E1124:E1141" si="217">E1123</f>
        <v>42</v>
      </c>
      <c r="F1124" s="11">
        <f t="shared" si="213"/>
        <v>210</v>
      </c>
    </row>
    <row r="1125" spans="1:6" x14ac:dyDescent="0.25">
      <c r="A1125" s="11" t="s">
        <v>73</v>
      </c>
      <c r="B1125" s="11" t="str">
        <f t="shared" si="210"/>
        <v>1"740</v>
      </c>
      <c r="C1125" s="11" t="s">
        <v>23</v>
      </c>
      <c r="D1125" s="3">
        <f t="shared" si="208"/>
        <v>740</v>
      </c>
      <c r="E1125" s="11">
        <f t="shared" si="217"/>
        <v>42</v>
      </c>
      <c r="F1125" s="11">
        <f t="shared" si="213"/>
        <v>210</v>
      </c>
    </row>
    <row r="1126" spans="1:6" x14ac:dyDescent="0.25">
      <c r="A1126" s="11" t="s">
        <v>73</v>
      </c>
      <c r="B1126" s="11" t="str">
        <f t="shared" si="210"/>
        <v>1"741</v>
      </c>
      <c r="C1126" s="11" t="s">
        <v>23</v>
      </c>
      <c r="D1126" s="3">
        <f t="shared" si="208"/>
        <v>741</v>
      </c>
      <c r="E1126" s="11">
        <f t="shared" si="217"/>
        <v>42</v>
      </c>
      <c r="F1126" s="11">
        <f t="shared" si="213"/>
        <v>210</v>
      </c>
    </row>
    <row r="1127" spans="1:6" x14ac:dyDescent="0.25">
      <c r="A1127" s="11" t="s">
        <v>73</v>
      </c>
      <c r="B1127" s="11" t="str">
        <f t="shared" si="210"/>
        <v>1"742</v>
      </c>
      <c r="C1127" s="11" t="s">
        <v>23</v>
      </c>
      <c r="D1127" s="3">
        <f t="shared" si="208"/>
        <v>742</v>
      </c>
      <c r="E1127" s="11">
        <f t="shared" si="217"/>
        <v>42</v>
      </c>
      <c r="F1127" s="11">
        <f t="shared" si="213"/>
        <v>210</v>
      </c>
    </row>
    <row r="1128" spans="1:6" x14ac:dyDescent="0.25">
      <c r="A1128" s="11" t="s">
        <v>73</v>
      </c>
      <c r="B1128" s="11" t="str">
        <f t="shared" si="210"/>
        <v>1"743</v>
      </c>
      <c r="C1128" s="11" t="s">
        <v>23</v>
      </c>
      <c r="D1128" s="3">
        <f t="shared" si="208"/>
        <v>743</v>
      </c>
      <c r="E1128" s="11">
        <f t="shared" si="217"/>
        <v>42</v>
      </c>
      <c r="F1128" s="11">
        <f t="shared" si="213"/>
        <v>210</v>
      </c>
    </row>
    <row r="1129" spans="1:6" x14ac:dyDescent="0.25">
      <c r="A1129" s="11" t="s">
        <v>73</v>
      </c>
      <c r="B1129" s="11" t="str">
        <f t="shared" si="210"/>
        <v>1"744</v>
      </c>
      <c r="C1129" s="11" t="s">
        <v>23</v>
      </c>
      <c r="D1129" s="3">
        <f t="shared" si="208"/>
        <v>744</v>
      </c>
      <c r="E1129" s="11">
        <f t="shared" si="217"/>
        <v>42</v>
      </c>
      <c r="F1129" s="11">
        <f t="shared" si="213"/>
        <v>210</v>
      </c>
    </row>
    <row r="1130" spans="1:6" x14ac:dyDescent="0.25">
      <c r="A1130" s="11" t="s">
        <v>73</v>
      </c>
      <c r="B1130" s="11" t="str">
        <f t="shared" si="210"/>
        <v>1"745</v>
      </c>
      <c r="C1130" s="11" t="s">
        <v>23</v>
      </c>
      <c r="D1130" s="3">
        <f t="shared" ref="D1130:D1193" si="218">D1129+1</f>
        <v>745</v>
      </c>
      <c r="E1130" s="11">
        <f t="shared" si="217"/>
        <v>42</v>
      </c>
      <c r="F1130" s="11">
        <f t="shared" si="213"/>
        <v>210</v>
      </c>
    </row>
    <row r="1131" spans="1:6" x14ac:dyDescent="0.25">
      <c r="A1131" s="11" t="s">
        <v>73</v>
      </c>
      <c r="B1131" s="11" t="str">
        <f t="shared" si="210"/>
        <v>1"746</v>
      </c>
      <c r="C1131" s="11" t="s">
        <v>23</v>
      </c>
      <c r="D1131" s="3">
        <f t="shared" si="218"/>
        <v>746</v>
      </c>
      <c r="E1131" s="11">
        <f t="shared" si="217"/>
        <v>42</v>
      </c>
      <c r="F1131" s="11">
        <f t="shared" si="213"/>
        <v>210</v>
      </c>
    </row>
    <row r="1132" spans="1:6" x14ac:dyDescent="0.25">
      <c r="A1132" s="11" t="s">
        <v>73</v>
      </c>
      <c r="B1132" s="11" t="str">
        <f t="shared" si="210"/>
        <v>1"747</v>
      </c>
      <c r="C1132" s="11" t="s">
        <v>23</v>
      </c>
      <c r="D1132" s="3">
        <f t="shared" si="218"/>
        <v>747</v>
      </c>
      <c r="E1132" s="11">
        <f t="shared" si="217"/>
        <v>42</v>
      </c>
      <c r="F1132" s="11">
        <f t="shared" si="213"/>
        <v>210</v>
      </c>
    </row>
    <row r="1133" spans="1:6" x14ac:dyDescent="0.25">
      <c r="A1133" s="11" t="s">
        <v>73</v>
      </c>
      <c r="B1133" s="11" t="str">
        <f t="shared" si="210"/>
        <v>1"748</v>
      </c>
      <c r="C1133" s="11" t="s">
        <v>23</v>
      </c>
      <c r="D1133" s="3">
        <f t="shared" si="218"/>
        <v>748</v>
      </c>
      <c r="E1133" s="11">
        <f t="shared" si="217"/>
        <v>42</v>
      </c>
      <c r="F1133" s="11">
        <f t="shared" si="213"/>
        <v>210</v>
      </c>
    </row>
    <row r="1134" spans="1:6" x14ac:dyDescent="0.25">
      <c r="A1134" s="11" t="s">
        <v>73</v>
      </c>
      <c r="B1134" s="11" t="str">
        <f t="shared" si="210"/>
        <v>1"749</v>
      </c>
      <c r="C1134" s="11" t="s">
        <v>23</v>
      </c>
      <c r="D1134" s="3">
        <f t="shared" si="218"/>
        <v>749</v>
      </c>
      <c r="E1134" s="11">
        <f t="shared" si="217"/>
        <v>42</v>
      </c>
      <c r="F1134" s="11">
        <f t="shared" si="213"/>
        <v>210</v>
      </c>
    </row>
    <row r="1135" spans="1:6" x14ac:dyDescent="0.25">
      <c r="A1135" s="11" t="s">
        <v>73</v>
      </c>
      <c r="B1135" s="11" t="str">
        <f t="shared" si="210"/>
        <v>1"750</v>
      </c>
      <c r="C1135" s="11" t="s">
        <v>23</v>
      </c>
      <c r="D1135" s="3">
        <f t="shared" si="218"/>
        <v>750</v>
      </c>
      <c r="E1135" s="11">
        <f t="shared" si="217"/>
        <v>42</v>
      </c>
      <c r="F1135" s="11">
        <f t="shared" si="213"/>
        <v>210</v>
      </c>
    </row>
    <row r="1136" spans="1:6" x14ac:dyDescent="0.25">
      <c r="A1136" s="11" t="s">
        <v>73</v>
      </c>
      <c r="B1136" s="11" t="str">
        <f t="shared" si="210"/>
        <v>1"751</v>
      </c>
      <c r="C1136" s="11" t="s">
        <v>23</v>
      </c>
      <c r="D1136" s="3">
        <f t="shared" si="218"/>
        <v>751</v>
      </c>
      <c r="E1136" s="11">
        <f t="shared" si="217"/>
        <v>42</v>
      </c>
      <c r="F1136" s="11">
        <f t="shared" si="213"/>
        <v>210</v>
      </c>
    </row>
    <row r="1137" spans="1:6" x14ac:dyDescent="0.25">
      <c r="A1137" s="11" t="s">
        <v>73</v>
      </c>
      <c r="B1137" s="11" t="str">
        <f t="shared" si="210"/>
        <v>1"752</v>
      </c>
      <c r="C1137" s="11" t="s">
        <v>23</v>
      </c>
      <c r="D1137" s="3">
        <f t="shared" si="218"/>
        <v>752</v>
      </c>
      <c r="E1137" s="11">
        <f t="shared" si="217"/>
        <v>42</v>
      </c>
      <c r="F1137" s="11">
        <f t="shared" si="213"/>
        <v>210</v>
      </c>
    </row>
    <row r="1138" spans="1:6" x14ac:dyDescent="0.25">
      <c r="A1138" s="11" t="s">
        <v>73</v>
      </c>
      <c r="B1138" s="11" t="str">
        <f t="shared" si="210"/>
        <v>1"753</v>
      </c>
      <c r="C1138" s="11" t="s">
        <v>23</v>
      </c>
      <c r="D1138" s="3">
        <f t="shared" si="218"/>
        <v>753</v>
      </c>
      <c r="E1138" s="11">
        <f t="shared" si="217"/>
        <v>42</v>
      </c>
      <c r="F1138" s="11">
        <f t="shared" si="213"/>
        <v>210</v>
      </c>
    </row>
    <row r="1139" spans="1:6" x14ac:dyDescent="0.25">
      <c r="A1139" s="11" t="s">
        <v>73</v>
      </c>
      <c r="B1139" s="11" t="str">
        <f t="shared" si="210"/>
        <v>1"754</v>
      </c>
      <c r="C1139" s="11" t="s">
        <v>23</v>
      </c>
      <c r="D1139" s="3">
        <f t="shared" si="218"/>
        <v>754</v>
      </c>
      <c r="E1139" s="11">
        <f t="shared" si="217"/>
        <v>42</v>
      </c>
      <c r="F1139" s="11">
        <f t="shared" si="213"/>
        <v>210</v>
      </c>
    </row>
    <row r="1140" spans="1:6" x14ac:dyDescent="0.25">
      <c r="A1140" s="11" t="s">
        <v>73</v>
      </c>
      <c r="B1140" s="11" t="str">
        <f t="shared" si="210"/>
        <v>1"755</v>
      </c>
      <c r="C1140" s="11" t="s">
        <v>23</v>
      </c>
      <c r="D1140" s="3">
        <f t="shared" si="218"/>
        <v>755</v>
      </c>
      <c r="E1140" s="11">
        <f t="shared" si="217"/>
        <v>42</v>
      </c>
      <c r="F1140" s="11">
        <f t="shared" si="213"/>
        <v>210</v>
      </c>
    </row>
    <row r="1141" spans="1:6" x14ac:dyDescent="0.25">
      <c r="A1141" s="11" t="s">
        <v>73</v>
      </c>
      <c r="B1141" s="11" t="str">
        <f t="shared" si="210"/>
        <v>1"756</v>
      </c>
      <c r="C1141" s="11" t="s">
        <v>23</v>
      </c>
      <c r="D1141" s="3">
        <f t="shared" si="218"/>
        <v>756</v>
      </c>
      <c r="E1141" s="11">
        <f t="shared" si="217"/>
        <v>42</v>
      </c>
      <c r="F1141" s="11">
        <f t="shared" si="213"/>
        <v>210</v>
      </c>
    </row>
    <row r="1142" spans="1:6" x14ac:dyDescent="0.25">
      <c r="A1142" s="11" t="s">
        <v>73</v>
      </c>
      <c r="B1142" s="11" t="str">
        <f t="shared" si="210"/>
        <v>1"757</v>
      </c>
      <c r="C1142" s="11" t="s">
        <v>23</v>
      </c>
      <c r="D1142" s="3">
        <f t="shared" si="218"/>
        <v>757</v>
      </c>
      <c r="E1142" s="11">
        <f>E1141+1</f>
        <v>43</v>
      </c>
      <c r="F1142" s="11">
        <f t="shared" si="213"/>
        <v>215</v>
      </c>
    </row>
    <row r="1143" spans="1:6" x14ac:dyDescent="0.25">
      <c r="A1143" s="11" t="s">
        <v>73</v>
      </c>
      <c r="B1143" s="11" t="str">
        <f t="shared" si="210"/>
        <v>1"758</v>
      </c>
      <c r="C1143" s="11" t="s">
        <v>23</v>
      </c>
      <c r="D1143" s="3">
        <f t="shared" si="218"/>
        <v>758</v>
      </c>
      <c r="E1143" s="11">
        <f t="shared" ref="E1143:E1149" si="219">E1142</f>
        <v>43</v>
      </c>
      <c r="F1143" s="11">
        <f t="shared" si="213"/>
        <v>215</v>
      </c>
    </row>
    <row r="1144" spans="1:6" x14ac:dyDescent="0.25">
      <c r="A1144" s="11" t="s">
        <v>73</v>
      </c>
      <c r="B1144" s="11" t="str">
        <f t="shared" si="210"/>
        <v>1"759</v>
      </c>
      <c r="C1144" s="11" t="s">
        <v>23</v>
      </c>
      <c r="D1144" s="3">
        <f t="shared" si="218"/>
        <v>759</v>
      </c>
      <c r="E1144" s="11">
        <f t="shared" si="219"/>
        <v>43</v>
      </c>
      <c r="F1144" s="11">
        <f t="shared" si="213"/>
        <v>215</v>
      </c>
    </row>
    <row r="1145" spans="1:6" x14ac:dyDescent="0.25">
      <c r="A1145" s="11" t="s">
        <v>73</v>
      </c>
      <c r="B1145" s="11" t="str">
        <f t="shared" si="210"/>
        <v>1"760</v>
      </c>
      <c r="C1145" s="11" t="s">
        <v>23</v>
      </c>
      <c r="D1145" s="3">
        <f t="shared" si="218"/>
        <v>760</v>
      </c>
      <c r="E1145" s="11">
        <f t="shared" si="219"/>
        <v>43</v>
      </c>
      <c r="F1145" s="11">
        <f t="shared" si="213"/>
        <v>215</v>
      </c>
    </row>
    <row r="1146" spans="1:6" x14ac:dyDescent="0.25">
      <c r="A1146" s="11" t="s">
        <v>73</v>
      </c>
      <c r="B1146" s="11" t="str">
        <f t="shared" si="210"/>
        <v>1"761</v>
      </c>
      <c r="C1146" s="11" t="s">
        <v>23</v>
      </c>
      <c r="D1146" s="3">
        <f t="shared" si="218"/>
        <v>761</v>
      </c>
      <c r="E1146" s="11">
        <f t="shared" si="219"/>
        <v>43</v>
      </c>
      <c r="F1146" s="11">
        <f t="shared" si="213"/>
        <v>215</v>
      </c>
    </row>
    <row r="1147" spans="1:6" x14ac:dyDescent="0.25">
      <c r="A1147" s="11" t="s">
        <v>73</v>
      </c>
      <c r="B1147" s="11" t="str">
        <f t="shared" ref="B1147:B1210" si="220">CONCATENATE(C1147&amp;D1147)</f>
        <v>1"762</v>
      </c>
      <c r="C1147" s="11" t="s">
        <v>23</v>
      </c>
      <c r="D1147" s="3">
        <f t="shared" si="218"/>
        <v>762</v>
      </c>
      <c r="E1147" s="11">
        <f t="shared" si="219"/>
        <v>43</v>
      </c>
      <c r="F1147" s="11">
        <f t="shared" si="213"/>
        <v>215</v>
      </c>
    </row>
    <row r="1148" spans="1:6" x14ac:dyDescent="0.25">
      <c r="A1148" s="11" t="s">
        <v>73</v>
      </c>
      <c r="B1148" s="11" t="str">
        <f t="shared" si="220"/>
        <v>1"763</v>
      </c>
      <c r="C1148" s="11" t="s">
        <v>23</v>
      </c>
      <c r="D1148" s="3">
        <f t="shared" si="218"/>
        <v>763</v>
      </c>
      <c r="E1148" s="11">
        <f t="shared" si="219"/>
        <v>43</v>
      </c>
      <c r="F1148" s="11">
        <f t="shared" si="213"/>
        <v>215</v>
      </c>
    </row>
    <row r="1149" spans="1:6" x14ac:dyDescent="0.25">
      <c r="A1149" s="11" t="s">
        <v>73</v>
      </c>
      <c r="B1149" s="11" t="str">
        <f t="shared" si="220"/>
        <v>1"764</v>
      </c>
      <c r="C1149" s="11" t="s">
        <v>23</v>
      </c>
      <c r="D1149" s="3">
        <f t="shared" si="218"/>
        <v>764</v>
      </c>
      <c r="E1149" s="11">
        <f t="shared" si="219"/>
        <v>43</v>
      </c>
      <c r="F1149" s="11">
        <f t="shared" si="213"/>
        <v>215</v>
      </c>
    </row>
    <row r="1150" spans="1:6" x14ac:dyDescent="0.25">
      <c r="A1150" s="11" t="s">
        <v>73</v>
      </c>
      <c r="B1150" s="11" t="str">
        <f t="shared" si="220"/>
        <v>1"765</v>
      </c>
      <c r="C1150" s="11" t="s">
        <v>23</v>
      </c>
      <c r="D1150" s="3">
        <f t="shared" si="218"/>
        <v>765</v>
      </c>
      <c r="E1150" s="11">
        <f t="shared" ref="E1150:E1161" si="221">E1149</f>
        <v>43</v>
      </c>
      <c r="F1150" s="11">
        <f t="shared" si="213"/>
        <v>215</v>
      </c>
    </row>
    <row r="1151" spans="1:6" x14ac:dyDescent="0.25">
      <c r="A1151" s="11" t="s">
        <v>73</v>
      </c>
      <c r="B1151" s="11" t="str">
        <f t="shared" si="220"/>
        <v>1"766</v>
      </c>
      <c r="C1151" s="11" t="s">
        <v>23</v>
      </c>
      <c r="D1151" s="3">
        <f t="shared" si="218"/>
        <v>766</v>
      </c>
      <c r="E1151" s="11">
        <f t="shared" si="221"/>
        <v>43</v>
      </c>
      <c r="F1151" s="11">
        <f t="shared" si="213"/>
        <v>215</v>
      </c>
    </row>
    <row r="1152" spans="1:6" x14ac:dyDescent="0.25">
      <c r="A1152" s="11" t="s">
        <v>73</v>
      </c>
      <c r="B1152" s="11" t="str">
        <f t="shared" si="220"/>
        <v>1"767</v>
      </c>
      <c r="C1152" s="11" t="s">
        <v>23</v>
      </c>
      <c r="D1152" s="3">
        <f t="shared" si="218"/>
        <v>767</v>
      </c>
      <c r="E1152" s="11">
        <f t="shared" si="221"/>
        <v>43</v>
      </c>
      <c r="F1152" s="11">
        <f t="shared" si="213"/>
        <v>215</v>
      </c>
    </row>
    <row r="1153" spans="1:6" x14ac:dyDescent="0.25">
      <c r="A1153" s="11" t="s">
        <v>73</v>
      </c>
      <c r="B1153" s="11" t="str">
        <f t="shared" si="220"/>
        <v>1"768</v>
      </c>
      <c r="C1153" s="11" t="s">
        <v>23</v>
      </c>
      <c r="D1153" s="3">
        <f t="shared" si="218"/>
        <v>768</v>
      </c>
      <c r="E1153" s="11">
        <f t="shared" si="221"/>
        <v>43</v>
      </c>
      <c r="F1153" s="11">
        <f t="shared" si="213"/>
        <v>215</v>
      </c>
    </row>
    <row r="1154" spans="1:6" x14ac:dyDescent="0.25">
      <c r="A1154" s="11" t="s">
        <v>73</v>
      </c>
      <c r="B1154" s="11" t="str">
        <f t="shared" si="220"/>
        <v>1"769</v>
      </c>
      <c r="C1154" s="11" t="s">
        <v>23</v>
      </c>
      <c r="D1154" s="3">
        <f t="shared" si="218"/>
        <v>769</v>
      </c>
      <c r="E1154" s="11">
        <f t="shared" si="221"/>
        <v>43</v>
      </c>
      <c r="F1154" s="11">
        <f t="shared" si="213"/>
        <v>215</v>
      </c>
    </row>
    <row r="1155" spans="1:6" x14ac:dyDescent="0.25">
      <c r="A1155" s="11" t="s">
        <v>73</v>
      </c>
      <c r="B1155" s="11" t="str">
        <f t="shared" si="220"/>
        <v>1"770</v>
      </c>
      <c r="C1155" s="11" t="s">
        <v>23</v>
      </c>
      <c r="D1155" s="3">
        <f t="shared" si="218"/>
        <v>770</v>
      </c>
      <c r="E1155" s="11">
        <f t="shared" si="221"/>
        <v>43</v>
      </c>
      <c r="F1155" s="11">
        <f t="shared" si="213"/>
        <v>215</v>
      </c>
    </row>
    <row r="1156" spans="1:6" x14ac:dyDescent="0.25">
      <c r="A1156" s="11" t="s">
        <v>73</v>
      </c>
      <c r="B1156" s="11" t="str">
        <f t="shared" si="220"/>
        <v>1"771</v>
      </c>
      <c r="C1156" s="11" t="s">
        <v>23</v>
      </c>
      <c r="D1156" s="3">
        <f t="shared" si="218"/>
        <v>771</v>
      </c>
      <c r="E1156" s="11">
        <f t="shared" si="221"/>
        <v>43</v>
      </c>
      <c r="F1156" s="11">
        <f t="shared" si="213"/>
        <v>215</v>
      </c>
    </row>
    <row r="1157" spans="1:6" x14ac:dyDescent="0.25">
      <c r="A1157" s="11" t="s">
        <v>73</v>
      </c>
      <c r="B1157" s="11" t="str">
        <f t="shared" si="220"/>
        <v>1"772</v>
      </c>
      <c r="C1157" s="11" t="s">
        <v>23</v>
      </c>
      <c r="D1157" s="3">
        <f t="shared" si="218"/>
        <v>772</v>
      </c>
      <c r="E1157" s="11">
        <f t="shared" si="221"/>
        <v>43</v>
      </c>
      <c r="F1157" s="11">
        <f t="shared" si="213"/>
        <v>215</v>
      </c>
    </row>
    <row r="1158" spans="1:6" x14ac:dyDescent="0.25">
      <c r="A1158" s="11" t="s">
        <v>73</v>
      </c>
      <c r="B1158" s="11" t="str">
        <f t="shared" si="220"/>
        <v>1"773</v>
      </c>
      <c r="C1158" s="11" t="s">
        <v>23</v>
      </c>
      <c r="D1158" s="3">
        <f t="shared" si="218"/>
        <v>773</v>
      </c>
      <c r="E1158" s="11">
        <f t="shared" si="221"/>
        <v>43</v>
      </c>
      <c r="F1158" s="11">
        <f t="shared" si="213"/>
        <v>215</v>
      </c>
    </row>
    <row r="1159" spans="1:6" x14ac:dyDescent="0.25">
      <c r="A1159" s="11" t="s">
        <v>73</v>
      </c>
      <c r="B1159" s="11" t="str">
        <f t="shared" si="220"/>
        <v>1"774</v>
      </c>
      <c r="C1159" s="11" t="s">
        <v>23</v>
      </c>
      <c r="D1159" s="3">
        <f t="shared" si="218"/>
        <v>774</v>
      </c>
      <c r="E1159" s="11">
        <f t="shared" si="221"/>
        <v>43</v>
      </c>
      <c r="F1159" s="11">
        <f t="shared" si="213"/>
        <v>215</v>
      </c>
    </row>
    <row r="1160" spans="1:6" x14ac:dyDescent="0.25">
      <c r="A1160" s="11" t="s">
        <v>73</v>
      </c>
      <c r="B1160" s="11" t="str">
        <f t="shared" si="220"/>
        <v>1"775</v>
      </c>
      <c r="C1160" s="11" t="s">
        <v>23</v>
      </c>
      <c r="D1160" s="3">
        <f t="shared" si="218"/>
        <v>775</v>
      </c>
      <c r="E1160" s="11">
        <f t="shared" si="221"/>
        <v>43</v>
      </c>
      <c r="F1160" s="11">
        <f t="shared" si="213"/>
        <v>215</v>
      </c>
    </row>
    <row r="1161" spans="1:6" x14ac:dyDescent="0.25">
      <c r="A1161" s="11" t="s">
        <v>73</v>
      </c>
      <c r="B1161" s="11" t="str">
        <f t="shared" si="220"/>
        <v>1"776</v>
      </c>
      <c r="C1161" s="11" t="s">
        <v>23</v>
      </c>
      <c r="D1161" s="3">
        <f t="shared" si="218"/>
        <v>776</v>
      </c>
      <c r="E1161" s="11">
        <f t="shared" si="221"/>
        <v>43</v>
      </c>
      <c r="F1161" s="11">
        <f t="shared" si="213"/>
        <v>215</v>
      </c>
    </row>
    <row r="1162" spans="1:6" x14ac:dyDescent="0.25">
      <c r="A1162" s="11" t="s">
        <v>73</v>
      </c>
      <c r="B1162" s="11" t="str">
        <f t="shared" si="220"/>
        <v>1"777</v>
      </c>
      <c r="C1162" s="11" t="s">
        <v>23</v>
      </c>
      <c r="D1162" s="3">
        <f t="shared" si="218"/>
        <v>777</v>
      </c>
      <c r="E1162" s="11">
        <f t="shared" ref="E1162" si="222">E1161+1</f>
        <v>44</v>
      </c>
      <c r="F1162" s="11">
        <f t="shared" si="213"/>
        <v>220</v>
      </c>
    </row>
    <row r="1163" spans="1:6" x14ac:dyDescent="0.25">
      <c r="A1163" s="11" t="s">
        <v>73</v>
      </c>
      <c r="B1163" s="11" t="str">
        <f t="shared" si="220"/>
        <v>1"778</v>
      </c>
      <c r="C1163" s="11" t="s">
        <v>23</v>
      </c>
      <c r="D1163" s="3">
        <f t="shared" si="218"/>
        <v>778</v>
      </c>
      <c r="E1163" s="11">
        <f t="shared" ref="E1163:E1181" si="223">E1162</f>
        <v>44</v>
      </c>
      <c r="F1163" s="11">
        <f t="shared" ref="F1163:F1226" si="224">E1163*$F$1</f>
        <v>220</v>
      </c>
    </row>
    <row r="1164" spans="1:6" x14ac:dyDescent="0.25">
      <c r="A1164" s="11" t="s">
        <v>73</v>
      </c>
      <c r="B1164" s="11" t="str">
        <f t="shared" si="220"/>
        <v>1"779</v>
      </c>
      <c r="C1164" s="11" t="s">
        <v>23</v>
      </c>
      <c r="D1164" s="3">
        <f t="shared" si="218"/>
        <v>779</v>
      </c>
      <c r="E1164" s="11">
        <f t="shared" si="223"/>
        <v>44</v>
      </c>
      <c r="F1164" s="11">
        <f t="shared" si="224"/>
        <v>220</v>
      </c>
    </row>
    <row r="1165" spans="1:6" x14ac:dyDescent="0.25">
      <c r="A1165" s="11" t="s">
        <v>73</v>
      </c>
      <c r="B1165" s="11" t="str">
        <f t="shared" si="220"/>
        <v>1"780</v>
      </c>
      <c r="C1165" s="11" t="s">
        <v>23</v>
      </c>
      <c r="D1165" s="3">
        <f t="shared" si="218"/>
        <v>780</v>
      </c>
      <c r="E1165" s="11">
        <f t="shared" si="223"/>
        <v>44</v>
      </c>
      <c r="F1165" s="11">
        <f t="shared" si="224"/>
        <v>220</v>
      </c>
    </row>
    <row r="1166" spans="1:6" x14ac:dyDescent="0.25">
      <c r="A1166" s="11" t="s">
        <v>73</v>
      </c>
      <c r="B1166" s="11" t="str">
        <f t="shared" si="220"/>
        <v>1"781</v>
      </c>
      <c r="C1166" s="11" t="s">
        <v>23</v>
      </c>
      <c r="D1166" s="3">
        <f t="shared" si="218"/>
        <v>781</v>
      </c>
      <c r="E1166" s="11">
        <f t="shared" si="223"/>
        <v>44</v>
      </c>
      <c r="F1166" s="11">
        <f t="shared" si="224"/>
        <v>220</v>
      </c>
    </row>
    <row r="1167" spans="1:6" x14ac:dyDescent="0.25">
      <c r="A1167" s="11" t="s">
        <v>73</v>
      </c>
      <c r="B1167" s="11" t="str">
        <f t="shared" si="220"/>
        <v>1"782</v>
      </c>
      <c r="C1167" s="11" t="s">
        <v>23</v>
      </c>
      <c r="D1167" s="3">
        <f t="shared" si="218"/>
        <v>782</v>
      </c>
      <c r="E1167" s="11">
        <f t="shared" si="223"/>
        <v>44</v>
      </c>
      <c r="F1167" s="11">
        <f t="shared" si="224"/>
        <v>220</v>
      </c>
    </row>
    <row r="1168" spans="1:6" x14ac:dyDescent="0.25">
      <c r="A1168" s="11" t="s">
        <v>73</v>
      </c>
      <c r="B1168" s="11" t="str">
        <f t="shared" si="220"/>
        <v>1"783</v>
      </c>
      <c r="C1168" s="11" t="s">
        <v>23</v>
      </c>
      <c r="D1168" s="3">
        <f t="shared" si="218"/>
        <v>783</v>
      </c>
      <c r="E1168" s="11">
        <f t="shared" si="223"/>
        <v>44</v>
      </c>
      <c r="F1168" s="11">
        <f t="shared" si="224"/>
        <v>220</v>
      </c>
    </row>
    <row r="1169" spans="1:6" x14ac:dyDescent="0.25">
      <c r="A1169" s="11" t="s">
        <v>73</v>
      </c>
      <c r="B1169" s="11" t="str">
        <f t="shared" si="220"/>
        <v>1"784</v>
      </c>
      <c r="C1169" s="11" t="s">
        <v>23</v>
      </c>
      <c r="D1169" s="3">
        <f t="shared" si="218"/>
        <v>784</v>
      </c>
      <c r="E1169" s="11">
        <f t="shared" si="223"/>
        <v>44</v>
      </c>
      <c r="F1169" s="11">
        <f t="shared" si="224"/>
        <v>220</v>
      </c>
    </row>
    <row r="1170" spans="1:6" x14ac:dyDescent="0.25">
      <c r="A1170" s="11" t="s">
        <v>73</v>
      </c>
      <c r="B1170" s="11" t="str">
        <f t="shared" si="220"/>
        <v>1"785</v>
      </c>
      <c r="C1170" s="11" t="s">
        <v>23</v>
      </c>
      <c r="D1170" s="3">
        <f t="shared" si="218"/>
        <v>785</v>
      </c>
      <c r="E1170" s="11">
        <f t="shared" si="223"/>
        <v>44</v>
      </c>
      <c r="F1170" s="11">
        <f t="shared" si="224"/>
        <v>220</v>
      </c>
    </row>
    <row r="1171" spans="1:6" x14ac:dyDescent="0.25">
      <c r="A1171" s="11" t="s">
        <v>73</v>
      </c>
      <c r="B1171" s="11" t="str">
        <f t="shared" si="220"/>
        <v>1"786</v>
      </c>
      <c r="C1171" s="11" t="s">
        <v>23</v>
      </c>
      <c r="D1171" s="3">
        <f t="shared" si="218"/>
        <v>786</v>
      </c>
      <c r="E1171" s="11">
        <f t="shared" si="223"/>
        <v>44</v>
      </c>
      <c r="F1171" s="11">
        <f t="shared" si="224"/>
        <v>220</v>
      </c>
    </row>
    <row r="1172" spans="1:6" x14ac:dyDescent="0.25">
      <c r="A1172" s="11" t="s">
        <v>73</v>
      </c>
      <c r="B1172" s="11" t="str">
        <f t="shared" si="220"/>
        <v>1"787</v>
      </c>
      <c r="C1172" s="11" t="s">
        <v>23</v>
      </c>
      <c r="D1172" s="3">
        <f t="shared" si="218"/>
        <v>787</v>
      </c>
      <c r="E1172" s="11">
        <f t="shared" si="223"/>
        <v>44</v>
      </c>
      <c r="F1172" s="11">
        <f t="shared" si="224"/>
        <v>220</v>
      </c>
    </row>
    <row r="1173" spans="1:6" x14ac:dyDescent="0.25">
      <c r="A1173" s="11" t="s">
        <v>73</v>
      </c>
      <c r="B1173" s="11" t="str">
        <f t="shared" si="220"/>
        <v>1"788</v>
      </c>
      <c r="C1173" s="11" t="s">
        <v>23</v>
      </c>
      <c r="D1173" s="3">
        <f t="shared" si="218"/>
        <v>788</v>
      </c>
      <c r="E1173" s="11">
        <f t="shared" si="223"/>
        <v>44</v>
      </c>
      <c r="F1173" s="11">
        <f t="shared" si="224"/>
        <v>220</v>
      </c>
    </row>
    <row r="1174" spans="1:6" x14ac:dyDescent="0.25">
      <c r="A1174" s="11" t="s">
        <v>73</v>
      </c>
      <c r="B1174" s="11" t="str">
        <f t="shared" si="220"/>
        <v>1"789</v>
      </c>
      <c r="C1174" s="11" t="s">
        <v>23</v>
      </c>
      <c r="D1174" s="3">
        <f t="shared" si="218"/>
        <v>789</v>
      </c>
      <c r="E1174" s="11">
        <f t="shared" si="223"/>
        <v>44</v>
      </c>
      <c r="F1174" s="11">
        <f t="shared" si="224"/>
        <v>220</v>
      </c>
    </row>
    <row r="1175" spans="1:6" x14ac:dyDescent="0.25">
      <c r="A1175" s="11" t="s">
        <v>73</v>
      </c>
      <c r="B1175" s="11" t="str">
        <f t="shared" si="220"/>
        <v>1"790</v>
      </c>
      <c r="C1175" s="11" t="s">
        <v>23</v>
      </c>
      <c r="D1175" s="3">
        <f t="shared" si="218"/>
        <v>790</v>
      </c>
      <c r="E1175" s="11">
        <f t="shared" si="223"/>
        <v>44</v>
      </c>
      <c r="F1175" s="11">
        <f t="shared" si="224"/>
        <v>220</v>
      </c>
    </row>
    <row r="1176" spans="1:6" x14ac:dyDescent="0.25">
      <c r="A1176" s="11" t="s">
        <v>73</v>
      </c>
      <c r="B1176" s="11" t="str">
        <f t="shared" si="220"/>
        <v>1"791</v>
      </c>
      <c r="C1176" s="11" t="s">
        <v>23</v>
      </c>
      <c r="D1176" s="3">
        <f t="shared" si="218"/>
        <v>791</v>
      </c>
      <c r="E1176" s="11">
        <f t="shared" si="223"/>
        <v>44</v>
      </c>
      <c r="F1176" s="11">
        <f t="shared" si="224"/>
        <v>220</v>
      </c>
    </row>
    <row r="1177" spans="1:6" x14ac:dyDescent="0.25">
      <c r="A1177" s="11" t="s">
        <v>73</v>
      </c>
      <c r="B1177" s="11" t="str">
        <f t="shared" si="220"/>
        <v>1"792</v>
      </c>
      <c r="C1177" s="11" t="s">
        <v>23</v>
      </c>
      <c r="D1177" s="3">
        <f t="shared" si="218"/>
        <v>792</v>
      </c>
      <c r="E1177" s="11">
        <f t="shared" si="223"/>
        <v>44</v>
      </c>
      <c r="F1177" s="11">
        <f t="shared" si="224"/>
        <v>220</v>
      </c>
    </row>
    <row r="1178" spans="1:6" x14ac:dyDescent="0.25">
      <c r="A1178" s="11" t="s">
        <v>73</v>
      </c>
      <c r="B1178" s="11" t="str">
        <f t="shared" si="220"/>
        <v>1"793</v>
      </c>
      <c r="C1178" s="11" t="s">
        <v>23</v>
      </c>
      <c r="D1178" s="3">
        <f t="shared" si="218"/>
        <v>793</v>
      </c>
      <c r="E1178" s="11">
        <f t="shared" si="223"/>
        <v>44</v>
      </c>
      <c r="F1178" s="11">
        <f t="shared" si="224"/>
        <v>220</v>
      </c>
    </row>
    <row r="1179" spans="1:6" x14ac:dyDescent="0.25">
      <c r="A1179" s="11" t="s">
        <v>73</v>
      </c>
      <c r="B1179" s="11" t="str">
        <f t="shared" si="220"/>
        <v>1"794</v>
      </c>
      <c r="C1179" s="11" t="s">
        <v>23</v>
      </c>
      <c r="D1179" s="3">
        <f t="shared" si="218"/>
        <v>794</v>
      </c>
      <c r="E1179" s="11">
        <f t="shared" si="223"/>
        <v>44</v>
      </c>
      <c r="F1179" s="11">
        <f t="shared" si="224"/>
        <v>220</v>
      </c>
    </row>
    <row r="1180" spans="1:6" x14ac:dyDescent="0.25">
      <c r="A1180" s="11" t="s">
        <v>73</v>
      </c>
      <c r="B1180" s="11" t="str">
        <f t="shared" si="220"/>
        <v>1"795</v>
      </c>
      <c r="C1180" s="11" t="s">
        <v>23</v>
      </c>
      <c r="D1180" s="3">
        <f t="shared" si="218"/>
        <v>795</v>
      </c>
      <c r="E1180" s="11">
        <f t="shared" si="223"/>
        <v>44</v>
      </c>
      <c r="F1180" s="11">
        <f t="shared" si="224"/>
        <v>220</v>
      </c>
    </row>
    <row r="1181" spans="1:6" x14ac:dyDescent="0.25">
      <c r="A1181" s="11" t="s">
        <v>73</v>
      </c>
      <c r="B1181" s="11" t="str">
        <f t="shared" si="220"/>
        <v>1"796</v>
      </c>
      <c r="C1181" s="11" t="s">
        <v>23</v>
      </c>
      <c r="D1181" s="3">
        <f t="shared" si="218"/>
        <v>796</v>
      </c>
      <c r="E1181" s="11">
        <f t="shared" si="223"/>
        <v>44</v>
      </c>
      <c r="F1181" s="11">
        <f t="shared" si="224"/>
        <v>220</v>
      </c>
    </row>
    <row r="1182" spans="1:6" x14ac:dyDescent="0.25">
      <c r="A1182" s="11" t="s">
        <v>73</v>
      </c>
      <c r="B1182" s="11" t="str">
        <f t="shared" si="220"/>
        <v>1"797</v>
      </c>
      <c r="C1182" s="11" t="s">
        <v>23</v>
      </c>
      <c r="D1182" s="3">
        <f t="shared" si="218"/>
        <v>797</v>
      </c>
      <c r="E1182" s="11">
        <f t="shared" ref="E1182" si="225">E1181+1</f>
        <v>45</v>
      </c>
      <c r="F1182" s="11">
        <f t="shared" si="224"/>
        <v>225</v>
      </c>
    </row>
    <row r="1183" spans="1:6" x14ac:dyDescent="0.25">
      <c r="A1183" s="11" t="s">
        <v>73</v>
      </c>
      <c r="B1183" s="11" t="str">
        <f t="shared" si="220"/>
        <v>1"798</v>
      </c>
      <c r="C1183" s="11" t="s">
        <v>23</v>
      </c>
      <c r="D1183" s="3">
        <f t="shared" si="218"/>
        <v>798</v>
      </c>
      <c r="E1183" s="11">
        <f t="shared" ref="E1183:E1201" si="226">E1182</f>
        <v>45</v>
      </c>
      <c r="F1183" s="11">
        <f t="shared" si="224"/>
        <v>225</v>
      </c>
    </row>
    <row r="1184" spans="1:6" x14ac:dyDescent="0.25">
      <c r="A1184" s="11" t="s">
        <v>73</v>
      </c>
      <c r="B1184" s="11" t="str">
        <f t="shared" si="220"/>
        <v>1"799</v>
      </c>
      <c r="C1184" s="11" t="s">
        <v>23</v>
      </c>
      <c r="D1184" s="3">
        <f t="shared" si="218"/>
        <v>799</v>
      </c>
      <c r="E1184" s="11">
        <f t="shared" si="226"/>
        <v>45</v>
      </c>
      <c r="F1184" s="11">
        <f t="shared" si="224"/>
        <v>225</v>
      </c>
    </row>
    <row r="1185" spans="1:6" x14ac:dyDescent="0.25">
      <c r="A1185" s="11" t="s">
        <v>73</v>
      </c>
      <c r="B1185" s="11" t="str">
        <f t="shared" si="220"/>
        <v>1"800</v>
      </c>
      <c r="C1185" s="11" t="s">
        <v>23</v>
      </c>
      <c r="D1185" s="3">
        <f t="shared" si="218"/>
        <v>800</v>
      </c>
      <c r="E1185" s="11">
        <f t="shared" si="226"/>
        <v>45</v>
      </c>
      <c r="F1185" s="11">
        <f t="shared" si="224"/>
        <v>225</v>
      </c>
    </row>
    <row r="1186" spans="1:6" x14ac:dyDescent="0.25">
      <c r="A1186" s="11" t="s">
        <v>73</v>
      </c>
      <c r="B1186" s="11" t="str">
        <f t="shared" si="220"/>
        <v>1"801</v>
      </c>
      <c r="C1186" s="11" t="s">
        <v>23</v>
      </c>
      <c r="D1186" s="3">
        <f t="shared" si="218"/>
        <v>801</v>
      </c>
      <c r="E1186" s="11">
        <f t="shared" si="226"/>
        <v>45</v>
      </c>
      <c r="F1186" s="11">
        <f t="shared" si="224"/>
        <v>225</v>
      </c>
    </row>
    <row r="1187" spans="1:6" x14ac:dyDescent="0.25">
      <c r="A1187" s="11" t="s">
        <v>73</v>
      </c>
      <c r="B1187" s="11" t="str">
        <f t="shared" si="220"/>
        <v>1"802</v>
      </c>
      <c r="C1187" s="11" t="s">
        <v>23</v>
      </c>
      <c r="D1187" s="3">
        <f t="shared" si="218"/>
        <v>802</v>
      </c>
      <c r="E1187" s="11">
        <f t="shared" si="226"/>
        <v>45</v>
      </c>
      <c r="F1187" s="11">
        <f t="shared" si="224"/>
        <v>225</v>
      </c>
    </row>
    <row r="1188" spans="1:6" x14ac:dyDescent="0.25">
      <c r="A1188" s="11" t="s">
        <v>73</v>
      </c>
      <c r="B1188" s="11" t="str">
        <f t="shared" si="220"/>
        <v>1"803</v>
      </c>
      <c r="C1188" s="11" t="s">
        <v>23</v>
      </c>
      <c r="D1188" s="3">
        <f t="shared" si="218"/>
        <v>803</v>
      </c>
      <c r="E1188" s="11">
        <f t="shared" si="226"/>
        <v>45</v>
      </c>
      <c r="F1188" s="11">
        <f t="shared" si="224"/>
        <v>225</v>
      </c>
    </row>
    <row r="1189" spans="1:6" x14ac:dyDescent="0.25">
      <c r="A1189" s="11" t="s">
        <v>73</v>
      </c>
      <c r="B1189" s="11" t="str">
        <f t="shared" si="220"/>
        <v>1"804</v>
      </c>
      <c r="C1189" s="11" t="s">
        <v>23</v>
      </c>
      <c r="D1189" s="3">
        <f t="shared" si="218"/>
        <v>804</v>
      </c>
      <c r="E1189" s="11">
        <f t="shared" si="226"/>
        <v>45</v>
      </c>
      <c r="F1189" s="11">
        <f t="shared" si="224"/>
        <v>225</v>
      </c>
    </row>
    <row r="1190" spans="1:6" x14ac:dyDescent="0.25">
      <c r="A1190" s="11" t="s">
        <v>73</v>
      </c>
      <c r="B1190" s="11" t="str">
        <f t="shared" si="220"/>
        <v>1"805</v>
      </c>
      <c r="C1190" s="11" t="s">
        <v>23</v>
      </c>
      <c r="D1190" s="3">
        <f t="shared" si="218"/>
        <v>805</v>
      </c>
      <c r="E1190" s="11">
        <f t="shared" si="226"/>
        <v>45</v>
      </c>
      <c r="F1190" s="11">
        <f t="shared" si="224"/>
        <v>225</v>
      </c>
    </row>
    <row r="1191" spans="1:6" x14ac:dyDescent="0.25">
      <c r="A1191" s="11" t="s">
        <v>73</v>
      </c>
      <c r="B1191" s="11" t="str">
        <f t="shared" si="220"/>
        <v>1"806</v>
      </c>
      <c r="C1191" s="11" t="s">
        <v>23</v>
      </c>
      <c r="D1191" s="3">
        <f t="shared" si="218"/>
        <v>806</v>
      </c>
      <c r="E1191" s="11">
        <f t="shared" si="226"/>
        <v>45</v>
      </c>
      <c r="F1191" s="11">
        <f t="shared" si="224"/>
        <v>225</v>
      </c>
    </row>
    <row r="1192" spans="1:6" x14ac:dyDescent="0.25">
      <c r="A1192" s="11" t="s">
        <v>73</v>
      </c>
      <c r="B1192" s="11" t="str">
        <f t="shared" si="220"/>
        <v>1"807</v>
      </c>
      <c r="C1192" s="11" t="s">
        <v>23</v>
      </c>
      <c r="D1192" s="3">
        <f t="shared" si="218"/>
        <v>807</v>
      </c>
      <c r="E1192" s="11">
        <f t="shared" si="226"/>
        <v>45</v>
      </c>
      <c r="F1192" s="11">
        <f t="shared" si="224"/>
        <v>225</v>
      </c>
    </row>
    <row r="1193" spans="1:6" x14ac:dyDescent="0.25">
      <c r="A1193" s="11" t="s">
        <v>73</v>
      </c>
      <c r="B1193" s="11" t="str">
        <f t="shared" si="220"/>
        <v>1"808</v>
      </c>
      <c r="C1193" s="11" t="s">
        <v>23</v>
      </c>
      <c r="D1193" s="3">
        <f t="shared" si="218"/>
        <v>808</v>
      </c>
      <c r="E1193" s="11">
        <f t="shared" si="226"/>
        <v>45</v>
      </c>
      <c r="F1193" s="11">
        <f t="shared" si="224"/>
        <v>225</v>
      </c>
    </row>
    <row r="1194" spans="1:6" x14ac:dyDescent="0.25">
      <c r="A1194" s="11" t="s">
        <v>73</v>
      </c>
      <c r="B1194" s="11" t="str">
        <f t="shared" si="220"/>
        <v>1"809</v>
      </c>
      <c r="C1194" s="11" t="s">
        <v>23</v>
      </c>
      <c r="D1194" s="3">
        <f t="shared" ref="D1194:D1257" si="227">D1193+1</f>
        <v>809</v>
      </c>
      <c r="E1194" s="11">
        <f t="shared" si="226"/>
        <v>45</v>
      </c>
      <c r="F1194" s="11">
        <f t="shared" si="224"/>
        <v>225</v>
      </c>
    </row>
    <row r="1195" spans="1:6" x14ac:dyDescent="0.25">
      <c r="A1195" s="11" t="s">
        <v>73</v>
      </c>
      <c r="B1195" s="11" t="str">
        <f t="shared" si="220"/>
        <v>1"810</v>
      </c>
      <c r="C1195" s="11" t="s">
        <v>23</v>
      </c>
      <c r="D1195" s="3">
        <f t="shared" si="227"/>
        <v>810</v>
      </c>
      <c r="E1195" s="11">
        <f t="shared" si="226"/>
        <v>45</v>
      </c>
      <c r="F1195" s="11">
        <f t="shared" si="224"/>
        <v>225</v>
      </c>
    </row>
    <row r="1196" spans="1:6" x14ac:dyDescent="0.25">
      <c r="A1196" s="11" t="s">
        <v>73</v>
      </c>
      <c r="B1196" s="11" t="str">
        <f t="shared" si="220"/>
        <v>1"811</v>
      </c>
      <c r="C1196" s="11" t="s">
        <v>23</v>
      </c>
      <c r="D1196" s="3">
        <f t="shared" si="227"/>
        <v>811</v>
      </c>
      <c r="E1196" s="11">
        <f t="shared" si="226"/>
        <v>45</v>
      </c>
      <c r="F1196" s="11">
        <f t="shared" si="224"/>
        <v>225</v>
      </c>
    </row>
    <row r="1197" spans="1:6" x14ac:dyDescent="0.25">
      <c r="A1197" s="11" t="s">
        <v>73</v>
      </c>
      <c r="B1197" s="11" t="str">
        <f t="shared" si="220"/>
        <v>1"812</v>
      </c>
      <c r="C1197" s="11" t="s">
        <v>23</v>
      </c>
      <c r="D1197" s="3">
        <f t="shared" si="227"/>
        <v>812</v>
      </c>
      <c r="E1197" s="11">
        <f t="shared" si="226"/>
        <v>45</v>
      </c>
      <c r="F1197" s="11">
        <f t="shared" si="224"/>
        <v>225</v>
      </c>
    </row>
    <row r="1198" spans="1:6" x14ac:dyDescent="0.25">
      <c r="A1198" s="11" t="s">
        <v>73</v>
      </c>
      <c r="B1198" s="11" t="str">
        <f t="shared" si="220"/>
        <v>1"813</v>
      </c>
      <c r="C1198" s="11" t="s">
        <v>23</v>
      </c>
      <c r="D1198" s="3">
        <f t="shared" si="227"/>
        <v>813</v>
      </c>
      <c r="E1198" s="11">
        <f t="shared" si="226"/>
        <v>45</v>
      </c>
      <c r="F1198" s="11">
        <f t="shared" si="224"/>
        <v>225</v>
      </c>
    </row>
    <row r="1199" spans="1:6" x14ac:dyDescent="0.25">
      <c r="A1199" s="11" t="s">
        <v>73</v>
      </c>
      <c r="B1199" s="11" t="str">
        <f t="shared" si="220"/>
        <v>1"814</v>
      </c>
      <c r="C1199" s="11" t="s">
        <v>23</v>
      </c>
      <c r="D1199" s="3">
        <f t="shared" si="227"/>
        <v>814</v>
      </c>
      <c r="E1199" s="11">
        <f t="shared" si="226"/>
        <v>45</v>
      </c>
      <c r="F1199" s="11">
        <f t="shared" si="224"/>
        <v>225</v>
      </c>
    </row>
    <row r="1200" spans="1:6" x14ac:dyDescent="0.25">
      <c r="A1200" s="11" t="s">
        <v>73</v>
      </c>
      <c r="B1200" s="11" t="str">
        <f t="shared" si="220"/>
        <v>1"815</v>
      </c>
      <c r="C1200" s="11" t="s">
        <v>23</v>
      </c>
      <c r="D1200" s="3">
        <f t="shared" si="227"/>
        <v>815</v>
      </c>
      <c r="E1200" s="11">
        <f t="shared" si="226"/>
        <v>45</v>
      </c>
      <c r="F1200" s="11">
        <f t="shared" si="224"/>
        <v>225</v>
      </c>
    </row>
    <row r="1201" spans="1:6" x14ac:dyDescent="0.25">
      <c r="A1201" s="11" t="s">
        <v>73</v>
      </c>
      <c r="B1201" s="11" t="str">
        <f t="shared" si="220"/>
        <v>1"816</v>
      </c>
      <c r="C1201" s="11" t="s">
        <v>23</v>
      </c>
      <c r="D1201" s="3">
        <f t="shared" si="227"/>
        <v>816</v>
      </c>
      <c r="E1201" s="11">
        <f t="shared" si="226"/>
        <v>45</v>
      </c>
      <c r="F1201" s="11">
        <f t="shared" si="224"/>
        <v>225</v>
      </c>
    </row>
    <row r="1202" spans="1:6" x14ac:dyDescent="0.25">
      <c r="A1202" s="11" t="s">
        <v>73</v>
      </c>
      <c r="B1202" s="11" t="str">
        <f t="shared" si="220"/>
        <v>1"817</v>
      </c>
      <c r="C1202" s="11" t="s">
        <v>23</v>
      </c>
      <c r="D1202" s="3">
        <f t="shared" si="227"/>
        <v>817</v>
      </c>
      <c r="E1202" s="11">
        <f t="shared" ref="E1202" si="228">E1201+1</f>
        <v>46</v>
      </c>
      <c r="F1202" s="11">
        <f t="shared" si="224"/>
        <v>230</v>
      </c>
    </row>
    <row r="1203" spans="1:6" x14ac:dyDescent="0.25">
      <c r="A1203" s="11" t="s">
        <v>73</v>
      </c>
      <c r="B1203" s="11" t="str">
        <f t="shared" si="220"/>
        <v>1"818</v>
      </c>
      <c r="C1203" s="11" t="s">
        <v>23</v>
      </c>
      <c r="D1203" s="3">
        <f t="shared" si="227"/>
        <v>818</v>
      </c>
      <c r="E1203" s="11">
        <f t="shared" ref="E1203:E1208" si="229">E1202</f>
        <v>46</v>
      </c>
      <c r="F1203" s="11">
        <f t="shared" si="224"/>
        <v>230</v>
      </c>
    </row>
    <row r="1204" spans="1:6" x14ac:dyDescent="0.25">
      <c r="A1204" s="11" t="s">
        <v>73</v>
      </c>
      <c r="B1204" s="11" t="str">
        <f t="shared" si="220"/>
        <v>1"819</v>
      </c>
      <c r="C1204" s="11" t="s">
        <v>23</v>
      </c>
      <c r="D1204" s="3">
        <f t="shared" si="227"/>
        <v>819</v>
      </c>
      <c r="E1204" s="11">
        <f t="shared" si="229"/>
        <v>46</v>
      </c>
      <c r="F1204" s="11">
        <f t="shared" si="224"/>
        <v>230</v>
      </c>
    </row>
    <row r="1205" spans="1:6" x14ac:dyDescent="0.25">
      <c r="A1205" s="11" t="s">
        <v>73</v>
      </c>
      <c r="B1205" s="11" t="str">
        <f t="shared" si="220"/>
        <v>1"820</v>
      </c>
      <c r="C1205" s="11" t="s">
        <v>23</v>
      </c>
      <c r="D1205" s="3">
        <f t="shared" si="227"/>
        <v>820</v>
      </c>
      <c r="E1205" s="11">
        <f t="shared" si="229"/>
        <v>46</v>
      </c>
      <c r="F1205" s="11">
        <f t="shared" si="224"/>
        <v>230</v>
      </c>
    </row>
    <row r="1206" spans="1:6" x14ac:dyDescent="0.25">
      <c r="A1206" s="11" t="s">
        <v>73</v>
      </c>
      <c r="B1206" s="11" t="str">
        <f t="shared" si="220"/>
        <v>1"821</v>
      </c>
      <c r="C1206" s="11" t="s">
        <v>23</v>
      </c>
      <c r="D1206" s="3">
        <f t="shared" si="227"/>
        <v>821</v>
      </c>
      <c r="E1206" s="11">
        <f t="shared" si="229"/>
        <v>46</v>
      </c>
      <c r="F1206" s="11">
        <f t="shared" si="224"/>
        <v>230</v>
      </c>
    </row>
    <row r="1207" spans="1:6" x14ac:dyDescent="0.25">
      <c r="A1207" s="11" t="s">
        <v>73</v>
      </c>
      <c r="B1207" s="11" t="str">
        <f t="shared" si="220"/>
        <v>1"822</v>
      </c>
      <c r="C1207" s="11" t="s">
        <v>23</v>
      </c>
      <c r="D1207" s="3">
        <f t="shared" si="227"/>
        <v>822</v>
      </c>
      <c r="E1207" s="11">
        <f t="shared" si="229"/>
        <v>46</v>
      </c>
      <c r="F1207" s="11">
        <f t="shared" si="224"/>
        <v>230</v>
      </c>
    </row>
    <row r="1208" spans="1:6" x14ac:dyDescent="0.25">
      <c r="A1208" s="11" t="s">
        <v>73</v>
      </c>
      <c r="B1208" s="11" t="str">
        <f t="shared" si="220"/>
        <v>1"823</v>
      </c>
      <c r="C1208" s="11" t="s">
        <v>23</v>
      </c>
      <c r="D1208" s="3">
        <f t="shared" si="227"/>
        <v>823</v>
      </c>
      <c r="E1208" s="11">
        <f t="shared" si="229"/>
        <v>46</v>
      </c>
      <c r="F1208" s="11">
        <f t="shared" si="224"/>
        <v>230</v>
      </c>
    </row>
    <row r="1209" spans="1:6" x14ac:dyDescent="0.25">
      <c r="A1209" s="11" t="s">
        <v>73</v>
      </c>
      <c r="B1209" s="11" t="str">
        <f t="shared" si="220"/>
        <v>1"824</v>
      </c>
      <c r="C1209" s="11" t="s">
        <v>23</v>
      </c>
      <c r="D1209" s="3">
        <f t="shared" si="227"/>
        <v>824</v>
      </c>
      <c r="E1209" s="11">
        <f>E1208+1</f>
        <v>47</v>
      </c>
      <c r="F1209" s="11">
        <f t="shared" si="224"/>
        <v>235</v>
      </c>
    </row>
    <row r="1210" spans="1:6" x14ac:dyDescent="0.25">
      <c r="A1210" s="11" t="s">
        <v>73</v>
      </c>
      <c r="B1210" s="11" t="str">
        <f t="shared" si="220"/>
        <v>1"825</v>
      </c>
      <c r="C1210" s="11" t="s">
        <v>23</v>
      </c>
      <c r="D1210" s="3">
        <f t="shared" si="227"/>
        <v>825</v>
      </c>
      <c r="E1210" s="11">
        <f t="shared" ref="E1210:E1216" si="230">E1209</f>
        <v>47</v>
      </c>
      <c r="F1210" s="11">
        <f t="shared" si="224"/>
        <v>235</v>
      </c>
    </row>
    <row r="1211" spans="1:6" x14ac:dyDescent="0.25">
      <c r="A1211" s="11" t="s">
        <v>73</v>
      </c>
      <c r="B1211" s="11" t="str">
        <f t="shared" ref="B1211:B1274" si="231">CONCATENATE(C1211&amp;D1211)</f>
        <v>1"826</v>
      </c>
      <c r="C1211" s="11" t="s">
        <v>23</v>
      </c>
      <c r="D1211" s="3">
        <f t="shared" si="227"/>
        <v>826</v>
      </c>
      <c r="E1211" s="11">
        <f t="shared" si="230"/>
        <v>47</v>
      </c>
      <c r="F1211" s="11">
        <f t="shared" si="224"/>
        <v>235</v>
      </c>
    </row>
    <row r="1212" spans="1:6" x14ac:dyDescent="0.25">
      <c r="A1212" s="11" t="s">
        <v>73</v>
      </c>
      <c r="B1212" s="11" t="str">
        <f t="shared" si="231"/>
        <v>1"827</v>
      </c>
      <c r="C1212" s="11" t="s">
        <v>23</v>
      </c>
      <c r="D1212" s="3">
        <f t="shared" si="227"/>
        <v>827</v>
      </c>
      <c r="E1212" s="11">
        <f t="shared" si="230"/>
        <v>47</v>
      </c>
      <c r="F1212" s="11">
        <f t="shared" si="224"/>
        <v>235</v>
      </c>
    </row>
    <row r="1213" spans="1:6" x14ac:dyDescent="0.25">
      <c r="A1213" s="11" t="s">
        <v>73</v>
      </c>
      <c r="B1213" s="11" t="str">
        <f t="shared" si="231"/>
        <v>1"828</v>
      </c>
      <c r="C1213" s="11" t="s">
        <v>23</v>
      </c>
      <c r="D1213" s="3">
        <f t="shared" si="227"/>
        <v>828</v>
      </c>
      <c r="E1213" s="11">
        <f t="shared" si="230"/>
        <v>47</v>
      </c>
      <c r="F1213" s="11">
        <f t="shared" si="224"/>
        <v>235</v>
      </c>
    </row>
    <row r="1214" spans="1:6" x14ac:dyDescent="0.25">
      <c r="A1214" s="11" t="s">
        <v>73</v>
      </c>
      <c r="B1214" s="11" t="str">
        <f t="shared" si="231"/>
        <v>1"829</v>
      </c>
      <c r="C1214" s="11" t="s">
        <v>23</v>
      </c>
      <c r="D1214" s="3">
        <f t="shared" si="227"/>
        <v>829</v>
      </c>
      <c r="E1214" s="11">
        <f t="shared" si="230"/>
        <v>47</v>
      </c>
      <c r="F1214" s="11">
        <f t="shared" si="224"/>
        <v>235</v>
      </c>
    </row>
    <row r="1215" spans="1:6" x14ac:dyDescent="0.25">
      <c r="A1215" s="11" t="s">
        <v>73</v>
      </c>
      <c r="B1215" s="11" t="str">
        <f t="shared" si="231"/>
        <v>1"830</v>
      </c>
      <c r="C1215" s="11" t="s">
        <v>23</v>
      </c>
      <c r="D1215" s="3">
        <f t="shared" si="227"/>
        <v>830</v>
      </c>
      <c r="E1215" s="11">
        <f t="shared" si="230"/>
        <v>47</v>
      </c>
      <c r="F1215" s="11">
        <f t="shared" si="224"/>
        <v>235</v>
      </c>
    </row>
    <row r="1216" spans="1:6" x14ac:dyDescent="0.25">
      <c r="A1216" s="11" t="s">
        <v>73</v>
      </c>
      <c r="B1216" s="11" t="str">
        <f t="shared" si="231"/>
        <v>1"831</v>
      </c>
      <c r="C1216" s="11" t="s">
        <v>23</v>
      </c>
      <c r="D1216" s="3">
        <f t="shared" si="227"/>
        <v>831</v>
      </c>
      <c r="E1216" s="11">
        <f t="shared" si="230"/>
        <v>47</v>
      </c>
      <c r="F1216" s="11">
        <f t="shared" si="224"/>
        <v>235</v>
      </c>
    </row>
    <row r="1217" spans="1:6" x14ac:dyDescent="0.25">
      <c r="A1217" s="11" t="s">
        <v>73</v>
      </c>
      <c r="B1217" s="11" t="str">
        <f t="shared" si="231"/>
        <v>1"832</v>
      </c>
      <c r="C1217" s="11" t="s">
        <v>23</v>
      </c>
      <c r="D1217" s="3">
        <f t="shared" si="227"/>
        <v>832</v>
      </c>
      <c r="E1217" s="11">
        <f t="shared" ref="E1217:E1228" si="232">E1216</f>
        <v>47</v>
      </c>
      <c r="F1217" s="11">
        <f t="shared" si="224"/>
        <v>235</v>
      </c>
    </row>
    <row r="1218" spans="1:6" x14ac:dyDescent="0.25">
      <c r="A1218" s="11" t="s">
        <v>73</v>
      </c>
      <c r="B1218" s="11" t="str">
        <f t="shared" si="231"/>
        <v>1"833</v>
      </c>
      <c r="C1218" s="11" t="s">
        <v>23</v>
      </c>
      <c r="D1218" s="3">
        <f t="shared" si="227"/>
        <v>833</v>
      </c>
      <c r="E1218" s="11">
        <f t="shared" si="232"/>
        <v>47</v>
      </c>
      <c r="F1218" s="11">
        <f t="shared" si="224"/>
        <v>235</v>
      </c>
    </row>
    <row r="1219" spans="1:6" x14ac:dyDescent="0.25">
      <c r="A1219" s="11" t="s">
        <v>73</v>
      </c>
      <c r="B1219" s="11" t="str">
        <f t="shared" si="231"/>
        <v>1"834</v>
      </c>
      <c r="C1219" s="11" t="s">
        <v>23</v>
      </c>
      <c r="D1219" s="3">
        <f t="shared" si="227"/>
        <v>834</v>
      </c>
      <c r="E1219" s="11">
        <f t="shared" si="232"/>
        <v>47</v>
      </c>
      <c r="F1219" s="11">
        <f t="shared" si="224"/>
        <v>235</v>
      </c>
    </row>
    <row r="1220" spans="1:6" x14ac:dyDescent="0.25">
      <c r="A1220" s="11" t="s">
        <v>73</v>
      </c>
      <c r="B1220" s="11" t="str">
        <f t="shared" si="231"/>
        <v>1"835</v>
      </c>
      <c r="C1220" s="11" t="s">
        <v>23</v>
      </c>
      <c r="D1220" s="3">
        <f t="shared" si="227"/>
        <v>835</v>
      </c>
      <c r="E1220" s="11">
        <f t="shared" si="232"/>
        <v>47</v>
      </c>
      <c r="F1220" s="11">
        <f t="shared" si="224"/>
        <v>235</v>
      </c>
    </row>
    <row r="1221" spans="1:6" x14ac:dyDescent="0.25">
      <c r="A1221" s="11" t="s">
        <v>73</v>
      </c>
      <c r="B1221" s="11" t="str">
        <f t="shared" si="231"/>
        <v>1"836</v>
      </c>
      <c r="C1221" s="11" t="s">
        <v>23</v>
      </c>
      <c r="D1221" s="3">
        <f t="shared" si="227"/>
        <v>836</v>
      </c>
      <c r="E1221" s="11">
        <f t="shared" si="232"/>
        <v>47</v>
      </c>
      <c r="F1221" s="11">
        <f t="shared" si="224"/>
        <v>235</v>
      </c>
    </row>
    <row r="1222" spans="1:6" x14ac:dyDescent="0.25">
      <c r="A1222" s="11" t="s">
        <v>73</v>
      </c>
      <c r="B1222" s="11" t="str">
        <f t="shared" si="231"/>
        <v>1"837</v>
      </c>
      <c r="C1222" s="11" t="s">
        <v>23</v>
      </c>
      <c r="D1222" s="3">
        <f t="shared" si="227"/>
        <v>837</v>
      </c>
      <c r="E1222" s="11">
        <f t="shared" si="232"/>
        <v>47</v>
      </c>
      <c r="F1222" s="11">
        <f t="shared" si="224"/>
        <v>235</v>
      </c>
    </row>
    <row r="1223" spans="1:6" x14ac:dyDescent="0.25">
      <c r="A1223" s="11" t="s">
        <v>73</v>
      </c>
      <c r="B1223" s="11" t="str">
        <f t="shared" si="231"/>
        <v>1"838</v>
      </c>
      <c r="C1223" s="11" t="s">
        <v>23</v>
      </c>
      <c r="D1223" s="3">
        <f t="shared" si="227"/>
        <v>838</v>
      </c>
      <c r="E1223" s="11">
        <f t="shared" si="232"/>
        <v>47</v>
      </c>
      <c r="F1223" s="11">
        <f t="shared" si="224"/>
        <v>235</v>
      </c>
    </row>
    <row r="1224" spans="1:6" x14ac:dyDescent="0.25">
      <c r="A1224" s="11" t="s">
        <v>73</v>
      </c>
      <c r="B1224" s="11" t="str">
        <f t="shared" si="231"/>
        <v>1"839</v>
      </c>
      <c r="C1224" s="11" t="s">
        <v>23</v>
      </c>
      <c r="D1224" s="3">
        <f t="shared" si="227"/>
        <v>839</v>
      </c>
      <c r="E1224" s="11">
        <f t="shared" si="232"/>
        <v>47</v>
      </c>
      <c r="F1224" s="11">
        <f t="shared" si="224"/>
        <v>235</v>
      </c>
    </row>
    <row r="1225" spans="1:6" x14ac:dyDescent="0.25">
      <c r="A1225" s="11" t="s">
        <v>73</v>
      </c>
      <c r="B1225" s="11" t="str">
        <f t="shared" si="231"/>
        <v>1"840</v>
      </c>
      <c r="C1225" s="11" t="s">
        <v>23</v>
      </c>
      <c r="D1225" s="3">
        <f t="shared" si="227"/>
        <v>840</v>
      </c>
      <c r="E1225" s="11">
        <f t="shared" si="232"/>
        <v>47</v>
      </c>
      <c r="F1225" s="11">
        <f t="shared" si="224"/>
        <v>235</v>
      </c>
    </row>
    <row r="1226" spans="1:6" x14ac:dyDescent="0.25">
      <c r="A1226" s="11" t="s">
        <v>73</v>
      </c>
      <c r="B1226" s="11" t="str">
        <f t="shared" si="231"/>
        <v>1"841</v>
      </c>
      <c r="C1226" s="11" t="s">
        <v>23</v>
      </c>
      <c r="D1226" s="3">
        <f t="shared" si="227"/>
        <v>841</v>
      </c>
      <c r="E1226" s="11">
        <f t="shared" si="232"/>
        <v>47</v>
      </c>
      <c r="F1226" s="11">
        <f t="shared" si="224"/>
        <v>235</v>
      </c>
    </row>
    <row r="1227" spans="1:6" x14ac:dyDescent="0.25">
      <c r="A1227" s="11" t="s">
        <v>73</v>
      </c>
      <c r="B1227" s="11" t="str">
        <f t="shared" si="231"/>
        <v>1"842</v>
      </c>
      <c r="C1227" s="11" t="s">
        <v>23</v>
      </c>
      <c r="D1227" s="3">
        <f t="shared" si="227"/>
        <v>842</v>
      </c>
      <c r="E1227" s="11">
        <f t="shared" si="232"/>
        <v>47</v>
      </c>
      <c r="F1227" s="11">
        <f t="shared" ref="F1227:F1290" si="233">E1227*$F$1</f>
        <v>235</v>
      </c>
    </row>
    <row r="1228" spans="1:6" x14ac:dyDescent="0.25">
      <c r="A1228" s="11" t="s">
        <v>73</v>
      </c>
      <c r="B1228" s="11" t="str">
        <f t="shared" si="231"/>
        <v>1"843</v>
      </c>
      <c r="C1228" s="11" t="s">
        <v>23</v>
      </c>
      <c r="D1228" s="3">
        <f t="shared" si="227"/>
        <v>843</v>
      </c>
      <c r="E1228" s="11">
        <f t="shared" si="232"/>
        <v>47</v>
      </c>
      <c r="F1228" s="11">
        <f t="shared" si="233"/>
        <v>235</v>
      </c>
    </row>
    <row r="1229" spans="1:6" x14ac:dyDescent="0.25">
      <c r="A1229" s="11" t="s">
        <v>73</v>
      </c>
      <c r="B1229" s="11" t="str">
        <f t="shared" si="231"/>
        <v>1"844</v>
      </c>
      <c r="C1229" s="11" t="s">
        <v>23</v>
      </c>
      <c r="D1229" s="3">
        <f t="shared" si="227"/>
        <v>844</v>
      </c>
      <c r="E1229" s="11">
        <f t="shared" ref="E1229" si="234">E1228+1</f>
        <v>48</v>
      </c>
      <c r="F1229" s="11">
        <f t="shared" si="233"/>
        <v>240</v>
      </c>
    </row>
    <row r="1230" spans="1:6" x14ac:dyDescent="0.25">
      <c r="A1230" s="11" t="s">
        <v>73</v>
      </c>
      <c r="B1230" s="11" t="str">
        <f t="shared" si="231"/>
        <v>1"845</v>
      </c>
      <c r="C1230" s="11" t="s">
        <v>23</v>
      </c>
      <c r="D1230" s="3">
        <f t="shared" si="227"/>
        <v>845</v>
      </c>
      <c r="E1230" s="11">
        <f t="shared" ref="E1230:E1248" si="235">E1229</f>
        <v>48</v>
      </c>
      <c r="F1230" s="11">
        <f t="shared" si="233"/>
        <v>240</v>
      </c>
    </row>
    <row r="1231" spans="1:6" x14ac:dyDescent="0.25">
      <c r="A1231" s="11" t="s">
        <v>73</v>
      </c>
      <c r="B1231" s="11" t="str">
        <f t="shared" si="231"/>
        <v>1"846</v>
      </c>
      <c r="C1231" s="11" t="s">
        <v>23</v>
      </c>
      <c r="D1231" s="3">
        <f t="shared" si="227"/>
        <v>846</v>
      </c>
      <c r="E1231" s="11">
        <f t="shared" si="235"/>
        <v>48</v>
      </c>
      <c r="F1231" s="11">
        <f t="shared" si="233"/>
        <v>240</v>
      </c>
    </row>
    <row r="1232" spans="1:6" x14ac:dyDescent="0.25">
      <c r="A1232" s="11" t="s">
        <v>73</v>
      </c>
      <c r="B1232" s="11" t="str">
        <f t="shared" si="231"/>
        <v>1"847</v>
      </c>
      <c r="C1232" s="11" t="s">
        <v>23</v>
      </c>
      <c r="D1232" s="3">
        <f t="shared" si="227"/>
        <v>847</v>
      </c>
      <c r="E1232" s="11">
        <f t="shared" si="235"/>
        <v>48</v>
      </c>
      <c r="F1232" s="11">
        <f t="shared" si="233"/>
        <v>240</v>
      </c>
    </row>
    <row r="1233" spans="1:6" x14ac:dyDescent="0.25">
      <c r="A1233" s="11" t="s">
        <v>73</v>
      </c>
      <c r="B1233" s="11" t="str">
        <f t="shared" si="231"/>
        <v>1"848</v>
      </c>
      <c r="C1233" s="11" t="s">
        <v>23</v>
      </c>
      <c r="D1233" s="3">
        <f t="shared" si="227"/>
        <v>848</v>
      </c>
      <c r="E1233" s="11">
        <f t="shared" si="235"/>
        <v>48</v>
      </c>
      <c r="F1233" s="11">
        <f t="shared" si="233"/>
        <v>240</v>
      </c>
    </row>
    <row r="1234" spans="1:6" x14ac:dyDescent="0.25">
      <c r="A1234" s="11" t="s">
        <v>73</v>
      </c>
      <c r="B1234" s="11" t="str">
        <f t="shared" si="231"/>
        <v>1"849</v>
      </c>
      <c r="C1234" s="11" t="s">
        <v>23</v>
      </c>
      <c r="D1234" s="3">
        <f t="shared" si="227"/>
        <v>849</v>
      </c>
      <c r="E1234" s="11">
        <f t="shared" si="235"/>
        <v>48</v>
      </c>
      <c r="F1234" s="11">
        <f t="shared" si="233"/>
        <v>240</v>
      </c>
    </row>
    <row r="1235" spans="1:6" x14ac:dyDescent="0.25">
      <c r="A1235" s="11" t="s">
        <v>73</v>
      </c>
      <c r="B1235" s="11" t="str">
        <f t="shared" si="231"/>
        <v>1"850</v>
      </c>
      <c r="C1235" s="11" t="s">
        <v>23</v>
      </c>
      <c r="D1235" s="3">
        <f t="shared" si="227"/>
        <v>850</v>
      </c>
      <c r="E1235" s="11">
        <f t="shared" si="235"/>
        <v>48</v>
      </c>
      <c r="F1235" s="11">
        <f t="shared" si="233"/>
        <v>240</v>
      </c>
    </row>
    <row r="1236" spans="1:6" x14ac:dyDescent="0.25">
      <c r="A1236" s="11" t="s">
        <v>73</v>
      </c>
      <c r="B1236" s="11" t="str">
        <f t="shared" si="231"/>
        <v>1"851</v>
      </c>
      <c r="C1236" s="11" t="s">
        <v>23</v>
      </c>
      <c r="D1236" s="3">
        <f t="shared" si="227"/>
        <v>851</v>
      </c>
      <c r="E1236" s="11">
        <f t="shared" si="235"/>
        <v>48</v>
      </c>
      <c r="F1236" s="11">
        <f t="shared" si="233"/>
        <v>240</v>
      </c>
    </row>
    <row r="1237" spans="1:6" x14ac:dyDescent="0.25">
      <c r="A1237" s="11" t="s">
        <v>73</v>
      </c>
      <c r="B1237" s="11" t="str">
        <f t="shared" si="231"/>
        <v>1"852</v>
      </c>
      <c r="C1237" s="11" t="s">
        <v>23</v>
      </c>
      <c r="D1237" s="3">
        <f t="shared" si="227"/>
        <v>852</v>
      </c>
      <c r="E1237" s="11">
        <f t="shared" si="235"/>
        <v>48</v>
      </c>
      <c r="F1237" s="11">
        <f t="shared" si="233"/>
        <v>240</v>
      </c>
    </row>
    <row r="1238" spans="1:6" x14ac:dyDescent="0.25">
      <c r="A1238" s="11" t="s">
        <v>73</v>
      </c>
      <c r="B1238" s="11" t="str">
        <f t="shared" si="231"/>
        <v>1"853</v>
      </c>
      <c r="C1238" s="11" t="s">
        <v>23</v>
      </c>
      <c r="D1238" s="3">
        <f t="shared" si="227"/>
        <v>853</v>
      </c>
      <c r="E1238" s="11">
        <f t="shared" si="235"/>
        <v>48</v>
      </c>
      <c r="F1238" s="11">
        <f t="shared" si="233"/>
        <v>240</v>
      </c>
    </row>
    <row r="1239" spans="1:6" x14ac:dyDescent="0.25">
      <c r="A1239" s="11" t="s">
        <v>73</v>
      </c>
      <c r="B1239" s="11" t="str">
        <f t="shared" si="231"/>
        <v>1"854</v>
      </c>
      <c r="C1239" s="11" t="s">
        <v>23</v>
      </c>
      <c r="D1239" s="3">
        <f t="shared" si="227"/>
        <v>854</v>
      </c>
      <c r="E1239" s="11">
        <f t="shared" si="235"/>
        <v>48</v>
      </c>
      <c r="F1239" s="11">
        <f t="shared" si="233"/>
        <v>240</v>
      </c>
    </row>
    <row r="1240" spans="1:6" x14ac:dyDescent="0.25">
      <c r="A1240" s="11" t="s">
        <v>73</v>
      </c>
      <c r="B1240" s="11" t="str">
        <f t="shared" si="231"/>
        <v>1"855</v>
      </c>
      <c r="C1240" s="11" t="s">
        <v>23</v>
      </c>
      <c r="D1240" s="3">
        <f t="shared" si="227"/>
        <v>855</v>
      </c>
      <c r="E1240" s="11">
        <f t="shared" si="235"/>
        <v>48</v>
      </c>
      <c r="F1240" s="11">
        <f t="shared" si="233"/>
        <v>240</v>
      </c>
    </row>
    <row r="1241" spans="1:6" x14ac:dyDescent="0.25">
      <c r="A1241" s="11" t="s">
        <v>73</v>
      </c>
      <c r="B1241" s="11" t="str">
        <f t="shared" si="231"/>
        <v>1"856</v>
      </c>
      <c r="C1241" s="11" t="s">
        <v>23</v>
      </c>
      <c r="D1241" s="3">
        <f t="shared" si="227"/>
        <v>856</v>
      </c>
      <c r="E1241" s="11">
        <f t="shared" si="235"/>
        <v>48</v>
      </c>
      <c r="F1241" s="11">
        <f t="shared" si="233"/>
        <v>240</v>
      </c>
    </row>
    <row r="1242" spans="1:6" x14ac:dyDescent="0.25">
      <c r="A1242" s="11" t="s">
        <v>73</v>
      </c>
      <c r="B1242" s="11" t="str">
        <f t="shared" si="231"/>
        <v>1"857</v>
      </c>
      <c r="C1242" s="11" t="s">
        <v>23</v>
      </c>
      <c r="D1242" s="3">
        <f t="shared" si="227"/>
        <v>857</v>
      </c>
      <c r="E1242" s="11">
        <f t="shared" si="235"/>
        <v>48</v>
      </c>
      <c r="F1242" s="11">
        <f t="shared" si="233"/>
        <v>240</v>
      </c>
    </row>
    <row r="1243" spans="1:6" x14ac:dyDescent="0.25">
      <c r="A1243" s="11" t="s">
        <v>73</v>
      </c>
      <c r="B1243" s="11" t="str">
        <f t="shared" si="231"/>
        <v>1"858</v>
      </c>
      <c r="C1243" s="11" t="s">
        <v>23</v>
      </c>
      <c r="D1243" s="3">
        <f t="shared" si="227"/>
        <v>858</v>
      </c>
      <c r="E1243" s="11">
        <f t="shared" si="235"/>
        <v>48</v>
      </c>
      <c r="F1243" s="11">
        <f t="shared" si="233"/>
        <v>240</v>
      </c>
    </row>
    <row r="1244" spans="1:6" x14ac:dyDescent="0.25">
      <c r="A1244" s="11" t="s">
        <v>73</v>
      </c>
      <c r="B1244" s="11" t="str">
        <f t="shared" si="231"/>
        <v>1"859</v>
      </c>
      <c r="C1244" s="11" t="s">
        <v>23</v>
      </c>
      <c r="D1244" s="3">
        <f t="shared" si="227"/>
        <v>859</v>
      </c>
      <c r="E1244" s="11">
        <f t="shared" si="235"/>
        <v>48</v>
      </c>
      <c r="F1244" s="11">
        <f t="shared" si="233"/>
        <v>240</v>
      </c>
    </row>
    <row r="1245" spans="1:6" x14ac:dyDescent="0.25">
      <c r="A1245" s="11" t="s">
        <v>73</v>
      </c>
      <c r="B1245" s="11" t="str">
        <f t="shared" si="231"/>
        <v>1"860</v>
      </c>
      <c r="C1245" s="11" t="s">
        <v>23</v>
      </c>
      <c r="D1245" s="3">
        <f t="shared" si="227"/>
        <v>860</v>
      </c>
      <c r="E1245" s="11">
        <f t="shared" si="235"/>
        <v>48</v>
      </c>
      <c r="F1245" s="11">
        <f t="shared" si="233"/>
        <v>240</v>
      </c>
    </row>
    <row r="1246" spans="1:6" x14ac:dyDescent="0.25">
      <c r="A1246" s="11" t="s">
        <v>73</v>
      </c>
      <c r="B1246" s="11" t="str">
        <f t="shared" si="231"/>
        <v>1"861</v>
      </c>
      <c r="C1246" s="11" t="s">
        <v>23</v>
      </c>
      <c r="D1246" s="3">
        <f t="shared" si="227"/>
        <v>861</v>
      </c>
      <c r="E1246" s="11">
        <f t="shared" si="235"/>
        <v>48</v>
      </c>
      <c r="F1246" s="11">
        <f t="shared" si="233"/>
        <v>240</v>
      </c>
    </row>
    <row r="1247" spans="1:6" x14ac:dyDescent="0.25">
      <c r="A1247" s="11" t="s">
        <v>73</v>
      </c>
      <c r="B1247" s="11" t="str">
        <f t="shared" si="231"/>
        <v>1"862</v>
      </c>
      <c r="C1247" s="11" t="s">
        <v>23</v>
      </c>
      <c r="D1247" s="3">
        <f t="shared" si="227"/>
        <v>862</v>
      </c>
      <c r="E1247" s="11">
        <f t="shared" si="235"/>
        <v>48</v>
      </c>
      <c r="F1247" s="11">
        <f t="shared" si="233"/>
        <v>240</v>
      </c>
    </row>
    <row r="1248" spans="1:6" x14ac:dyDescent="0.25">
      <c r="A1248" s="11" t="s">
        <v>73</v>
      </c>
      <c r="B1248" s="11" t="str">
        <f t="shared" si="231"/>
        <v>1"863</v>
      </c>
      <c r="C1248" s="11" t="s">
        <v>23</v>
      </c>
      <c r="D1248" s="3">
        <f t="shared" si="227"/>
        <v>863</v>
      </c>
      <c r="E1248" s="11">
        <f t="shared" si="235"/>
        <v>48</v>
      </c>
      <c r="F1248" s="11">
        <f t="shared" si="233"/>
        <v>240</v>
      </c>
    </row>
    <row r="1249" spans="1:6" x14ac:dyDescent="0.25">
      <c r="A1249" s="11" t="s">
        <v>73</v>
      </c>
      <c r="B1249" s="11" t="str">
        <f t="shared" si="231"/>
        <v>1"864</v>
      </c>
      <c r="C1249" s="11" t="s">
        <v>23</v>
      </c>
      <c r="D1249" s="3">
        <f t="shared" si="227"/>
        <v>864</v>
      </c>
      <c r="E1249" s="11">
        <f t="shared" ref="E1249" si="236">E1248+1</f>
        <v>49</v>
      </c>
      <c r="F1249" s="11">
        <f t="shared" si="233"/>
        <v>245</v>
      </c>
    </row>
    <row r="1250" spans="1:6" x14ac:dyDescent="0.25">
      <c r="A1250" s="11" t="s">
        <v>73</v>
      </c>
      <c r="B1250" s="11" t="str">
        <f t="shared" si="231"/>
        <v>1"865</v>
      </c>
      <c r="C1250" s="11" t="s">
        <v>23</v>
      </c>
      <c r="D1250" s="3">
        <f t="shared" si="227"/>
        <v>865</v>
      </c>
      <c r="E1250" s="11">
        <f t="shared" ref="E1250:E1268" si="237">E1249</f>
        <v>49</v>
      </c>
      <c r="F1250" s="11">
        <f t="shared" si="233"/>
        <v>245</v>
      </c>
    </row>
    <row r="1251" spans="1:6" x14ac:dyDescent="0.25">
      <c r="A1251" s="11" t="s">
        <v>73</v>
      </c>
      <c r="B1251" s="11" t="str">
        <f t="shared" si="231"/>
        <v>1"866</v>
      </c>
      <c r="C1251" s="11" t="s">
        <v>23</v>
      </c>
      <c r="D1251" s="3">
        <f t="shared" si="227"/>
        <v>866</v>
      </c>
      <c r="E1251" s="11">
        <f t="shared" si="237"/>
        <v>49</v>
      </c>
      <c r="F1251" s="11">
        <f t="shared" si="233"/>
        <v>245</v>
      </c>
    </row>
    <row r="1252" spans="1:6" x14ac:dyDescent="0.25">
      <c r="A1252" s="11" t="s">
        <v>73</v>
      </c>
      <c r="B1252" s="11" t="str">
        <f t="shared" si="231"/>
        <v>1"867</v>
      </c>
      <c r="C1252" s="11" t="s">
        <v>23</v>
      </c>
      <c r="D1252" s="3">
        <f t="shared" si="227"/>
        <v>867</v>
      </c>
      <c r="E1252" s="11">
        <f t="shared" si="237"/>
        <v>49</v>
      </c>
      <c r="F1252" s="11">
        <f t="shared" si="233"/>
        <v>245</v>
      </c>
    </row>
    <row r="1253" spans="1:6" x14ac:dyDescent="0.25">
      <c r="A1253" s="11" t="s">
        <v>73</v>
      </c>
      <c r="B1253" s="11" t="str">
        <f t="shared" si="231"/>
        <v>1"868</v>
      </c>
      <c r="C1253" s="11" t="s">
        <v>23</v>
      </c>
      <c r="D1253" s="3">
        <f t="shared" si="227"/>
        <v>868</v>
      </c>
      <c r="E1253" s="11">
        <f t="shared" si="237"/>
        <v>49</v>
      </c>
      <c r="F1253" s="11">
        <f t="shared" si="233"/>
        <v>245</v>
      </c>
    </row>
    <row r="1254" spans="1:6" x14ac:dyDescent="0.25">
      <c r="A1254" s="11" t="s">
        <v>73</v>
      </c>
      <c r="B1254" s="11" t="str">
        <f t="shared" si="231"/>
        <v>1"869</v>
      </c>
      <c r="C1254" s="11" t="s">
        <v>23</v>
      </c>
      <c r="D1254" s="3">
        <f t="shared" si="227"/>
        <v>869</v>
      </c>
      <c r="E1254" s="11">
        <f t="shared" si="237"/>
        <v>49</v>
      </c>
      <c r="F1254" s="11">
        <f t="shared" si="233"/>
        <v>245</v>
      </c>
    </row>
    <row r="1255" spans="1:6" x14ac:dyDescent="0.25">
      <c r="A1255" s="11" t="s">
        <v>73</v>
      </c>
      <c r="B1255" s="11" t="str">
        <f t="shared" si="231"/>
        <v>1"870</v>
      </c>
      <c r="C1255" s="11" t="s">
        <v>23</v>
      </c>
      <c r="D1255" s="3">
        <f t="shared" si="227"/>
        <v>870</v>
      </c>
      <c r="E1255" s="11">
        <f t="shared" si="237"/>
        <v>49</v>
      </c>
      <c r="F1255" s="11">
        <f t="shared" si="233"/>
        <v>245</v>
      </c>
    </row>
    <row r="1256" spans="1:6" x14ac:dyDescent="0.25">
      <c r="A1256" s="11" t="s">
        <v>73</v>
      </c>
      <c r="B1256" s="11" t="str">
        <f t="shared" si="231"/>
        <v>1"871</v>
      </c>
      <c r="C1256" s="11" t="s">
        <v>23</v>
      </c>
      <c r="D1256" s="3">
        <f t="shared" si="227"/>
        <v>871</v>
      </c>
      <c r="E1256" s="11">
        <f t="shared" si="237"/>
        <v>49</v>
      </c>
      <c r="F1256" s="11">
        <f t="shared" si="233"/>
        <v>245</v>
      </c>
    </row>
    <row r="1257" spans="1:6" x14ac:dyDescent="0.25">
      <c r="A1257" s="11" t="s">
        <v>73</v>
      </c>
      <c r="B1257" s="11" t="str">
        <f t="shared" si="231"/>
        <v>1"872</v>
      </c>
      <c r="C1257" s="11" t="s">
        <v>23</v>
      </c>
      <c r="D1257" s="3">
        <f t="shared" si="227"/>
        <v>872</v>
      </c>
      <c r="E1257" s="11">
        <f t="shared" si="237"/>
        <v>49</v>
      </c>
      <c r="F1257" s="11">
        <f t="shared" si="233"/>
        <v>245</v>
      </c>
    </row>
    <row r="1258" spans="1:6" x14ac:dyDescent="0.25">
      <c r="A1258" s="11" t="s">
        <v>73</v>
      </c>
      <c r="B1258" s="11" t="str">
        <f t="shared" si="231"/>
        <v>1"873</v>
      </c>
      <c r="C1258" s="11" t="s">
        <v>23</v>
      </c>
      <c r="D1258" s="3">
        <f t="shared" ref="D1258:D1321" si="238">D1257+1</f>
        <v>873</v>
      </c>
      <c r="E1258" s="11">
        <f t="shared" si="237"/>
        <v>49</v>
      </c>
      <c r="F1258" s="11">
        <f t="shared" si="233"/>
        <v>245</v>
      </c>
    </row>
    <row r="1259" spans="1:6" x14ac:dyDescent="0.25">
      <c r="A1259" s="11" t="s">
        <v>73</v>
      </c>
      <c r="B1259" s="11" t="str">
        <f t="shared" si="231"/>
        <v>1"874</v>
      </c>
      <c r="C1259" s="11" t="s">
        <v>23</v>
      </c>
      <c r="D1259" s="3">
        <f t="shared" si="238"/>
        <v>874</v>
      </c>
      <c r="E1259" s="11">
        <f t="shared" si="237"/>
        <v>49</v>
      </c>
      <c r="F1259" s="11">
        <f t="shared" si="233"/>
        <v>245</v>
      </c>
    </row>
    <row r="1260" spans="1:6" x14ac:dyDescent="0.25">
      <c r="A1260" s="11" t="s">
        <v>73</v>
      </c>
      <c r="B1260" s="11" t="str">
        <f t="shared" si="231"/>
        <v>1"875</v>
      </c>
      <c r="C1260" s="11" t="s">
        <v>23</v>
      </c>
      <c r="D1260" s="3">
        <f t="shared" si="238"/>
        <v>875</v>
      </c>
      <c r="E1260" s="11">
        <f t="shared" si="237"/>
        <v>49</v>
      </c>
      <c r="F1260" s="11">
        <f t="shared" si="233"/>
        <v>245</v>
      </c>
    </row>
    <row r="1261" spans="1:6" x14ac:dyDescent="0.25">
      <c r="A1261" s="11" t="s">
        <v>73</v>
      </c>
      <c r="B1261" s="11" t="str">
        <f t="shared" si="231"/>
        <v>1"876</v>
      </c>
      <c r="C1261" s="11" t="s">
        <v>23</v>
      </c>
      <c r="D1261" s="3">
        <f t="shared" si="238"/>
        <v>876</v>
      </c>
      <c r="E1261" s="11">
        <f t="shared" si="237"/>
        <v>49</v>
      </c>
      <c r="F1261" s="11">
        <f t="shared" si="233"/>
        <v>245</v>
      </c>
    </row>
    <row r="1262" spans="1:6" x14ac:dyDescent="0.25">
      <c r="A1262" s="11" t="s">
        <v>73</v>
      </c>
      <c r="B1262" s="11" t="str">
        <f t="shared" si="231"/>
        <v>1"877</v>
      </c>
      <c r="C1262" s="11" t="s">
        <v>23</v>
      </c>
      <c r="D1262" s="3">
        <f t="shared" si="238"/>
        <v>877</v>
      </c>
      <c r="E1262" s="11">
        <f t="shared" si="237"/>
        <v>49</v>
      </c>
      <c r="F1262" s="11">
        <f t="shared" si="233"/>
        <v>245</v>
      </c>
    </row>
    <row r="1263" spans="1:6" x14ac:dyDescent="0.25">
      <c r="A1263" s="11" t="s">
        <v>73</v>
      </c>
      <c r="B1263" s="11" t="str">
        <f t="shared" si="231"/>
        <v>1"878</v>
      </c>
      <c r="C1263" s="11" t="s">
        <v>23</v>
      </c>
      <c r="D1263" s="3">
        <f t="shared" si="238"/>
        <v>878</v>
      </c>
      <c r="E1263" s="11">
        <f t="shared" si="237"/>
        <v>49</v>
      </c>
      <c r="F1263" s="11">
        <f t="shared" si="233"/>
        <v>245</v>
      </c>
    </row>
    <row r="1264" spans="1:6" x14ac:dyDescent="0.25">
      <c r="A1264" s="11" t="s">
        <v>73</v>
      </c>
      <c r="B1264" s="11" t="str">
        <f t="shared" si="231"/>
        <v>1"879</v>
      </c>
      <c r="C1264" s="11" t="s">
        <v>23</v>
      </c>
      <c r="D1264" s="3">
        <f t="shared" si="238"/>
        <v>879</v>
      </c>
      <c r="E1264" s="11">
        <f t="shared" si="237"/>
        <v>49</v>
      </c>
      <c r="F1264" s="11">
        <f t="shared" si="233"/>
        <v>245</v>
      </c>
    </row>
    <row r="1265" spans="1:6" x14ac:dyDescent="0.25">
      <c r="A1265" s="11" t="s">
        <v>73</v>
      </c>
      <c r="B1265" s="11" t="str">
        <f t="shared" si="231"/>
        <v>1"880</v>
      </c>
      <c r="C1265" s="11" t="s">
        <v>23</v>
      </c>
      <c r="D1265" s="3">
        <f t="shared" si="238"/>
        <v>880</v>
      </c>
      <c r="E1265" s="11">
        <f t="shared" si="237"/>
        <v>49</v>
      </c>
      <c r="F1265" s="11">
        <f t="shared" si="233"/>
        <v>245</v>
      </c>
    </row>
    <row r="1266" spans="1:6" x14ac:dyDescent="0.25">
      <c r="A1266" s="11" t="s">
        <v>73</v>
      </c>
      <c r="B1266" s="11" t="str">
        <f t="shared" si="231"/>
        <v>1"881</v>
      </c>
      <c r="C1266" s="11" t="s">
        <v>23</v>
      </c>
      <c r="D1266" s="3">
        <f t="shared" si="238"/>
        <v>881</v>
      </c>
      <c r="E1266" s="11">
        <f t="shared" si="237"/>
        <v>49</v>
      </c>
      <c r="F1266" s="11">
        <f t="shared" si="233"/>
        <v>245</v>
      </c>
    </row>
    <row r="1267" spans="1:6" x14ac:dyDescent="0.25">
      <c r="A1267" s="11" t="s">
        <v>73</v>
      </c>
      <c r="B1267" s="11" t="str">
        <f t="shared" si="231"/>
        <v>1"882</v>
      </c>
      <c r="C1267" s="11" t="s">
        <v>23</v>
      </c>
      <c r="D1267" s="3">
        <f t="shared" si="238"/>
        <v>882</v>
      </c>
      <c r="E1267" s="11">
        <f t="shared" si="237"/>
        <v>49</v>
      </c>
      <c r="F1267" s="11">
        <f t="shared" si="233"/>
        <v>245</v>
      </c>
    </row>
    <row r="1268" spans="1:6" x14ac:dyDescent="0.25">
      <c r="A1268" s="11" t="s">
        <v>73</v>
      </c>
      <c r="B1268" s="11" t="str">
        <f t="shared" si="231"/>
        <v>1"883</v>
      </c>
      <c r="C1268" s="11" t="s">
        <v>23</v>
      </c>
      <c r="D1268" s="3">
        <f t="shared" si="238"/>
        <v>883</v>
      </c>
      <c r="E1268" s="11">
        <f t="shared" si="237"/>
        <v>49</v>
      </c>
      <c r="F1268" s="11">
        <f t="shared" si="233"/>
        <v>245</v>
      </c>
    </row>
    <row r="1269" spans="1:6" x14ac:dyDescent="0.25">
      <c r="A1269" s="11" t="s">
        <v>73</v>
      </c>
      <c r="B1269" s="11" t="str">
        <f t="shared" si="231"/>
        <v>1"884</v>
      </c>
      <c r="C1269" s="11" t="s">
        <v>23</v>
      </c>
      <c r="D1269" s="3">
        <f t="shared" si="238"/>
        <v>884</v>
      </c>
      <c r="E1269" s="11">
        <f t="shared" ref="E1269" si="239">E1268+1</f>
        <v>50</v>
      </c>
      <c r="F1269" s="11">
        <f t="shared" si="233"/>
        <v>250</v>
      </c>
    </row>
    <row r="1270" spans="1:6" x14ac:dyDescent="0.25">
      <c r="A1270" s="11" t="s">
        <v>73</v>
      </c>
      <c r="B1270" s="11" t="str">
        <f t="shared" si="231"/>
        <v>1"885</v>
      </c>
      <c r="C1270" s="11" t="s">
        <v>23</v>
      </c>
      <c r="D1270" s="3">
        <f t="shared" si="238"/>
        <v>885</v>
      </c>
      <c r="E1270" s="11">
        <f t="shared" ref="E1270:E1287" si="240">E1269</f>
        <v>50</v>
      </c>
      <c r="F1270" s="11">
        <f t="shared" si="233"/>
        <v>250</v>
      </c>
    </row>
    <row r="1271" spans="1:6" x14ac:dyDescent="0.25">
      <c r="A1271" s="11" t="s">
        <v>73</v>
      </c>
      <c r="B1271" s="11" t="str">
        <f t="shared" si="231"/>
        <v>1"886</v>
      </c>
      <c r="C1271" s="11" t="s">
        <v>23</v>
      </c>
      <c r="D1271" s="3">
        <f t="shared" si="238"/>
        <v>886</v>
      </c>
      <c r="E1271" s="11">
        <f t="shared" si="240"/>
        <v>50</v>
      </c>
      <c r="F1271" s="11">
        <f t="shared" si="233"/>
        <v>250</v>
      </c>
    </row>
    <row r="1272" spans="1:6" x14ac:dyDescent="0.25">
      <c r="A1272" s="11" t="s">
        <v>73</v>
      </c>
      <c r="B1272" s="11" t="str">
        <f t="shared" si="231"/>
        <v>1"887</v>
      </c>
      <c r="C1272" s="11" t="s">
        <v>23</v>
      </c>
      <c r="D1272" s="3">
        <f t="shared" si="238"/>
        <v>887</v>
      </c>
      <c r="E1272" s="11">
        <f t="shared" si="240"/>
        <v>50</v>
      </c>
      <c r="F1272" s="11">
        <f t="shared" si="233"/>
        <v>250</v>
      </c>
    </row>
    <row r="1273" spans="1:6" x14ac:dyDescent="0.25">
      <c r="A1273" s="11" t="s">
        <v>73</v>
      </c>
      <c r="B1273" s="11" t="str">
        <f t="shared" si="231"/>
        <v>1"888</v>
      </c>
      <c r="C1273" s="11" t="s">
        <v>23</v>
      </c>
      <c r="D1273" s="3">
        <f t="shared" si="238"/>
        <v>888</v>
      </c>
      <c r="E1273" s="11">
        <f t="shared" si="240"/>
        <v>50</v>
      </c>
      <c r="F1273" s="11">
        <f t="shared" si="233"/>
        <v>250</v>
      </c>
    </row>
    <row r="1274" spans="1:6" x14ac:dyDescent="0.25">
      <c r="A1274" s="11" t="s">
        <v>73</v>
      </c>
      <c r="B1274" s="11" t="str">
        <f t="shared" si="231"/>
        <v>1"889</v>
      </c>
      <c r="C1274" s="11" t="s">
        <v>23</v>
      </c>
      <c r="D1274" s="3">
        <f t="shared" si="238"/>
        <v>889</v>
      </c>
      <c r="E1274" s="11">
        <f t="shared" si="240"/>
        <v>50</v>
      </c>
      <c r="F1274" s="11">
        <f t="shared" si="233"/>
        <v>250</v>
      </c>
    </row>
    <row r="1275" spans="1:6" x14ac:dyDescent="0.25">
      <c r="A1275" s="11" t="s">
        <v>73</v>
      </c>
      <c r="B1275" s="11" t="str">
        <f t="shared" ref="B1275:B1338" si="241">CONCATENATE(C1275&amp;D1275)</f>
        <v>1"890</v>
      </c>
      <c r="C1275" s="11" t="s">
        <v>23</v>
      </c>
      <c r="D1275" s="3">
        <f t="shared" si="238"/>
        <v>890</v>
      </c>
      <c r="E1275" s="11">
        <f t="shared" si="240"/>
        <v>50</v>
      </c>
      <c r="F1275" s="11">
        <f t="shared" si="233"/>
        <v>250</v>
      </c>
    </row>
    <row r="1276" spans="1:6" x14ac:dyDescent="0.25">
      <c r="A1276" s="11" t="s">
        <v>73</v>
      </c>
      <c r="B1276" s="11" t="str">
        <f t="shared" si="241"/>
        <v>1"891</v>
      </c>
      <c r="C1276" s="11" t="s">
        <v>23</v>
      </c>
      <c r="D1276" s="3">
        <f t="shared" si="238"/>
        <v>891</v>
      </c>
      <c r="E1276" s="11">
        <f t="shared" si="240"/>
        <v>50</v>
      </c>
      <c r="F1276" s="11">
        <f t="shared" si="233"/>
        <v>250</v>
      </c>
    </row>
    <row r="1277" spans="1:6" x14ac:dyDescent="0.25">
      <c r="A1277" s="11" t="s">
        <v>73</v>
      </c>
      <c r="B1277" s="11" t="str">
        <f t="shared" si="241"/>
        <v>1"892</v>
      </c>
      <c r="C1277" s="11" t="s">
        <v>23</v>
      </c>
      <c r="D1277" s="3">
        <f t="shared" si="238"/>
        <v>892</v>
      </c>
      <c r="E1277" s="11">
        <f t="shared" si="240"/>
        <v>50</v>
      </c>
      <c r="F1277" s="11">
        <f t="shared" si="233"/>
        <v>250</v>
      </c>
    </row>
    <row r="1278" spans="1:6" x14ac:dyDescent="0.25">
      <c r="A1278" s="11" t="s">
        <v>73</v>
      </c>
      <c r="B1278" s="11" t="str">
        <f t="shared" si="241"/>
        <v>1"893</v>
      </c>
      <c r="C1278" s="11" t="s">
        <v>23</v>
      </c>
      <c r="D1278" s="3">
        <f t="shared" si="238"/>
        <v>893</v>
      </c>
      <c r="E1278" s="11">
        <f t="shared" si="240"/>
        <v>50</v>
      </c>
      <c r="F1278" s="11">
        <f t="shared" si="233"/>
        <v>250</v>
      </c>
    </row>
    <row r="1279" spans="1:6" x14ac:dyDescent="0.25">
      <c r="A1279" s="11" t="s">
        <v>73</v>
      </c>
      <c r="B1279" s="11" t="str">
        <f t="shared" si="241"/>
        <v>1"894</v>
      </c>
      <c r="C1279" s="11" t="s">
        <v>23</v>
      </c>
      <c r="D1279" s="3">
        <f t="shared" si="238"/>
        <v>894</v>
      </c>
      <c r="E1279" s="11">
        <f t="shared" si="240"/>
        <v>50</v>
      </c>
      <c r="F1279" s="11">
        <f t="shared" si="233"/>
        <v>250</v>
      </c>
    </row>
    <row r="1280" spans="1:6" x14ac:dyDescent="0.25">
      <c r="A1280" s="11" t="s">
        <v>73</v>
      </c>
      <c r="B1280" s="11" t="str">
        <f t="shared" si="241"/>
        <v>1"895</v>
      </c>
      <c r="C1280" s="11" t="s">
        <v>23</v>
      </c>
      <c r="D1280" s="3">
        <f t="shared" si="238"/>
        <v>895</v>
      </c>
      <c r="E1280" s="11">
        <f t="shared" si="240"/>
        <v>50</v>
      </c>
      <c r="F1280" s="11">
        <f t="shared" si="233"/>
        <v>250</v>
      </c>
    </row>
    <row r="1281" spans="1:6" x14ac:dyDescent="0.25">
      <c r="A1281" s="11" t="s">
        <v>73</v>
      </c>
      <c r="B1281" s="11" t="str">
        <f t="shared" si="241"/>
        <v>1"896</v>
      </c>
      <c r="C1281" s="11" t="s">
        <v>23</v>
      </c>
      <c r="D1281" s="3">
        <f t="shared" si="238"/>
        <v>896</v>
      </c>
      <c r="E1281" s="11">
        <f t="shared" si="240"/>
        <v>50</v>
      </c>
      <c r="F1281" s="11">
        <f t="shared" si="233"/>
        <v>250</v>
      </c>
    </row>
    <row r="1282" spans="1:6" x14ac:dyDescent="0.25">
      <c r="A1282" s="11" t="s">
        <v>73</v>
      </c>
      <c r="B1282" s="11" t="str">
        <f t="shared" si="241"/>
        <v>1"897</v>
      </c>
      <c r="C1282" s="11" t="s">
        <v>23</v>
      </c>
      <c r="D1282" s="3">
        <f t="shared" si="238"/>
        <v>897</v>
      </c>
      <c r="E1282" s="11">
        <f t="shared" si="240"/>
        <v>50</v>
      </c>
      <c r="F1282" s="11">
        <f t="shared" si="233"/>
        <v>250</v>
      </c>
    </row>
    <row r="1283" spans="1:6" x14ac:dyDescent="0.25">
      <c r="A1283" s="11" t="s">
        <v>73</v>
      </c>
      <c r="B1283" s="11" t="str">
        <f t="shared" si="241"/>
        <v>1"898</v>
      </c>
      <c r="C1283" s="11" t="s">
        <v>23</v>
      </c>
      <c r="D1283" s="3">
        <f t="shared" si="238"/>
        <v>898</v>
      </c>
      <c r="E1283" s="11">
        <f t="shared" si="240"/>
        <v>50</v>
      </c>
      <c r="F1283" s="11">
        <f t="shared" si="233"/>
        <v>250</v>
      </c>
    </row>
    <row r="1284" spans="1:6" x14ac:dyDescent="0.25">
      <c r="A1284" s="11" t="s">
        <v>73</v>
      </c>
      <c r="B1284" s="11" t="str">
        <f t="shared" si="241"/>
        <v>1"899</v>
      </c>
      <c r="C1284" s="11" t="s">
        <v>23</v>
      </c>
      <c r="D1284" s="3">
        <f t="shared" si="238"/>
        <v>899</v>
      </c>
      <c r="E1284" s="11">
        <f t="shared" si="240"/>
        <v>50</v>
      </c>
      <c r="F1284" s="11">
        <f t="shared" si="233"/>
        <v>250</v>
      </c>
    </row>
    <row r="1285" spans="1:6" x14ac:dyDescent="0.25">
      <c r="A1285" s="11" t="s">
        <v>73</v>
      </c>
      <c r="B1285" s="11" t="str">
        <f t="shared" si="241"/>
        <v>1"900</v>
      </c>
      <c r="C1285" s="11" t="s">
        <v>23</v>
      </c>
      <c r="D1285" s="3">
        <f t="shared" si="238"/>
        <v>900</v>
      </c>
      <c r="E1285" s="11">
        <f t="shared" si="240"/>
        <v>50</v>
      </c>
      <c r="F1285" s="11">
        <f t="shared" si="233"/>
        <v>250</v>
      </c>
    </row>
    <row r="1286" spans="1:6" x14ac:dyDescent="0.25">
      <c r="A1286" s="11" t="s">
        <v>73</v>
      </c>
      <c r="B1286" s="11" t="str">
        <f t="shared" si="241"/>
        <v>1"901</v>
      </c>
      <c r="C1286" s="11" t="s">
        <v>23</v>
      </c>
      <c r="D1286" s="3">
        <f t="shared" si="238"/>
        <v>901</v>
      </c>
      <c r="E1286" s="11">
        <f t="shared" si="240"/>
        <v>50</v>
      </c>
      <c r="F1286" s="11">
        <f t="shared" si="233"/>
        <v>250</v>
      </c>
    </row>
    <row r="1287" spans="1:6" x14ac:dyDescent="0.25">
      <c r="A1287" s="11" t="s">
        <v>73</v>
      </c>
      <c r="B1287" s="11" t="str">
        <f t="shared" si="241"/>
        <v>1"902</v>
      </c>
      <c r="C1287" s="11" t="s">
        <v>23</v>
      </c>
      <c r="D1287" s="3">
        <f t="shared" si="238"/>
        <v>902</v>
      </c>
      <c r="E1287" s="11">
        <f t="shared" si="240"/>
        <v>50</v>
      </c>
      <c r="F1287" s="11">
        <f t="shared" si="233"/>
        <v>250</v>
      </c>
    </row>
    <row r="1288" spans="1:6" x14ac:dyDescent="0.25">
      <c r="A1288" s="11" t="s">
        <v>73</v>
      </c>
      <c r="B1288" s="11" t="str">
        <f t="shared" si="241"/>
        <v>1"903</v>
      </c>
      <c r="C1288" s="11" t="s">
        <v>23</v>
      </c>
      <c r="D1288" s="3">
        <f t="shared" si="238"/>
        <v>903</v>
      </c>
      <c r="E1288" s="11">
        <f>E1287+1</f>
        <v>51</v>
      </c>
      <c r="F1288" s="11">
        <f t="shared" si="233"/>
        <v>255</v>
      </c>
    </row>
    <row r="1289" spans="1:6" x14ac:dyDescent="0.25">
      <c r="A1289" s="11" t="s">
        <v>73</v>
      </c>
      <c r="B1289" s="11" t="str">
        <f t="shared" si="241"/>
        <v>1"904</v>
      </c>
      <c r="C1289" s="11" t="s">
        <v>23</v>
      </c>
      <c r="D1289" s="3">
        <f t="shared" si="238"/>
        <v>904</v>
      </c>
      <c r="E1289" s="11">
        <f>E1288</f>
        <v>51</v>
      </c>
      <c r="F1289" s="11">
        <f t="shared" si="233"/>
        <v>255</v>
      </c>
    </row>
    <row r="1290" spans="1:6" x14ac:dyDescent="0.25">
      <c r="A1290" s="11" t="s">
        <v>73</v>
      </c>
      <c r="B1290" s="11" t="str">
        <f t="shared" si="241"/>
        <v>1"905</v>
      </c>
      <c r="C1290" s="11" t="s">
        <v>23</v>
      </c>
      <c r="D1290" s="3">
        <f t="shared" si="238"/>
        <v>905</v>
      </c>
      <c r="E1290" s="11">
        <f>E1289</f>
        <v>51</v>
      </c>
      <c r="F1290" s="11">
        <f t="shared" si="233"/>
        <v>255</v>
      </c>
    </row>
    <row r="1291" spans="1:6" x14ac:dyDescent="0.25">
      <c r="A1291" s="11" t="s">
        <v>73</v>
      </c>
      <c r="B1291" s="11" t="str">
        <f t="shared" si="241"/>
        <v>1"906</v>
      </c>
      <c r="C1291" s="11" t="s">
        <v>23</v>
      </c>
      <c r="D1291" s="3">
        <f t="shared" si="238"/>
        <v>906</v>
      </c>
      <c r="E1291" s="11">
        <f>E1290</f>
        <v>51</v>
      </c>
      <c r="F1291" s="11">
        <f t="shared" ref="F1291:F1354" si="242">E1291*$F$1</f>
        <v>255</v>
      </c>
    </row>
    <row r="1292" spans="1:6" x14ac:dyDescent="0.25">
      <c r="A1292" s="11" t="s">
        <v>73</v>
      </c>
      <c r="B1292" s="11" t="str">
        <f t="shared" si="241"/>
        <v>1"907</v>
      </c>
      <c r="C1292" s="11" t="s">
        <v>23</v>
      </c>
      <c r="D1292" s="3">
        <f t="shared" si="238"/>
        <v>907</v>
      </c>
      <c r="E1292" s="11">
        <f>E1291</f>
        <v>51</v>
      </c>
      <c r="F1292" s="11">
        <f t="shared" si="242"/>
        <v>255</v>
      </c>
    </row>
    <row r="1293" spans="1:6" x14ac:dyDescent="0.25">
      <c r="A1293" s="11" t="s">
        <v>73</v>
      </c>
      <c r="B1293" s="11" t="str">
        <f t="shared" si="241"/>
        <v>1"908</v>
      </c>
      <c r="C1293" s="11" t="s">
        <v>23</v>
      </c>
      <c r="D1293" s="3">
        <f t="shared" si="238"/>
        <v>908</v>
      </c>
      <c r="E1293" s="11">
        <f>E1292+1</f>
        <v>52</v>
      </c>
      <c r="F1293" s="11">
        <f t="shared" si="242"/>
        <v>260</v>
      </c>
    </row>
    <row r="1294" spans="1:6" x14ac:dyDescent="0.25">
      <c r="A1294" s="11" t="s">
        <v>73</v>
      </c>
      <c r="B1294" s="11" t="str">
        <f t="shared" si="241"/>
        <v>1"909</v>
      </c>
      <c r="C1294" s="11" t="s">
        <v>23</v>
      </c>
      <c r="D1294" s="3">
        <f t="shared" si="238"/>
        <v>909</v>
      </c>
      <c r="E1294" s="11">
        <f t="shared" ref="E1294:E1300" si="243">E1293</f>
        <v>52</v>
      </c>
      <c r="F1294" s="11">
        <f t="shared" si="242"/>
        <v>260</v>
      </c>
    </row>
    <row r="1295" spans="1:6" x14ac:dyDescent="0.25">
      <c r="A1295" s="11" t="s">
        <v>73</v>
      </c>
      <c r="B1295" s="11" t="str">
        <f t="shared" si="241"/>
        <v>1"910</v>
      </c>
      <c r="C1295" s="11" t="s">
        <v>23</v>
      </c>
      <c r="D1295" s="3">
        <f t="shared" si="238"/>
        <v>910</v>
      </c>
      <c r="E1295" s="11">
        <f t="shared" si="243"/>
        <v>52</v>
      </c>
      <c r="F1295" s="11">
        <f t="shared" si="242"/>
        <v>260</v>
      </c>
    </row>
    <row r="1296" spans="1:6" x14ac:dyDescent="0.25">
      <c r="A1296" s="11" t="s">
        <v>73</v>
      </c>
      <c r="B1296" s="11" t="str">
        <f t="shared" si="241"/>
        <v>1"911</v>
      </c>
      <c r="C1296" s="11" t="s">
        <v>23</v>
      </c>
      <c r="D1296" s="3">
        <f t="shared" si="238"/>
        <v>911</v>
      </c>
      <c r="E1296" s="11">
        <f t="shared" si="243"/>
        <v>52</v>
      </c>
      <c r="F1296" s="11">
        <f t="shared" si="242"/>
        <v>260</v>
      </c>
    </row>
    <row r="1297" spans="1:6" x14ac:dyDescent="0.25">
      <c r="A1297" s="11" t="s">
        <v>73</v>
      </c>
      <c r="B1297" s="11" t="str">
        <f t="shared" si="241"/>
        <v>1"912</v>
      </c>
      <c r="C1297" s="11" t="s">
        <v>23</v>
      </c>
      <c r="D1297" s="3">
        <f t="shared" si="238"/>
        <v>912</v>
      </c>
      <c r="E1297" s="11">
        <f t="shared" si="243"/>
        <v>52</v>
      </c>
      <c r="F1297" s="11">
        <f t="shared" si="242"/>
        <v>260</v>
      </c>
    </row>
    <row r="1298" spans="1:6" x14ac:dyDescent="0.25">
      <c r="A1298" s="11" t="s">
        <v>73</v>
      </c>
      <c r="B1298" s="11" t="str">
        <f t="shared" si="241"/>
        <v>1"913</v>
      </c>
      <c r="C1298" s="11" t="s">
        <v>23</v>
      </c>
      <c r="D1298" s="3">
        <f t="shared" si="238"/>
        <v>913</v>
      </c>
      <c r="E1298" s="11">
        <f t="shared" si="243"/>
        <v>52</v>
      </c>
      <c r="F1298" s="11">
        <f t="shared" si="242"/>
        <v>260</v>
      </c>
    </row>
    <row r="1299" spans="1:6" x14ac:dyDescent="0.25">
      <c r="A1299" s="11" t="s">
        <v>73</v>
      </c>
      <c r="B1299" s="11" t="str">
        <f t="shared" si="241"/>
        <v>1"914</v>
      </c>
      <c r="C1299" s="11" t="s">
        <v>23</v>
      </c>
      <c r="D1299" s="3">
        <f t="shared" si="238"/>
        <v>914</v>
      </c>
      <c r="E1299" s="11">
        <f t="shared" si="243"/>
        <v>52</v>
      </c>
      <c r="F1299" s="11">
        <f t="shared" si="242"/>
        <v>260</v>
      </c>
    </row>
    <row r="1300" spans="1:6" x14ac:dyDescent="0.25">
      <c r="A1300" s="11" t="s">
        <v>73</v>
      </c>
      <c r="B1300" s="11" t="str">
        <f t="shared" si="241"/>
        <v>1"915</v>
      </c>
      <c r="C1300" s="11" t="s">
        <v>23</v>
      </c>
      <c r="D1300" s="3">
        <f t="shared" si="238"/>
        <v>915</v>
      </c>
      <c r="E1300" s="11">
        <f t="shared" si="243"/>
        <v>52</v>
      </c>
      <c r="F1300" s="11">
        <f t="shared" si="242"/>
        <v>260</v>
      </c>
    </row>
    <row r="1301" spans="1:6" x14ac:dyDescent="0.25">
      <c r="A1301" s="11" t="s">
        <v>73</v>
      </c>
      <c r="B1301" s="11" t="str">
        <f t="shared" si="241"/>
        <v>1"916</v>
      </c>
      <c r="C1301" s="11" t="s">
        <v>23</v>
      </c>
      <c r="D1301" s="3">
        <f t="shared" si="238"/>
        <v>916</v>
      </c>
      <c r="E1301" s="11">
        <f t="shared" ref="E1301:E1312" si="244">E1300</f>
        <v>52</v>
      </c>
      <c r="F1301" s="11">
        <f t="shared" si="242"/>
        <v>260</v>
      </c>
    </row>
    <row r="1302" spans="1:6" x14ac:dyDescent="0.25">
      <c r="A1302" s="11" t="s">
        <v>73</v>
      </c>
      <c r="B1302" s="11" t="str">
        <f t="shared" si="241"/>
        <v>1"917</v>
      </c>
      <c r="C1302" s="11" t="s">
        <v>23</v>
      </c>
      <c r="D1302" s="3">
        <f t="shared" si="238"/>
        <v>917</v>
      </c>
      <c r="E1302" s="11">
        <f t="shared" si="244"/>
        <v>52</v>
      </c>
      <c r="F1302" s="11">
        <f t="shared" si="242"/>
        <v>260</v>
      </c>
    </row>
    <row r="1303" spans="1:6" x14ac:dyDescent="0.25">
      <c r="A1303" s="11" t="s">
        <v>73</v>
      </c>
      <c r="B1303" s="11" t="str">
        <f t="shared" si="241"/>
        <v>1"918</v>
      </c>
      <c r="C1303" s="11" t="s">
        <v>23</v>
      </c>
      <c r="D1303" s="3">
        <f t="shared" si="238"/>
        <v>918</v>
      </c>
      <c r="E1303" s="11">
        <f t="shared" si="244"/>
        <v>52</v>
      </c>
      <c r="F1303" s="11">
        <f t="shared" si="242"/>
        <v>260</v>
      </c>
    </row>
    <row r="1304" spans="1:6" x14ac:dyDescent="0.25">
      <c r="A1304" s="11" t="s">
        <v>73</v>
      </c>
      <c r="B1304" s="11" t="str">
        <f t="shared" si="241"/>
        <v>1"919</v>
      </c>
      <c r="C1304" s="11" t="s">
        <v>23</v>
      </c>
      <c r="D1304" s="3">
        <f t="shared" si="238"/>
        <v>919</v>
      </c>
      <c r="E1304" s="11">
        <f t="shared" si="244"/>
        <v>52</v>
      </c>
      <c r="F1304" s="11">
        <f t="shared" si="242"/>
        <v>260</v>
      </c>
    </row>
    <row r="1305" spans="1:6" x14ac:dyDescent="0.25">
      <c r="A1305" s="11" t="s">
        <v>73</v>
      </c>
      <c r="B1305" s="11" t="str">
        <f t="shared" si="241"/>
        <v>1"920</v>
      </c>
      <c r="C1305" s="11" t="s">
        <v>23</v>
      </c>
      <c r="D1305" s="3">
        <f t="shared" si="238"/>
        <v>920</v>
      </c>
      <c r="E1305" s="11">
        <f t="shared" si="244"/>
        <v>52</v>
      </c>
      <c r="F1305" s="11">
        <f t="shared" si="242"/>
        <v>260</v>
      </c>
    </row>
    <row r="1306" spans="1:6" x14ac:dyDescent="0.25">
      <c r="A1306" s="11" t="s">
        <v>73</v>
      </c>
      <c r="B1306" s="11" t="str">
        <f t="shared" si="241"/>
        <v>1"921</v>
      </c>
      <c r="C1306" s="11" t="s">
        <v>23</v>
      </c>
      <c r="D1306" s="3">
        <f t="shared" si="238"/>
        <v>921</v>
      </c>
      <c r="E1306" s="11">
        <f t="shared" si="244"/>
        <v>52</v>
      </c>
      <c r="F1306" s="11">
        <f t="shared" si="242"/>
        <v>260</v>
      </c>
    </row>
    <row r="1307" spans="1:6" x14ac:dyDescent="0.25">
      <c r="A1307" s="11" t="s">
        <v>73</v>
      </c>
      <c r="B1307" s="11" t="str">
        <f t="shared" si="241"/>
        <v>1"922</v>
      </c>
      <c r="C1307" s="11" t="s">
        <v>23</v>
      </c>
      <c r="D1307" s="3">
        <f t="shared" si="238"/>
        <v>922</v>
      </c>
      <c r="E1307" s="11">
        <f t="shared" si="244"/>
        <v>52</v>
      </c>
      <c r="F1307" s="11">
        <f t="shared" si="242"/>
        <v>260</v>
      </c>
    </row>
    <row r="1308" spans="1:6" x14ac:dyDescent="0.25">
      <c r="A1308" s="11" t="s">
        <v>73</v>
      </c>
      <c r="B1308" s="11" t="str">
        <f t="shared" si="241"/>
        <v>1"923</v>
      </c>
      <c r="C1308" s="11" t="s">
        <v>23</v>
      </c>
      <c r="D1308" s="3">
        <f t="shared" si="238"/>
        <v>923</v>
      </c>
      <c r="E1308" s="11">
        <f t="shared" si="244"/>
        <v>52</v>
      </c>
      <c r="F1308" s="11">
        <f t="shared" si="242"/>
        <v>260</v>
      </c>
    </row>
    <row r="1309" spans="1:6" x14ac:dyDescent="0.25">
      <c r="A1309" s="11" t="s">
        <v>73</v>
      </c>
      <c r="B1309" s="11" t="str">
        <f t="shared" si="241"/>
        <v>1"924</v>
      </c>
      <c r="C1309" s="11" t="s">
        <v>23</v>
      </c>
      <c r="D1309" s="3">
        <f t="shared" si="238"/>
        <v>924</v>
      </c>
      <c r="E1309" s="11">
        <f t="shared" si="244"/>
        <v>52</v>
      </c>
      <c r="F1309" s="11">
        <f t="shared" si="242"/>
        <v>260</v>
      </c>
    </row>
    <row r="1310" spans="1:6" x14ac:dyDescent="0.25">
      <c r="A1310" s="11" t="s">
        <v>73</v>
      </c>
      <c r="B1310" s="11" t="str">
        <f t="shared" si="241"/>
        <v>1"925</v>
      </c>
      <c r="C1310" s="11" t="s">
        <v>23</v>
      </c>
      <c r="D1310" s="3">
        <f t="shared" si="238"/>
        <v>925</v>
      </c>
      <c r="E1310" s="11">
        <f t="shared" si="244"/>
        <v>52</v>
      </c>
      <c r="F1310" s="11">
        <f t="shared" si="242"/>
        <v>260</v>
      </c>
    </row>
    <row r="1311" spans="1:6" x14ac:dyDescent="0.25">
      <c r="A1311" s="11" t="s">
        <v>73</v>
      </c>
      <c r="B1311" s="11" t="str">
        <f t="shared" si="241"/>
        <v>1"926</v>
      </c>
      <c r="C1311" s="11" t="s">
        <v>23</v>
      </c>
      <c r="D1311" s="3">
        <f t="shared" si="238"/>
        <v>926</v>
      </c>
      <c r="E1311" s="11">
        <f t="shared" si="244"/>
        <v>52</v>
      </c>
      <c r="F1311" s="11">
        <f t="shared" si="242"/>
        <v>260</v>
      </c>
    </row>
    <row r="1312" spans="1:6" x14ac:dyDescent="0.25">
      <c r="A1312" s="11" t="s">
        <v>73</v>
      </c>
      <c r="B1312" s="11" t="str">
        <f t="shared" si="241"/>
        <v>1"927</v>
      </c>
      <c r="C1312" s="11" t="s">
        <v>23</v>
      </c>
      <c r="D1312" s="3">
        <f t="shared" si="238"/>
        <v>927</v>
      </c>
      <c r="E1312" s="11">
        <f t="shared" si="244"/>
        <v>52</v>
      </c>
      <c r="F1312" s="11">
        <f t="shared" si="242"/>
        <v>260</v>
      </c>
    </row>
    <row r="1313" spans="1:6" x14ac:dyDescent="0.25">
      <c r="A1313" s="11" t="s">
        <v>73</v>
      </c>
      <c r="B1313" s="11" t="str">
        <f t="shared" si="241"/>
        <v>1"928</v>
      </c>
      <c r="C1313" s="11" t="s">
        <v>23</v>
      </c>
      <c r="D1313" s="3">
        <f t="shared" si="238"/>
        <v>928</v>
      </c>
      <c r="E1313" s="11">
        <f t="shared" ref="E1313" si="245">E1312+1</f>
        <v>53</v>
      </c>
      <c r="F1313" s="11">
        <f t="shared" si="242"/>
        <v>265</v>
      </c>
    </row>
    <row r="1314" spans="1:6" x14ac:dyDescent="0.25">
      <c r="A1314" s="11" t="s">
        <v>73</v>
      </c>
      <c r="B1314" s="11" t="str">
        <f t="shared" si="241"/>
        <v>1"929</v>
      </c>
      <c r="C1314" s="11" t="s">
        <v>23</v>
      </c>
      <c r="D1314" s="3">
        <f t="shared" si="238"/>
        <v>929</v>
      </c>
      <c r="E1314" s="11">
        <f t="shared" ref="E1314:E1332" si="246">E1313</f>
        <v>53</v>
      </c>
      <c r="F1314" s="11">
        <f t="shared" si="242"/>
        <v>265</v>
      </c>
    </row>
    <row r="1315" spans="1:6" x14ac:dyDescent="0.25">
      <c r="A1315" s="11" t="s">
        <v>73</v>
      </c>
      <c r="B1315" s="11" t="str">
        <f t="shared" si="241"/>
        <v>1"930</v>
      </c>
      <c r="C1315" s="11" t="s">
        <v>23</v>
      </c>
      <c r="D1315" s="3">
        <f t="shared" si="238"/>
        <v>930</v>
      </c>
      <c r="E1315" s="11">
        <f t="shared" si="246"/>
        <v>53</v>
      </c>
      <c r="F1315" s="11">
        <f t="shared" si="242"/>
        <v>265</v>
      </c>
    </row>
    <row r="1316" spans="1:6" x14ac:dyDescent="0.25">
      <c r="A1316" s="11" t="s">
        <v>73</v>
      </c>
      <c r="B1316" s="11" t="str">
        <f t="shared" si="241"/>
        <v>1"931</v>
      </c>
      <c r="C1316" s="11" t="s">
        <v>23</v>
      </c>
      <c r="D1316" s="3">
        <f t="shared" si="238"/>
        <v>931</v>
      </c>
      <c r="E1316" s="11">
        <f t="shared" si="246"/>
        <v>53</v>
      </c>
      <c r="F1316" s="11">
        <f t="shared" si="242"/>
        <v>265</v>
      </c>
    </row>
    <row r="1317" spans="1:6" x14ac:dyDescent="0.25">
      <c r="A1317" s="11" t="s">
        <v>73</v>
      </c>
      <c r="B1317" s="11" t="str">
        <f t="shared" si="241"/>
        <v>1"932</v>
      </c>
      <c r="C1317" s="11" t="s">
        <v>23</v>
      </c>
      <c r="D1317" s="3">
        <f t="shared" si="238"/>
        <v>932</v>
      </c>
      <c r="E1317" s="11">
        <f t="shared" si="246"/>
        <v>53</v>
      </c>
      <c r="F1317" s="11">
        <f t="shared" si="242"/>
        <v>265</v>
      </c>
    </row>
    <row r="1318" spans="1:6" x14ac:dyDescent="0.25">
      <c r="A1318" s="11" t="s">
        <v>73</v>
      </c>
      <c r="B1318" s="11" t="str">
        <f t="shared" si="241"/>
        <v>1"933</v>
      </c>
      <c r="C1318" s="11" t="s">
        <v>23</v>
      </c>
      <c r="D1318" s="3">
        <f t="shared" si="238"/>
        <v>933</v>
      </c>
      <c r="E1318" s="11">
        <f t="shared" si="246"/>
        <v>53</v>
      </c>
      <c r="F1318" s="11">
        <f t="shared" si="242"/>
        <v>265</v>
      </c>
    </row>
    <row r="1319" spans="1:6" x14ac:dyDescent="0.25">
      <c r="A1319" s="11" t="s">
        <v>73</v>
      </c>
      <c r="B1319" s="11" t="str">
        <f t="shared" si="241"/>
        <v>1"934</v>
      </c>
      <c r="C1319" s="11" t="s">
        <v>23</v>
      </c>
      <c r="D1319" s="3">
        <f t="shared" si="238"/>
        <v>934</v>
      </c>
      <c r="E1319" s="11">
        <f t="shared" si="246"/>
        <v>53</v>
      </c>
      <c r="F1319" s="11">
        <f t="shared" si="242"/>
        <v>265</v>
      </c>
    </row>
    <row r="1320" spans="1:6" x14ac:dyDescent="0.25">
      <c r="A1320" s="11" t="s">
        <v>73</v>
      </c>
      <c r="B1320" s="11" t="str">
        <f t="shared" si="241"/>
        <v>1"935</v>
      </c>
      <c r="C1320" s="11" t="s">
        <v>23</v>
      </c>
      <c r="D1320" s="3">
        <f t="shared" si="238"/>
        <v>935</v>
      </c>
      <c r="E1320" s="11">
        <f t="shared" si="246"/>
        <v>53</v>
      </c>
      <c r="F1320" s="11">
        <f t="shared" si="242"/>
        <v>265</v>
      </c>
    </row>
    <row r="1321" spans="1:6" x14ac:dyDescent="0.25">
      <c r="A1321" s="11" t="s">
        <v>73</v>
      </c>
      <c r="B1321" s="11" t="str">
        <f t="shared" si="241"/>
        <v>1"936</v>
      </c>
      <c r="C1321" s="11" t="s">
        <v>23</v>
      </c>
      <c r="D1321" s="3">
        <f t="shared" si="238"/>
        <v>936</v>
      </c>
      <c r="E1321" s="11">
        <f t="shared" si="246"/>
        <v>53</v>
      </c>
      <c r="F1321" s="11">
        <f t="shared" si="242"/>
        <v>265</v>
      </c>
    </row>
    <row r="1322" spans="1:6" x14ac:dyDescent="0.25">
      <c r="A1322" s="11" t="s">
        <v>73</v>
      </c>
      <c r="B1322" s="11" t="str">
        <f t="shared" si="241"/>
        <v>1"937</v>
      </c>
      <c r="C1322" s="11" t="s">
        <v>23</v>
      </c>
      <c r="D1322" s="3">
        <f t="shared" ref="D1322:D1385" si="247">D1321+1</f>
        <v>937</v>
      </c>
      <c r="E1322" s="11">
        <f t="shared" si="246"/>
        <v>53</v>
      </c>
      <c r="F1322" s="11">
        <f t="shared" si="242"/>
        <v>265</v>
      </c>
    </row>
    <row r="1323" spans="1:6" x14ac:dyDescent="0.25">
      <c r="A1323" s="11" t="s">
        <v>73</v>
      </c>
      <c r="B1323" s="11" t="str">
        <f t="shared" si="241"/>
        <v>1"938</v>
      </c>
      <c r="C1323" s="11" t="s">
        <v>23</v>
      </c>
      <c r="D1323" s="3">
        <f t="shared" si="247"/>
        <v>938</v>
      </c>
      <c r="E1323" s="11">
        <f t="shared" si="246"/>
        <v>53</v>
      </c>
      <c r="F1323" s="11">
        <f t="shared" si="242"/>
        <v>265</v>
      </c>
    </row>
    <row r="1324" spans="1:6" x14ac:dyDescent="0.25">
      <c r="A1324" s="11" t="s">
        <v>73</v>
      </c>
      <c r="B1324" s="11" t="str">
        <f t="shared" si="241"/>
        <v>1"939</v>
      </c>
      <c r="C1324" s="11" t="s">
        <v>23</v>
      </c>
      <c r="D1324" s="3">
        <f t="shared" si="247"/>
        <v>939</v>
      </c>
      <c r="E1324" s="11">
        <f t="shared" si="246"/>
        <v>53</v>
      </c>
      <c r="F1324" s="11">
        <f t="shared" si="242"/>
        <v>265</v>
      </c>
    </row>
    <row r="1325" spans="1:6" x14ac:dyDescent="0.25">
      <c r="A1325" s="11" t="s">
        <v>73</v>
      </c>
      <c r="B1325" s="11" t="str">
        <f t="shared" si="241"/>
        <v>1"940</v>
      </c>
      <c r="C1325" s="11" t="s">
        <v>23</v>
      </c>
      <c r="D1325" s="3">
        <f t="shared" si="247"/>
        <v>940</v>
      </c>
      <c r="E1325" s="11">
        <f t="shared" si="246"/>
        <v>53</v>
      </c>
      <c r="F1325" s="11">
        <f t="shared" si="242"/>
        <v>265</v>
      </c>
    </row>
    <row r="1326" spans="1:6" x14ac:dyDescent="0.25">
      <c r="A1326" s="11" t="s">
        <v>73</v>
      </c>
      <c r="B1326" s="11" t="str">
        <f t="shared" si="241"/>
        <v>1"941</v>
      </c>
      <c r="C1326" s="11" t="s">
        <v>23</v>
      </c>
      <c r="D1326" s="3">
        <f t="shared" si="247"/>
        <v>941</v>
      </c>
      <c r="E1326" s="11">
        <f t="shared" si="246"/>
        <v>53</v>
      </c>
      <c r="F1326" s="11">
        <f t="shared" si="242"/>
        <v>265</v>
      </c>
    </row>
    <row r="1327" spans="1:6" x14ac:dyDescent="0.25">
      <c r="A1327" s="11" t="s">
        <v>73</v>
      </c>
      <c r="B1327" s="11" t="str">
        <f t="shared" si="241"/>
        <v>1"942</v>
      </c>
      <c r="C1327" s="11" t="s">
        <v>23</v>
      </c>
      <c r="D1327" s="3">
        <f t="shared" si="247"/>
        <v>942</v>
      </c>
      <c r="E1327" s="11">
        <f t="shared" si="246"/>
        <v>53</v>
      </c>
      <c r="F1327" s="11">
        <f t="shared" si="242"/>
        <v>265</v>
      </c>
    </row>
    <row r="1328" spans="1:6" x14ac:dyDescent="0.25">
      <c r="A1328" s="11" t="s">
        <v>73</v>
      </c>
      <c r="B1328" s="11" t="str">
        <f t="shared" si="241"/>
        <v>1"943</v>
      </c>
      <c r="C1328" s="11" t="s">
        <v>23</v>
      </c>
      <c r="D1328" s="3">
        <f t="shared" si="247"/>
        <v>943</v>
      </c>
      <c r="E1328" s="11">
        <f t="shared" si="246"/>
        <v>53</v>
      </c>
      <c r="F1328" s="11">
        <f t="shared" si="242"/>
        <v>265</v>
      </c>
    </row>
    <row r="1329" spans="1:6" x14ac:dyDescent="0.25">
      <c r="A1329" s="11" t="s">
        <v>73</v>
      </c>
      <c r="B1329" s="11" t="str">
        <f t="shared" si="241"/>
        <v>1"944</v>
      </c>
      <c r="C1329" s="11" t="s">
        <v>23</v>
      </c>
      <c r="D1329" s="3">
        <f t="shared" si="247"/>
        <v>944</v>
      </c>
      <c r="E1329" s="11">
        <f t="shared" si="246"/>
        <v>53</v>
      </c>
      <c r="F1329" s="11">
        <f t="shared" si="242"/>
        <v>265</v>
      </c>
    </row>
    <row r="1330" spans="1:6" x14ac:dyDescent="0.25">
      <c r="A1330" s="11" t="s">
        <v>73</v>
      </c>
      <c r="B1330" s="11" t="str">
        <f t="shared" si="241"/>
        <v>1"945</v>
      </c>
      <c r="C1330" s="11" t="s">
        <v>23</v>
      </c>
      <c r="D1330" s="3">
        <f t="shared" si="247"/>
        <v>945</v>
      </c>
      <c r="E1330" s="11">
        <f t="shared" si="246"/>
        <v>53</v>
      </c>
      <c r="F1330" s="11">
        <f t="shared" si="242"/>
        <v>265</v>
      </c>
    </row>
    <row r="1331" spans="1:6" x14ac:dyDescent="0.25">
      <c r="A1331" s="11" t="s">
        <v>73</v>
      </c>
      <c r="B1331" s="11" t="str">
        <f t="shared" si="241"/>
        <v>1"946</v>
      </c>
      <c r="C1331" s="11" t="s">
        <v>23</v>
      </c>
      <c r="D1331" s="3">
        <f t="shared" si="247"/>
        <v>946</v>
      </c>
      <c r="E1331" s="11">
        <f t="shared" si="246"/>
        <v>53</v>
      </c>
      <c r="F1331" s="11">
        <f t="shared" si="242"/>
        <v>265</v>
      </c>
    </row>
    <row r="1332" spans="1:6" x14ac:dyDescent="0.25">
      <c r="A1332" s="11" t="s">
        <v>73</v>
      </c>
      <c r="B1332" s="11" t="str">
        <f t="shared" si="241"/>
        <v>1"947</v>
      </c>
      <c r="C1332" s="11" t="s">
        <v>23</v>
      </c>
      <c r="D1332" s="3">
        <f t="shared" si="247"/>
        <v>947</v>
      </c>
      <c r="E1332" s="11">
        <f t="shared" si="246"/>
        <v>53</v>
      </c>
      <c r="F1332" s="11">
        <f t="shared" si="242"/>
        <v>265</v>
      </c>
    </row>
    <row r="1333" spans="1:6" x14ac:dyDescent="0.25">
      <c r="A1333" s="11" t="s">
        <v>73</v>
      </c>
      <c r="B1333" s="11" t="str">
        <f t="shared" si="241"/>
        <v>1"948</v>
      </c>
      <c r="C1333" s="11" t="s">
        <v>23</v>
      </c>
      <c r="D1333" s="3">
        <f t="shared" si="247"/>
        <v>948</v>
      </c>
      <c r="E1333" s="11">
        <f>E1332+1</f>
        <v>54</v>
      </c>
      <c r="F1333" s="11">
        <f t="shared" si="242"/>
        <v>270</v>
      </c>
    </row>
    <row r="1334" spans="1:6" x14ac:dyDescent="0.25">
      <c r="A1334" s="11" t="s">
        <v>73</v>
      </c>
      <c r="B1334" s="11" t="str">
        <f t="shared" si="241"/>
        <v>1"949</v>
      </c>
      <c r="C1334" s="11" t="s">
        <v>23</v>
      </c>
      <c r="D1334" s="3">
        <f t="shared" si="247"/>
        <v>949</v>
      </c>
      <c r="E1334" s="11">
        <f t="shared" ref="E1334:E1340" si="248">E1333</f>
        <v>54</v>
      </c>
      <c r="F1334" s="11">
        <f t="shared" si="242"/>
        <v>270</v>
      </c>
    </row>
    <row r="1335" spans="1:6" x14ac:dyDescent="0.25">
      <c r="A1335" s="11" t="s">
        <v>73</v>
      </c>
      <c r="B1335" s="11" t="str">
        <f t="shared" si="241"/>
        <v>1"950</v>
      </c>
      <c r="C1335" s="11" t="s">
        <v>23</v>
      </c>
      <c r="D1335" s="3">
        <f t="shared" si="247"/>
        <v>950</v>
      </c>
      <c r="E1335" s="11">
        <f t="shared" si="248"/>
        <v>54</v>
      </c>
      <c r="F1335" s="11">
        <f t="shared" si="242"/>
        <v>270</v>
      </c>
    </row>
    <row r="1336" spans="1:6" x14ac:dyDescent="0.25">
      <c r="A1336" s="11" t="s">
        <v>73</v>
      </c>
      <c r="B1336" s="11" t="str">
        <f t="shared" si="241"/>
        <v>1"951</v>
      </c>
      <c r="C1336" s="11" t="s">
        <v>23</v>
      </c>
      <c r="D1336" s="3">
        <f t="shared" si="247"/>
        <v>951</v>
      </c>
      <c r="E1336" s="11">
        <f t="shared" si="248"/>
        <v>54</v>
      </c>
      <c r="F1336" s="11">
        <f t="shared" si="242"/>
        <v>270</v>
      </c>
    </row>
    <row r="1337" spans="1:6" x14ac:dyDescent="0.25">
      <c r="A1337" s="11" t="s">
        <v>73</v>
      </c>
      <c r="B1337" s="11" t="str">
        <f t="shared" si="241"/>
        <v>1"952</v>
      </c>
      <c r="C1337" s="11" t="s">
        <v>23</v>
      </c>
      <c r="D1337" s="3">
        <f t="shared" si="247"/>
        <v>952</v>
      </c>
      <c r="E1337" s="11">
        <f t="shared" si="248"/>
        <v>54</v>
      </c>
      <c r="F1337" s="11">
        <f t="shared" si="242"/>
        <v>270</v>
      </c>
    </row>
    <row r="1338" spans="1:6" x14ac:dyDescent="0.25">
      <c r="A1338" s="11" t="s">
        <v>73</v>
      </c>
      <c r="B1338" s="11" t="str">
        <f t="shared" si="241"/>
        <v>1"953</v>
      </c>
      <c r="C1338" s="11" t="s">
        <v>23</v>
      </c>
      <c r="D1338" s="3">
        <f t="shared" si="247"/>
        <v>953</v>
      </c>
      <c r="E1338" s="11">
        <f t="shared" si="248"/>
        <v>54</v>
      </c>
      <c r="F1338" s="11">
        <f t="shared" si="242"/>
        <v>270</v>
      </c>
    </row>
    <row r="1339" spans="1:6" x14ac:dyDescent="0.25">
      <c r="A1339" s="11" t="s">
        <v>73</v>
      </c>
      <c r="B1339" s="11" t="str">
        <f t="shared" ref="B1339:B1385" si="249">CONCATENATE(C1339&amp;D1339)</f>
        <v>1"954</v>
      </c>
      <c r="C1339" s="11" t="s">
        <v>23</v>
      </c>
      <c r="D1339" s="3">
        <f t="shared" si="247"/>
        <v>954</v>
      </c>
      <c r="E1339" s="11">
        <f t="shared" si="248"/>
        <v>54</v>
      </c>
      <c r="F1339" s="11">
        <f t="shared" si="242"/>
        <v>270</v>
      </c>
    </row>
    <row r="1340" spans="1:6" x14ac:dyDescent="0.25">
      <c r="A1340" s="11" t="s">
        <v>73</v>
      </c>
      <c r="B1340" s="11" t="str">
        <f t="shared" si="249"/>
        <v>1"955</v>
      </c>
      <c r="C1340" s="11" t="s">
        <v>23</v>
      </c>
      <c r="D1340" s="3">
        <f t="shared" si="247"/>
        <v>955</v>
      </c>
      <c r="E1340" s="11">
        <f t="shared" si="248"/>
        <v>54</v>
      </c>
      <c r="F1340" s="11">
        <f t="shared" si="242"/>
        <v>270</v>
      </c>
    </row>
    <row r="1341" spans="1:6" x14ac:dyDescent="0.25">
      <c r="A1341" s="11" t="s">
        <v>73</v>
      </c>
      <c r="B1341" s="11" t="str">
        <f t="shared" si="249"/>
        <v>1"956</v>
      </c>
      <c r="C1341" s="11" t="s">
        <v>23</v>
      </c>
      <c r="D1341" s="3">
        <f t="shared" si="247"/>
        <v>956</v>
      </c>
      <c r="E1341" s="11">
        <f t="shared" ref="E1341:E1352" si="250">E1340</f>
        <v>54</v>
      </c>
      <c r="F1341" s="11">
        <f t="shared" si="242"/>
        <v>270</v>
      </c>
    </row>
    <row r="1342" spans="1:6" x14ac:dyDescent="0.25">
      <c r="A1342" s="11" t="s">
        <v>73</v>
      </c>
      <c r="B1342" s="11" t="str">
        <f t="shared" si="249"/>
        <v>1"957</v>
      </c>
      <c r="C1342" s="11" t="s">
        <v>23</v>
      </c>
      <c r="D1342" s="3">
        <f t="shared" si="247"/>
        <v>957</v>
      </c>
      <c r="E1342" s="11">
        <f t="shared" si="250"/>
        <v>54</v>
      </c>
      <c r="F1342" s="11">
        <f t="shared" si="242"/>
        <v>270</v>
      </c>
    </row>
    <row r="1343" spans="1:6" x14ac:dyDescent="0.25">
      <c r="A1343" s="11" t="s">
        <v>73</v>
      </c>
      <c r="B1343" s="11" t="str">
        <f t="shared" si="249"/>
        <v>1"958</v>
      </c>
      <c r="C1343" s="11" t="s">
        <v>23</v>
      </c>
      <c r="D1343" s="3">
        <f t="shared" si="247"/>
        <v>958</v>
      </c>
      <c r="E1343" s="11">
        <f t="shared" si="250"/>
        <v>54</v>
      </c>
      <c r="F1343" s="11">
        <f t="shared" si="242"/>
        <v>270</v>
      </c>
    </row>
    <row r="1344" spans="1:6" x14ac:dyDescent="0.25">
      <c r="A1344" s="11" t="s">
        <v>73</v>
      </c>
      <c r="B1344" s="11" t="str">
        <f t="shared" si="249"/>
        <v>1"959</v>
      </c>
      <c r="C1344" s="11" t="s">
        <v>23</v>
      </c>
      <c r="D1344" s="3">
        <f t="shared" si="247"/>
        <v>959</v>
      </c>
      <c r="E1344" s="11">
        <f t="shared" si="250"/>
        <v>54</v>
      </c>
      <c r="F1344" s="11">
        <f t="shared" si="242"/>
        <v>270</v>
      </c>
    </row>
    <row r="1345" spans="1:6" x14ac:dyDescent="0.25">
      <c r="A1345" s="11" t="s">
        <v>73</v>
      </c>
      <c r="B1345" s="11" t="str">
        <f t="shared" si="249"/>
        <v>1"960</v>
      </c>
      <c r="C1345" s="11" t="s">
        <v>23</v>
      </c>
      <c r="D1345" s="3">
        <f t="shared" si="247"/>
        <v>960</v>
      </c>
      <c r="E1345" s="11">
        <f t="shared" si="250"/>
        <v>54</v>
      </c>
      <c r="F1345" s="11">
        <f t="shared" si="242"/>
        <v>270</v>
      </c>
    </row>
    <row r="1346" spans="1:6" x14ac:dyDescent="0.25">
      <c r="A1346" s="11" t="s">
        <v>73</v>
      </c>
      <c r="B1346" s="11" t="str">
        <f t="shared" si="249"/>
        <v>1"961</v>
      </c>
      <c r="C1346" s="11" t="s">
        <v>23</v>
      </c>
      <c r="D1346" s="3">
        <f t="shared" si="247"/>
        <v>961</v>
      </c>
      <c r="E1346" s="11">
        <f t="shared" si="250"/>
        <v>54</v>
      </c>
      <c r="F1346" s="11">
        <f t="shared" si="242"/>
        <v>270</v>
      </c>
    </row>
    <row r="1347" spans="1:6" x14ac:dyDescent="0.25">
      <c r="A1347" s="11" t="s">
        <v>73</v>
      </c>
      <c r="B1347" s="11" t="str">
        <f t="shared" si="249"/>
        <v>1"962</v>
      </c>
      <c r="C1347" s="11" t="s">
        <v>23</v>
      </c>
      <c r="D1347" s="3">
        <f t="shared" si="247"/>
        <v>962</v>
      </c>
      <c r="E1347" s="11">
        <f t="shared" si="250"/>
        <v>54</v>
      </c>
      <c r="F1347" s="11">
        <f t="shared" si="242"/>
        <v>270</v>
      </c>
    </row>
    <row r="1348" spans="1:6" x14ac:dyDescent="0.25">
      <c r="A1348" s="11" t="s">
        <v>73</v>
      </c>
      <c r="B1348" s="11" t="str">
        <f t="shared" si="249"/>
        <v>1"963</v>
      </c>
      <c r="C1348" s="11" t="s">
        <v>23</v>
      </c>
      <c r="D1348" s="3">
        <f t="shared" si="247"/>
        <v>963</v>
      </c>
      <c r="E1348" s="11">
        <f t="shared" si="250"/>
        <v>54</v>
      </c>
      <c r="F1348" s="11">
        <f t="shared" si="242"/>
        <v>270</v>
      </c>
    </row>
    <row r="1349" spans="1:6" x14ac:dyDescent="0.25">
      <c r="A1349" s="11" t="s">
        <v>73</v>
      </c>
      <c r="B1349" s="11" t="str">
        <f t="shared" si="249"/>
        <v>1"964</v>
      </c>
      <c r="C1349" s="11" t="s">
        <v>23</v>
      </c>
      <c r="D1349" s="3">
        <f t="shared" si="247"/>
        <v>964</v>
      </c>
      <c r="E1349" s="11">
        <f t="shared" si="250"/>
        <v>54</v>
      </c>
      <c r="F1349" s="11">
        <f t="shared" si="242"/>
        <v>270</v>
      </c>
    </row>
    <row r="1350" spans="1:6" x14ac:dyDescent="0.25">
      <c r="A1350" s="11" t="s">
        <v>73</v>
      </c>
      <c r="B1350" s="11" t="str">
        <f t="shared" si="249"/>
        <v>1"965</v>
      </c>
      <c r="C1350" s="11" t="s">
        <v>23</v>
      </c>
      <c r="D1350" s="3">
        <f t="shared" si="247"/>
        <v>965</v>
      </c>
      <c r="E1350" s="11">
        <f t="shared" si="250"/>
        <v>54</v>
      </c>
      <c r="F1350" s="11">
        <f t="shared" si="242"/>
        <v>270</v>
      </c>
    </row>
    <row r="1351" spans="1:6" x14ac:dyDescent="0.25">
      <c r="A1351" s="11" t="s">
        <v>73</v>
      </c>
      <c r="B1351" s="11" t="str">
        <f t="shared" si="249"/>
        <v>1"966</v>
      </c>
      <c r="C1351" s="11" t="s">
        <v>23</v>
      </c>
      <c r="D1351" s="3">
        <f t="shared" si="247"/>
        <v>966</v>
      </c>
      <c r="E1351" s="11">
        <f t="shared" si="250"/>
        <v>54</v>
      </c>
      <c r="F1351" s="11">
        <f t="shared" si="242"/>
        <v>270</v>
      </c>
    </row>
    <row r="1352" spans="1:6" x14ac:dyDescent="0.25">
      <c r="A1352" s="11" t="s">
        <v>73</v>
      </c>
      <c r="B1352" s="11" t="str">
        <f t="shared" si="249"/>
        <v>1"967</v>
      </c>
      <c r="C1352" s="11" t="s">
        <v>23</v>
      </c>
      <c r="D1352" s="3">
        <f t="shared" si="247"/>
        <v>967</v>
      </c>
      <c r="E1352" s="11">
        <f t="shared" si="250"/>
        <v>54</v>
      </c>
      <c r="F1352" s="11">
        <f t="shared" si="242"/>
        <v>270</v>
      </c>
    </row>
    <row r="1353" spans="1:6" x14ac:dyDescent="0.25">
      <c r="A1353" s="11" t="s">
        <v>73</v>
      </c>
      <c r="B1353" s="11" t="str">
        <f t="shared" si="249"/>
        <v>1"968</v>
      </c>
      <c r="C1353" s="11" t="s">
        <v>23</v>
      </c>
      <c r="D1353" s="3">
        <f t="shared" si="247"/>
        <v>968</v>
      </c>
      <c r="E1353" s="11">
        <f t="shared" ref="E1353" si="251">E1352+1</f>
        <v>55</v>
      </c>
      <c r="F1353" s="11">
        <f t="shared" si="242"/>
        <v>275</v>
      </c>
    </row>
    <row r="1354" spans="1:6" x14ac:dyDescent="0.25">
      <c r="A1354" s="11" t="s">
        <v>73</v>
      </c>
      <c r="B1354" s="11" t="str">
        <f t="shared" si="249"/>
        <v>1"969</v>
      </c>
      <c r="C1354" s="11" t="s">
        <v>23</v>
      </c>
      <c r="D1354" s="3">
        <f t="shared" si="247"/>
        <v>969</v>
      </c>
      <c r="E1354" s="11">
        <f t="shared" ref="E1354:E1372" si="252">E1353</f>
        <v>55</v>
      </c>
      <c r="F1354" s="11">
        <f t="shared" si="242"/>
        <v>275</v>
      </c>
    </row>
    <row r="1355" spans="1:6" x14ac:dyDescent="0.25">
      <c r="A1355" s="11" t="s">
        <v>73</v>
      </c>
      <c r="B1355" s="11" t="str">
        <f t="shared" si="249"/>
        <v>1"970</v>
      </c>
      <c r="C1355" s="11" t="s">
        <v>23</v>
      </c>
      <c r="D1355" s="3">
        <f t="shared" si="247"/>
        <v>970</v>
      </c>
      <c r="E1355" s="11">
        <f t="shared" si="252"/>
        <v>55</v>
      </c>
      <c r="F1355" s="11">
        <f t="shared" ref="F1355:F1385" si="253">E1355*$F$1</f>
        <v>275</v>
      </c>
    </row>
    <row r="1356" spans="1:6" x14ac:dyDescent="0.25">
      <c r="A1356" s="11" t="s">
        <v>73</v>
      </c>
      <c r="B1356" s="11" t="str">
        <f t="shared" si="249"/>
        <v>1"971</v>
      </c>
      <c r="C1356" s="11" t="s">
        <v>23</v>
      </c>
      <c r="D1356" s="3">
        <f t="shared" si="247"/>
        <v>971</v>
      </c>
      <c r="E1356" s="11">
        <f t="shared" si="252"/>
        <v>55</v>
      </c>
      <c r="F1356" s="11">
        <f t="shared" si="253"/>
        <v>275</v>
      </c>
    </row>
    <row r="1357" spans="1:6" x14ac:dyDescent="0.25">
      <c r="A1357" s="11" t="s">
        <v>73</v>
      </c>
      <c r="B1357" s="11" t="str">
        <f t="shared" si="249"/>
        <v>1"972</v>
      </c>
      <c r="C1357" s="11" t="s">
        <v>23</v>
      </c>
      <c r="D1357" s="3">
        <f t="shared" si="247"/>
        <v>972</v>
      </c>
      <c r="E1357" s="11">
        <f t="shared" si="252"/>
        <v>55</v>
      </c>
      <c r="F1357" s="11">
        <f t="shared" si="253"/>
        <v>275</v>
      </c>
    </row>
    <row r="1358" spans="1:6" x14ac:dyDescent="0.25">
      <c r="A1358" s="11" t="s">
        <v>73</v>
      </c>
      <c r="B1358" s="11" t="str">
        <f t="shared" si="249"/>
        <v>1"973</v>
      </c>
      <c r="C1358" s="11" t="s">
        <v>23</v>
      </c>
      <c r="D1358" s="3">
        <f t="shared" si="247"/>
        <v>973</v>
      </c>
      <c r="E1358" s="11">
        <f t="shared" si="252"/>
        <v>55</v>
      </c>
      <c r="F1358" s="11">
        <f t="shared" si="253"/>
        <v>275</v>
      </c>
    </row>
    <row r="1359" spans="1:6" x14ac:dyDescent="0.25">
      <c r="A1359" s="11" t="s">
        <v>73</v>
      </c>
      <c r="B1359" s="11" t="str">
        <f t="shared" si="249"/>
        <v>1"974</v>
      </c>
      <c r="C1359" s="11" t="s">
        <v>23</v>
      </c>
      <c r="D1359" s="3">
        <f t="shared" si="247"/>
        <v>974</v>
      </c>
      <c r="E1359" s="11">
        <f t="shared" si="252"/>
        <v>55</v>
      </c>
      <c r="F1359" s="11">
        <f t="shared" si="253"/>
        <v>275</v>
      </c>
    </row>
    <row r="1360" spans="1:6" x14ac:dyDescent="0.25">
      <c r="A1360" s="11" t="s">
        <v>73</v>
      </c>
      <c r="B1360" s="11" t="str">
        <f t="shared" si="249"/>
        <v>1"975</v>
      </c>
      <c r="C1360" s="11" t="s">
        <v>23</v>
      </c>
      <c r="D1360" s="3">
        <f t="shared" si="247"/>
        <v>975</v>
      </c>
      <c r="E1360" s="11">
        <f t="shared" si="252"/>
        <v>55</v>
      </c>
      <c r="F1360" s="11">
        <f t="shared" si="253"/>
        <v>275</v>
      </c>
    </row>
    <row r="1361" spans="1:6" x14ac:dyDescent="0.25">
      <c r="A1361" s="11" t="s">
        <v>73</v>
      </c>
      <c r="B1361" s="11" t="str">
        <f t="shared" si="249"/>
        <v>1"976</v>
      </c>
      <c r="C1361" s="11" t="s">
        <v>23</v>
      </c>
      <c r="D1361" s="3">
        <f t="shared" si="247"/>
        <v>976</v>
      </c>
      <c r="E1361" s="11">
        <f t="shared" si="252"/>
        <v>55</v>
      </c>
      <c r="F1361" s="11">
        <f t="shared" si="253"/>
        <v>275</v>
      </c>
    </row>
    <row r="1362" spans="1:6" x14ac:dyDescent="0.25">
      <c r="A1362" s="11" t="s">
        <v>73</v>
      </c>
      <c r="B1362" s="11" t="str">
        <f t="shared" si="249"/>
        <v>1"977</v>
      </c>
      <c r="C1362" s="11" t="s">
        <v>23</v>
      </c>
      <c r="D1362" s="3">
        <f t="shared" si="247"/>
        <v>977</v>
      </c>
      <c r="E1362" s="11">
        <f t="shared" si="252"/>
        <v>55</v>
      </c>
      <c r="F1362" s="11">
        <f t="shared" si="253"/>
        <v>275</v>
      </c>
    </row>
    <row r="1363" spans="1:6" x14ac:dyDescent="0.25">
      <c r="A1363" s="11" t="s">
        <v>73</v>
      </c>
      <c r="B1363" s="11" t="str">
        <f t="shared" si="249"/>
        <v>1"978</v>
      </c>
      <c r="C1363" s="11" t="s">
        <v>23</v>
      </c>
      <c r="D1363" s="3">
        <f t="shared" si="247"/>
        <v>978</v>
      </c>
      <c r="E1363" s="11">
        <f t="shared" si="252"/>
        <v>55</v>
      </c>
      <c r="F1363" s="11">
        <f t="shared" si="253"/>
        <v>275</v>
      </c>
    </row>
    <row r="1364" spans="1:6" x14ac:dyDescent="0.25">
      <c r="A1364" s="11" t="s">
        <v>73</v>
      </c>
      <c r="B1364" s="11" t="str">
        <f t="shared" si="249"/>
        <v>1"979</v>
      </c>
      <c r="C1364" s="11" t="s">
        <v>23</v>
      </c>
      <c r="D1364" s="3">
        <f t="shared" si="247"/>
        <v>979</v>
      </c>
      <c r="E1364" s="11">
        <f t="shared" si="252"/>
        <v>55</v>
      </c>
      <c r="F1364" s="11">
        <f t="shared" si="253"/>
        <v>275</v>
      </c>
    </row>
    <row r="1365" spans="1:6" x14ac:dyDescent="0.25">
      <c r="A1365" s="11" t="s">
        <v>73</v>
      </c>
      <c r="B1365" s="11" t="str">
        <f t="shared" si="249"/>
        <v>1"980</v>
      </c>
      <c r="C1365" s="11" t="s">
        <v>23</v>
      </c>
      <c r="D1365" s="3">
        <f t="shared" si="247"/>
        <v>980</v>
      </c>
      <c r="E1365" s="11">
        <f t="shared" si="252"/>
        <v>55</v>
      </c>
      <c r="F1365" s="11">
        <f t="shared" si="253"/>
        <v>275</v>
      </c>
    </row>
    <row r="1366" spans="1:6" x14ac:dyDescent="0.25">
      <c r="A1366" s="11" t="s">
        <v>73</v>
      </c>
      <c r="B1366" s="11" t="str">
        <f t="shared" si="249"/>
        <v>1"981</v>
      </c>
      <c r="C1366" s="11" t="s">
        <v>23</v>
      </c>
      <c r="D1366" s="3">
        <f t="shared" si="247"/>
        <v>981</v>
      </c>
      <c r="E1366" s="11">
        <f t="shared" si="252"/>
        <v>55</v>
      </c>
      <c r="F1366" s="11">
        <f t="shared" si="253"/>
        <v>275</v>
      </c>
    </row>
    <row r="1367" spans="1:6" x14ac:dyDescent="0.25">
      <c r="A1367" s="11" t="s">
        <v>73</v>
      </c>
      <c r="B1367" s="11" t="str">
        <f t="shared" si="249"/>
        <v>1"982</v>
      </c>
      <c r="C1367" s="11" t="s">
        <v>23</v>
      </c>
      <c r="D1367" s="3">
        <f t="shared" si="247"/>
        <v>982</v>
      </c>
      <c r="E1367" s="11">
        <f t="shared" si="252"/>
        <v>55</v>
      </c>
      <c r="F1367" s="11">
        <f t="shared" si="253"/>
        <v>275</v>
      </c>
    </row>
    <row r="1368" spans="1:6" x14ac:dyDescent="0.25">
      <c r="A1368" s="11" t="s">
        <v>73</v>
      </c>
      <c r="B1368" s="11" t="str">
        <f t="shared" si="249"/>
        <v>1"983</v>
      </c>
      <c r="C1368" s="11" t="s">
        <v>23</v>
      </c>
      <c r="D1368" s="3">
        <f t="shared" si="247"/>
        <v>983</v>
      </c>
      <c r="E1368" s="11">
        <f t="shared" si="252"/>
        <v>55</v>
      </c>
      <c r="F1368" s="11">
        <f t="shared" si="253"/>
        <v>275</v>
      </c>
    </row>
    <row r="1369" spans="1:6" x14ac:dyDescent="0.25">
      <c r="A1369" s="11" t="s">
        <v>73</v>
      </c>
      <c r="B1369" s="11" t="str">
        <f t="shared" si="249"/>
        <v>1"984</v>
      </c>
      <c r="C1369" s="11" t="s">
        <v>23</v>
      </c>
      <c r="D1369" s="3">
        <f t="shared" si="247"/>
        <v>984</v>
      </c>
      <c r="E1369" s="11">
        <f t="shared" si="252"/>
        <v>55</v>
      </c>
      <c r="F1369" s="11">
        <f t="shared" si="253"/>
        <v>275</v>
      </c>
    </row>
    <row r="1370" spans="1:6" x14ac:dyDescent="0.25">
      <c r="A1370" s="11" t="s">
        <v>73</v>
      </c>
      <c r="B1370" s="11" t="str">
        <f t="shared" si="249"/>
        <v>1"985</v>
      </c>
      <c r="C1370" s="11" t="s">
        <v>23</v>
      </c>
      <c r="D1370" s="3">
        <f t="shared" si="247"/>
        <v>985</v>
      </c>
      <c r="E1370" s="11">
        <f t="shared" si="252"/>
        <v>55</v>
      </c>
      <c r="F1370" s="11">
        <f t="shared" si="253"/>
        <v>275</v>
      </c>
    </row>
    <row r="1371" spans="1:6" x14ac:dyDescent="0.25">
      <c r="A1371" s="11" t="s">
        <v>73</v>
      </c>
      <c r="B1371" s="11" t="str">
        <f t="shared" si="249"/>
        <v>1"986</v>
      </c>
      <c r="C1371" s="11" t="s">
        <v>23</v>
      </c>
      <c r="D1371" s="3">
        <f t="shared" si="247"/>
        <v>986</v>
      </c>
      <c r="E1371" s="11">
        <f t="shared" si="252"/>
        <v>55</v>
      </c>
      <c r="F1371" s="11">
        <f t="shared" si="253"/>
        <v>275</v>
      </c>
    </row>
    <row r="1372" spans="1:6" x14ac:dyDescent="0.25">
      <c r="A1372" s="11" t="s">
        <v>73</v>
      </c>
      <c r="B1372" s="11" t="str">
        <f t="shared" si="249"/>
        <v>1"987</v>
      </c>
      <c r="C1372" s="11" t="s">
        <v>23</v>
      </c>
      <c r="D1372" s="3">
        <f t="shared" si="247"/>
        <v>987</v>
      </c>
      <c r="E1372" s="11">
        <f t="shared" si="252"/>
        <v>55</v>
      </c>
      <c r="F1372" s="11">
        <f t="shared" si="253"/>
        <v>275</v>
      </c>
    </row>
    <row r="1373" spans="1:6" x14ac:dyDescent="0.25">
      <c r="A1373" s="11" t="s">
        <v>73</v>
      </c>
      <c r="B1373" s="11" t="str">
        <f t="shared" si="249"/>
        <v>1"988</v>
      </c>
      <c r="C1373" s="11" t="s">
        <v>23</v>
      </c>
      <c r="D1373" s="3">
        <f t="shared" si="247"/>
        <v>988</v>
      </c>
      <c r="E1373" s="11">
        <f t="shared" ref="E1373" si="254">E1372+1</f>
        <v>56</v>
      </c>
      <c r="F1373" s="11">
        <f t="shared" si="253"/>
        <v>280</v>
      </c>
    </row>
    <row r="1374" spans="1:6" x14ac:dyDescent="0.25">
      <c r="A1374" s="11" t="s">
        <v>73</v>
      </c>
      <c r="B1374" s="11" t="str">
        <f t="shared" si="249"/>
        <v>1"989</v>
      </c>
      <c r="C1374" s="11" t="s">
        <v>23</v>
      </c>
      <c r="D1374" s="3">
        <f t="shared" si="247"/>
        <v>989</v>
      </c>
      <c r="E1374" s="11">
        <f t="shared" ref="E1374:E1385" si="255">E1373</f>
        <v>56</v>
      </c>
      <c r="F1374" s="11">
        <f t="shared" si="253"/>
        <v>280</v>
      </c>
    </row>
    <row r="1375" spans="1:6" x14ac:dyDescent="0.25">
      <c r="A1375" s="11" t="s">
        <v>73</v>
      </c>
      <c r="B1375" s="11" t="str">
        <f t="shared" si="249"/>
        <v>1"990</v>
      </c>
      <c r="C1375" s="11" t="s">
        <v>23</v>
      </c>
      <c r="D1375" s="3">
        <f t="shared" si="247"/>
        <v>990</v>
      </c>
      <c r="E1375" s="11">
        <f t="shared" si="255"/>
        <v>56</v>
      </c>
      <c r="F1375" s="11">
        <f t="shared" si="253"/>
        <v>280</v>
      </c>
    </row>
    <row r="1376" spans="1:6" x14ac:dyDescent="0.25">
      <c r="A1376" s="11" t="s">
        <v>73</v>
      </c>
      <c r="B1376" s="11" t="str">
        <f t="shared" si="249"/>
        <v>1"991</v>
      </c>
      <c r="C1376" s="11" t="s">
        <v>23</v>
      </c>
      <c r="D1376" s="3">
        <f t="shared" si="247"/>
        <v>991</v>
      </c>
      <c r="E1376" s="11">
        <f t="shared" si="255"/>
        <v>56</v>
      </c>
      <c r="F1376" s="11">
        <f t="shared" si="253"/>
        <v>280</v>
      </c>
    </row>
    <row r="1377" spans="1:6" x14ac:dyDescent="0.25">
      <c r="A1377" s="11" t="s">
        <v>73</v>
      </c>
      <c r="B1377" s="11" t="str">
        <f t="shared" si="249"/>
        <v>1"992</v>
      </c>
      <c r="C1377" s="11" t="s">
        <v>23</v>
      </c>
      <c r="D1377" s="3">
        <f t="shared" si="247"/>
        <v>992</v>
      </c>
      <c r="E1377" s="11">
        <f t="shared" si="255"/>
        <v>56</v>
      </c>
      <c r="F1377" s="11">
        <f t="shared" si="253"/>
        <v>280</v>
      </c>
    </row>
    <row r="1378" spans="1:6" x14ac:dyDescent="0.25">
      <c r="A1378" s="11" t="s">
        <v>73</v>
      </c>
      <c r="B1378" s="11" t="str">
        <f t="shared" si="249"/>
        <v>1"993</v>
      </c>
      <c r="C1378" s="11" t="s">
        <v>23</v>
      </c>
      <c r="D1378" s="3">
        <f t="shared" si="247"/>
        <v>993</v>
      </c>
      <c r="E1378" s="11">
        <f t="shared" si="255"/>
        <v>56</v>
      </c>
      <c r="F1378" s="11">
        <f t="shared" si="253"/>
        <v>280</v>
      </c>
    </row>
    <row r="1379" spans="1:6" x14ac:dyDescent="0.25">
      <c r="A1379" s="11" t="s">
        <v>73</v>
      </c>
      <c r="B1379" s="11" t="str">
        <f t="shared" si="249"/>
        <v>1"994</v>
      </c>
      <c r="C1379" s="11" t="s">
        <v>23</v>
      </c>
      <c r="D1379" s="3">
        <f t="shared" si="247"/>
        <v>994</v>
      </c>
      <c r="E1379" s="11">
        <f t="shared" si="255"/>
        <v>56</v>
      </c>
      <c r="F1379" s="11">
        <f t="shared" si="253"/>
        <v>280</v>
      </c>
    </row>
    <row r="1380" spans="1:6" x14ac:dyDescent="0.25">
      <c r="A1380" s="11" t="s">
        <v>73</v>
      </c>
      <c r="B1380" s="11" t="str">
        <f t="shared" si="249"/>
        <v>1"995</v>
      </c>
      <c r="C1380" s="11" t="s">
        <v>23</v>
      </c>
      <c r="D1380" s="3">
        <f t="shared" si="247"/>
        <v>995</v>
      </c>
      <c r="E1380" s="11">
        <f t="shared" si="255"/>
        <v>56</v>
      </c>
      <c r="F1380" s="11">
        <f t="shared" si="253"/>
        <v>280</v>
      </c>
    </row>
    <row r="1381" spans="1:6" x14ac:dyDescent="0.25">
      <c r="A1381" s="11" t="s">
        <v>73</v>
      </c>
      <c r="B1381" s="11" t="str">
        <f t="shared" si="249"/>
        <v>1"996</v>
      </c>
      <c r="C1381" s="11" t="s">
        <v>23</v>
      </c>
      <c r="D1381" s="3">
        <f t="shared" si="247"/>
        <v>996</v>
      </c>
      <c r="E1381" s="11">
        <f t="shared" si="255"/>
        <v>56</v>
      </c>
      <c r="F1381" s="11">
        <f t="shared" si="253"/>
        <v>280</v>
      </c>
    </row>
    <row r="1382" spans="1:6" x14ac:dyDescent="0.25">
      <c r="A1382" s="11" t="s">
        <v>73</v>
      </c>
      <c r="B1382" s="11" t="str">
        <f t="shared" si="249"/>
        <v>1"997</v>
      </c>
      <c r="C1382" s="11" t="s">
        <v>23</v>
      </c>
      <c r="D1382" s="3">
        <f t="shared" si="247"/>
        <v>997</v>
      </c>
      <c r="E1382" s="11">
        <f t="shared" si="255"/>
        <v>56</v>
      </c>
      <c r="F1382" s="11">
        <f t="shared" si="253"/>
        <v>280</v>
      </c>
    </row>
    <row r="1383" spans="1:6" x14ac:dyDescent="0.25">
      <c r="A1383" s="11" t="s">
        <v>73</v>
      </c>
      <c r="B1383" s="11" t="str">
        <f t="shared" si="249"/>
        <v>1"998</v>
      </c>
      <c r="C1383" s="11" t="s">
        <v>23</v>
      </c>
      <c r="D1383" s="3">
        <f t="shared" si="247"/>
        <v>998</v>
      </c>
      <c r="E1383" s="11">
        <f t="shared" si="255"/>
        <v>56</v>
      </c>
      <c r="F1383" s="11">
        <f t="shared" si="253"/>
        <v>280</v>
      </c>
    </row>
    <row r="1384" spans="1:6" x14ac:dyDescent="0.25">
      <c r="A1384" s="11" t="s">
        <v>73</v>
      </c>
      <c r="B1384" s="11" t="str">
        <f t="shared" si="249"/>
        <v>1"999</v>
      </c>
      <c r="C1384" s="11" t="s">
        <v>23</v>
      </c>
      <c r="D1384" s="3">
        <f t="shared" si="247"/>
        <v>999</v>
      </c>
      <c r="E1384" s="11">
        <f t="shared" si="255"/>
        <v>56</v>
      </c>
      <c r="F1384" s="11">
        <f t="shared" si="253"/>
        <v>280</v>
      </c>
    </row>
    <row r="1385" spans="1:6" x14ac:dyDescent="0.25">
      <c r="A1385" s="11" t="s">
        <v>73</v>
      </c>
      <c r="B1385" s="11" t="str">
        <f t="shared" si="249"/>
        <v>1"1000</v>
      </c>
      <c r="C1385" s="11" t="s">
        <v>23</v>
      </c>
      <c r="D1385" s="3">
        <f t="shared" si="247"/>
        <v>1000</v>
      </c>
      <c r="E1385" s="11">
        <f t="shared" si="255"/>
        <v>56</v>
      </c>
      <c r="F1385" s="11">
        <f t="shared" si="253"/>
        <v>280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A17751-422A-408B-8864-697B5C1D527B}">
  <sheetPr codeName="Planilha11"/>
  <dimension ref="A1:B26"/>
  <sheetViews>
    <sheetView topLeftCell="A2" workbookViewId="0">
      <selection activeCell="G22" sqref="G21:G22"/>
    </sheetView>
  </sheetViews>
  <sheetFormatPr defaultRowHeight="15" x14ac:dyDescent="0.25"/>
  <sheetData>
    <row r="1" spans="1:2" x14ac:dyDescent="0.25">
      <c r="A1" s="11" t="s">
        <v>47</v>
      </c>
    </row>
    <row r="2" spans="1:2" x14ac:dyDescent="0.25">
      <c r="A2" s="11">
        <v>0</v>
      </c>
    </row>
    <row r="3" spans="1:2" x14ac:dyDescent="0.25">
      <c r="A3" s="11">
        <v>1</v>
      </c>
      <c r="B3">
        <v>2</v>
      </c>
    </row>
    <row r="4" spans="1:2" x14ac:dyDescent="0.25">
      <c r="A4" s="11">
        <v>2</v>
      </c>
      <c r="B4">
        <v>4</v>
      </c>
    </row>
    <row r="5" spans="1:2" x14ac:dyDescent="0.25">
      <c r="A5" s="18">
        <v>3</v>
      </c>
      <c r="B5">
        <v>5</v>
      </c>
    </row>
    <row r="6" spans="1:2" x14ac:dyDescent="0.25">
      <c r="A6" s="18">
        <v>4</v>
      </c>
      <c r="B6">
        <v>6</v>
      </c>
    </row>
    <row r="7" spans="1:2" x14ac:dyDescent="0.25">
      <c r="A7" s="18">
        <v>5</v>
      </c>
      <c r="B7">
        <v>7</v>
      </c>
    </row>
    <row r="8" spans="1:2" x14ac:dyDescent="0.25">
      <c r="A8" s="18">
        <v>6</v>
      </c>
      <c r="B8">
        <v>8</v>
      </c>
    </row>
    <row r="9" spans="1:2" x14ac:dyDescent="0.25">
      <c r="A9" s="18">
        <v>7</v>
      </c>
      <c r="B9">
        <v>9</v>
      </c>
    </row>
    <row r="10" spans="1:2" x14ac:dyDescent="0.25">
      <c r="A10" s="18">
        <v>8</v>
      </c>
      <c r="B10">
        <v>10</v>
      </c>
    </row>
    <row r="11" spans="1:2" x14ac:dyDescent="0.25">
      <c r="A11" s="18">
        <v>9</v>
      </c>
      <c r="B11">
        <v>11</v>
      </c>
    </row>
    <row r="12" spans="1:2" x14ac:dyDescent="0.25">
      <c r="A12" s="18">
        <v>10</v>
      </c>
      <c r="B12">
        <v>12</v>
      </c>
    </row>
    <row r="13" spans="1:2" x14ac:dyDescent="0.25">
      <c r="A13" s="18">
        <v>11</v>
      </c>
      <c r="B13">
        <v>13</v>
      </c>
    </row>
    <row r="14" spans="1:2" x14ac:dyDescent="0.25">
      <c r="A14" s="18">
        <v>12</v>
      </c>
      <c r="B14">
        <v>14</v>
      </c>
    </row>
    <row r="15" spans="1:2" x14ac:dyDescent="0.25">
      <c r="A15" s="18">
        <v>13</v>
      </c>
      <c r="B15">
        <v>15</v>
      </c>
    </row>
    <row r="16" spans="1:2" x14ac:dyDescent="0.25">
      <c r="A16" s="18">
        <v>14</v>
      </c>
      <c r="B16">
        <v>16</v>
      </c>
    </row>
    <row r="17" spans="1:2" x14ac:dyDescent="0.25">
      <c r="A17" s="18">
        <v>15</v>
      </c>
      <c r="B17">
        <v>17</v>
      </c>
    </row>
    <row r="18" spans="1:2" x14ac:dyDescent="0.25">
      <c r="A18" s="16"/>
    </row>
    <row r="19" spans="1:2" x14ac:dyDescent="0.25">
      <c r="A19" s="16"/>
    </row>
    <row r="20" spans="1:2" x14ac:dyDescent="0.25">
      <c r="A20" s="16"/>
    </row>
    <row r="21" spans="1:2" x14ac:dyDescent="0.25">
      <c r="A21" s="16"/>
    </row>
    <row r="22" spans="1:2" x14ac:dyDescent="0.25">
      <c r="A22" s="16"/>
    </row>
    <row r="23" spans="1:2" x14ac:dyDescent="0.25">
      <c r="A23" s="16"/>
    </row>
    <row r="24" spans="1:2" x14ac:dyDescent="0.25">
      <c r="A24" s="16"/>
    </row>
    <row r="25" spans="1:2" x14ac:dyDescent="0.25">
      <c r="A25" s="16"/>
    </row>
    <row r="26" spans="1:2" x14ac:dyDescent="0.25">
      <c r="A26" s="16"/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4175BE-9B93-41E7-A477-2A9E25BB3966}">
  <sheetPr codeName="Planilha1"/>
  <dimension ref="A1:B7"/>
  <sheetViews>
    <sheetView workbookViewId="0">
      <selection activeCell="B3" sqref="B3"/>
    </sheetView>
  </sheetViews>
  <sheetFormatPr defaultRowHeight="15" x14ac:dyDescent="0.25"/>
  <cols>
    <col min="1" max="1" width="9.7109375" bestFit="1" customWidth="1"/>
    <col min="2" max="2" width="24.140625" bestFit="1" customWidth="1"/>
  </cols>
  <sheetData>
    <row r="1" spans="1:2" x14ac:dyDescent="0.25">
      <c r="A1" t="s">
        <v>147</v>
      </c>
      <c r="B1" t="s">
        <v>147</v>
      </c>
    </row>
    <row r="2" spans="1:2" x14ac:dyDescent="0.25">
      <c r="A2" t="s">
        <v>148</v>
      </c>
      <c r="B2" t="s">
        <v>145</v>
      </c>
    </row>
    <row r="3" spans="1:2" x14ac:dyDescent="0.25">
      <c r="A3" s="91">
        <v>160</v>
      </c>
      <c r="B3" t="s">
        <v>82</v>
      </c>
    </row>
    <row r="4" spans="1:2" x14ac:dyDescent="0.25">
      <c r="A4" s="91">
        <v>250</v>
      </c>
      <c r="B4" t="s">
        <v>71</v>
      </c>
    </row>
    <row r="5" spans="1:2" x14ac:dyDescent="0.25">
      <c r="A5" t="s">
        <v>149</v>
      </c>
    </row>
    <row r="6" spans="1:2" x14ac:dyDescent="0.25">
      <c r="A6" t="s">
        <v>82</v>
      </c>
    </row>
    <row r="7" spans="1:2" x14ac:dyDescent="0.25">
      <c r="A7" t="s">
        <v>71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AB9D5-2A12-42B7-AB65-5E2BB15975DD}">
  <sheetPr codeName="Planilha14"/>
  <dimension ref="A1:A14"/>
  <sheetViews>
    <sheetView workbookViewId="0">
      <selection activeCell="A2" sqref="A2"/>
    </sheetView>
  </sheetViews>
  <sheetFormatPr defaultRowHeight="15" x14ac:dyDescent="0.25"/>
  <sheetData>
    <row r="1" spans="1:1" x14ac:dyDescent="0.25">
      <c r="A1">
        <v>12</v>
      </c>
    </row>
    <row r="2" spans="1:1" x14ac:dyDescent="0.25">
      <c r="A2">
        <v>13</v>
      </c>
    </row>
    <row r="3" spans="1:1" x14ac:dyDescent="0.25">
      <c r="A3">
        <v>14</v>
      </c>
    </row>
    <row r="4" spans="1:1" x14ac:dyDescent="0.25">
      <c r="A4">
        <v>15</v>
      </c>
    </row>
    <row r="5" spans="1:1" x14ac:dyDescent="0.25">
      <c r="A5">
        <v>16</v>
      </c>
    </row>
    <row r="6" spans="1:1" x14ac:dyDescent="0.25">
      <c r="A6">
        <v>17</v>
      </c>
    </row>
    <row r="7" spans="1:1" x14ac:dyDescent="0.25">
      <c r="A7">
        <v>18</v>
      </c>
    </row>
    <row r="8" spans="1:1" x14ac:dyDescent="0.25">
      <c r="A8">
        <v>19</v>
      </c>
    </row>
    <row r="9" spans="1:1" x14ac:dyDescent="0.25">
      <c r="A9">
        <v>20</v>
      </c>
    </row>
    <row r="10" spans="1:1" x14ac:dyDescent="0.25">
      <c r="A10">
        <v>21</v>
      </c>
    </row>
    <row r="11" spans="1:1" x14ac:dyDescent="0.25">
      <c r="A11">
        <v>22</v>
      </c>
    </row>
    <row r="12" spans="1:1" x14ac:dyDescent="0.25">
      <c r="A12">
        <v>23</v>
      </c>
    </row>
    <row r="13" spans="1:1" x14ac:dyDescent="0.25">
      <c r="A13">
        <v>24</v>
      </c>
    </row>
    <row r="14" spans="1:1" x14ac:dyDescent="0.25">
      <c r="A14">
        <v>25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B5043FA-BE55-465B-9FE5-C8A20A81EBA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19</vt:i4>
      </vt:variant>
      <vt:variant>
        <vt:lpstr>Intervalos Nomeados</vt:lpstr>
      </vt:variant>
      <vt:variant>
        <vt:i4>1</vt:i4>
      </vt:variant>
    </vt:vector>
  </HeadingPairs>
  <TitlesOfParts>
    <vt:vector size="20" baseType="lpstr">
      <vt:lpstr>CONSOLIDADO</vt:lpstr>
      <vt:lpstr>MAPA_DE_FACAS</vt:lpstr>
      <vt:lpstr>ORÇAMENTO</vt:lpstr>
      <vt:lpstr>MAPA DE FACAS 2026 -27 02 xlsm_</vt:lpstr>
      <vt:lpstr>MAPA DE FACAS 20260715 ATUAL</vt:lpstr>
      <vt:lpstr>MATRIZ </vt:lpstr>
      <vt:lpstr>HORA MÁQUINA </vt:lpstr>
      <vt:lpstr>HORA PARADA</vt:lpstr>
      <vt:lpstr>PAPEL</vt:lpstr>
      <vt:lpstr>PERDA DE PAPEL</vt:lpstr>
      <vt:lpstr>PERDA DE ACABAMENTO</vt:lpstr>
      <vt:lpstr>TUBETE</vt:lpstr>
      <vt:lpstr>TINTA</vt:lpstr>
      <vt:lpstr>VERNIZ</vt:lpstr>
      <vt:lpstr>ACABAMENTOS</vt:lpstr>
      <vt:lpstr>CAIXAS</vt:lpstr>
      <vt:lpstr>COMISSÃO</vt:lpstr>
      <vt:lpstr>MÁQUINAS </vt:lpstr>
      <vt:lpstr>IMPOSTO</vt:lpstr>
      <vt:lpstr>ORÇAMENTO!Area_de_impressao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Helton</dc:creator>
  <cp:lastModifiedBy>Office</cp:lastModifiedBy>
  <cp:lastPrinted>2026-07-17T14:29:54Z</cp:lastPrinted>
  <dcterms:created xsi:type="dcterms:W3CDTF">2016-04-01T15:03:36Z</dcterms:created>
  <dcterms:modified xsi:type="dcterms:W3CDTF">2026-07-23T21:33:27Z</dcterms:modified>
</cp:coreProperties>
</file>